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ms.park\Documents\받은 파일\"/>
    </mc:Choice>
  </mc:AlternateContent>
  <bookViews>
    <workbookView xWindow="1020" yWindow="0" windowWidth="2160" windowHeight="0" activeTab="10"/>
  </bookViews>
  <sheets>
    <sheet name="작업" sheetId="2" r:id="rId1"/>
    <sheet name="2412" sheetId="10" r:id="rId2"/>
    <sheet name="2312" sheetId="14" r:id="rId3"/>
    <sheet name="2406" sheetId="7" r:id="rId4"/>
    <sheet name="2403" sheetId="5" r:id="rId5"/>
    <sheet name="fvpl" sheetId="3" r:id="rId6"/>
    <sheet name="전기말" sheetId="8" r:id="rId7"/>
    <sheet name="이익잉여금" sheetId="9" r:id="rId8"/>
    <sheet name="Sheet1" sheetId="4" r:id="rId9"/>
    <sheet name="Sheet2" sheetId="11" r:id="rId10"/>
    <sheet name="DATA" sheetId="1" r:id="rId11"/>
    <sheet name="2512_보고서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M84" i="1" l="1"/>
  <c r="DL84" i="1"/>
  <c r="DJ84" i="1"/>
  <c r="DI84" i="1"/>
  <c r="DJ77" i="1" l="1"/>
  <c r="DJ69" i="1"/>
  <c r="DJ53" i="1"/>
  <c r="DJ37" i="1"/>
  <c r="DJ13" i="1"/>
  <c r="A165" i="14"/>
  <c r="A164" i="14"/>
  <c r="A165" i="10"/>
  <c r="A164" i="10"/>
  <c r="A164" i="2"/>
  <c r="A165" i="2"/>
  <c r="FA76" i="1" l="1"/>
  <c r="EZ76" i="1"/>
  <c r="FC76" i="1" s="1"/>
  <c r="EY76" i="1"/>
  <c r="EX76" i="1"/>
  <c r="EW76" i="1"/>
  <c r="ET76" i="1"/>
  <c r="FC100" i="1"/>
  <c r="FA100" i="1"/>
  <c r="EZ100" i="1"/>
  <c r="EY100" i="1"/>
  <c r="EX100" i="1"/>
  <c r="EW100" i="1"/>
  <c r="ET100" i="1"/>
  <c r="BW84" i="1"/>
  <c r="CD84" i="1"/>
  <c r="CB84" i="1"/>
  <c r="CA84" i="1"/>
  <c r="BZ84" i="1"/>
  <c r="BY84" i="1"/>
  <c r="CL84" i="1"/>
  <c r="BV84" i="1"/>
  <c r="BU84" i="1"/>
  <c r="CK84" i="1"/>
  <c r="CI84" i="1"/>
  <c r="CH84" i="1"/>
  <c r="CG84" i="1"/>
  <c r="CF84" i="1"/>
  <c r="ET84" i="1"/>
  <c r="BR84" i="1"/>
  <c r="BT84" i="1" s="1"/>
  <c r="BN84" i="1"/>
  <c r="BL84" i="1"/>
  <c r="BF84" i="1"/>
  <c r="AT84" i="1"/>
  <c r="AS84" i="1"/>
  <c r="AX84" i="1"/>
  <c r="AY84" i="1"/>
  <c r="AU84" i="1"/>
  <c r="AN84" i="1"/>
  <c r="AL84" i="1"/>
  <c r="AW84" i="1"/>
  <c r="AV84" i="1"/>
  <c r="AE84" i="1"/>
  <c r="T84" i="1"/>
  <c r="K84" i="1"/>
  <c r="G84" i="1"/>
  <c r="J84" i="1"/>
  <c r="I84" i="1"/>
  <c r="CZ84" i="1"/>
  <c r="BZ28" i="1"/>
  <c r="FC28" i="1"/>
  <c r="FA28" i="1"/>
  <c r="EZ28" i="1"/>
  <c r="EY28" i="1"/>
  <c r="EX28" i="1"/>
  <c r="EW28" i="1"/>
  <c r="CZ28" i="1"/>
  <c r="AX28" i="1"/>
  <c r="AW28" i="1"/>
  <c r="AY28" i="1" s="1"/>
  <c r="AV28" i="1"/>
  <c r="AT28" i="1"/>
  <c r="FC84" i="1" l="1"/>
  <c r="AS28" i="1" l="1"/>
  <c r="AU28" i="1"/>
  <c r="AN28" i="1"/>
  <c r="AL28" i="1"/>
  <c r="AJ28" i="1"/>
  <c r="Y24" i="1"/>
  <c r="AE28" i="1"/>
  <c r="Z28" i="1"/>
  <c r="Y28" i="1"/>
  <c r="CL28" i="1"/>
  <c r="CK28" i="1"/>
  <c r="CG28" i="1"/>
  <c r="CF28" i="1"/>
  <c r="CB28" i="1"/>
  <c r="CA28" i="1"/>
  <c r="BY28" i="1"/>
  <c r="BX28" i="1"/>
  <c r="BW28" i="1"/>
  <c r="BV28" i="1"/>
  <c r="BU28" i="1"/>
  <c r="CD28" i="1"/>
  <c r="BD28" i="1"/>
  <c r="BQ28" i="1"/>
  <c r="BT28" i="1"/>
  <c r="BL28" i="1"/>
  <c r="BF28" i="1"/>
  <c r="T28" i="1"/>
  <c r="G24" i="1"/>
  <c r="N28" i="1"/>
  <c r="K28" i="1"/>
  <c r="G28" i="1"/>
  <c r="J28" i="1"/>
  <c r="I28" i="1"/>
  <c r="CJ100" i="1" l="1"/>
  <c r="CI100" i="1"/>
  <c r="CH100" i="1"/>
  <c r="CG100" i="1"/>
  <c r="CF100" i="1"/>
  <c r="CL100" i="1"/>
  <c r="CK100" i="1" l="1"/>
  <c r="CC72" i="1" l="1"/>
  <c r="CC73" i="1"/>
  <c r="CC64" i="1"/>
  <c r="CC56" i="1"/>
  <c r="CC48" i="1"/>
  <c r="CC40" i="1"/>
  <c r="CC32" i="1"/>
  <c r="CC24" i="1"/>
  <c r="CC16" i="1"/>
  <c r="CC8" i="1"/>
  <c r="AG106" i="12" l="1"/>
  <c r="AG105" i="12"/>
  <c r="AG104" i="12"/>
  <c r="AG103" i="12"/>
  <c r="AG102" i="12"/>
  <c r="AG101" i="12"/>
  <c r="A205" i="2"/>
  <c r="A204" i="2"/>
  <c r="A203" i="2"/>
  <c r="A202" i="2"/>
  <c r="A201" i="2"/>
  <c r="A200" i="2"/>
  <c r="EC1" i="1"/>
  <c r="ED1" i="1" s="1"/>
  <c r="EE1" i="1" s="1"/>
  <c r="EF1" i="1" s="1"/>
  <c r="EG1" i="1" s="1"/>
  <c r="EH1" i="1" s="1"/>
  <c r="EI1" i="1" s="1"/>
  <c r="EJ1" i="1" s="1"/>
  <c r="EK1" i="1" s="1"/>
  <c r="EL1" i="1" s="1"/>
  <c r="EM1" i="1" s="1"/>
  <c r="EN1" i="1" s="1"/>
  <c r="EO1" i="1" s="1"/>
  <c r="EP1" i="1" s="1"/>
  <c r="EQ1" i="1" s="1"/>
  <c r="ER1" i="1" s="1"/>
  <c r="ES1" i="1" s="1"/>
  <c r="ET1" i="1" s="1"/>
  <c r="EU1" i="1" s="1"/>
  <c r="EV1" i="1" s="1"/>
  <c r="EW1" i="1" s="1"/>
  <c r="EX1" i="1" l="1"/>
  <c r="EY1" i="1" s="1"/>
  <c r="EZ1" i="1" s="1"/>
  <c r="FA1" i="1" s="1"/>
  <c r="FB1" i="1" s="1"/>
  <c r="FC1" i="1" s="1"/>
  <c r="FD1" i="1" s="1"/>
  <c r="FE1" i="1" s="1"/>
  <c r="A149" i="14"/>
  <c r="A147" i="14"/>
  <c r="A143" i="14"/>
  <c r="A142" i="14"/>
  <c r="A141" i="14"/>
  <c r="A140" i="14"/>
  <c r="A137" i="14"/>
  <c r="A136" i="14"/>
  <c r="A133" i="14"/>
  <c r="A127" i="14"/>
  <c r="A126" i="14"/>
  <c r="A125" i="14"/>
  <c r="A124" i="14"/>
  <c r="A123" i="14"/>
  <c r="A118" i="14"/>
  <c r="A117" i="14"/>
  <c r="A116" i="14"/>
  <c r="A114" i="14"/>
  <c r="A111" i="14"/>
  <c r="A110" i="14"/>
  <c r="A109" i="14"/>
  <c r="A102" i="14"/>
  <c r="A101" i="14"/>
  <c r="A100" i="14"/>
  <c r="A94" i="14"/>
  <c r="A93" i="14"/>
  <c r="A92" i="14"/>
  <c r="A82" i="14"/>
  <c r="A81" i="14"/>
  <c r="A80" i="14"/>
  <c r="A79" i="14"/>
  <c r="A74" i="14"/>
  <c r="A67" i="14"/>
  <c r="A64" i="14"/>
  <c r="A55" i="14"/>
  <c r="A46" i="14"/>
  <c r="A40" i="14"/>
  <c r="A39" i="14"/>
  <c r="A38" i="14"/>
  <c r="A36" i="14"/>
  <c r="A29" i="14"/>
  <c r="A23" i="14"/>
  <c r="A22" i="14"/>
  <c r="A19" i="14"/>
  <c r="A18" i="14"/>
  <c r="A16" i="14"/>
  <c r="A15" i="14"/>
  <c r="A14" i="14"/>
  <c r="A13" i="14"/>
  <c r="A12" i="14"/>
  <c r="A10" i="14"/>
  <c r="A9" i="14"/>
  <c r="J1" i="14"/>
  <c r="DG100" i="1" l="1"/>
  <c r="DH100" i="1"/>
  <c r="DK100" i="1"/>
  <c r="DK84" i="1" l="1"/>
  <c r="R84" i="1"/>
  <c r="Q84" i="1"/>
  <c r="P84" i="1"/>
  <c r="O84" i="1"/>
  <c r="N84" i="1" s="1"/>
  <c r="DH84" i="1" l="1"/>
  <c r="DJ85" i="1"/>
  <c r="DG84" i="1"/>
  <c r="DG76" i="1" l="1"/>
  <c r="DM76" i="1"/>
  <c r="DJ76" i="1"/>
  <c r="DG68" i="1" l="1"/>
  <c r="DC68" i="1"/>
  <c r="DE68" i="1" s="1"/>
  <c r="DD68" i="1"/>
  <c r="DG52" i="1" l="1"/>
  <c r="DL52" i="1"/>
  <c r="DJ52" i="1"/>
  <c r="DI52" i="1"/>
  <c r="DH52" i="1" l="1"/>
  <c r="DK52" i="1" s="1"/>
  <c r="DC52" i="1"/>
  <c r="DM52" i="1" l="1"/>
  <c r="DL36" i="1" l="1"/>
  <c r="DK36" i="1"/>
  <c r="DJ36" i="1"/>
  <c r="DI36" i="1"/>
  <c r="DH36" i="1"/>
  <c r="DG36" i="1" s="1"/>
  <c r="DM36" i="1"/>
  <c r="DC36" i="1"/>
  <c r="DM20" i="1" l="1"/>
  <c r="DL20" i="1"/>
  <c r="DK20" i="1" s="1"/>
  <c r="DJ20" i="1"/>
  <c r="DI20" i="1"/>
  <c r="DH20" i="1" s="1"/>
  <c r="DH21" i="1" s="1"/>
  <c r="DJ21" i="1" l="1"/>
  <c r="DG20" i="1"/>
  <c r="DE12" i="1"/>
  <c r="DD12" i="1"/>
  <c r="CZ100" i="1" l="1"/>
  <c r="CE100" i="1"/>
  <c r="CB100" i="1"/>
  <c r="CD100" i="1" s="1"/>
  <c r="CA100" i="1"/>
  <c r="BZ100" i="1"/>
  <c r="BY100" i="1"/>
  <c r="BX100" i="1"/>
  <c r="BW100" i="1"/>
  <c r="BV100" i="1"/>
  <c r="BU100" i="1"/>
  <c r="BT100" i="1"/>
  <c r="BH100" i="1"/>
  <c r="BL100" i="1" s="1"/>
  <c r="BF100" i="1"/>
  <c r="AX100" i="1"/>
  <c r="AY100" i="1" s="1"/>
  <c r="AW100" i="1"/>
  <c r="AV100" i="1"/>
  <c r="AU100" i="1"/>
  <c r="AS100" i="1"/>
  <c r="AN100" i="1"/>
  <c r="AJ100" i="1"/>
  <c r="AL100" i="1" s="1"/>
  <c r="AE100" i="1"/>
  <c r="AB100" i="1"/>
  <c r="T100" i="1"/>
  <c r="N100" i="1"/>
  <c r="K100" i="1"/>
  <c r="J100" i="1"/>
  <c r="I100" i="1"/>
  <c r="CK99" i="1"/>
  <c r="CI99" i="1"/>
  <c r="CG99" i="1"/>
  <c r="CF99" i="1"/>
  <c r="CA99" i="1"/>
  <c r="BZ99" i="1"/>
  <c r="BY99" i="1"/>
  <c r="BW99" i="1"/>
  <c r="CL99" i="1" s="1"/>
  <c r="BT99" i="1"/>
  <c r="BH99" i="1"/>
  <c r="BL99" i="1" s="1"/>
  <c r="BF99" i="1"/>
  <c r="AX99" i="1"/>
  <c r="AW99" i="1"/>
  <c r="AV99" i="1"/>
  <c r="AY99" i="1" s="1"/>
  <c r="AU99" i="1"/>
  <c r="AS99" i="1"/>
  <c r="AN99" i="1"/>
  <c r="AJ99" i="1"/>
  <c r="AE99" i="1"/>
  <c r="AB99" i="1"/>
  <c r="N99" i="1"/>
  <c r="K99" i="1"/>
  <c r="J99" i="1"/>
  <c r="I99" i="1"/>
  <c r="CI98" i="1"/>
  <c r="CG98" i="1"/>
  <c r="CF98" i="1"/>
  <c r="CK98" i="1" s="1"/>
  <c r="CA98" i="1"/>
  <c r="BZ98" i="1"/>
  <c r="BY98" i="1"/>
  <c r="BW98" i="1"/>
  <c r="CL98" i="1" s="1"/>
  <c r="AY98" i="1"/>
  <c r="AX98" i="1"/>
  <c r="AW98" i="1"/>
  <c r="AV98" i="1"/>
  <c r="AU98" i="1"/>
  <c r="AS98" i="1"/>
  <c r="AE98" i="1"/>
  <c r="AB98" i="1"/>
  <c r="CU97" i="1"/>
  <c r="CI97" i="1"/>
  <c r="CK97" i="1" s="1"/>
  <c r="CG97" i="1"/>
  <c r="CF97" i="1"/>
  <c r="CB97" i="1"/>
  <c r="CB98" i="1" s="1"/>
  <c r="CA97" i="1"/>
  <c r="BZ97" i="1"/>
  <c r="CD97" i="1" s="1"/>
  <c r="BY97" i="1"/>
  <c r="BW97" i="1"/>
  <c r="CL97" i="1" s="1"/>
  <c r="BT97" i="1"/>
  <c r="BF97" i="1"/>
  <c r="BL97" i="1" s="1"/>
  <c r="AY97" i="1"/>
  <c r="AX97" i="1"/>
  <c r="AW97" i="1"/>
  <c r="AV97" i="1"/>
  <c r="AU97" i="1"/>
  <c r="AS97" i="1"/>
  <c r="AN97" i="1"/>
  <c r="AJ97" i="1"/>
  <c r="AL97" i="1" s="1"/>
  <c r="AE97" i="1"/>
  <c r="AB97" i="1"/>
  <c r="T97" i="1"/>
  <c r="T98" i="1" s="1"/>
  <c r="T99" i="1" s="1"/>
  <c r="N97" i="1"/>
  <c r="K97" i="1"/>
  <c r="J97" i="1"/>
  <c r="I97" i="1"/>
  <c r="CZ96" i="1"/>
  <c r="CU96" i="1"/>
  <c r="CU100" i="1" s="1"/>
  <c r="CL96" i="1"/>
  <c r="CI96" i="1"/>
  <c r="CH96" i="1"/>
  <c r="CG96" i="1"/>
  <c r="CF96" i="1"/>
  <c r="CK96" i="1" s="1"/>
  <c r="CD96" i="1"/>
  <c r="CB96" i="1"/>
  <c r="CA96" i="1"/>
  <c r="BZ96" i="1"/>
  <c r="BY96" i="1"/>
  <c r="BW96" i="1"/>
  <c r="BT96" i="1"/>
  <c r="BF96" i="1"/>
  <c r="BL96" i="1" s="1"/>
  <c r="BB96" i="1"/>
  <c r="AX96" i="1"/>
  <c r="AW96" i="1"/>
  <c r="AY96" i="1" s="1"/>
  <c r="AV96" i="1"/>
  <c r="AU96" i="1"/>
  <c r="AS96" i="1"/>
  <c r="AN96" i="1"/>
  <c r="AJ96" i="1"/>
  <c r="AL96" i="1" s="1"/>
  <c r="AB96" i="1"/>
  <c r="AE96" i="1" s="1"/>
  <c r="N96" i="1"/>
  <c r="K96" i="1"/>
  <c r="J96" i="1"/>
  <c r="I96" i="1"/>
  <c r="CK95" i="1"/>
  <c r="CB95" i="1"/>
  <c r="CD95" i="1" s="1"/>
  <c r="CA95" i="1"/>
  <c r="BZ95" i="1"/>
  <c r="BW95" i="1"/>
  <c r="CL95" i="1" s="1"/>
  <c r="BT95" i="1"/>
  <c r="BJ95" i="1"/>
  <c r="BF95" i="1"/>
  <c r="BB95" i="1" s="1"/>
  <c r="AX95" i="1"/>
  <c r="AW95" i="1"/>
  <c r="AV95" i="1"/>
  <c r="AY95" i="1" s="1"/>
  <c r="AU95" i="1"/>
  <c r="AS95" i="1"/>
  <c r="AN95" i="1"/>
  <c r="AJ95" i="1"/>
  <c r="AE95" i="1"/>
  <c r="AB95" i="1"/>
  <c r="N95" i="1"/>
  <c r="T96" i="1" s="1"/>
  <c r="K95" i="1"/>
  <c r="J95" i="1"/>
  <c r="I95" i="1"/>
  <c r="BW94" i="1"/>
  <c r="AX94" i="1"/>
  <c r="AW94" i="1"/>
  <c r="AV94" i="1"/>
  <c r="AY94" i="1" s="1"/>
  <c r="N94" i="1"/>
  <c r="T95" i="1" s="1"/>
  <c r="AX93" i="1"/>
  <c r="AW93" i="1"/>
  <c r="AV93" i="1"/>
  <c r="AY93" i="1" s="1"/>
  <c r="CZ92" i="1"/>
  <c r="CU92" i="1"/>
  <c r="CI92" i="1"/>
  <c r="CH92" i="1"/>
  <c r="CG92" i="1"/>
  <c r="CF92" i="1"/>
  <c r="CK92" i="1" s="1"/>
  <c r="CB92" i="1"/>
  <c r="CD92" i="1" s="1"/>
  <c r="CA92" i="1"/>
  <c r="BZ92" i="1"/>
  <c r="BY92" i="1"/>
  <c r="BX92" i="1"/>
  <c r="BW92" i="1"/>
  <c r="CL92" i="1" s="1"/>
  <c r="BV92" i="1"/>
  <c r="BU92" i="1"/>
  <c r="BQ92" i="1"/>
  <c r="BT92" i="1" s="1"/>
  <c r="BL92" i="1"/>
  <c r="BF92" i="1"/>
  <c r="BD92" i="1"/>
  <c r="AX92" i="1"/>
  <c r="AW92" i="1"/>
  <c r="AV92" i="1"/>
  <c r="AY92" i="1" s="1"/>
  <c r="AU92" i="1"/>
  <c r="AS92" i="1"/>
  <c r="AN92" i="1"/>
  <c r="AK92" i="1"/>
  <c r="AJ92" i="1"/>
  <c r="AB92" i="1"/>
  <c r="AE92" i="1" s="1"/>
  <c r="Y92" i="1"/>
  <c r="N92" i="1"/>
  <c r="G92" i="1"/>
  <c r="CU91" i="1"/>
  <c r="CL91" i="1"/>
  <c r="CI91" i="1"/>
  <c r="CH91" i="1"/>
  <c r="CG91" i="1"/>
  <c r="CF91" i="1"/>
  <c r="CK91" i="1" s="1"/>
  <c r="CD91" i="1"/>
  <c r="BT91" i="1"/>
  <c r="BF91" i="1"/>
  <c r="BL91" i="1" s="1"/>
  <c r="BD91" i="1"/>
  <c r="AX91" i="1"/>
  <c r="AW91" i="1"/>
  <c r="AV91" i="1"/>
  <c r="AY91" i="1" s="1"/>
  <c r="AU91" i="1"/>
  <c r="AS91" i="1"/>
  <c r="AN91" i="1"/>
  <c r="AK91" i="1"/>
  <c r="AJ91" i="1"/>
  <c r="AB91" i="1"/>
  <c r="Y91" i="1"/>
  <c r="AE91" i="1" s="1"/>
  <c r="N91" i="1"/>
  <c r="G91" i="1"/>
  <c r="CL90" i="1"/>
  <c r="CI90" i="1"/>
  <c r="CH90" i="1"/>
  <c r="CG90" i="1"/>
  <c r="CF90" i="1"/>
  <c r="CK90" i="1" s="1"/>
  <c r="CE90" i="1"/>
  <c r="CD90" i="1"/>
  <c r="BT90" i="1"/>
  <c r="AX90" i="1"/>
  <c r="AW90" i="1"/>
  <c r="AY90" i="1" s="1"/>
  <c r="AV90" i="1"/>
  <c r="AU90" i="1"/>
  <c r="AT90" i="1"/>
  <c r="AS90" i="1"/>
  <c r="AB90" i="1"/>
  <c r="AE90" i="1" s="1"/>
  <c r="Y90" i="1"/>
  <c r="CU89" i="1"/>
  <c r="CL89" i="1"/>
  <c r="CI89" i="1"/>
  <c r="CH89" i="1"/>
  <c r="CG89" i="1"/>
  <c r="CF89" i="1"/>
  <c r="CK89" i="1" s="1"/>
  <c r="CD89" i="1"/>
  <c r="BT89" i="1"/>
  <c r="BL89" i="1"/>
  <c r="BF89" i="1"/>
  <c r="BD89" i="1"/>
  <c r="AX89" i="1"/>
  <c r="AW89" i="1"/>
  <c r="AV89" i="1"/>
  <c r="AY89" i="1" s="1"/>
  <c r="AU89" i="1"/>
  <c r="AS89" i="1"/>
  <c r="AN89" i="1"/>
  <c r="AK89" i="1"/>
  <c r="AJ89" i="1"/>
  <c r="AB89" i="1"/>
  <c r="AE89" i="1" s="1"/>
  <c r="Y89" i="1"/>
  <c r="N89" i="1"/>
  <c r="K89" i="1"/>
  <c r="J89" i="1"/>
  <c r="I89" i="1"/>
  <c r="G89" i="1"/>
  <c r="CZ88" i="1"/>
  <c r="CL88" i="1"/>
  <c r="CI88" i="1"/>
  <c r="CH88" i="1"/>
  <c r="CG88" i="1"/>
  <c r="CF88" i="1"/>
  <c r="CK88" i="1" s="1"/>
  <c r="CD88" i="1"/>
  <c r="BT88" i="1"/>
  <c r="BF88" i="1"/>
  <c r="BL88" i="1" s="1"/>
  <c r="BD88" i="1"/>
  <c r="AY88" i="1"/>
  <c r="AX88" i="1"/>
  <c r="AW88" i="1"/>
  <c r="AV88" i="1"/>
  <c r="AU88" i="1"/>
  <c r="AS88" i="1"/>
  <c r="AN88" i="1"/>
  <c r="AK88" i="1"/>
  <c r="AL88" i="1" s="1"/>
  <c r="AJ88" i="1"/>
  <c r="AB88" i="1"/>
  <c r="AE88" i="1" s="1"/>
  <c r="Y88" i="1"/>
  <c r="T88" i="1"/>
  <c r="N88" i="1"/>
  <c r="T92" i="1" s="1"/>
  <c r="J88" i="1"/>
  <c r="I88" i="1"/>
  <c r="G88" i="1"/>
  <c r="K88" i="1" s="1"/>
  <c r="CL87" i="1"/>
  <c r="CI87" i="1"/>
  <c r="CH87" i="1"/>
  <c r="CG87" i="1"/>
  <c r="CK87" i="1" s="1"/>
  <c r="CF87" i="1"/>
  <c r="CD87" i="1"/>
  <c r="BT87" i="1"/>
  <c r="BF87" i="1"/>
  <c r="BD87" i="1"/>
  <c r="BL87" i="1" s="1"/>
  <c r="AX87" i="1"/>
  <c r="AW87" i="1"/>
  <c r="AV87" i="1"/>
  <c r="AY87" i="1" s="1"/>
  <c r="AU87" i="1"/>
  <c r="AT87" i="1"/>
  <c r="AS87" i="1"/>
  <c r="AN87" i="1"/>
  <c r="AL87" i="1"/>
  <c r="AK87" i="1"/>
  <c r="AJ87" i="1"/>
  <c r="AE87" i="1"/>
  <c r="AB87" i="1"/>
  <c r="Y87" i="1"/>
  <c r="T87" i="1"/>
  <c r="N87" i="1"/>
  <c r="K87" i="1"/>
  <c r="J87" i="1"/>
  <c r="I87" i="1"/>
  <c r="G87" i="1"/>
  <c r="AX86" i="1"/>
  <c r="AW86" i="1"/>
  <c r="AV86" i="1"/>
  <c r="AY86" i="1" s="1"/>
  <c r="N86" i="1"/>
  <c r="AX85" i="1"/>
  <c r="AW85" i="1"/>
  <c r="AV85" i="1"/>
  <c r="AY85" i="1" s="1"/>
  <c r="CI83" i="1"/>
  <c r="CG83" i="1"/>
  <c r="CF83" i="1"/>
  <c r="CK83" i="1" s="1"/>
  <c r="CD83" i="1"/>
  <c r="CB83" i="1"/>
  <c r="CA83" i="1"/>
  <c r="BZ83" i="1"/>
  <c r="BY83" i="1"/>
  <c r="BW83" i="1"/>
  <c r="CL83" i="1" s="1"/>
  <c r="BT83" i="1"/>
  <c r="BN83" i="1"/>
  <c r="BF83" i="1"/>
  <c r="BL83" i="1" s="1"/>
  <c r="AX83" i="1"/>
  <c r="AW83" i="1"/>
  <c r="AV83" i="1"/>
  <c r="AU83" i="1"/>
  <c r="AS83" i="1"/>
  <c r="AN83" i="1"/>
  <c r="AL83" i="1"/>
  <c r="AT83" i="1" s="1"/>
  <c r="AD83" i="1"/>
  <c r="AC83" i="1"/>
  <c r="AB83" i="1"/>
  <c r="AA83" i="1"/>
  <c r="Z83" i="1"/>
  <c r="Y83" i="1"/>
  <c r="AE83" i="1" s="1"/>
  <c r="N83" i="1"/>
  <c r="J83" i="1"/>
  <c r="I83" i="1"/>
  <c r="G83" i="1"/>
  <c r="K83" i="1" s="1"/>
  <c r="CI82" i="1"/>
  <c r="CG82" i="1"/>
  <c r="CF82" i="1"/>
  <c r="CK82" i="1" s="1"/>
  <c r="CB82" i="1"/>
  <c r="CA82" i="1"/>
  <c r="BZ82" i="1"/>
  <c r="BY82" i="1"/>
  <c r="BW82" i="1"/>
  <c r="CL82" i="1" s="1"/>
  <c r="BT82" i="1"/>
  <c r="AX82" i="1"/>
  <c r="AW82" i="1"/>
  <c r="AV82" i="1"/>
  <c r="AY82" i="1" s="1"/>
  <c r="AU82" i="1"/>
  <c r="AT82" i="1"/>
  <c r="AS82" i="1"/>
  <c r="AE82" i="1"/>
  <c r="Y82" i="1"/>
  <c r="K82" i="1"/>
  <c r="J82" i="1"/>
  <c r="I82" i="1"/>
  <c r="CL81" i="1"/>
  <c r="CI81" i="1"/>
  <c r="CG81" i="1"/>
  <c r="CF81" i="1"/>
  <c r="CK81" i="1" s="1"/>
  <c r="CB81" i="1"/>
  <c r="CA81" i="1"/>
  <c r="BZ81" i="1"/>
  <c r="BY81" i="1"/>
  <c r="BW81" i="1"/>
  <c r="BT81" i="1"/>
  <c r="BL81" i="1"/>
  <c r="BF81" i="1"/>
  <c r="AX81" i="1"/>
  <c r="AY81" i="1" s="1"/>
  <c r="AW81" i="1"/>
  <c r="AV81" i="1"/>
  <c r="AU81" i="1"/>
  <c r="AS81" i="1"/>
  <c r="AN81" i="1"/>
  <c r="AL81" i="1" s="1"/>
  <c r="AT81" i="1" s="1"/>
  <c r="Z81" i="1"/>
  <c r="AE81" i="1" s="1"/>
  <c r="Y81" i="1"/>
  <c r="T81" i="1"/>
  <c r="T82" i="1" s="1"/>
  <c r="T83" i="1" s="1"/>
  <c r="N81" i="1"/>
  <c r="J81" i="1"/>
  <c r="I81" i="1"/>
  <c r="G81" i="1"/>
  <c r="K81" i="1" s="1"/>
  <c r="CZ80" i="1"/>
  <c r="CU80" i="1"/>
  <c r="CU83" i="1" s="1"/>
  <c r="CI80" i="1"/>
  <c r="CG80" i="1"/>
  <c r="CF80" i="1"/>
  <c r="CK80" i="1" s="1"/>
  <c r="CD80" i="1"/>
  <c r="CB80" i="1"/>
  <c r="CA80" i="1"/>
  <c r="BZ80" i="1"/>
  <c r="BY80" i="1"/>
  <c r="BW80" i="1"/>
  <c r="CL80" i="1" s="1"/>
  <c r="BT80" i="1"/>
  <c r="BN80" i="1"/>
  <c r="BF80" i="1"/>
  <c r="BL80" i="1" s="1"/>
  <c r="AX80" i="1"/>
  <c r="AY80" i="1" s="1"/>
  <c r="AW80" i="1"/>
  <c r="AV80" i="1"/>
  <c r="AU80" i="1"/>
  <c r="AS80" i="1"/>
  <c r="AN80" i="1"/>
  <c r="AL80" i="1" s="1"/>
  <c r="AT80" i="1" s="1"/>
  <c r="AE80" i="1"/>
  <c r="T80" i="1"/>
  <c r="N80" i="1"/>
  <c r="K80" i="1"/>
  <c r="J80" i="1"/>
  <c r="I80" i="1"/>
  <c r="G80" i="1"/>
  <c r="CK79" i="1"/>
  <c r="CA79" i="1"/>
  <c r="CD79" i="1" s="1"/>
  <c r="BZ79" i="1"/>
  <c r="BY79" i="1"/>
  <c r="BW79" i="1"/>
  <c r="CL79" i="1" s="1"/>
  <c r="BT79" i="1"/>
  <c r="BF79" i="1"/>
  <c r="AX79" i="1"/>
  <c r="AW79" i="1"/>
  <c r="AV79" i="1"/>
  <c r="AY79" i="1" s="1"/>
  <c r="AU79" i="1"/>
  <c r="AS79" i="1"/>
  <c r="AN79" i="1"/>
  <c r="AL79" i="1" s="1"/>
  <c r="AT79" i="1" s="1"/>
  <c r="AE79" i="1"/>
  <c r="T79" i="1"/>
  <c r="N79" i="1"/>
  <c r="J79" i="1"/>
  <c r="I79" i="1"/>
  <c r="G79" i="1"/>
  <c r="K79" i="1" s="1"/>
  <c r="BW78" i="1"/>
  <c r="AX78" i="1"/>
  <c r="AW78" i="1"/>
  <c r="AV78" i="1"/>
  <c r="AY78" i="1" s="1"/>
  <c r="N78" i="1"/>
  <c r="AY77" i="1"/>
  <c r="AX77" i="1"/>
  <c r="AW77" i="1"/>
  <c r="AV77" i="1"/>
  <c r="CZ76" i="1"/>
  <c r="CU76" i="1"/>
  <c r="CL76" i="1"/>
  <c r="CJ76" i="1"/>
  <c r="CK76" i="1" s="1"/>
  <c r="CI76" i="1"/>
  <c r="CH76" i="1"/>
  <c r="CG76" i="1"/>
  <c r="CF76" i="1"/>
  <c r="CE76" i="1"/>
  <c r="CB76" i="1"/>
  <c r="CD76" i="1" s="1"/>
  <c r="CA76" i="1"/>
  <c r="BZ76" i="1"/>
  <c r="BY76" i="1"/>
  <c r="BX76" i="1"/>
  <c r="BW76" i="1"/>
  <c r="BV76" i="1"/>
  <c r="BU76" i="1"/>
  <c r="BT76" i="1"/>
  <c r="BL76" i="1"/>
  <c r="BH76" i="1"/>
  <c r="BG76" i="1"/>
  <c r="BF76" i="1"/>
  <c r="BD76" i="1"/>
  <c r="AX76" i="1"/>
  <c r="AY76" i="1" s="1"/>
  <c r="AW76" i="1"/>
  <c r="AV76" i="1"/>
  <c r="AU76" i="1"/>
  <c r="AS76" i="1"/>
  <c r="AN76" i="1"/>
  <c r="AK76" i="1"/>
  <c r="AJ76" i="1"/>
  <c r="AB76" i="1"/>
  <c r="Y76" i="1"/>
  <c r="AE76" i="1" s="1"/>
  <c r="N76" i="1"/>
  <c r="K76" i="1"/>
  <c r="J76" i="1"/>
  <c r="I76" i="1"/>
  <c r="CU75" i="1"/>
  <c r="CL75" i="1"/>
  <c r="CG75" i="1"/>
  <c r="CK75" i="1" s="1"/>
  <c r="CF75" i="1"/>
  <c r="CB75" i="1"/>
  <c r="CD75" i="1" s="1"/>
  <c r="BT75" i="1"/>
  <c r="BH75" i="1"/>
  <c r="BF75" i="1"/>
  <c r="BD75" i="1"/>
  <c r="BL75" i="1" s="1"/>
  <c r="AY75" i="1"/>
  <c r="AX75" i="1"/>
  <c r="AW75" i="1"/>
  <c r="AV75" i="1"/>
  <c r="AU75" i="1"/>
  <c r="AS75" i="1"/>
  <c r="AN75" i="1"/>
  <c r="AK75" i="1"/>
  <c r="AL75" i="1" s="1"/>
  <c r="AJ75" i="1"/>
  <c r="AB75" i="1"/>
  <c r="AE75" i="1" s="1"/>
  <c r="Y75" i="1"/>
  <c r="N75" i="1"/>
  <c r="K75" i="1"/>
  <c r="J75" i="1"/>
  <c r="I75" i="1"/>
  <c r="CL74" i="1"/>
  <c r="CG74" i="1"/>
  <c r="CK74" i="1" s="1"/>
  <c r="CF74" i="1"/>
  <c r="CB74" i="1"/>
  <c r="CD74" i="1" s="1"/>
  <c r="CA74" i="1"/>
  <c r="BZ74" i="1"/>
  <c r="BY74" i="1"/>
  <c r="AX74" i="1"/>
  <c r="AW74" i="1"/>
  <c r="AY74" i="1" s="1"/>
  <c r="AV74" i="1"/>
  <c r="AU74" i="1"/>
  <c r="AT74" i="1"/>
  <c r="AS74" i="1"/>
  <c r="AB74" i="1"/>
  <c r="AE74" i="1" s="1"/>
  <c r="Y74" i="1"/>
  <c r="K74" i="1"/>
  <c r="J74" i="1"/>
  <c r="I74" i="1"/>
  <c r="CU73" i="1"/>
  <c r="CL73" i="1"/>
  <c r="CG73" i="1"/>
  <c r="CK73" i="1" s="1"/>
  <c r="CF73" i="1"/>
  <c r="CD73" i="1"/>
  <c r="BT73" i="1"/>
  <c r="BG73" i="1"/>
  <c r="BF73" i="1"/>
  <c r="BD73" i="1"/>
  <c r="BL73" i="1" s="1"/>
  <c r="AX73" i="1"/>
  <c r="AY73" i="1" s="1"/>
  <c r="AW73" i="1"/>
  <c r="AV73" i="1"/>
  <c r="AU73" i="1"/>
  <c r="AS73" i="1"/>
  <c r="AN73" i="1"/>
  <c r="AK73" i="1"/>
  <c r="AJ73" i="1"/>
  <c r="AB73" i="1"/>
  <c r="Y73" i="1"/>
  <c r="AE73" i="1" s="1"/>
  <c r="N73" i="1"/>
  <c r="K73" i="1"/>
  <c r="J73" i="1"/>
  <c r="I73" i="1"/>
  <c r="CZ72" i="1"/>
  <c r="CL72" i="1"/>
  <c r="CG72" i="1"/>
  <c r="CK72" i="1" s="1"/>
  <c r="CF72" i="1"/>
  <c r="CD72" i="1"/>
  <c r="BT72" i="1"/>
  <c r="BM72" i="1"/>
  <c r="BF72" i="1"/>
  <c r="BL72" i="1" s="1"/>
  <c r="BD72" i="1"/>
  <c r="AY72" i="1"/>
  <c r="AX72" i="1"/>
  <c r="AW72" i="1"/>
  <c r="AV72" i="1"/>
  <c r="AU72" i="1"/>
  <c r="AS72" i="1"/>
  <c r="AN72" i="1"/>
  <c r="AK72" i="1"/>
  <c r="AL72" i="1" s="1"/>
  <c r="AJ72" i="1"/>
  <c r="AB72" i="1"/>
  <c r="AE72" i="1" s="1"/>
  <c r="Y72" i="1"/>
  <c r="N72" i="1"/>
  <c r="T76" i="1" s="1"/>
  <c r="K72" i="1"/>
  <c r="J72" i="1"/>
  <c r="I72" i="1"/>
  <c r="CL71" i="1"/>
  <c r="CG71" i="1"/>
  <c r="CF71" i="1"/>
  <c r="CD71" i="1"/>
  <c r="BM71" i="1"/>
  <c r="BT71" i="1" s="1"/>
  <c r="BF71" i="1"/>
  <c r="BD71" i="1"/>
  <c r="BC71" i="1"/>
  <c r="BL71" i="1" s="1"/>
  <c r="AX71" i="1"/>
  <c r="AY71" i="1" s="1"/>
  <c r="AW71" i="1"/>
  <c r="AV71" i="1"/>
  <c r="AU71" i="1"/>
  <c r="AS71" i="1"/>
  <c r="AN71" i="1"/>
  <c r="AK71" i="1"/>
  <c r="AJ71" i="1"/>
  <c r="AB71" i="1"/>
  <c r="Y71" i="1"/>
  <c r="AE71" i="1" s="1"/>
  <c r="N71" i="1"/>
  <c r="T72" i="1" s="1"/>
  <c r="K71" i="1"/>
  <c r="J71" i="1"/>
  <c r="I71" i="1"/>
  <c r="BL70" i="1"/>
  <c r="AX70" i="1"/>
  <c r="AW70" i="1"/>
  <c r="AV70" i="1"/>
  <c r="AY70" i="1" s="1"/>
  <c r="AU70" i="1"/>
  <c r="AT70" i="1"/>
  <c r="AS70" i="1"/>
  <c r="N70" i="1"/>
  <c r="T71" i="1" s="1"/>
  <c r="CZ68" i="1"/>
  <c r="CU68" i="1"/>
  <c r="CK68" i="1"/>
  <c r="CB68" i="1"/>
  <c r="CD68" i="1" s="1"/>
  <c r="CA68" i="1"/>
  <c r="BZ68" i="1"/>
  <c r="BY68" i="1"/>
  <c r="BW68" i="1"/>
  <c r="CL68" i="1" s="1"/>
  <c r="BV68" i="1"/>
  <c r="BU68" i="1"/>
  <c r="BT68" i="1"/>
  <c r="BG68" i="1"/>
  <c r="BF68" i="1"/>
  <c r="BL68" i="1" s="1"/>
  <c r="AW68" i="1"/>
  <c r="AV68" i="1"/>
  <c r="AU68" i="1"/>
  <c r="AP68" i="1"/>
  <c r="AS68" i="1" s="1"/>
  <c r="AN68" i="1"/>
  <c r="AK68" i="1"/>
  <c r="AJ68" i="1"/>
  <c r="AB68" i="1"/>
  <c r="AE68" i="1" s="1"/>
  <c r="T68" i="1"/>
  <c r="N68" i="1"/>
  <c r="K68" i="1"/>
  <c r="J68" i="1"/>
  <c r="I68" i="1"/>
  <c r="G68" i="1"/>
  <c r="CU67" i="1"/>
  <c r="CL67" i="1"/>
  <c r="CK67" i="1"/>
  <c r="CD67" i="1"/>
  <c r="BT67" i="1"/>
  <c r="BG67" i="1"/>
  <c r="BL67" i="1" s="1"/>
  <c r="BF67" i="1"/>
  <c r="AW67" i="1"/>
  <c r="AV67" i="1"/>
  <c r="AU67" i="1"/>
  <c r="AP67" i="1"/>
  <c r="AS67" i="1" s="1"/>
  <c r="AN67" i="1"/>
  <c r="AK67" i="1"/>
  <c r="AL67" i="1" s="1"/>
  <c r="AJ67" i="1"/>
  <c r="AT67" i="1" s="1"/>
  <c r="AB67" i="1"/>
  <c r="AE67" i="1" s="1"/>
  <c r="N67" i="1"/>
  <c r="K67" i="1"/>
  <c r="J67" i="1"/>
  <c r="I67" i="1"/>
  <c r="G67" i="1"/>
  <c r="CL66" i="1"/>
  <c r="CK66" i="1"/>
  <c r="CD66" i="1"/>
  <c r="BT66" i="1"/>
  <c r="AX66" i="1"/>
  <c r="AY66" i="1" s="1"/>
  <c r="AW66" i="1"/>
  <c r="AV66" i="1"/>
  <c r="AU66" i="1"/>
  <c r="AT66" i="1"/>
  <c r="AS66" i="1"/>
  <c r="AE66" i="1"/>
  <c r="AB66" i="1"/>
  <c r="K66" i="1"/>
  <c r="J66" i="1"/>
  <c r="I66" i="1"/>
  <c r="CU65" i="1"/>
  <c r="CL65" i="1"/>
  <c r="CK65" i="1"/>
  <c r="CD65" i="1"/>
  <c r="BT65" i="1"/>
  <c r="BG65" i="1"/>
  <c r="BL65" i="1" s="1"/>
  <c r="BF65" i="1"/>
  <c r="AW65" i="1"/>
  <c r="AV65" i="1"/>
  <c r="AU65" i="1"/>
  <c r="AP65" i="1"/>
  <c r="AS65" i="1" s="1"/>
  <c r="AN65" i="1"/>
  <c r="AK65" i="1"/>
  <c r="AL65" i="1" s="1"/>
  <c r="AJ65" i="1"/>
  <c r="AT65" i="1" s="1"/>
  <c r="AB65" i="1"/>
  <c r="AE65" i="1" s="1"/>
  <c r="N65" i="1"/>
  <c r="K65" i="1"/>
  <c r="J65" i="1"/>
  <c r="I65" i="1"/>
  <c r="G65" i="1"/>
  <c r="CZ64" i="1"/>
  <c r="CL64" i="1"/>
  <c r="CK64" i="1"/>
  <c r="CD64" i="1"/>
  <c r="BT64" i="1"/>
  <c r="BL64" i="1"/>
  <c r="BG64" i="1"/>
  <c r="BF64" i="1"/>
  <c r="BB64" i="1"/>
  <c r="AW64" i="1"/>
  <c r="AV64" i="1"/>
  <c r="AU64" i="1"/>
  <c r="AP64" i="1"/>
  <c r="AS64" i="1" s="1"/>
  <c r="AN64" i="1"/>
  <c r="AK64" i="1"/>
  <c r="AJ64" i="1"/>
  <c r="AB64" i="1"/>
  <c r="AE64" i="1" s="1"/>
  <c r="T64" i="1"/>
  <c r="N64" i="1"/>
  <c r="T65" i="1" s="1"/>
  <c r="T66" i="1" s="1"/>
  <c r="T67" i="1" s="1"/>
  <c r="K64" i="1"/>
  <c r="J64" i="1"/>
  <c r="I64" i="1"/>
  <c r="G64" i="1"/>
  <c r="CL63" i="1"/>
  <c r="CK63" i="1"/>
  <c r="CD63" i="1"/>
  <c r="BT63" i="1"/>
  <c r="BG63" i="1"/>
  <c r="BF63" i="1"/>
  <c r="AX63" i="1"/>
  <c r="AY63" i="1" s="1"/>
  <c r="AW63" i="1"/>
  <c r="AV63" i="1"/>
  <c r="AU63" i="1"/>
  <c r="AP63" i="1"/>
  <c r="AS63" i="1" s="1"/>
  <c r="AN63" i="1"/>
  <c r="AK63" i="1"/>
  <c r="AL63" i="1" s="1"/>
  <c r="AJ63" i="1"/>
  <c r="AB63" i="1"/>
  <c r="AE63" i="1" s="1"/>
  <c r="N63" i="1"/>
  <c r="J63" i="1"/>
  <c r="I63" i="1"/>
  <c r="G63" i="1"/>
  <c r="K63" i="1" s="1"/>
  <c r="CL62" i="1"/>
  <c r="CK62" i="1"/>
  <c r="CD62" i="1"/>
  <c r="AX62" i="1"/>
  <c r="AW62" i="1"/>
  <c r="AV62" i="1"/>
  <c r="N62" i="1"/>
  <c r="T63" i="1" s="1"/>
  <c r="AL71" i="1" l="1"/>
  <c r="AT71" i="1"/>
  <c r="AT91" i="1"/>
  <c r="CB99" i="1"/>
  <c r="CD99" i="1" s="1"/>
  <c r="CD98" i="1"/>
  <c r="AY62" i="1"/>
  <c r="AT63" i="1"/>
  <c r="AL68" i="1"/>
  <c r="AT68" i="1" s="1"/>
  <c r="BB79" i="1"/>
  <c r="BL79" i="1"/>
  <c r="CD81" i="1"/>
  <c r="BL63" i="1"/>
  <c r="BB63" i="1"/>
  <c r="AL76" i="1"/>
  <c r="AT76" i="1" s="1"/>
  <c r="AT95" i="1"/>
  <c r="AL64" i="1"/>
  <c r="AT64" i="1" s="1"/>
  <c r="AX65" i="1"/>
  <c r="AY65" i="1" s="1"/>
  <c r="AX67" i="1"/>
  <c r="AY67" i="1" s="1"/>
  <c r="AL73" i="1"/>
  <c r="CD82" i="1"/>
  <c r="AY83" i="1"/>
  <c r="AT72" i="1"/>
  <c r="BB72" i="1"/>
  <c r="AT75" i="1"/>
  <c r="AT88" i="1"/>
  <c r="BB88" i="1"/>
  <c r="T89" i="1"/>
  <c r="T90" i="1" s="1"/>
  <c r="T91" i="1" s="1"/>
  <c r="AL89" i="1"/>
  <c r="AT89" i="1" s="1"/>
  <c r="AL92" i="1"/>
  <c r="AT92" i="1" s="1"/>
  <c r="AT73" i="1"/>
  <c r="BB80" i="1"/>
  <c r="AL91" i="1"/>
  <c r="AL95" i="1"/>
  <c r="BL95" i="1"/>
  <c r="AL99" i="1"/>
  <c r="AT99" i="1" s="1"/>
  <c r="CU99" i="1"/>
  <c r="AT100" i="1"/>
  <c r="AX64" i="1"/>
  <c r="AY64" i="1" s="1"/>
  <c r="AX68" i="1"/>
  <c r="AY68" i="1" s="1"/>
  <c r="T73" i="1"/>
  <c r="T74" i="1" s="1"/>
  <c r="T75" i="1" s="1"/>
  <c r="FC88" i="1" l="1"/>
  <c r="ET88" i="1"/>
  <c r="FC92" i="1"/>
  <c r="ET92" i="1"/>
  <c r="FC68" i="1"/>
  <c r="FC64" i="1"/>
  <c r="ET64" i="1"/>
  <c r="FC56" i="1"/>
  <c r="ET56" i="1"/>
  <c r="FC60" i="1"/>
  <c r="ET60" i="1"/>
  <c r="CU60" i="1"/>
  <c r="CL60" i="1"/>
  <c r="CK60" i="1"/>
  <c r="CI60" i="1"/>
  <c r="CH60" i="1"/>
  <c r="CG60" i="1"/>
  <c r="CF60" i="1"/>
  <c r="CD60" i="1"/>
  <c r="CA60" i="1"/>
  <c r="BY60" i="1"/>
  <c r="BZ60" i="1"/>
  <c r="BW60" i="1"/>
  <c r="BV60" i="1"/>
  <c r="BU60" i="1"/>
  <c r="CZ60" i="1"/>
  <c r="FC52" i="1"/>
  <c r="FC48" i="1"/>
  <c r="ET48" i="1"/>
  <c r="ET40" i="1"/>
  <c r="FC44" i="1"/>
  <c r="FC40" i="1"/>
  <c r="CZ44" i="1"/>
  <c r="ET32" i="1"/>
  <c r="FC32" i="1"/>
  <c r="FC36" i="1"/>
  <c r="ET36" i="1"/>
  <c r="CU36" i="1"/>
  <c r="ET16" i="1"/>
  <c r="FC16" i="1"/>
  <c r="FC20" i="1"/>
  <c r="ET20" i="1"/>
  <c r="ET8" i="1"/>
  <c r="ET12" i="1"/>
  <c r="ET68" i="1" l="1"/>
  <c r="ET52" i="1"/>
  <c r="EU52" i="1"/>
  <c r="CZ52" i="1"/>
  <c r="CU52" i="1"/>
  <c r="CB52" i="1" l="1"/>
  <c r="CD52" i="1"/>
  <c r="CA52" i="1"/>
  <c r="BZ52" i="1"/>
  <c r="BY52" i="1"/>
  <c r="BW52" i="1"/>
  <c r="BV52" i="1"/>
  <c r="BU52" i="1"/>
  <c r="ET44" i="1"/>
  <c r="EU44" i="1"/>
  <c r="CA44" i="1"/>
  <c r="CD44" i="1" s="1"/>
  <c r="BY44" i="1"/>
  <c r="BZ44" i="1"/>
  <c r="BX44" i="1"/>
  <c r="BW44" i="1"/>
  <c r="BV44" i="1"/>
  <c r="BU44" i="1"/>
  <c r="CB44" i="1"/>
  <c r="CK44" i="1"/>
  <c r="CI44" i="1"/>
  <c r="CH44" i="1"/>
  <c r="CG44" i="1"/>
  <c r="CF44" i="1"/>
  <c r="CZ36" i="1"/>
  <c r="CL36" i="1"/>
  <c r="CK36" i="1"/>
  <c r="CI36" i="1"/>
  <c r="CH36" i="1"/>
  <c r="CG36" i="1"/>
  <c r="CF36" i="1"/>
  <c r="CD36" i="1"/>
  <c r="CZ20" i="1"/>
  <c r="CH20" i="1"/>
  <c r="CL20" i="1"/>
  <c r="CK20" i="1"/>
  <c r="CJ20" i="1"/>
  <c r="CG20" i="1"/>
  <c r="CF20" i="1"/>
  <c r="CE20" i="1"/>
  <c r="CD20" i="1"/>
  <c r="CB20" i="1"/>
  <c r="CA20" i="1"/>
  <c r="BZ20" i="1"/>
  <c r="BY20" i="1"/>
  <c r="BX20" i="1"/>
  <c r="BW20" i="1"/>
  <c r="BV20" i="1"/>
  <c r="BU20" i="1"/>
  <c r="CZ12" i="1"/>
  <c r="CJ12" i="1"/>
  <c r="CK12" i="1" s="1"/>
  <c r="CA12" i="1" l="1"/>
  <c r="BY12" i="1"/>
  <c r="BZ12" i="1"/>
  <c r="BX12" i="1"/>
  <c r="BW12" i="1"/>
  <c r="BV12" i="1"/>
  <c r="BU12" i="1"/>
  <c r="A28" i="1" l="1"/>
  <c r="C100" i="1"/>
  <c r="A92" i="1"/>
  <c r="C92" i="1"/>
  <c r="A84" i="1"/>
  <c r="A76" i="1"/>
  <c r="A68" i="1"/>
  <c r="BT60" i="1"/>
  <c r="BT59" i="1"/>
  <c r="BT58" i="1"/>
  <c r="BN60" i="1"/>
  <c r="BL60" i="1"/>
  <c r="BF60" i="1"/>
  <c r="AT60" i="1"/>
  <c r="AS60" i="1"/>
  <c r="AX60" i="1"/>
  <c r="AU60" i="1"/>
  <c r="AN60" i="1"/>
  <c r="AL60" i="1"/>
  <c r="AK60" i="1"/>
  <c r="AJ60" i="1"/>
  <c r="AW60" i="1"/>
  <c r="AV60" i="1"/>
  <c r="AE60" i="1"/>
  <c r="N60" i="1"/>
  <c r="M60" i="1"/>
  <c r="K60" i="1"/>
  <c r="G60" i="1"/>
  <c r="J60" i="1"/>
  <c r="I60" i="1"/>
  <c r="A60" i="1"/>
  <c r="AE52" i="1"/>
  <c r="Y52" i="1"/>
  <c r="BQ52" i="1"/>
  <c r="BT52" i="1" s="1"/>
  <c r="BD52" i="1"/>
  <c r="BL52" i="1"/>
  <c r="BD48" i="1"/>
  <c r="BF48" i="1"/>
  <c r="BH52" i="1"/>
  <c r="BF52" i="1"/>
  <c r="AX52" i="1"/>
  <c r="AU52" i="1"/>
  <c r="AT52" i="1"/>
  <c r="AS52" i="1"/>
  <c r="AP52" i="1"/>
  <c r="AN52" i="1"/>
  <c r="AL52" i="1" s="1"/>
  <c r="AJ52" i="1"/>
  <c r="AW52" i="1"/>
  <c r="AV52" i="1"/>
  <c r="N52" i="1"/>
  <c r="N51" i="1"/>
  <c r="K52" i="1"/>
  <c r="J52" i="1"/>
  <c r="I52" i="1"/>
  <c r="A52" i="1"/>
  <c r="AE44" i="1"/>
  <c r="Y44" i="1"/>
  <c r="BT44" i="1"/>
  <c r="BC40" i="1"/>
  <c r="BL44" i="1"/>
  <c r="BF44" i="1"/>
  <c r="AT44" i="1"/>
  <c r="AS44" i="1"/>
  <c r="AS43" i="1"/>
  <c r="AS42" i="1"/>
  <c r="AX44" i="1"/>
  <c r="AY44" i="1"/>
  <c r="AU44" i="1"/>
  <c r="AN44" i="1"/>
  <c r="AL44" i="1" s="1"/>
  <c r="AK44" i="1"/>
  <c r="AJ44" i="1"/>
  <c r="AW44" i="1"/>
  <c r="AV44" i="1"/>
  <c r="N39" i="1"/>
  <c r="T40" i="1" s="1"/>
  <c r="N44" i="1"/>
  <c r="K44" i="1"/>
  <c r="J44" i="1"/>
  <c r="I44" i="1"/>
  <c r="A44" i="1"/>
  <c r="BT36" i="1"/>
  <c r="BL36" i="1"/>
  <c r="BF36" i="1"/>
  <c r="BT20" i="1"/>
  <c r="BL20" i="1"/>
  <c r="BF20" i="1"/>
  <c r="BB16" i="1"/>
  <c r="BT12" i="1"/>
  <c r="BL12" i="1"/>
  <c r="BF12" i="1"/>
  <c r="AY52" i="1" l="1"/>
  <c r="AY60" i="1"/>
  <c r="AU36" i="1"/>
  <c r="AT36" i="1"/>
  <c r="AX36" i="1"/>
  <c r="AY36" i="1"/>
  <c r="AN36" i="1"/>
  <c r="AL36" i="1" s="1"/>
  <c r="AK32" i="1"/>
  <c r="AK36" i="1"/>
  <c r="AW36" i="1"/>
  <c r="AV36" i="1"/>
  <c r="AE36" i="1"/>
  <c r="T36" i="1"/>
  <c r="N36" i="1"/>
  <c r="K36" i="1"/>
  <c r="J36" i="1"/>
  <c r="I36" i="1"/>
  <c r="AS20" i="1"/>
  <c r="AL20" i="1"/>
  <c r="AT20" i="1" s="1"/>
  <c r="AN20" i="1"/>
  <c r="AX20" i="1"/>
  <c r="AU20" i="1"/>
  <c r="AK20" i="1"/>
  <c r="AJ20" i="1"/>
  <c r="AW20" i="1"/>
  <c r="AV20" i="1"/>
  <c r="AT12" i="1"/>
  <c r="AS12" i="1"/>
  <c r="AX12" i="1"/>
  <c r="AU12" i="1"/>
  <c r="AL12" i="1"/>
  <c r="AN12" i="1"/>
  <c r="AL11" i="1"/>
  <c r="AK12" i="1"/>
  <c r="AJ12" i="1"/>
  <c r="AW12" i="1"/>
  <c r="AV12" i="1"/>
  <c r="AY20" i="1" l="1"/>
  <c r="AY12" i="1"/>
  <c r="AE20" i="1"/>
  <c r="X20" i="1"/>
  <c r="X12" i="1"/>
  <c r="AE12" i="1" s="1"/>
  <c r="N20" i="1"/>
  <c r="K20" i="1"/>
  <c r="J20" i="1"/>
  <c r="I20" i="1"/>
  <c r="A20" i="1"/>
  <c r="N12" i="1"/>
  <c r="N11" i="1"/>
  <c r="J12" i="1"/>
  <c r="I12" i="1"/>
  <c r="K12" i="1"/>
  <c r="A12" i="1"/>
  <c r="DG99" i="1" l="1"/>
  <c r="DC91" i="1" l="1"/>
  <c r="DM83" i="1" l="1"/>
  <c r="DL83" i="1"/>
  <c r="DJ83" i="1"/>
  <c r="DI83" i="1"/>
  <c r="DH83" i="1" l="1"/>
  <c r="DK83" i="1"/>
  <c r="DG83" i="1" l="1"/>
  <c r="DM75" i="1"/>
  <c r="DJ75" i="1"/>
  <c r="DG75" i="1"/>
  <c r="DK67" i="1" l="1"/>
  <c r="DH67" i="1"/>
  <c r="DC67" i="1"/>
  <c r="DD67" i="1"/>
  <c r="DE67" i="1" l="1"/>
  <c r="DG67" i="1"/>
  <c r="DL51" i="1"/>
  <c r="DG51" i="1"/>
  <c r="DJ50" i="1"/>
  <c r="DJ51" i="1"/>
  <c r="DI51" i="1"/>
  <c r="DC51" i="1"/>
  <c r="DH51" i="1" l="1"/>
  <c r="DK51" i="1" s="1"/>
  <c r="DM51" i="1" s="1"/>
  <c r="DL35" i="1"/>
  <c r="DK35" i="1"/>
  <c r="DK34" i="1"/>
  <c r="DJ35" i="1"/>
  <c r="DI35" i="1"/>
  <c r="DC35" i="1"/>
  <c r="DM19" i="1"/>
  <c r="DL19" i="1"/>
  <c r="DL18" i="1"/>
  <c r="DJ19" i="1"/>
  <c r="DI19" i="1"/>
  <c r="DK19" i="1" l="1"/>
  <c r="DM35" i="1"/>
  <c r="DH35" i="1"/>
  <c r="DG35" i="1" s="1"/>
  <c r="DH19" i="1"/>
  <c r="DG19" i="1" s="1"/>
  <c r="CL59" i="1" l="1"/>
  <c r="CI59" i="1"/>
  <c r="CH59" i="1"/>
  <c r="CG59" i="1"/>
  <c r="CF59" i="1"/>
  <c r="CI51" i="1"/>
  <c r="CH51" i="1"/>
  <c r="CG51" i="1"/>
  <c r="CF51" i="1"/>
  <c r="CB51" i="1"/>
  <c r="CA51" i="1"/>
  <c r="BZ51" i="1"/>
  <c r="BY51" i="1"/>
  <c r="BW51" i="1"/>
  <c r="CL51" i="1" s="1"/>
  <c r="CD59" i="1"/>
  <c r="CI43" i="1"/>
  <c r="CH43" i="1"/>
  <c r="CG43" i="1"/>
  <c r="CF43" i="1"/>
  <c r="CD43" i="1"/>
  <c r="CL35" i="1"/>
  <c r="CI35" i="1"/>
  <c r="CH35" i="1"/>
  <c r="CG35" i="1"/>
  <c r="CF35" i="1"/>
  <c r="CD35" i="1"/>
  <c r="CK35" i="1" l="1"/>
  <c r="CK43" i="1"/>
  <c r="CK59" i="1"/>
  <c r="CK51" i="1"/>
  <c r="CD51" i="1"/>
  <c r="CG27" i="1"/>
  <c r="CL27" i="1"/>
  <c r="CF27" i="1"/>
  <c r="CD27" i="1"/>
  <c r="EN19" i="1"/>
  <c r="EO19" i="1" s="1"/>
  <c r="CE19" i="1"/>
  <c r="CJ19" i="1"/>
  <c r="CL19" i="1" s="1"/>
  <c r="CH19" i="1"/>
  <c r="CG19" i="1"/>
  <c r="CF19" i="1"/>
  <c r="N19" i="1"/>
  <c r="BZ11" i="1"/>
  <c r="CA11" i="1"/>
  <c r="BY11" i="1"/>
  <c r="BV11" i="1"/>
  <c r="BU11" i="1"/>
  <c r="BX11" i="1"/>
  <c r="EN11" i="1"/>
  <c r="CK11" i="1"/>
  <c r="BD35" i="1"/>
  <c r="EO11" i="1" l="1"/>
  <c r="CK27" i="1"/>
  <c r="CK19" i="1"/>
  <c r="BT51" i="1" l="1"/>
  <c r="BT35" i="1"/>
  <c r="BF59" i="1"/>
  <c r="BL59" i="1" s="1"/>
  <c r="BQ51" i="1"/>
  <c r="BH51" i="1"/>
  <c r="BF51" i="1"/>
  <c r="BD51" i="1"/>
  <c r="BT43" i="1"/>
  <c r="BF43" i="1"/>
  <c r="BL43" i="1" s="1"/>
  <c r="BL51" i="1" l="1"/>
  <c r="BF35" i="1" l="1"/>
  <c r="BL35" i="1" s="1"/>
  <c r="BT27" i="1"/>
  <c r="BF27" i="1"/>
  <c r="BL27" i="1" s="1"/>
  <c r="BT19" i="1"/>
  <c r="BF19" i="1"/>
  <c r="BL19" i="1" s="1"/>
  <c r="BT11" i="1"/>
  <c r="BF11" i="1"/>
  <c r="BL11" i="1" s="1"/>
  <c r="AU59" i="1"/>
  <c r="AS59" i="1"/>
  <c r="AN59" i="1"/>
  <c r="AK59" i="1"/>
  <c r="AJ59" i="1"/>
  <c r="AP51" i="1"/>
  <c r="AU51" i="1"/>
  <c r="AN51" i="1"/>
  <c r="AJ51" i="1"/>
  <c r="AX43" i="1"/>
  <c r="AU43" i="1"/>
  <c r="AN43" i="1"/>
  <c r="AK43" i="1"/>
  <c r="AJ43" i="1"/>
  <c r="AW43" i="1"/>
  <c r="AV43" i="1"/>
  <c r="AY43" i="1" s="1"/>
  <c r="AT34" i="1"/>
  <c r="AX35" i="1"/>
  <c r="AU35" i="1"/>
  <c r="AL51" i="1" l="1"/>
  <c r="AL59" i="1"/>
  <c r="AT59" i="1" s="1"/>
  <c r="AT51" i="1"/>
  <c r="AL43" i="1"/>
  <c r="AT43" i="1"/>
  <c r="AN35" i="1"/>
  <c r="AK35" i="1"/>
  <c r="AW35" i="1"/>
  <c r="AU33" i="1"/>
  <c r="AS33" i="1"/>
  <c r="AV35" i="1"/>
  <c r="AS27" i="1"/>
  <c r="AX27" i="1"/>
  <c r="AU27" i="1"/>
  <c r="AN27" i="1"/>
  <c r="AK27" i="1"/>
  <c r="AW27" i="1"/>
  <c r="AV27" i="1"/>
  <c r="AX19" i="1"/>
  <c r="AW19" i="1"/>
  <c r="AV19" i="1"/>
  <c r="AU19" i="1"/>
  <c r="AS19" i="1"/>
  <c r="AN19" i="1"/>
  <c r="AK19" i="1"/>
  <c r="AJ19" i="1"/>
  <c r="AS11" i="1"/>
  <c r="AX11" i="1"/>
  <c r="AU11" i="1"/>
  <c r="AN11" i="1"/>
  <c r="AK11" i="1"/>
  <c r="AY35" i="1" l="1"/>
  <c r="AY19" i="1"/>
  <c r="AL27" i="1"/>
  <c r="AT27" i="1" s="1"/>
  <c r="AL19" i="1"/>
  <c r="AT19" i="1" s="1"/>
  <c r="AL35" i="1"/>
  <c r="AT35" i="1" s="1"/>
  <c r="AY27" i="1"/>
  <c r="AJ11" i="1"/>
  <c r="AW11" i="1"/>
  <c r="AT11" i="1" l="1"/>
  <c r="AV11" i="1"/>
  <c r="AY11" i="1" s="1"/>
  <c r="AE59" i="1"/>
  <c r="G59" i="1"/>
  <c r="K59" i="1" s="1"/>
  <c r="J59" i="1"/>
  <c r="I59" i="1"/>
  <c r="Y51" i="1"/>
  <c r="AE51" i="1" s="1"/>
  <c r="N59" i="1"/>
  <c r="N57" i="1"/>
  <c r="K51" i="1"/>
  <c r="J51" i="1"/>
  <c r="I51" i="1"/>
  <c r="AE43" i="1"/>
  <c r="N43" i="1"/>
  <c r="K43" i="1"/>
  <c r="J43" i="1"/>
  <c r="I43" i="1"/>
  <c r="AE35" i="1"/>
  <c r="N35" i="1"/>
  <c r="K35" i="1"/>
  <c r="J35" i="1"/>
  <c r="I35" i="1"/>
  <c r="Y27" i="1"/>
  <c r="AE27" i="1" s="1"/>
  <c r="N27" i="1"/>
  <c r="K26" i="1" l="1"/>
  <c r="G27" i="1"/>
  <c r="K27" i="1" s="1"/>
  <c r="J27" i="1"/>
  <c r="I27" i="1"/>
  <c r="AE19" i="1"/>
  <c r="K19" i="1"/>
  <c r="J19" i="1"/>
  <c r="I19" i="1"/>
  <c r="AE11" i="1"/>
  <c r="P2" i="3"/>
  <c r="O2" i="3"/>
  <c r="N2" i="3"/>
  <c r="N10" i="1"/>
  <c r="K11" i="1"/>
  <c r="J11" i="1"/>
  <c r="I11" i="1"/>
  <c r="A11" i="1"/>
  <c r="BT42" i="1" l="1"/>
  <c r="DG98" i="1" l="1"/>
  <c r="DC90" i="1" l="1"/>
  <c r="DM82" i="1" l="1"/>
  <c r="DL82" i="1"/>
  <c r="DJ82" i="1"/>
  <c r="DI82" i="1"/>
  <c r="DK82" i="1" l="1"/>
  <c r="DH82" i="1"/>
  <c r="DG82" i="1" l="1"/>
  <c r="DE66" i="1"/>
  <c r="DG66" i="1"/>
  <c r="DM50" i="1" l="1"/>
  <c r="DL50" i="1"/>
  <c r="DI50" i="1"/>
  <c r="DH50" i="1" s="1"/>
  <c r="DC50" i="1"/>
  <c r="DK50" i="1" l="1"/>
  <c r="DG50" i="1" s="1"/>
  <c r="DJ18" i="1" l="1"/>
  <c r="DI18" i="1"/>
  <c r="DJ34" i="1" l="1"/>
  <c r="DL34" i="1"/>
  <c r="DI34" i="1"/>
  <c r="DE33" i="1"/>
  <c r="DE34" i="1"/>
  <c r="DC34" i="1" s="1"/>
  <c r="DM18" i="1"/>
  <c r="DH34" i="1" l="1"/>
  <c r="DK18" i="1"/>
  <c r="DH18" i="1"/>
  <c r="DG18" i="1" l="1"/>
  <c r="C66" i="1"/>
  <c r="CL58" i="1" l="1"/>
  <c r="CI58" i="1"/>
  <c r="CH58" i="1"/>
  <c r="CG58" i="1"/>
  <c r="CF58" i="1"/>
  <c r="CD58" i="1"/>
  <c r="AE58" i="1"/>
  <c r="CJ50" i="1"/>
  <c r="CI50" i="1"/>
  <c r="CH50" i="1"/>
  <c r="CG50" i="1"/>
  <c r="CF50" i="1"/>
  <c r="CE50" i="1"/>
  <c r="BW50" i="1"/>
  <c r="CL50" i="1" s="1"/>
  <c r="BV50" i="1"/>
  <c r="BU50" i="1"/>
  <c r="CA50" i="1"/>
  <c r="BY50" i="1"/>
  <c r="BZ50" i="1"/>
  <c r="CB50" i="1"/>
  <c r="BX50" i="1"/>
  <c r="Y50" i="1"/>
  <c r="AE50" i="1" s="1"/>
  <c r="CI42" i="1"/>
  <c r="CH42" i="1"/>
  <c r="CG42" i="1"/>
  <c r="CF42" i="1"/>
  <c r="CD42" i="1"/>
  <c r="Y42" i="1"/>
  <c r="Z42" i="1"/>
  <c r="CL34" i="1"/>
  <c r="CI34" i="1"/>
  <c r="CH34" i="1"/>
  <c r="CG34" i="1"/>
  <c r="CF34" i="1"/>
  <c r="CD34" i="1"/>
  <c r="AE34" i="1"/>
  <c r="AX59" i="1"/>
  <c r="AW59" i="1"/>
  <c r="AV59" i="1"/>
  <c r="AX58" i="1"/>
  <c r="AW58" i="1"/>
  <c r="AV58" i="1"/>
  <c r="AX57" i="1"/>
  <c r="AW57" i="1"/>
  <c r="AV57" i="1"/>
  <c r="AX56" i="1"/>
  <c r="AW56" i="1"/>
  <c r="AV56" i="1"/>
  <c r="AX55" i="1"/>
  <c r="AW55" i="1"/>
  <c r="AV55" i="1"/>
  <c r="AX54" i="1"/>
  <c r="AW54" i="1"/>
  <c r="AV54" i="1"/>
  <c r="AX53" i="1"/>
  <c r="AW53" i="1"/>
  <c r="AV53" i="1"/>
  <c r="AX51" i="1"/>
  <c r="AW51" i="1"/>
  <c r="AV51" i="1"/>
  <c r="AX50" i="1"/>
  <c r="AW50" i="1"/>
  <c r="AV50" i="1"/>
  <c r="AX42" i="1"/>
  <c r="AW42" i="1"/>
  <c r="AV42" i="1"/>
  <c r="AT50" i="1"/>
  <c r="AU50" i="1"/>
  <c r="AT42" i="1"/>
  <c r="AU42" i="1"/>
  <c r="AX34" i="1"/>
  <c r="AW34" i="1"/>
  <c r="AV34" i="1"/>
  <c r="AU34" i="1"/>
  <c r="K58" i="1"/>
  <c r="J58" i="1"/>
  <c r="I58" i="1"/>
  <c r="K50" i="1"/>
  <c r="J50" i="1"/>
  <c r="I50" i="1"/>
  <c r="I42" i="1"/>
  <c r="J42" i="1"/>
  <c r="K42" i="1"/>
  <c r="K34" i="1"/>
  <c r="J34" i="1"/>
  <c r="I34" i="1"/>
  <c r="A34" i="1"/>
  <c r="Y26" i="1"/>
  <c r="AY53" i="1" l="1"/>
  <c r="AY54" i="1"/>
  <c r="AY56" i="1"/>
  <c r="AY34" i="1"/>
  <c r="AY55" i="1"/>
  <c r="AY57" i="1"/>
  <c r="CK34" i="1"/>
  <c r="AE42" i="1"/>
  <c r="CK58" i="1"/>
  <c r="AY50" i="1"/>
  <c r="AY58" i="1"/>
  <c r="CD50" i="1"/>
  <c r="AY59" i="1"/>
  <c r="AY51" i="1"/>
  <c r="AY42" i="1"/>
  <c r="CK50" i="1"/>
  <c r="AX26" i="1"/>
  <c r="AW26" i="1"/>
  <c r="AV26" i="1"/>
  <c r="AU26" i="1"/>
  <c r="AS26" i="1"/>
  <c r="AL26" i="1"/>
  <c r="AT26" i="1" s="1"/>
  <c r="BT26" i="1"/>
  <c r="BL26" i="1"/>
  <c r="AE26" i="1"/>
  <c r="J26" i="1"/>
  <c r="I26" i="1"/>
  <c r="N5" i="11"/>
  <c r="CL26" i="1"/>
  <c r="CG26" i="1"/>
  <c r="CF26" i="1"/>
  <c r="CK26" i="1" s="1"/>
  <c r="CD26" i="1"/>
  <c r="A26" i="1"/>
  <c r="BY18" i="1"/>
  <c r="BZ18" i="1"/>
  <c r="CK18" i="1"/>
  <c r="CK17" i="1"/>
  <c r="AY26" i="1" l="1"/>
  <c r="CA18" i="1"/>
  <c r="BX18" i="1"/>
  <c r="BW18" i="1"/>
  <c r="CL18" i="1" s="1"/>
  <c r="BV18" i="1"/>
  <c r="BU18" i="1"/>
  <c r="BT18" i="1"/>
  <c r="BF18" i="1"/>
  <c r="BL18" i="1" s="1"/>
  <c r="AX18" i="1"/>
  <c r="AW18" i="1"/>
  <c r="AV18" i="1"/>
  <c r="AU18" i="1"/>
  <c r="AS18" i="1"/>
  <c r="AN18" i="1"/>
  <c r="AK18" i="1"/>
  <c r="AJ18" i="1"/>
  <c r="AL18" i="1" s="1"/>
  <c r="AT18" i="1" s="1"/>
  <c r="AE18" i="1"/>
  <c r="N18" i="1"/>
  <c r="I18" i="1"/>
  <c r="J18" i="1"/>
  <c r="K18" i="1"/>
  <c r="A18" i="1"/>
  <c r="CK10" i="1"/>
  <c r="AV31" i="1"/>
  <c r="AU31" i="1"/>
  <c r="J31" i="1"/>
  <c r="AY18" i="1" l="1"/>
  <c r="BM10" i="1"/>
  <c r="BT10" i="1" s="1"/>
  <c r="AS10" i="1"/>
  <c r="AX10" i="1"/>
  <c r="AU10" i="1"/>
  <c r="AN10" i="1"/>
  <c r="AK10" i="1"/>
  <c r="AJ10" i="1"/>
  <c r="AW10" i="1"/>
  <c r="AV10" i="1"/>
  <c r="BD10" i="1"/>
  <c r="BL10" i="1" s="1"/>
  <c r="AE10" i="1"/>
  <c r="K10" i="1"/>
  <c r="J10" i="1"/>
  <c r="I10" i="1"/>
  <c r="AL10" i="1" l="1"/>
  <c r="AT10" i="1" s="1"/>
  <c r="AY10" i="1"/>
  <c r="A10" i="1"/>
  <c r="DG97" i="1" l="1"/>
  <c r="DH81" i="1" s="1"/>
  <c r="DK81" i="1" l="1"/>
  <c r="DG81" i="1" s="1"/>
  <c r="DM73" i="1"/>
  <c r="DG73" i="1" s="1"/>
  <c r="DJ73" i="1"/>
  <c r="DK65" i="1"/>
  <c r="DH65" i="1"/>
  <c r="DG65" i="1" s="1"/>
  <c r="DJ33" i="1" l="1"/>
  <c r="DK49" i="1" s="1"/>
  <c r="DC49" i="1"/>
  <c r="DH49" i="1" l="1"/>
  <c r="DG49" i="1" s="1"/>
  <c r="DM33" i="1" l="1"/>
  <c r="DG33" i="1"/>
  <c r="DC33" i="1"/>
  <c r="DK17" i="1"/>
  <c r="DH17" i="1" s="1"/>
  <c r="DG17" i="1" l="1"/>
  <c r="DK9" i="1" l="1"/>
  <c r="DH9" i="1"/>
  <c r="DG9" i="1" l="1"/>
  <c r="W57" i="1"/>
  <c r="CL57" i="1" l="1"/>
  <c r="CI57" i="1"/>
  <c r="CH57" i="1"/>
  <c r="CG57" i="1"/>
  <c r="CF57" i="1"/>
  <c r="BT57" i="1"/>
  <c r="BF57" i="1"/>
  <c r="BL57" i="1" s="1"/>
  <c r="AJ57" i="1"/>
  <c r="AU57" i="1"/>
  <c r="AS57" i="1"/>
  <c r="AN57" i="1"/>
  <c r="AK57" i="1"/>
  <c r="J57" i="1"/>
  <c r="I57" i="1"/>
  <c r="G57" i="1"/>
  <c r="K57" i="1" s="1"/>
  <c r="BT49" i="1"/>
  <c r="BF49" i="1"/>
  <c r="BD49" i="1"/>
  <c r="AW49" i="1"/>
  <c r="AV49" i="1"/>
  <c r="AU49" i="1"/>
  <c r="AU48" i="1"/>
  <c r="AP49" i="1"/>
  <c r="AS49" i="1" s="1"/>
  <c r="AN49" i="1"/>
  <c r="AJ49" i="1"/>
  <c r="K49" i="1"/>
  <c r="J49" i="1"/>
  <c r="I49" i="1"/>
  <c r="CI41" i="1"/>
  <c r="CH41" i="1"/>
  <c r="CG41" i="1"/>
  <c r="CF41" i="1"/>
  <c r="BT41" i="1"/>
  <c r="BF41" i="1"/>
  <c r="BL41" i="1" s="1"/>
  <c r="AX41" i="1"/>
  <c r="AW41" i="1"/>
  <c r="AV41" i="1"/>
  <c r="AU41" i="1"/>
  <c r="AS41" i="1"/>
  <c r="AN41" i="1"/>
  <c r="AK41" i="1"/>
  <c r="AJ41" i="1"/>
  <c r="J41" i="1"/>
  <c r="I41" i="1"/>
  <c r="G41" i="1"/>
  <c r="K41" i="1" s="1"/>
  <c r="CL33" i="1"/>
  <c r="CI33" i="1"/>
  <c r="CH33" i="1"/>
  <c r="CG33" i="1"/>
  <c r="CF33" i="1"/>
  <c r="BT33" i="1"/>
  <c r="BD33" i="1"/>
  <c r="BF33" i="1"/>
  <c r="AX33" i="1"/>
  <c r="AW33" i="1"/>
  <c r="AV33" i="1"/>
  <c r="AY33" i="1" s="1"/>
  <c r="AN33" i="1"/>
  <c r="AK33" i="1"/>
  <c r="K33" i="1"/>
  <c r="J33" i="1"/>
  <c r="I33" i="1"/>
  <c r="CL25" i="1"/>
  <c r="CG25" i="1"/>
  <c r="CK25" i="1" s="1"/>
  <c r="CF25" i="1"/>
  <c r="BT25" i="1"/>
  <c r="BF25" i="1"/>
  <c r="BL25" i="1" s="1"/>
  <c r="AX25" i="1"/>
  <c r="AW25" i="1"/>
  <c r="AV25" i="1"/>
  <c r="AN25" i="1"/>
  <c r="AK25" i="1"/>
  <c r="J25" i="1"/>
  <c r="I25" i="1"/>
  <c r="G25" i="1"/>
  <c r="K25" i="1" s="1"/>
  <c r="CK33" i="1" l="1"/>
  <c r="AL41" i="1"/>
  <c r="BL49" i="1"/>
  <c r="CK57" i="1"/>
  <c r="AL49" i="1"/>
  <c r="AT49" i="1" s="1"/>
  <c r="AL57" i="1"/>
  <c r="AT57" i="1" s="1"/>
  <c r="AX49" i="1"/>
  <c r="AY49" i="1" s="1"/>
  <c r="BL33" i="1"/>
  <c r="AY41" i="1"/>
  <c r="AT41" i="1"/>
  <c r="AL33" i="1"/>
  <c r="AT33" i="1" s="1"/>
  <c r="AL25" i="1"/>
  <c r="AY25" i="1"/>
  <c r="BT17" i="1" l="1"/>
  <c r="BF17" i="1"/>
  <c r="BL17" i="1" s="1"/>
  <c r="AX17" i="1"/>
  <c r="AW17" i="1"/>
  <c r="AV17" i="1"/>
  <c r="AU17" i="1"/>
  <c r="AS17" i="1"/>
  <c r="AN17" i="1"/>
  <c r="AK17" i="1"/>
  <c r="AJ17" i="1"/>
  <c r="K17" i="1"/>
  <c r="J17" i="1"/>
  <c r="I17" i="1"/>
  <c r="AL17" i="1" l="1"/>
  <c r="AT17" i="1" s="1"/>
  <c r="AY17" i="1"/>
  <c r="CG9" i="1"/>
  <c r="CF9" i="1"/>
  <c r="BT9" i="1"/>
  <c r="BT8" i="1"/>
  <c r="BD9" i="1"/>
  <c r="BF9" i="1"/>
  <c r="AX9" i="1"/>
  <c r="AW9" i="1"/>
  <c r="AV9" i="1"/>
  <c r="AU9" i="1"/>
  <c r="AS9" i="1"/>
  <c r="AN9" i="1"/>
  <c r="AK9" i="1"/>
  <c r="AJ9" i="1"/>
  <c r="AL9" i="1" s="1"/>
  <c r="K9" i="1"/>
  <c r="J9" i="1"/>
  <c r="I9" i="1"/>
  <c r="BL9" i="1" l="1"/>
  <c r="AY9" i="1"/>
  <c r="AT9" i="1"/>
  <c r="J1" i="10" l="1"/>
  <c r="C97" i="1" l="1"/>
  <c r="C98" i="1" s="1"/>
  <c r="C99" i="1" s="1"/>
  <c r="A99" i="1" s="1"/>
  <c r="C89" i="1"/>
  <c r="C90" i="1" s="1"/>
  <c r="C81" i="1"/>
  <c r="C82" i="1" s="1"/>
  <c r="C73" i="1"/>
  <c r="C74" i="1" s="1"/>
  <c r="AE57" i="1"/>
  <c r="CD57" i="1"/>
  <c r="Y49" i="1"/>
  <c r="AE49" i="1" s="1"/>
  <c r="CD49" i="1"/>
  <c r="N49" i="1"/>
  <c r="AE41" i="1"/>
  <c r="CD41" i="1"/>
  <c r="N41" i="1"/>
  <c r="AE33" i="1"/>
  <c r="CD33" i="1"/>
  <c r="N33" i="1"/>
  <c r="Y25" i="1"/>
  <c r="AE25" i="1" s="1"/>
  <c r="CD25" i="1"/>
  <c r="AU25" i="1"/>
  <c r="AT25" i="1"/>
  <c r="AS25" i="1"/>
  <c r="AE17" i="1"/>
  <c r="A14" i="1"/>
  <c r="N14" i="1"/>
  <c r="T15" i="1" s="1"/>
  <c r="BU14" i="1"/>
  <c r="BV14" i="1"/>
  <c r="BW14" i="1"/>
  <c r="A15" i="1"/>
  <c r="I15" i="1"/>
  <c r="J15" i="1"/>
  <c r="K15" i="1"/>
  <c r="N15" i="1"/>
  <c r="AE15" i="1"/>
  <c r="AJ15" i="1"/>
  <c r="AK15" i="1"/>
  <c r="AN15" i="1"/>
  <c r="AS15" i="1"/>
  <c r="AU15" i="1"/>
  <c r="AV15" i="1"/>
  <c r="AW15" i="1"/>
  <c r="AX15" i="1"/>
  <c r="BF15" i="1"/>
  <c r="BL15" i="1" s="1"/>
  <c r="BT15" i="1"/>
  <c r="BU15" i="1"/>
  <c r="BV15" i="1"/>
  <c r="BW15" i="1"/>
  <c r="CL15" i="1" s="1"/>
  <c r="BX15" i="1"/>
  <c r="BY15" i="1"/>
  <c r="BZ15" i="1"/>
  <c r="CA15" i="1"/>
  <c r="CB15" i="1"/>
  <c r="CK15" i="1"/>
  <c r="DK15" i="1"/>
  <c r="CB16" i="1"/>
  <c r="CA16" i="1"/>
  <c r="BZ16" i="1"/>
  <c r="BY16" i="1"/>
  <c r="BX16" i="1"/>
  <c r="BW16" i="1"/>
  <c r="CL16" i="1" s="1"/>
  <c r="BV16" i="1"/>
  <c r="BU16" i="1"/>
  <c r="BU17" i="1"/>
  <c r="CB17" i="1"/>
  <c r="CB18" i="1" s="1"/>
  <c r="CA17" i="1"/>
  <c r="BZ17" i="1"/>
  <c r="BY17" i="1"/>
  <c r="BX17" i="1"/>
  <c r="BW17" i="1"/>
  <c r="CL17" i="1" s="1"/>
  <c r="BV17" i="1"/>
  <c r="N17" i="1"/>
  <c r="N25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8" i="1"/>
  <c r="A97" i="1"/>
  <c r="A96" i="1"/>
  <c r="A95" i="1"/>
  <c r="A94" i="1"/>
  <c r="A93" i="1"/>
  <c r="A88" i="1"/>
  <c r="A87" i="1"/>
  <c r="A86" i="1"/>
  <c r="A85" i="1"/>
  <c r="A83" i="1"/>
  <c r="A82" i="1"/>
  <c r="A81" i="1"/>
  <c r="A80" i="1"/>
  <c r="A79" i="1"/>
  <c r="A78" i="1"/>
  <c r="A77" i="1"/>
  <c r="A75" i="1"/>
  <c r="A74" i="1"/>
  <c r="A73" i="1"/>
  <c r="A72" i="1"/>
  <c r="A71" i="1"/>
  <c r="A70" i="1"/>
  <c r="A69" i="1"/>
  <c r="A67" i="1"/>
  <c r="A66" i="1"/>
  <c r="A65" i="1"/>
  <c r="A64" i="1"/>
  <c r="A63" i="1"/>
  <c r="A62" i="1"/>
  <c r="A61" i="1"/>
  <c r="A59" i="1"/>
  <c r="A58" i="1"/>
  <c r="A57" i="1"/>
  <c r="A56" i="1"/>
  <c r="A55" i="1"/>
  <c r="A54" i="1"/>
  <c r="A53" i="1"/>
  <c r="A51" i="1"/>
  <c r="A50" i="1"/>
  <c r="A49" i="1"/>
  <c r="A48" i="1"/>
  <c r="A47" i="1"/>
  <c r="A46" i="1"/>
  <c r="A45" i="1"/>
  <c r="A43" i="1"/>
  <c r="A42" i="1"/>
  <c r="A41" i="1"/>
  <c r="A40" i="1"/>
  <c r="A39" i="1"/>
  <c r="A38" i="1"/>
  <c r="A36" i="1"/>
  <c r="A35" i="1"/>
  <c r="A33" i="1"/>
  <c r="A32" i="1"/>
  <c r="A31" i="1"/>
  <c r="A30" i="1"/>
  <c r="A29" i="1"/>
  <c r="A27" i="1"/>
  <c r="A25" i="1"/>
  <c r="A24" i="1"/>
  <c r="A23" i="1"/>
  <c r="A22" i="1"/>
  <c r="A21" i="1"/>
  <c r="A19" i="1"/>
  <c r="A17" i="1"/>
  <c r="N9" i="1"/>
  <c r="CB9" i="1"/>
  <c r="CB10" i="1" s="1"/>
  <c r="CA9" i="1"/>
  <c r="BZ9" i="1"/>
  <c r="BY9" i="1"/>
  <c r="BW9" i="1"/>
  <c r="BU9" i="1"/>
  <c r="BX9" i="1"/>
  <c r="BV9" i="1"/>
  <c r="AE9" i="1"/>
  <c r="A9" i="1"/>
  <c r="AL15" i="1" l="1"/>
  <c r="AT15" i="1" s="1"/>
  <c r="A90" i="1"/>
  <c r="C91" i="1"/>
  <c r="A91" i="1" s="1"/>
  <c r="CD18" i="1"/>
  <c r="CB19" i="1"/>
  <c r="CD19" i="1" s="1"/>
  <c r="CD15" i="1"/>
  <c r="CD10" i="1"/>
  <c r="CB11" i="1"/>
  <c r="A89" i="1"/>
  <c r="AY15" i="1"/>
  <c r="BB15" i="1"/>
  <c r="CD17" i="1"/>
  <c r="CD9" i="1"/>
  <c r="CB12" i="1" l="1"/>
  <c r="CD12" i="1" s="1"/>
  <c r="CD11" i="1"/>
  <c r="B29" i="9"/>
  <c r="B28" i="9"/>
  <c r="B27" i="9"/>
  <c r="BT54" i="1" l="1"/>
  <c r="N56" i="1" l="1"/>
  <c r="N55" i="1"/>
  <c r="T56" i="1" s="1"/>
  <c r="N54" i="1"/>
  <c r="T55" i="1" s="1"/>
  <c r="N48" i="1"/>
  <c r="N47" i="1"/>
  <c r="T48" i="1" s="1"/>
  <c r="N46" i="1"/>
  <c r="T47" i="1" s="1"/>
  <c r="N40" i="1"/>
  <c r="N38" i="1"/>
  <c r="T39" i="1" s="1"/>
  <c r="N32" i="1"/>
  <c r="T33" i="1" s="1"/>
  <c r="T34" i="1" s="1"/>
  <c r="T35" i="1" s="1"/>
  <c r="N31" i="1"/>
  <c r="T32" i="1" s="1"/>
  <c r="N30" i="1"/>
  <c r="T31" i="1" s="1"/>
  <c r="N24" i="1"/>
  <c r="T25" i="1" s="1"/>
  <c r="N23" i="1"/>
  <c r="T24" i="1" s="1"/>
  <c r="N22" i="1"/>
  <c r="T23" i="1" s="1"/>
  <c r="N16" i="1"/>
  <c r="T17" i="1" s="1"/>
  <c r="T18" i="1" s="1"/>
  <c r="T19" i="1" s="1"/>
  <c r="T20" i="1" s="1"/>
  <c r="T16" i="1"/>
  <c r="N8" i="1"/>
  <c r="T9" i="1" s="1"/>
  <c r="T10" i="1" s="1"/>
  <c r="T11" i="1" s="1"/>
  <c r="T12" i="1" s="1"/>
  <c r="N7" i="1"/>
  <c r="T8" i="1" s="1"/>
  <c r="N6" i="1"/>
  <c r="T7" i="1" s="1"/>
  <c r="T57" i="1" l="1"/>
  <c r="T58" i="1" s="1"/>
  <c r="T59" i="1" s="1"/>
  <c r="T60" i="1"/>
  <c r="T49" i="1"/>
  <c r="T50" i="1" s="1"/>
  <c r="T51" i="1" s="1"/>
  <c r="T52" i="1"/>
  <c r="T41" i="1"/>
  <c r="T42" i="1" s="1"/>
  <c r="T43" i="1" s="1"/>
  <c r="T44" i="1"/>
  <c r="A26" i="8"/>
  <c r="A27" i="8"/>
  <c r="A29" i="8"/>
  <c r="CG8" i="1" l="1"/>
  <c r="CF8" i="1"/>
  <c r="DG72" i="1" l="1"/>
  <c r="DG71" i="1"/>
  <c r="DM72" i="1"/>
  <c r="DJ71" i="1"/>
  <c r="DJ72" i="1"/>
  <c r="DM71" i="1"/>
  <c r="DG95" i="1" l="1"/>
  <c r="DG96" i="1"/>
  <c r="DH79" i="1"/>
  <c r="DK80" i="1" l="1"/>
  <c r="DH80" i="1"/>
  <c r="DG80" i="1" s="1"/>
  <c r="DE64" i="1"/>
  <c r="DE63" i="1"/>
  <c r="DK64" i="1"/>
  <c r="DK63" i="1"/>
  <c r="DH64" i="1"/>
  <c r="DH63" i="1"/>
  <c r="DG63" i="1" l="1"/>
  <c r="DG64" i="1"/>
  <c r="DM47" i="1"/>
  <c r="DM48" i="1"/>
  <c r="DK48" i="1" s="1"/>
  <c r="DJ48" i="1"/>
  <c r="DH48" i="1" s="1"/>
  <c r="DC48" i="1"/>
  <c r="DC47" i="1"/>
  <c r="DG48" i="1" l="1"/>
  <c r="DM32" i="1" s="1"/>
  <c r="DG32" i="1"/>
  <c r="DJ32" i="1" s="1"/>
  <c r="DC32" i="1"/>
  <c r="DH16" i="1" l="1"/>
  <c r="DK16" i="1"/>
  <c r="DH8" i="1"/>
  <c r="DG8" i="1" s="1"/>
  <c r="DH7" i="1"/>
  <c r="DG7" i="1" s="1"/>
  <c r="DG16" i="1" l="1"/>
  <c r="CZ56" i="1"/>
  <c r="CZ24" i="1" l="1"/>
  <c r="CL23" i="1"/>
  <c r="CG23" i="1"/>
  <c r="CF23" i="1"/>
  <c r="CL24" i="1"/>
  <c r="CG24" i="1"/>
  <c r="CF24" i="1"/>
  <c r="CD24" i="1"/>
  <c r="BT24" i="1"/>
  <c r="BF24" i="1"/>
  <c r="BD23" i="1"/>
  <c r="BN23" i="1"/>
  <c r="BT23" i="1" s="1"/>
  <c r="AN23" i="1"/>
  <c r="AK23" i="1"/>
  <c r="AU24" i="1"/>
  <c r="AS24" i="1"/>
  <c r="AX24" i="1"/>
  <c r="AN24" i="1"/>
  <c r="AK24" i="1"/>
  <c r="AW24" i="1"/>
  <c r="AV24" i="1"/>
  <c r="Y22" i="1"/>
  <c r="AE22" i="1" s="1"/>
  <c r="Y23" i="1"/>
  <c r="G23" i="1"/>
  <c r="K24" i="1"/>
  <c r="J24" i="1"/>
  <c r="I24" i="1"/>
  <c r="BL24" i="1" l="1"/>
  <c r="CK23" i="1"/>
  <c r="CK24" i="1"/>
  <c r="AL24" i="1"/>
  <c r="AT24" i="1" s="1"/>
  <c r="AY24" i="1"/>
  <c r="CL55" i="1"/>
  <c r="CI55" i="1"/>
  <c r="CH55" i="1"/>
  <c r="CG55" i="1"/>
  <c r="CF55" i="1"/>
  <c r="CL56" i="1"/>
  <c r="CI56" i="1"/>
  <c r="CH56" i="1"/>
  <c r="CG56" i="1"/>
  <c r="CF56" i="1"/>
  <c r="BU54" i="1"/>
  <c r="BV54" i="1"/>
  <c r="BW54" i="1"/>
  <c r="CD55" i="1"/>
  <c r="CD56" i="1"/>
  <c r="BM55" i="1"/>
  <c r="BF56" i="1"/>
  <c r="BL56" i="1" s="1"/>
  <c r="BF55" i="1"/>
  <c r="BC55" i="1"/>
  <c r="AS56" i="1"/>
  <c r="AU56" i="1"/>
  <c r="AN56" i="1"/>
  <c r="AK56" i="1"/>
  <c r="AJ56" i="1"/>
  <c r="AN55" i="1"/>
  <c r="AK55" i="1"/>
  <c r="AJ55" i="1"/>
  <c r="G56" i="1"/>
  <c r="K56" i="1" s="1"/>
  <c r="J56" i="1"/>
  <c r="I56" i="1"/>
  <c r="Y48" i="1"/>
  <c r="Y47" i="1"/>
  <c r="CZ48" i="1"/>
  <c r="CI47" i="1"/>
  <c r="CH47" i="1"/>
  <c r="CG47" i="1"/>
  <c r="CF47" i="1"/>
  <c r="CI48" i="1"/>
  <c r="CH48" i="1"/>
  <c r="CG48" i="1"/>
  <c r="CF48" i="1"/>
  <c r="BQ48" i="1"/>
  <c r="BR48" i="1"/>
  <c r="BF47" i="1"/>
  <c r="BD47" i="1"/>
  <c r="AP48" i="1"/>
  <c r="AN48" i="1"/>
  <c r="AJ48" i="1"/>
  <c r="AP47" i="1"/>
  <c r="AN47" i="1"/>
  <c r="AJ47" i="1"/>
  <c r="AW48" i="1"/>
  <c r="AV48" i="1"/>
  <c r="K48" i="1"/>
  <c r="J48" i="1"/>
  <c r="I48" i="1"/>
  <c r="Y38" i="1"/>
  <c r="AE38" i="1" s="1"/>
  <c r="CZ40" i="1"/>
  <c r="CZ39" i="1"/>
  <c r="CI39" i="1"/>
  <c r="CH39" i="1"/>
  <c r="CG39" i="1"/>
  <c r="CF39" i="1"/>
  <c r="CI40" i="1"/>
  <c r="CH40" i="1"/>
  <c r="CG40" i="1"/>
  <c r="CF40" i="1"/>
  <c r="BN40" i="1"/>
  <c r="BT40" i="1" s="1"/>
  <c r="BT56" i="1"/>
  <c r="BT47" i="1"/>
  <c r="BT39" i="1"/>
  <c r="BF40" i="1"/>
  <c r="BL40" i="1" s="1"/>
  <c r="AS40" i="1"/>
  <c r="AX40" i="1"/>
  <c r="AU40" i="1"/>
  <c r="AN40" i="1"/>
  <c r="AK40" i="1"/>
  <c r="AJ40" i="1"/>
  <c r="AW40" i="1"/>
  <c r="AH40" i="1"/>
  <c r="AH39" i="1"/>
  <c r="AV40" i="1"/>
  <c r="CL32" i="1"/>
  <c r="CI32" i="1"/>
  <c r="CH32" i="1"/>
  <c r="CG32" i="1"/>
  <c r="CF32" i="1"/>
  <c r="AX48" i="1" l="1"/>
  <c r="AY48" i="1" s="1"/>
  <c r="AS48" i="1"/>
  <c r="BL48" i="1"/>
  <c r="CK32" i="1"/>
  <c r="CK56" i="1"/>
  <c r="AL56" i="1"/>
  <c r="AT56" i="1" s="1"/>
  <c r="BT48" i="1"/>
  <c r="AL55" i="1"/>
  <c r="AL48" i="1"/>
  <c r="AT48" i="1" s="1"/>
  <c r="AY40" i="1"/>
  <c r="AL40" i="1"/>
  <c r="AT40" i="1" s="1"/>
  <c r="BT32" i="1"/>
  <c r="BF32" i="1"/>
  <c r="AS32" i="1"/>
  <c r="AX32" i="1"/>
  <c r="AU32" i="1"/>
  <c r="AN32" i="1"/>
  <c r="AL32" i="1" s="1"/>
  <c r="AT32" i="1" s="1"/>
  <c r="AW32" i="1"/>
  <c r="AV32" i="1"/>
  <c r="CZ31" i="1"/>
  <c r="CZ32" i="1"/>
  <c r="CZ16" i="1"/>
  <c r="CK16" i="1"/>
  <c r="BT16" i="1"/>
  <c r="BF16" i="1"/>
  <c r="AS16" i="1"/>
  <c r="AX16" i="1"/>
  <c r="AU16" i="1"/>
  <c r="AN16" i="1"/>
  <c r="AK16" i="1"/>
  <c r="AJ16" i="1"/>
  <c r="AW16" i="1"/>
  <c r="AV16" i="1"/>
  <c r="K16" i="1"/>
  <c r="J16" i="1"/>
  <c r="I16" i="1"/>
  <c r="CZ8" i="1"/>
  <c r="BZ7" i="1"/>
  <c r="BF8" i="1"/>
  <c r="BL8" i="1" s="1"/>
  <c r="BF7" i="1"/>
  <c r="AX8" i="1"/>
  <c r="AW8" i="1"/>
  <c r="AV8" i="1"/>
  <c r="AN7" i="1"/>
  <c r="AK7" i="1"/>
  <c r="AJ7" i="1"/>
  <c r="AJ8" i="1"/>
  <c r="AN8" i="1"/>
  <c r="AK8" i="1"/>
  <c r="AU8" i="1"/>
  <c r="AS8" i="1"/>
  <c r="BL16" i="1" l="1"/>
  <c r="AY32" i="1"/>
  <c r="BL32" i="1"/>
  <c r="AL7" i="1"/>
  <c r="AL16" i="1"/>
  <c r="AT16" i="1" s="1"/>
  <c r="AL8" i="1"/>
  <c r="AT8" i="1" s="1"/>
  <c r="AY16" i="1"/>
  <c r="AY8" i="1"/>
  <c r="K32" i="1" l="1"/>
  <c r="J32" i="1"/>
  <c r="I32" i="1"/>
  <c r="Y39" i="1"/>
  <c r="AE39" i="1" s="1"/>
  <c r="Y40" i="1"/>
  <c r="AE40" i="1" s="1"/>
  <c r="G40" i="1"/>
  <c r="K40" i="1" s="1"/>
  <c r="J40" i="1"/>
  <c r="I40" i="1"/>
  <c r="AE56" i="1"/>
  <c r="AE55" i="1"/>
  <c r="AE48" i="1"/>
  <c r="AE47" i="1"/>
  <c r="AE32" i="1"/>
  <c r="AE31" i="1"/>
  <c r="AE24" i="1"/>
  <c r="AE23" i="1"/>
  <c r="AE16" i="1"/>
  <c r="AE8" i="1"/>
  <c r="AE7" i="1"/>
  <c r="AE6" i="1"/>
  <c r="K8" i="1"/>
  <c r="J8" i="1"/>
  <c r="I8" i="1"/>
  <c r="CD48" i="1" l="1"/>
  <c r="CB8" i="1" l="1"/>
  <c r="CA8" i="1"/>
  <c r="BZ8" i="1"/>
  <c r="BY8" i="1"/>
  <c r="BW8" i="1"/>
  <c r="BU8" i="1"/>
  <c r="BX8" i="1"/>
  <c r="BV8" i="1"/>
  <c r="CD40" i="1" l="1"/>
  <c r="CD8" i="1" l="1"/>
  <c r="CJ8" i="1" s="1"/>
  <c r="CD47" i="1" l="1"/>
  <c r="CD39" i="1"/>
  <c r="CD31" i="1" l="1"/>
  <c r="CD32" i="1"/>
  <c r="CA7" i="1"/>
  <c r="CD7" i="1" s="1"/>
  <c r="CD16" i="1" l="1"/>
  <c r="AH7" i="4" l="1"/>
  <c r="AG7" i="4"/>
  <c r="AF7" i="4"/>
  <c r="AE7" i="4"/>
  <c r="AD7" i="4"/>
  <c r="AC7" i="4"/>
  <c r="AB7" i="4"/>
  <c r="AA7" i="4"/>
  <c r="Z7" i="4"/>
  <c r="Y7" i="4"/>
  <c r="X7" i="4"/>
  <c r="W7" i="4"/>
  <c r="CD23" i="1" l="1"/>
  <c r="BF23" i="1"/>
  <c r="BB23" i="1" s="1"/>
  <c r="AX23" i="1"/>
  <c r="AW23" i="1"/>
  <c r="AV23" i="1"/>
  <c r="AU23" i="1"/>
  <c r="AS23" i="1"/>
  <c r="J23" i="1"/>
  <c r="I23" i="1"/>
  <c r="K23" i="1"/>
  <c r="AL23" i="1" l="1"/>
  <c r="AT23" i="1" s="1"/>
  <c r="BL23" i="1"/>
  <c r="AY23" i="1"/>
  <c r="J1" i="7" l="1"/>
  <c r="BB56" i="1" l="1"/>
  <c r="BQ55" i="1"/>
  <c r="BB55" i="1"/>
  <c r="AS55" i="1"/>
  <c r="J55" i="1"/>
  <c r="I55" i="1"/>
  <c r="G55" i="1"/>
  <c r="K55" i="1" s="1"/>
  <c r="BB48" i="1"/>
  <c r="BB47" i="1"/>
  <c r="AW47" i="1"/>
  <c r="AV47" i="1"/>
  <c r="AU47" i="1"/>
  <c r="AX47" i="1"/>
  <c r="AL47" i="1"/>
  <c r="AT47" i="1" s="1"/>
  <c r="K47" i="1"/>
  <c r="J47" i="1"/>
  <c r="I47" i="1"/>
  <c r="BB40" i="1"/>
  <c r="BF39" i="1"/>
  <c r="BL39" i="1" s="1"/>
  <c r="AX39" i="1"/>
  <c r="AW39" i="1"/>
  <c r="AV39" i="1"/>
  <c r="AU39" i="1"/>
  <c r="AS39" i="1"/>
  <c r="AN39" i="1"/>
  <c r="AK39" i="1"/>
  <c r="AJ39" i="1"/>
  <c r="J39" i="1"/>
  <c r="I39" i="1"/>
  <c r="G39" i="1"/>
  <c r="K39" i="1" s="1"/>
  <c r="BB32" i="1"/>
  <c r="DC31" i="1" s="1"/>
  <c r="BT31" i="1"/>
  <c r="BF31" i="1"/>
  <c r="BB31" i="1" s="1"/>
  <c r="BD31" i="1"/>
  <c r="AX31" i="1"/>
  <c r="AW31" i="1"/>
  <c r="AS31" i="1"/>
  <c r="AN31" i="1"/>
  <c r="AK31" i="1"/>
  <c r="AJ31" i="1"/>
  <c r="K31" i="1"/>
  <c r="I31" i="1"/>
  <c r="BB24" i="1"/>
  <c r="A16" i="1"/>
  <c r="BB8" i="1"/>
  <c r="A8" i="1"/>
  <c r="BT7" i="1"/>
  <c r="BB7" i="1"/>
  <c r="AX7" i="1"/>
  <c r="AW7" i="1"/>
  <c r="AV7" i="1"/>
  <c r="AU7" i="1"/>
  <c r="AS7" i="1"/>
  <c r="AG7" i="1"/>
  <c r="K7" i="1"/>
  <c r="J7" i="1"/>
  <c r="I7" i="1"/>
  <c r="A7" i="1"/>
  <c r="BL6" i="1"/>
  <c r="BB6" i="1"/>
  <c r="AX6" i="1"/>
  <c r="AW6" i="1"/>
  <c r="AV6" i="1"/>
  <c r="AU6" i="1"/>
  <c r="AT6" i="1"/>
  <c r="AS6" i="1"/>
  <c r="A6" i="1"/>
  <c r="Q205" i="2" l="1"/>
  <c r="AC106" i="12" s="1"/>
  <c r="K205" i="2"/>
  <c r="W106" i="12" s="1"/>
  <c r="Q204" i="2"/>
  <c r="AC105" i="12" s="1"/>
  <c r="K204" i="2"/>
  <c r="W105" i="12" s="1"/>
  <c r="Q203" i="2"/>
  <c r="AC104" i="12" s="1"/>
  <c r="K203" i="2"/>
  <c r="W104" i="12" s="1"/>
  <c r="Q202" i="2"/>
  <c r="AC103" i="12" s="1"/>
  <c r="K202" i="2"/>
  <c r="W103" i="12" s="1"/>
  <c r="Q201" i="2"/>
  <c r="AC102" i="12" s="1"/>
  <c r="K201" i="2"/>
  <c r="W102" i="12" s="1"/>
  <c r="Q200" i="2"/>
  <c r="K200" i="2"/>
  <c r="R203" i="2"/>
  <c r="AD104" i="12" s="1"/>
  <c r="L201" i="2"/>
  <c r="X102" i="12" s="1"/>
  <c r="P205" i="2"/>
  <c r="AB106" i="12" s="1"/>
  <c r="J205" i="2"/>
  <c r="V106" i="12" s="1"/>
  <c r="P204" i="2"/>
  <c r="AB105" i="12" s="1"/>
  <c r="J204" i="2"/>
  <c r="V105" i="12" s="1"/>
  <c r="P203" i="2"/>
  <c r="AB104" i="12" s="1"/>
  <c r="J203" i="2"/>
  <c r="V104" i="12" s="1"/>
  <c r="P202" i="2"/>
  <c r="AB103" i="12" s="1"/>
  <c r="J202" i="2"/>
  <c r="V103" i="12" s="1"/>
  <c r="P201" i="2"/>
  <c r="AB102" i="12" s="1"/>
  <c r="J201" i="2"/>
  <c r="V102" i="12" s="1"/>
  <c r="P200" i="2"/>
  <c r="J200" i="2"/>
  <c r="I200" i="2"/>
  <c r="R204" i="2"/>
  <c r="AD105" i="12" s="1"/>
  <c r="R202" i="2"/>
  <c r="AD103" i="12" s="1"/>
  <c r="L200" i="2"/>
  <c r="O205" i="2"/>
  <c r="AA106" i="12" s="1"/>
  <c r="I205" i="2"/>
  <c r="U106" i="12" s="1"/>
  <c r="O204" i="2"/>
  <c r="AA105" i="12" s="1"/>
  <c r="I204" i="2"/>
  <c r="U105" i="12" s="1"/>
  <c r="O203" i="2"/>
  <c r="AA104" i="12" s="1"/>
  <c r="I203" i="2"/>
  <c r="U104" i="12" s="1"/>
  <c r="O202" i="2"/>
  <c r="AA103" i="12" s="1"/>
  <c r="I202" i="2"/>
  <c r="U103" i="12" s="1"/>
  <c r="O201" i="2"/>
  <c r="AA102" i="12" s="1"/>
  <c r="I201" i="2"/>
  <c r="U102" i="12" s="1"/>
  <c r="O200" i="2"/>
  <c r="M200" i="2"/>
  <c r="R205" i="2"/>
  <c r="AD106" i="12" s="1"/>
  <c r="L203" i="2"/>
  <c r="X104" i="12" s="1"/>
  <c r="R200" i="2"/>
  <c r="T205" i="2"/>
  <c r="AF106" i="12" s="1"/>
  <c r="N205" i="2"/>
  <c r="Z106" i="12" s="1"/>
  <c r="T204" i="2"/>
  <c r="AF105" i="12" s="1"/>
  <c r="N204" i="2"/>
  <c r="Z105" i="12" s="1"/>
  <c r="T203" i="2"/>
  <c r="AF104" i="12" s="1"/>
  <c r="N203" i="2"/>
  <c r="Z104" i="12" s="1"/>
  <c r="T202" i="2"/>
  <c r="AF103" i="12" s="1"/>
  <c r="N202" i="2"/>
  <c r="Z103" i="12" s="1"/>
  <c r="T201" i="2"/>
  <c r="AF102" i="12" s="1"/>
  <c r="N201" i="2"/>
  <c r="Z102" i="12" s="1"/>
  <c r="T200" i="2"/>
  <c r="N200" i="2"/>
  <c r="L204" i="2"/>
  <c r="X105" i="12" s="1"/>
  <c r="L202" i="2"/>
  <c r="X103" i="12" s="1"/>
  <c r="S205" i="2"/>
  <c r="AE106" i="12" s="1"/>
  <c r="M205" i="2"/>
  <c r="Y106" i="12" s="1"/>
  <c r="S204" i="2"/>
  <c r="AE105" i="12" s="1"/>
  <c r="M204" i="2"/>
  <c r="Y105" i="12" s="1"/>
  <c r="S203" i="2"/>
  <c r="AE104" i="12" s="1"/>
  <c r="M203" i="2"/>
  <c r="Y104" i="12" s="1"/>
  <c r="S202" i="2"/>
  <c r="AE103" i="12" s="1"/>
  <c r="M202" i="2"/>
  <c r="Y103" i="12" s="1"/>
  <c r="S201" i="2"/>
  <c r="AE102" i="12" s="1"/>
  <c r="M201" i="2"/>
  <c r="Y102" i="12" s="1"/>
  <c r="S200" i="2"/>
  <c r="L205" i="2"/>
  <c r="X106" i="12" s="1"/>
  <c r="R201" i="2"/>
  <c r="AD102" i="12" s="1"/>
  <c r="I164" i="14"/>
  <c r="P147" i="14"/>
  <c r="Q143" i="14"/>
  <c r="O142" i="14"/>
  <c r="Q141" i="14"/>
  <c r="I141" i="14"/>
  <c r="M140" i="14"/>
  <c r="K127" i="14"/>
  <c r="P126" i="14"/>
  <c r="R125" i="14"/>
  <c r="I125" i="14"/>
  <c r="L124" i="14"/>
  <c r="J118" i="14"/>
  <c r="M117" i="14"/>
  <c r="Y68" i="12" s="1"/>
  <c r="N116" i="14"/>
  <c r="Q114" i="14"/>
  <c r="AC78" i="12" s="1"/>
  <c r="Q102" i="14"/>
  <c r="I102" i="14"/>
  <c r="O101" i="14"/>
  <c r="K100" i="14"/>
  <c r="O92" i="14"/>
  <c r="P82" i="14"/>
  <c r="M81" i="14"/>
  <c r="S80" i="14"/>
  <c r="I64" i="14"/>
  <c r="O55" i="14"/>
  <c r="P38" i="14"/>
  <c r="R36" i="14"/>
  <c r="J36" i="14"/>
  <c r="P29" i="14"/>
  <c r="I29" i="14"/>
  <c r="O18" i="14"/>
  <c r="Q16" i="14"/>
  <c r="J16" i="14"/>
  <c r="P15" i="14"/>
  <c r="T14" i="14"/>
  <c r="T13" i="14"/>
  <c r="N12" i="14"/>
  <c r="K9" i="14"/>
  <c r="J142" i="14"/>
  <c r="K126" i="14"/>
  <c r="K116" i="14"/>
  <c r="R100" i="14"/>
  <c r="Q80" i="14"/>
  <c r="K38" i="14"/>
  <c r="M29" i="14"/>
  <c r="P10" i="14"/>
  <c r="T165" i="14"/>
  <c r="O147" i="14"/>
  <c r="O143" i="14"/>
  <c r="K142" i="14"/>
  <c r="P141" i="14"/>
  <c r="L140" i="14"/>
  <c r="S127" i="14"/>
  <c r="J127" i="14"/>
  <c r="L126" i="14"/>
  <c r="Q125" i="14"/>
  <c r="K117" i="14"/>
  <c r="W68" i="12" s="1"/>
  <c r="L116" i="14"/>
  <c r="O114" i="14"/>
  <c r="AA78" i="12" s="1"/>
  <c r="T111" i="14"/>
  <c r="T109" i="14"/>
  <c r="P102" i="14"/>
  <c r="M101" i="14"/>
  <c r="S100" i="14"/>
  <c r="J92" i="14"/>
  <c r="O82" i="14"/>
  <c r="S81" i="14"/>
  <c r="L81" i="14"/>
  <c r="R80" i="14"/>
  <c r="Q64" i="14"/>
  <c r="M55" i="14"/>
  <c r="S46" i="14"/>
  <c r="AE44" i="12" s="1"/>
  <c r="O38" i="14"/>
  <c r="Q36" i="14"/>
  <c r="I36" i="14"/>
  <c r="O29" i="14"/>
  <c r="T22" i="14"/>
  <c r="K18" i="14"/>
  <c r="P16" i="14"/>
  <c r="I16" i="14"/>
  <c r="M15" i="14"/>
  <c r="S14" i="14"/>
  <c r="S13" i="14"/>
  <c r="R9" i="14"/>
  <c r="J9" i="14"/>
  <c r="I143" i="14"/>
  <c r="I127" i="14"/>
  <c r="J117" i="14"/>
  <c r="V68" i="12" s="1"/>
  <c r="N109" i="14"/>
  <c r="R81" i="14"/>
  <c r="S55" i="14"/>
  <c r="L15" i="14"/>
  <c r="I9" i="14"/>
  <c r="N165" i="14"/>
  <c r="T149" i="14"/>
  <c r="K140" i="14"/>
  <c r="P133" i="14"/>
  <c r="S117" i="14"/>
  <c r="AE68" i="12" s="1"/>
  <c r="S101" i="14"/>
  <c r="O74" i="14"/>
  <c r="S23" i="14"/>
  <c r="N149" i="14"/>
  <c r="J147" i="14"/>
  <c r="I142" i="14"/>
  <c r="L141" i="14"/>
  <c r="R140" i="14"/>
  <c r="J140" i="14"/>
  <c r="N133" i="14"/>
  <c r="P127" i="14"/>
  <c r="J126" i="14"/>
  <c r="M125" i="14"/>
  <c r="R124" i="14"/>
  <c r="T118" i="14"/>
  <c r="Q117" i="14"/>
  <c r="AC68" i="12" s="1"/>
  <c r="L114" i="14"/>
  <c r="X78" i="12" s="1"/>
  <c r="M111" i="14"/>
  <c r="L109" i="14"/>
  <c r="L102" i="14"/>
  <c r="R101" i="14"/>
  <c r="K101" i="14"/>
  <c r="Q100" i="14"/>
  <c r="O93" i="14"/>
  <c r="K82" i="14"/>
  <c r="Q81" i="14"/>
  <c r="J81" i="14"/>
  <c r="M80" i="14"/>
  <c r="N74" i="14"/>
  <c r="O64" i="14"/>
  <c r="R55" i="14"/>
  <c r="K55" i="14"/>
  <c r="J38" i="14"/>
  <c r="O36" i="14"/>
  <c r="S29" i="14"/>
  <c r="L29" i="14"/>
  <c r="R23" i="14"/>
  <c r="I18" i="14"/>
  <c r="M16" i="14"/>
  <c r="S15" i="14"/>
  <c r="K15" i="14"/>
  <c r="M14" i="14"/>
  <c r="M13" i="14"/>
  <c r="O10" i="14"/>
  <c r="P9" i="14"/>
  <c r="S140" i="14"/>
  <c r="S124" i="14"/>
  <c r="M114" i="14"/>
  <c r="Y78" i="12" s="1"/>
  <c r="L101" i="14"/>
  <c r="K81" i="14"/>
  <c r="L55" i="14"/>
  <c r="N13" i="14"/>
  <c r="O164" i="14"/>
  <c r="I147" i="14"/>
  <c r="Q142" i="14"/>
  <c r="K141" i="14"/>
  <c r="Q140" i="14"/>
  <c r="J133" i="14"/>
  <c r="O127" i="14"/>
  <c r="R126" i="14"/>
  <c r="L125" i="14"/>
  <c r="N124" i="14"/>
  <c r="N118" i="14"/>
  <c r="P117" i="14"/>
  <c r="AB68" i="12" s="1"/>
  <c r="S114" i="14"/>
  <c r="AE78" i="12" s="1"/>
  <c r="K114" i="14"/>
  <c r="W78" i="12" s="1"/>
  <c r="L111" i="14"/>
  <c r="K102" i="14"/>
  <c r="Q101" i="14"/>
  <c r="J101" i="14"/>
  <c r="M100" i="14"/>
  <c r="R82" i="14"/>
  <c r="J82" i="14"/>
  <c r="P81" i="14"/>
  <c r="I81" i="14"/>
  <c r="L80" i="14"/>
  <c r="K64" i="14"/>
  <c r="Q55" i="14"/>
  <c r="J55" i="14"/>
  <c r="I38" i="14"/>
  <c r="L36" i="14"/>
  <c r="R29" i="14"/>
  <c r="K29" i="14"/>
  <c r="M23" i="14"/>
  <c r="Q18" i="14"/>
  <c r="L16" i="14"/>
  <c r="R15" i="14"/>
  <c r="J15" i="14"/>
  <c r="L14" i="14"/>
  <c r="J10" i="14"/>
  <c r="O9" i="14"/>
  <c r="O141" i="14"/>
  <c r="O125" i="14"/>
  <c r="N111" i="14"/>
  <c r="L82" i="14"/>
  <c r="P64" i="14"/>
  <c r="P36" i="14"/>
  <c r="O16" i="14"/>
  <c r="Q9" i="14"/>
  <c r="M164" i="14"/>
  <c r="Q147" i="14"/>
  <c r="P142" i="14"/>
  <c r="R141" i="14"/>
  <c r="J141" i="14"/>
  <c r="P140" i="14"/>
  <c r="S137" i="14"/>
  <c r="I133" i="14"/>
  <c r="M127" i="14"/>
  <c r="Q126" i="14"/>
  <c r="S125" i="14"/>
  <c r="K125" i="14"/>
  <c r="M124" i="14"/>
  <c r="L118" i="14"/>
  <c r="O117" i="14"/>
  <c r="AA68" i="12" s="1"/>
  <c r="T116" i="14"/>
  <c r="R114" i="14"/>
  <c r="AD78" i="12" s="1"/>
  <c r="I114" i="14"/>
  <c r="U78" i="12" s="1"/>
  <c r="R102" i="14"/>
  <c r="J102" i="14"/>
  <c r="P101" i="14"/>
  <c r="I101" i="14"/>
  <c r="L100" i="14"/>
  <c r="P92" i="14"/>
  <c r="Q82" i="14"/>
  <c r="I82" i="14"/>
  <c r="O81" i="14"/>
  <c r="K80" i="14"/>
  <c r="I67" i="14"/>
  <c r="U12" i="12" s="1"/>
  <c r="U34" i="12" s="1"/>
  <c r="J64" i="14"/>
  <c r="P55" i="14"/>
  <c r="I55" i="14"/>
  <c r="K36" i="14"/>
  <c r="Q29" i="14"/>
  <c r="J29" i="14"/>
  <c r="L23" i="14"/>
  <c r="P18" i="14"/>
  <c r="R16" i="14"/>
  <c r="K16" i="14"/>
  <c r="Q15" i="14"/>
  <c r="T12" i="14"/>
  <c r="I10" i="14"/>
  <c r="L9" i="14"/>
  <c r="K147" i="14"/>
  <c r="Q127" i="14"/>
  <c r="O102" i="14"/>
  <c r="I92" i="14"/>
  <c r="M46" i="14"/>
  <c r="Y44" i="12" s="1"/>
  <c r="J18" i="14"/>
  <c r="R14" i="14"/>
  <c r="O123" i="14"/>
  <c r="P111" i="14"/>
  <c r="T117" i="14"/>
  <c r="AF68" i="12" s="1"/>
  <c r="T19" i="14"/>
  <c r="T36" i="14"/>
  <c r="O118" i="14"/>
  <c r="Q23" i="14"/>
  <c r="O110" i="14"/>
  <c r="I39" i="14"/>
  <c r="Q79" i="14"/>
  <c r="J12" i="14"/>
  <c r="N23" i="14"/>
  <c r="O40" i="14"/>
  <c r="M93" i="14"/>
  <c r="J93" i="14"/>
  <c r="S9" i="14"/>
  <c r="P13" i="14"/>
  <c r="L18" i="14"/>
  <c r="I23" i="14"/>
  <c r="L38" i="14"/>
  <c r="I46" i="14"/>
  <c r="U44" i="12" s="1"/>
  <c r="I19" i="14"/>
  <c r="M10" i="14"/>
  <c r="J14" i="14"/>
  <c r="L19" i="14"/>
  <c r="N36" i="14"/>
  <c r="Q40" i="14"/>
  <c r="R74" i="14"/>
  <c r="S79" i="14"/>
  <c r="K14" i="14"/>
  <c r="K23" i="14"/>
  <c r="K46" i="14"/>
  <c r="W44" i="12" s="1"/>
  <c r="R94" i="14"/>
  <c r="O94" i="14"/>
  <c r="M40" i="14"/>
  <c r="Q67" i="14"/>
  <c r="AC12" i="12" s="1"/>
  <c r="AC34" i="12" s="1"/>
  <c r="J136" i="14"/>
  <c r="J110" i="14"/>
  <c r="J123" i="14"/>
  <c r="Q137" i="14"/>
  <c r="T137" i="14"/>
  <c r="K92" i="14"/>
  <c r="O109" i="14"/>
  <c r="L137" i="14"/>
  <c r="K149" i="14"/>
  <c r="S64" i="14"/>
  <c r="L92" i="14"/>
  <c r="S102" i="14"/>
  <c r="Q124" i="14"/>
  <c r="T124" i="14"/>
  <c r="S143" i="14"/>
  <c r="N82" i="14"/>
  <c r="Q109" i="14"/>
  <c r="R111" i="14"/>
  <c r="S118" i="14"/>
  <c r="K109" i="14"/>
  <c r="R116" i="14"/>
  <c r="R133" i="14"/>
  <c r="R137" i="14"/>
  <c r="L165" i="14"/>
  <c r="I165" i="14"/>
  <c r="T114" i="14"/>
  <c r="AF78" i="12" s="1"/>
  <c r="S126" i="14"/>
  <c r="S141" i="14"/>
  <c r="P164" i="14"/>
  <c r="S142" i="14"/>
  <c r="N117" i="14"/>
  <c r="Z68" i="12" s="1"/>
  <c r="L164" i="14"/>
  <c r="I14" i="14"/>
  <c r="O23" i="14"/>
  <c r="O46" i="14"/>
  <c r="AA44" i="12" s="1"/>
  <c r="Q10" i="14"/>
  <c r="S10" i="14"/>
  <c r="R19" i="14"/>
  <c r="R37" i="14" s="1"/>
  <c r="M38" i="14"/>
  <c r="J46" i="14"/>
  <c r="V44" i="12" s="1"/>
  <c r="L74" i="14"/>
  <c r="Q14" i="14"/>
  <c r="T147" i="14"/>
  <c r="O126" i="14"/>
  <c r="R46" i="14"/>
  <c r="AD44" i="12" s="1"/>
  <c r="S12" i="14"/>
  <c r="P125" i="14"/>
  <c r="T55" i="14"/>
  <c r="P114" i="14"/>
  <c r="AB78" i="12" s="1"/>
  <c r="O39" i="14"/>
  <c r="K79" i="14"/>
  <c r="I13" i="14"/>
  <c r="T23" i="14"/>
  <c r="N46" i="14"/>
  <c r="Z44" i="12" s="1"/>
  <c r="R93" i="14"/>
  <c r="T93" i="14"/>
  <c r="L10" i="14"/>
  <c r="R18" i="14"/>
  <c r="R38" i="14"/>
  <c r="O15" i="14"/>
  <c r="R13" i="14"/>
  <c r="O140" i="14"/>
  <c r="T92" i="14"/>
  <c r="T29" i="14"/>
  <c r="T141" i="14"/>
  <c r="P67" i="14"/>
  <c r="AB12" i="12" s="1"/>
  <c r="AB34" i="12" s="1"/>
  <c r="O133" i="14"/>
  <c r="N40" i="14"/>
  <c r="P79" i="14"/>
  <c r="J19" i="14"/>
  <c r="Q38" i="14"/>
  <c r="T46" i="14"/>
  <c r="AF44" i="12" s="1"/>
  <c r="L93" i="14"/>
  <c r="N93" i="14"/>
  <c r="R10" i="14"/>
  <c r="O14" i="14"/>
  <c r="K19" i="14"/>
  <c r="N29" i="14"/>
  <c r="K39" i="14"/>
  <c r="N67" i="14"/>
  <c r="Z12" i="12" s="1"/>
  <c r="Z34" i="12" s="1"/>
  <c r="T38" i="14"/>
  <c r="T18" i="14"/>
  <c r="T142" i="14"/>
  <c r="P116" i="14"/>
  <c r="T64" i="14"/>
  <c r="S164" i="14"/>
  <c r="P80" i="14"/>
  <c r="T40" i="14"/>
  <c r="J79" i="14"/>
  <c r="P19" i="14"/>
  <c r="J39" i="14"/>
  <c r="J67" i="14"/>
  <c r="V12" i="12" s="1"/>
  <c r="V34" i="12" s="1"/>
  <c r="Q93" i="14"/>
  <c r="O19" i="14"/>
  <c r="K12" i="14"/>
  <c r="N15" i="14"/>
  <c r="Q19" i="14"/>
  <c r="Q37" i="14" s="1"/>
  <c r="Q39" i="14"/>
  <c r="N79" i="14"/>
  <c r="O13" i="14"/>
  <c r="R12" i="14"/>
  <c r="N16" i="14"/>
  <c r="Q22" i="14"/>
  <c r="L39" i="14"/>
  <c r="O67" i="14"/>
  <c r="AA12" i="12" s="1"/>
  <c r="AA34" i="12" s="1"/>
  <c r="K74" i="14"/>
  <c r="N10" i="14"/>
  <c r="S19" i="14"/>
  <c r="S39" i="14"/>
  <c r="K94" i="14"/>
  <c r="N94" i="14"/>
  <c r="M22" i="14"/>
  <c r="M67" i="14"/>
  <c r="Y12" i="12" s="1"/>
  <c r="Y34" i="12" s="1"/>
  <c r="Q136" i="14"/>
  <c r="R110" i="14"/>
  <c r="L123" i="14"/>
  <c r="J137" i="14"/>
  <c r="R64" i="14"/>
  <c r="T100" i="14"/>
  <c r="I123" i="14"/>
  <c r="R149" i="14"/>
  <c r="N81" i="14"/>
  <c r="O100" i="14"/>
  <c r="K110" i="14"/>
  <c r="J124" i="14"/>
  <c r="N143" i="14"/>
  <c r="J100" i="14"/>
  <c r="T39" i="14"/>
  <c r="S40" i="14"/>
  <c r="S22" i="14"/>
  <c r="T127" i="14"/>
  <c r="P100" i="14"/>
  <c r="T16" i="14"/>
  <c r="T82" i="14"/>
  <c r="R79" i="14"/>
  <c r="O79" i="14"/>
  <c r="I22" i="14"/>
  <c r="P39" i="14"/>
  <c r="M79" i="14"/>
  <c r="K93" i="14"/>
  <c r="N22" i="14"/>
  <c r="Q12" i="14"/>
  <c r="T15" i="14"/>
  <c r="J22" i="14"/>
  <c r="M36" i="14"/>
  <c r="J40" i="14"/>
  <c r="N14" i="14"/>
  <c r="K13" i="14"/>
  <c r="M18" i="14"/>
  <c r="J23" i="14"/>
  <c r="R39" i="14"/>
  <c r="S74" i="14"/>
  <c r="P74" i="14"/>
  <c r="M12" i="14"/>
  <c r="L22" i="14"/>
  <c r="L40" i="14"/>
  <c r="I74" i="14"/>
  <c r="P94" i="14"/>
  <c r="S94" i="14"/>
  <c r="R67" i="14"/>
  <c r="AD12" i="12" s="1"/>
  <c r="AD34" i="12" s="1"/>
  <c r="K136" i="14"/>
  <c r="L110" i="14"/>
  <c r="Q123" i="14"/>
  <c r="O137" i="14"/>
  <c r="N80" i="14"/>
  <c r="S109" i="14"/>
  <c r="T123" i="14"/>
  <c r="L149" i="14"/>
  <c r="N55" i="14"/>
  <c r="M82" i="14"/>
  <c r="N101" i="14"/>
  <c r="T110" i="14"/>
  <c r="T81" i="14"/>
  <c r="T74" i="14"/>
  <c r="T9" i="14"/>
  <c r="R143" i="14"/>
  <c r="T102" i="14"/>
  <c r="T10" i="14"/>
  <c r="T101" i="14"/>
  <c r="L79" i="14"/>
  <c r="I79" i="14"/>
  <c r="K10" i="14"/>
  <c r="O22" i="14"/>
  <c r="I40" i="14"/>
  <c r="S93" i="14"/>
  <c r="P93" i="14"/>
  <c r="M9" i="14"/>
  <c r="J13" i="14"/>
  <c r="S16" i="14"/>
  <c r="S17" i="14" s="1"/>
  <c r="P22" i="14"/>
  <c r="S36" i="14"/>
  <c r="P40" i="14"/>
  <c r="I93" i="14"/>
  <c r="N9" i="14"/>
  <c r="Q13" i="14"/>
  <c r="S18" i="14"/>
  <c r="P23" i="14"/>
  <c r="K40" i="14"/>
  <c r="M74" i="14"/>
  <c r="J74" i="14"/>
  <c r="L13" i="14"/>
  <c r="R22" i="14"/>
  <c r="R40" i="14"/>
  <c r="T79" i="14"/>
  <c r="J94" i="14"/>
  <c r="M94" i="14"/>
  <c r="N39" i="14"/>
  <c r="L67" i="14"/>
  <c r="X12" i="12" s="1"/>
  <c r="X34" i="12" s="1"/>
  <c r="P136" i="14"/>
  <c r="P110" i="14"/>
  <c r="P123" i="14"/>
  <c r="I136" i="14"/>
  <c r="I137" i="14"/>
  <c r="T80" i="14"/>
  <c r="M109" i="14"/>
  <c r="M136" i="14"/>
  <c r="Q149" i="14"/>
  <c r="M64" i="14"/>
  <c r="S82" i="14"/>
  <c r="S71" i="14" s="1"/>
  <c r="AE40" i="12" s="1"/>
  <c r="M102" i="14"/>
  <c r="K123" i="14"/>
  <c r="I124" i="14"/>
  <c r="M143" i="14"/>
  <c r="J80" i="14"/>
  <c r="J109" i="14"/>
  <c r="P12" i="14"/>
  <c r="P46" i="14"/>
  <c r="AB44" i="12" s="1"/>
  <c r="N38" i="14"/>
  <c r="I94" i="14"/>
  <c r="K67" i="14"/>
  <c r="W12" i="12" s="1"/>
  <c r="W34" i="12" s="1"/>
  <c r="Q110" i="14"/>
  <c r="S149" i="14"/>
  <c r="R92" i="14"/>
  <c r="O124" i="14"/>
  <c r="N64" i="14"/>
  <c r="K111" i="14"/>
  <c r="M116" i="14"/>
  <c r="M123" i="14"/>
  <c r="R109" i="14"/>
  <c r="R118" i="14"/>
  <c r="K133" i="14"/>
  <c r="O165" i="14"/>
  <c r="O183" i="14" s="1"/>
  <c r="L117" i="14"/>
  <c r="X68" i="12" s="1"/>
  <c r="R127" i="14"/>
  <c r="L147" i="14"/>
  <c r="N141" i="14"/>
  <c r="J114" i="14"/>
  <c r="V78" i="12" s="1"/>
  <c r="R164" i="14"/>
  <c r="Q74" i="14"/>
  <c r="T94" i="14"/>
  <c r="T67" i="14"/>
  <c r="AF12" i="12" s="1"/>
  <c r="AF34" i="12" s="1"/>
  <c r="R123" i="14"/>
  <c r="L64" i="14"/>
  <c r="L66" i="14" s="1"/>
  <c r="M149" i="14"/>
  <c r="I100" i="14"/>
  <c r="M92" i="14"/>
  <c r="O111" i="14"/>
  <c r="Q116" i="14"/>
  <c r="N110" i="14"/>
  <c r="N123" i="14"/>
  <c r="T133" i="14"/>
  <c r="R165" i="14"/>
  <c r="S165" i="14"/>
  <c r="R117" i="14"/>
  <c r="AD68" i="12" s="1"/>
  <c r="N140" i="14"/>
  <c r="R147" i="14"/>
  <c r="M142" i="14"/>
  <c r="J125" i="14"/>
  <c r="P14" i="14"/>
  <c r="P17" i="14" s="1"/>
  <c r="I12" i="14"/>
  <c r="Q46" i="14"/>
  <c r="AC44" i="12" s="1"/>
  <c r="R136" i="14"/>
  <c r="Q92" i="14"/>
  <c r="O149" i="14"/>
  <c r="I109" i="14"/>
  <c r="M137" i="14"/>
  <c r="S92" i="14"/>
  <c r="I111" i="14"/>
  <c r="S133" i="14"/>
  <c r="M165" i="14"/>
  <c r="M183" i="14" s="1"/>
  <c r="T140" i="14"/>
  <c r="J164" i="14"/>
  <c r="I126" i="14"/>
  <c r="S111" i="14"/>
  <c r="K165" i="14"/>
  <c r="K183" i="14" s="1"/>
  <c r="N126" i="14"/>
  <c r="N127" i="14"/>
  <c r="K164" i="14"/>
  <c r="Q94" i="14"/>
  <c r="J149" i="14"/>
  <c r="L12" i="14"/>
  <c r="M39" i="14"/>
  <c r="N136" i="14"/>
  <c r="M118" i="14"/>
  <c r="J111" i="14"/>
  <c r="S136" i="14"/>
  <c r="N125" i="14"/>
  <c r="M147" i="14"/>
  <c r="Q118" i="14"/>
  <c r="K143" i="14"/>
  <c r="N164" i="14"/>
  <c r="S147" i="14"/>
  <c r="T126" i="14"/>
  <c r="L127" i="14"/>
  <c r="S123" i="14"/>
  <c r="Q165" i="14"/>
  <c r="M141" i="14"/>
  <c r="L142" i="14"/>
  <c r="S67" i="14"/>
  <c r="AE12" i="12" s="1"/>
  <c r="AE34" i="12" s="1"/>
  <c r="Q111" i="14"/>
  <c r="Q133" i="14"/>
  <c r="I140" i="14"/>
  <c r="I15" i="14"/>
  <c r="O12" i="14"/>
  <c r="N19" i="14"/>
  <c r="L136" i="14"/>
  <c r="N100" i="14"/>
  <c r="I149" i="14"/>
  <c r="I150" i="14" s="1"/>
  <c r="P109" i="14"/>
  <c r="T143" i="14"/>
  <c r="N102" i="14"/>
  <c r="O116" i="14"/>
  <c r="O136" i="14"/>
  <c r="M133" i="14"/>
  <c r="T125" i="14"/>
  <c r="S38" i="14"/>
  <c r="P137" i="14"/>
  <c r="O80" i="14"/>
  <c r="P118" i="14"/>
  <c r="I118" i="14"/>
  <c r="N114" i="14"/>
  <c r="Z78" i="12" s="1"/>
  <c r="Q164" i="14"/>
  <c r="K22" i="14"/>
  <c r="N18" i="14"/>
  <c r="L94" i="14"/>
  <c r="L46" i="14"/>
  <c r="X44" i="12" s="1"/>
  <c r="T136" i="14"/>
  <c r="K137" i="14"/>
  <c r="I110" i="14"/>
  <c r="I80" i="14"/>
  <c r="K124" i="14"/>
  <c r="L143" i="14"/>
  <c r="M110" i="14"/>
  <c r="I116" i="14"/>
  <c r="K118" i="14"/>
  <c r="N137" i="14"/>
  <c r="J116" i="14"/>
  <c r="L133" i="14"/>
  <c r="P149" i="14"/>
  <c r="P165" i="14"/>
  <c r="T164" i="14"/>
  <c r="M126" i="14"/>
  <c r="N142" i="14"/>
  <c r="M19" i="14"/>
  <c r="S110" i="14"/>
  <c r="P124" i="14"/>
  <c r="S116" i="14"/>
  <c r="N92" i="14"/>
  <c r="J165" i="14"/>
  <c r="R142" i="14"/>
  <c r="N147" i="14"/>
  <c r="N18" i="8"/>
  <c r="K18" i="8"/>
  <c r="M18" i="8"/>
  <c r="O18" i="8"/>
  <c r="L18" i="8"/>
  <c r="J18" i="8"/>
  <c r="I18" i="8"/>
  <c r="BT55" i="1"/>
  <c r="AL39" i="1"/>
  <c r="AT39" i="1" s="1"/>
  <c r="BL31" i="1"/>
  <c r="BL55" i="1"/>
  <c r="BL47" i="1"/>
  <c r="AY39" i="1"/>
  <c r="AY6" i="1"/>
  <c r="AL31" i="1"/>
  <c r="AT31" i="1" s="1"/>
  <c r="AY31" i="1"/>
  <c r="BB39" i="1"/>
  <c r="AY47" i="1"/>
  <c r="AS47" i="1"/>
  <c r="AY7" i="1"/>
  <c r="I117" i="14" s="1"/>
  <c r="U68" i="12" s="1"/>
  <c r="AT55" i="1"/>
  <c r="AT7" i="1"/>
  <c r="BL7" i="1"/>
  <c r="P150" i="14" l="1"/>
  <c r="J17" i="14"/>
  <c r="N37" i="14"/>
  <c r="P71" i="14"/>
  <c r="AB40" i="12" s="1"/>
  <c r="Q68" i="14"/>
  <c r="AC37" i="12" s="1"/>
  <c r="R68" i="14"/>
  <c r="AD37" i="12" s="1"/>
  <c r="P183" i="14"/>
  <c r="K11" i="14"/>
  <c r="J183" i="14"/>
  <c r="S183" i="14"/>
  <c r="M24" i="14"/>
  <c r="M25" i="14" s="1"/>
  <c r="I17" i="14"/>
  <c r="P37" i="14"/>
  <c r="P20" i="14" s="1"/>
  <c r="P21" i="14" s="1"/>
  <c r="N41" i="14"/>
  <c r="K68" i="14"/>
  <c r="W37" i="12" s="1"/>
  <c r="J37" i="14"/>
  <c r="J20" i="14" s="1"/>
  <c r="J21" i="14" s="1"/>
  <c r="M71" i="14"/>
  <c r="Y40" i="12" s="1"/>
  <c r="Q183" i="14"/>
  <c r="T41" i="14"/>
  <c r="P154" i="14"/>
  <c r="AB81" i="12" s="1"/>
  <c r="T71" i="14"/>
  <c r="AF40" i="12" s="1"/>
  <c r="I71" i="14"/>
  <c r="U40" i="12" s="1"/>
  <c r="Q154" i="14"/>
  <c r="AC81" i="12" s="1"/>
  <c r="K71" i="14"/>
  <c r="W40" i="12" s="1"/>
  <c r="O37" i="14"/>
  <c r="O20" i="14" s="1"/>
  <c r="O21" i="14" s="1"/>
  <c r="N177" i="14"/>
  <c r="R11" i="14"/>
  <c r="L11" i="14"/>
  <c r="K150" i="14"/>
  <c r="I41" i="14"/>
  <c r="L17" i="14"/>
  <c r="O11" i="14"/>
  <c r="Q71" i="14"/>
  <c r="AC40" i="12" s="1"/>
  <c r="R183" i="14"/>
  <c r="T154" i="14"/>
  <c r="AF81" i="12" s="1"/>
  <c r="N71" i="14"/>
  <c r="Z40" i="12" s="1"/>
  <c r="L41" i="14"/>
  <c r="L154" i="14"/>
  <c r="X81" i="12" s="1"/>
  <c r="M41" i="14"/>
  <c r="S47" i="14"/>
  <c r="K154" i="14"/>
  <c r="W81" i="12" s="1"/>
  <c r="J150" i="14"/>
  <c r="M150" i="14"/>
  <c r="N134" i="14"/>
  <c r="N135" i="14" s="1"/>
  <c r="N154" i="14"/>
  <c r="Z81" i="12" s="1"/>
  <c r="Q150" i="14"/>
  <c r="I68" i="14"/>
  <c r="U37" i="12" s="1"/>
  <c r="R41" i="14"/>
  <c r="R42" i="14" s="1"/>
  <c r="R43" i="14" s="1"/>
  <c r="M68" i="14"/>
  <c r="Y37" i="12" s="1"/>
  <c r="R150" i="14"/>
  <c r="J41" i="14"/>
  <c r="K41" i="14"/>
  <c r="S11" i="14"/>
  <c r="L37" i="14"/>
  <c r="L20" i="14" s="1"/>
  <c r="L21" i="14" s="1"/>
  <c r="O71" i="14"/>
  <c r="AA40" i="12" s="1"/>
  <c r="P66" i="14"/>
  <c r="J11" i="14"/>
  <c r="M47" i="14"/>
  <c r="O66" i="14"/>
  <c r="L68" i="14"/>
  <c r="X37" i="12" s="1"/>
  <c r="Q11" i="14"/>
  <c r="S160" i="14"/>
  <c r="N20" i="14"/>
  <c r="N21" i="14" s="1"/>
  <c r="P75" i="14"/>
  <c r="AB42" i="12"/>
  <c r="J138" i="14"/>
  <c r="J160" i="14"/>
  <c r="J161" i="14"/>
  <c r="J159" i="14"/>
  <c r="T150" i="14"/>
  <c r="Z72" i="12"/>
  <c r="N115" i="14"/>
  <c r="T33" i="14"/>
  <c r="T63" i="14"/>
  <c r="T65" i="14" s="1"/>
  <c r="T56" i="14"/>
  <c r="T183" i="14"/>
  <c r="M199" i="2"/>
  <c r="Y101" i="12"/>
  <c r="L199" i="2"/>
  <c r="X101" i="12"/>
  <c r="K199" i="2"/>
  <c r="W101" i="12"/>
  <c r="K160" i="14"/>
  <c r="K159" i="14"/>
  <c r="K138" i="14"/>
  <c r="K161" i="14"/>
  <c r="S24" i="14"/>
  <c r="S25" i="14" s="1"/>
  <c r="S146" i="14"/>
  <c r="S139" i="14"/>
  <c r="S155" i="14"/>
  <c r="R146" i="14"/>
  <c r="R139" i="14"/>
  <c r="R155" i="14"/>
  <c r="N112" i="14"/>
  <c r="N113" i="14"/>
  <c r="M66" i="14"/>
  <c r="I146" i="14"/>
  <c r="I155" i="14"/>
  <c r="I139" i="14"/>
  <c r="J75" i="14"/>
  <c r="V42" i="12"/>
  <c r="O159" i="14"/>
  <c r="O138" i="14"/>
  <c r="O161" i="14"/>
  <c r="O160" i="14"/>
  <c r="AE42" i="12"/>
  <c r="S75" i="14"/>
  <c r="L113" i="14"/>
  <c r="L112" i="14"/>
  <c r="Q41" i="14"/>
  <c r="Q42" i="14" s="1"/>
  <c r="Q43" i="14" s="1"/>
  <c r="O41" i="14"/>
  <c r="R20" i="14"/>
  <c r="R21" i="14" s="1"/>
  <c r="W72" i="12"/>
  <c r="K115" i="14"/>
  <c r="L138" i="14"/>
  <c r="L161" i="14"/>
  <c r="L160" i="14"/>
  <c r="L159" i="14"/>
  <c r="L24" i="14"/>
  <c r="L25" i="14" s="1"/>
  <c r="R47" i="14"/>
  <c r="R24" i="14"/>
  <c r="R25" i="14" s="1"/>
  <c r="X72" i="12"/>
  <c r="L115" i="14"/>
  <c r="AA42" i="12"/>
  <c r="O75" i="14"/>
  <c r="N183" i="14"/>
  <c r="Q66" i="14"/>
  <c r="P11" i="14"/>
  <c r="AA101" i="12"/>
  <c r="O199" i="2"/>
  <c r="Q199" i="2"/>
  <c r="AC101" i="12"/>
  <c r="AE101" i="12"/>
  <c r="S199" i="2"/>
  <c r="K63" i="14"/>
  <c r="K65" i="14" s="1"/>
  <c r="K33" i="14"/>
  <c r="K56" i="14"/>
  <c r="P138" i="14"/>
  <c r="P161" i="14"/>
  <c r="P159" i="14"/>
  <c r="P160" i="14"/>
  <c r="N56" i="14"/>
  <c r="N33" i="14"/>
  <c r="N63" i="14"/>
  <c r="N65" i="14" s="1"/>
  <c r="P68" i="14"/>
  <c r="AB37" i="12" s="1"/>
  <c r="P115" i="14"/>
  <c r="AB72" i="12"/>
  <c r="N66" i="14"/>
  <c r="Q113" i="14"/>
  <c r="Q112" i="14"/>
  <c r="I75" i="14"/>
  <c r="U42" i="12"/>
  <c r="T17" i="14"/>
  <c r="S41" i="14"/>
  <c r="Q33" i="14"/>
  <c r="Q63" i="14"/>
  <c r="Q65" i="14" s="1"/>
  <c r="Q56" i="14"/>
  <c r="Q20" i="14"/>
  <c r="Q21" i="14" s="1"/>
  <c r="T66" i="14"/>
  <c r="AA92" i="12"/>
  <c r="O177" i="14"/>
  <c r="O158" i="14"/>
  <c r="O157" i="14"/>
  <c r="O134" i="14"/>
  <c r="O135" i="14" s="1"/>
  <c r="O148" i="14"/>
  <c r="O156" i="14"/>
  <c r="I183" i="14"/>
  <c r="S154" i="14"/>
  <c r="AE81" i="12" s="1"/>
  <c r="O115" i="14"/>
  <c r="AA72" i="12"/>
  <c r="J146" i="14"/>
  <c r="J155" i="14"/>
  <c r="J139" i="14"/>
  <c r="K47" i="14"/>
  <c r="K24" i="14"/>
  <c r="K25" i="14" s="1"/>
  <c r="I47" i="14"/>
  <c r="I24" i="14"/>
  <c r="I25" i="14" s="1"/>
  <c r="Q47" i="14"/>
  <c r="O113" i="14"/>
  <c r="O112" i="14"/>
  <c r="M37" i="14"/>
  <c r="M20" i="14" s="1"/>
  <c r="M21" i="14" s="1"/>
  <c r="X92" i="12"/>
  <c r="L134" i="14"/>
  <c r="L135" i="14" s="1"/>
  <c r="L148" i="14"/>
  <c r="L177" i="14"/>
  <c r="L158" i="14"/>
  <c r="L157" i="14"/>
  <c r="L156" i="14"/>
  <c r="I154" i="14"/>
  <c r="U81" i="12" s="1"/>
  <c r="Y92" i="12"/>
  <c r="M148" i="14"/>
  <c r="M177" i="14"/>
  <c r="M157" i="14"/>
  <c r="M134" i="14"/>
  <c r="M135" i="14" s="1"/>
  <c r="M156" i="14"/>
  <c r="M158" i="14"/>
  <c r="I148" i="14"/>
  <c r="M154" i="14"/>
  <c r="Y81" i="12" s="1"/>
  <c r="M161" i="14"/>
  <c r="M160" i="14"/>
  <c r="M159" i="14"/>
  <c r="M138" i="14"/>
  <c r="R112" i="14"/>
  <c r="R113" i="14"/>
  <c r="R154" i="14"/>
  <c r="AD81" i="12" s="1"/>
  <c r="M139" i="14"/>
  <c r="M146" i="14"/>
  <c r="M155" i="14"/>
  <c r="T68" i="14"/>
  <c r="AF37" i="12" s="1"/>
  <c r="AF42" i="12"/>
  <c r="T75" i="14"/>
  <c r="L150" i="14"/>
  <c r="J24" i="14"/>
  <c r="J25" i="14" s="1"/>
  <c r="J47" i="14"/>
  <c r="J33" i="14"/>
  <c r="J56" i="14"/>
  <c r="J63" i="14"/>
  <c r="J65" i="14" s="1"/>
  <c r="P41" i="14"/>
  <c r="I112" i="14"/>
  <c r="I113" i="14"/>
  <c r="Q139" i="14"/>
  <c r="Q155" i="14"/>
  <c r="Q146" i="14"/>
  <c r="S37" i="14"/>
  <c r="N17" i="14"/>
  <c r="L183" i="14"/>
  <c r="K17" i="14"/>
  <c r="N47" i="14"/>
  <c r="N24" i="14"/>
  <c r="N25" i="14" s="1"/>
  <c r="O154" i="14"/>
  <c r="AA81" i="12" s="1"/>
  <c r="R17" i="14"/>
  <c r="U92" i="12"/>
  <c r="I134" i="14"/>
  <c r="I135" i="14" s="1"/>
  <c r="I177" i="14"/>
  <c r="I158" i="14"/>
  <c r="I157" i="14"/>
  <c r="I156" i="14"/>
  <c r="K66" i="14"/>
  <c r="Z42" i="12"/>
  <c r="N75" i="14"/>
  <c r="L71" i="14"/>
  <c r="X40" i="12" s="1"/>
  <c r="Q17" i="14"/>
  <c r="Z101" i="12"/>
  <c r="N199" i="2"/>
  <c r="R199" i="2"/>
  <c r="AD101" i="12"/>
  <c r="U101" i="12"/>
  <c r="I199" i="2"/>
  <c r="S148" i="14"/>
  <c r="S177" i="14"/>
  <c r="S157" i="14"/>
  <c r="AE92" i="12"/>
  <c r="S156" i="14"/>
  <c r="S158" i="14"/>
  <c r="S134" i="14"/>
  <c r="S135" i="14" s="1"/>
  <c r="Q75" i="14"/>
  <c r="AC42" i="12"/>
  <c r="V72" i="12"/>
  <c r="J115" i="14"/>
  <c r="I159" i="14"/>
  <c r="I138" i="14"/>
  <c r="I160" i="14"/>
  <c r="I161" i="14"/>
  <c r="O56" i="14"/>
  <c r="O33" i="14"/>
  <c r="O63" i="14"/>
  <c r="O65" i="14" s="1"/>
  <c r="N68" i="14"/>
  <c r="Z37" i="12" s="1"/>
  <c r="J113" i="14"/>
  <c r="J112" i="14"/>
  <c r="T146" i="14"/>
  <c r="T139" i="14"/>
  <c r="T155" i="14"/>
  <c r="P112" i="14"/>
  <c r="P113" i="14"/>
  <c r="O146" i="14"/>
  <c r="O155" i="14"/>
  <c r="O139" i="14"/>
  <c r="S113" i="14"/>
  <c r="S112" i="14"/>
  <c r="N146" i="14"/>
  <c r="N155" i="14"/>
  <c r="N139" i="14"/>
  <c r="I115" i="14"/>
  <c r="U72" i="12"/>
  <c r="AD72" i="12"/>
  <c r="R115" i="14"/>
  <c r="K112" i="14"/>
  <c r="K113" i="14"/>
  <c r="M115" i="14"/>
  <c r="Y72" i="12"/>
  <c r="P146" i="14"/>
  <c r="P139" i="14"/>
  <c r="P155" i="14"/>
  <c r="P47" i="14"/>
  <c r="P24" i="14"/>
  <c r="P25" i="14" s="1"/>
  <c r="T113" i="14"/>
  <c r="T112" i="14"/>
  <c r="K139" i="14"/>
  <c r="K146" i="14"/>
  <c r="K155" i="14"/>
  <c r="L33" i="14"/>
  <c r="L56" i="14"/>
  <c r="L63" i="14"/>
  <c r="L65" i="14" s="1"/>
  <c r="I56" i="14"/>
  <c r="I63" i="14"/>
  <c r="I65" i="14" s="1"/>
  <c r="I33" i="14"/>
  <c r="N11" i="14"/>
  <c r="J68" i="14"/>
  <c r="V37" i="12" s="1"/>
  <c r="K37" i="14"/>
  <c r="K20" i="14" s="1"/>
  <c r="K21" i="14" s="1"/>
  <c r="Q24" i="14"/>
  <c r="Q25" i="14" s="1"/>
  <c r="T47" i="14"/>
  <c r="T24" i="14"/>
  <c r="T25" i="14" s="1"/>
  <c r="X42" i="12"/>
  <c r="L75" i="14"/>
  <c r="R161" i="14"/>
  <c r="R160" i="14"/>
  <c r="R159" i="14"/>
  <c r="R138" i="14"/>
  <c r="AC72" i="12"/>
  <c r="Q115" i="14"/>
  <c r="T159" i="14"/>
  <c r="T160" i="14"/>
  <c r="T138" i="14"/>
  <c r="T161" i="14"/>
  <c r="S68" i="14"/>
  <c r="AE37" i="12" s="1"/>
  <c r="M11" i="14"/>
  <c r="S161" i="14"/>
  <c r="S159" i="14"/>
  <c r="S138" i="14"/>
  <c r="V92" i="12"/>
  <c r="J148" i="14"/>
  <c r="J158" i="14"/>
  <c r="J134" i="14"/>
  <c r="J135" i="14" s="1"/>
  <c r="J177" i="14"/>
  <c r="J157" i="14"/>
  <c r="J156" i="14"/>
  <c r="AB92" i="12"/>
  <c r="P177" i="14"/>
  <c r="P157" i="14"/>
  <c r="P158" i="14"/>
  <c r="P148" i="14"/>
  <c r="P134" i="14"/>
  <c r="P135" i="14" s="1"/>
  <c r="P156" i="14"/>
  <c r="AF72" i="12"/>
  <c r="T115" i="14"/>
  <c r="AF101" i="12"/>
  <c r="T199" i="2"/>
  <c r="J199" i="2"/>
  <c r="V101" i="12"/>
  <c r="T157" i="14"/>
  <c r="T158" i="14"/>
  <c r="AF92" i="12"/>
  <c r="T134" i="14"/>
  <c r="T135" i="14" s="1"/>
  <c r="T177" i="14"/>
  <c r="T156" i="14"/>
  <c r="T148" i="14"/>
  <c r="W92" i="12"/>
  <c r="K156" i="14"/>
  <c r="K134" i="14"/>
  <c r="K135" i="14" s="1"/>
  <c r="K148" i="14"/>
  <c r="K177" i="14"/>
  <c r="K157" i="14"/>
  <c r="K158" i="14"/>
  <c r="Y42" i="12"/>
  <c r="M75" i="14"/>
  <c r="AC92" i="12"/>
  <c r="Q134" i="14"/>
  <c r="Q135" i="14" s="1"/>
  <c r="Q148" i="14"/>
  <c r="Q177" i="14"/>
  <c r="Q158" i="14"/>
  <c r="Q157" i="14"/>
  <c r="Q156" i="14"/>
  <c r="N160" i="14"/>
  <c r="N161" i="14"/>
  <c r="N138" i="14"/>
  <c r="N159" i="14"/>
  <c r="L155" i="14"/>
  <c r="L146" i="14"/>
  <c r="L139" i="14"/>
  <c r="O150" i="14"/>
  <c r="M113" i="14"/>
  <c r="M112" i="14"/>
  <c r="S150" i="14"/>
  <c r="R63" i="14"/>
  <c r="R65" i="14" s="1"/>
  <c r="R56" i="14"/>
  <c r="R33" i="14"/>
  <c r="P56" i="14"/>
  <c r="P33" i="14"/>
  <c r="P63" i="14"/>
  <c r="P65" i="14" s="1"/>
  <c r="T11" i="14"/>
  <c r="S115" i="14"/>
  <c r="AE72" i="12"/>
  <c r="O68" i="14"/>
  <c r="AA37" i="12" s="1"/>
  <c r="S63" i="14"/>
  <c r="S65" i="14" s="1"/>
  <c r="S56" i="14"/>
  <c r="R66" i="14"/>
  <c r="M33" i="14"/>
  <c r="M56" i="14"/>
  <c r="M63" i="14"/>
  <c r="M65" i="14" s="1"/>
  <c r="K75" i="14"/>
  <c r="W42" i="12"/>
  <c r="O17" i="14"/>
  <c r="O24" i="14"/>
  <c r="O25" i="14" s="1"/>
  <c r="O47" i="14"/>
  <c r="AD92" i="12"/>
  <c r="R177" i="14"/>
  <c r="R158" i="14"/>
  <c r="R157" i="14"/>
  <c r="R156" i="14"/>
  <c r="R148" i="14"/>
  <c r="R134" i="14"/>
  <c r="R135" i="14" s="1"/>
  <c r="S66" i="14"/>
  <c r="Q160" i="14"/>
  <c r="Q159" i="14"/>
  <c r="Q161" i="14"/>
  <c r="Q138" i="14"/>
  <c r="R75" i="14"/>
  <c r="AD42" i="12"/>
  <c r="I37" i="14"/>
  <c r="I20" i="14" s="1"/>
  <c r="I21" i="14" s="1"/>
  <c r="S33" i="14"/>
  <c r="T37" i="14"/>
  <c r="I11" i="14"/>
  <c r="L47" i="14"/>
  <c r="J66" i="14"/>
  <c r="M17" i="14"/>
  <c r="J71" i="14"/>
  <c r="V40" i="12" s="1"/>
  <c r="Z92" i="12"/>
  <c r="N156" i="14"/>
  <c r="N158" i="14"/>
  <c r="N157" i="14"/>
  <c r="N148" i="14"/>
  <c r="N150" i="14"/>
  <c r="R71" i="14"/>
  <c r="AD40" i="12" s="1"/>
  <c r="I66" i="14"/>
  <c r="J154" i="14"/>
  <c r="V81" i="12" s="1"/>
  <c r="P199" i="2"/>
  <c r="AB101" i="12"/>
  <c r="L77" i="14"/>
  <c r="I77" i="14"/>
  <c r="O77" i="14"/>
  <c r="J77" i="14"/>
  <c r="M77" i="14"/>
  <c r="K77" i="14"/>
  <c r="N77" i="14"/>
  <c r="M77" i="2"/>
  <c r="M77" i="10"/>
  <c r="K77" i="2"/>
  <c r="K77" i="10"/>
  <c r="O77" i="2"/>
  <c r="O77" i="10"/>
  <c r="I77" i="2"/>
  <c r="I77" i="10"/>
  <c r="N77" i="2"/>
  <c r="N77" i="10"/>
  <c r="J77" i="2"/>
  <c r="J77" i="10"/>
  <c r="L77" i="2"/>
  <c r="L77" i="10"/>
  <c r="AU55" i="1"/>
  <c r="N42" i="14" l="1"/>
  <c r="N43" i="14" s="1"/>
  <c r="J42" i="14"/>
  <c r="J43" i="14" s="1"/>
  <c r="P42" i="14"/>
  <c r="P43" i="14" s="1"/>
  <c r="O42" i="14"/>
  <c r="O43" i="14" s="1"/>
  <c r="L42" i="14"/>
  <c r="L43" i="14" s="1"/>
  <c r="M42" i="14"/>
  <c r="M43" i="14" s="1"/>
  <c r="N187" i="14"/>
  <c r="O187" i="14"/>
  <c r="AA99" i="12"/>
  <c r="J99" i="12" s="1"/>
  <c r="AF99" i="12"/>
  <c r="O99" i="12" s="1"/>
  <c r="Z99" i="12"/>
  <c r="I99" i="12" s="1"/>
  <c r="W99" i="12"/>
  <c r="F99" i="12" s="1"/>
  <c r="Y99" i="12"/>
  <c r="H99" i="12" s="1"/>
  <c r="N186" i="14"/>
  <c r="I42" i="14"/>
  <c r="I43" i="14" s="1"/>
  <c r="AD99" i="12"/>
  <c r="M99" i="12" s="1"/>
  <c r="AE99" i="12"/>
  <c r="N99" i="12" s="1"/>
  <c r="S42" i="14"/>
  <c r="S43" i="14" s="1"/>
  <c r="S20" i="14"/>
  <c r="S21" i="14" s="1"/>
  <c r="AB99" i="12"/>
  <c r="K99" i="12" s="1"/>
  <c r="V99" i="12"/>
  <c r="E99" i="12" s="1"/>
  <c r="U99" i="12"/>
  <c r="D99" i="12" s="1"/>
  <c r="T20" i="14"/>
  <c r="T21" i="14" s="1"/>
  <c r="T42" i="14"/>
  <c r="T43" i="14" s="1"/>
  <c r="O186" i="14"/>
  <c r="K42" i="14"/>
  <c r="K43" i="14" s="1"/>
  <c r="AC99" i="12"/>
  <c r="L99" i="12" s="1"/>
  <c r="X99" i="12"/>
  <c r="G99" i="12" s="1"/>
  <c r="J1" i="5"/>
  <c r="Q368" i="3" l="1"/>
  <c r="P368" i="3"/>
  <c r="O368" i="3"/>
  <c r="N368" i="3"/>
  <c r="Q367" i="3"/>
  <c r="P367" i="3"/>
  <c r="O367" i="3"/>
  <c r="N367" i="3"/>
  <c r="Q366" i="3"/>
  <c r="P366" i="3"/>
  <c r="O366" i="3"/>
  <c r="N366" i="3"/>
  <c r="Q365" i="3"/>
  <c r="P365" i="3"/>
  <c r="O365" i="3"/>
  <c r="N365" i="3"/>
  <c r="Q364" i="3"/>
  <c r="P364" i="3"/>
  <c r="O364" i="3"/>
  <c r="N364" i="3"/>
  <c r="Q363" i="3"/>
  <c r="P363" i="3"/>
  <c r="O363" i="3"/>
  <c r="N363" i="3"/>
  <c r="Q362" i="3"/>
  <c r="P362" i="3"/>
  <c r="O362" i="3"/>
  <c r="N362" i="3"/>
  <c r="Q361" i="3"/>
  <c r="P361" i="3"/>
  <c r="O361" i="3"/>
  <c r="N361" i="3"/>
  <c r="Q360" i="3"/>
  <c r="P360" i="3"/>
  <c r="O360" i="3"/>
  <c r="N360" i="3"/>
  <c r="Q359" i="3"/>
  <c r="P359" i="3"/>
  <c r="O359" i="3"/>
  <c r="N359" i="3"/>
  <c r="Q358" i="3"/>
  <c r="P358" i="3"/>
  <c r="O358" i="3"/>
  <c r="N358" i="3"/>
  <c r="Q357" i="3"/>
  <c r="P357" i="3"/>
  <c r="O357" i="3"/>
  <c r="N357" i="3"/>
  <c r="Q356" i="3"/>
  <c r="P356" i="3"/>
  <c r="O356" i="3"/>
  <c r="N356" i="3"/>
  <c r="Q355" i="3"/>
  <c r="P355" i="3"/>
  <c r="O355" i="3"/>
  <c r="N355" i="3"/>
  <c r="Q354" i="3"/>
  <c r="P354" i="3"/>
  <c r="O354" i="3"/>
  <c r="N354" i="3"/>
  <c r="Q353" i="3"/>
  <c r="P353" i="3"/>
  <c r="O353" i="3"/>
  <c r="N353" i="3"/>
  <c r="Q352" i="3"/>
  <c r="P352" i="3"/>
  <c r="O352" i="3"/>
  <c r="N352" i="3"/>
  <c r="Q351" i="3"/>
  <c r="P351" i="3"/>
  <c r="O351" i="3"/>
  <c r="N351" i="3"/>
  <c r="Q350" i="3"/>
  <c r="P350" i="3"/>
  <c r="O350" i="3"/>
  <c r="N350" i="3"/>
  <c r="Q349" i="3"/>
  <c r="P349" i="3"/>
  <c r="O349" i="3"/>
  <c r="N349" i="3"/>
  <c r="Q348" i="3"/>
  <c r="P348" i="3"/>
  <c r="O348" i="3"/>
  <c r="N348" i="3"/>
  <c r="Q347" i="3"/>
  <c r="P347" i="3"/>
  <c r="O347" i="3"/>
  <c r="N347" i="3"/>
  <c r="Q346" i="3"/>
  <c r="P346" i="3"/>
  <c r="O346" i="3"/>
  <c r="N346" i="3"/>
  <c r="Q345" i="3"/>
  <c r="P345" i="3"/>
  <c r="O345" i="3"/>
  <c r="N345" i="3"/>
  <c r="Q344" i="3"/>
  <c r="P344" i="3"/>
  <c r="O344" i="3"/>
  <c r="N344" i="3"/>
  <c r="Q343" i="3"/>
  <c r="P343" i="3"/>
  <c r="O343" i="3"/>
  <c r="N343" i="3"/>
  <c r="Q342" i="3"/>
  <c r="P342" i="3"/>
  <c r="O342" i="3"/>
  <c r="N342" i="3"/>
  <c r="Q341" i="3"/>
  <c r="P341" i="3"/>
  <c r="O341" i="3"/>
  <c r="N341" i="3"/>
  <c r="Q340" i="3"/>
  <c r="P340" i="3"/>
  <c r="O340" i="3"/>
  <c r="N340" i="3"/>
  <c r="Q339" i="3"/>
  <c r="P339" i="3"/>
  <c r="O339" i="3"/>
  <c r="N339" i="3"/>
  <c r="Q338" i="3"/>
  <c r="P338" i="3"/>
  <c r="O338" i="3"/>
  <c r="N338" i="3"/>
  <c r="Q337" i="3"/>
  <c r="P337" i="3"/>
  <c r="O337" i="3"/>
  <c r="N337" i="3"/>
  <c r="Q336" i="3"/>
  <c r="P336" i="3"/>
  <c r="O336" i="3"/>
  <c r="N336" i="3"/>
  <c r="Q335" i="3"/>
  <c r="P335" i="3"/>
  <c r="O335" i="3"/>
  <c r="N335" i="3"/>
  <c r="Q334" i="3"/>
  <c r="P334" i="3"/>
  <c r="O334" i="3"/>
  <c r="N334" i="3"/>
  <c r="Q333" i="3"/>
  <c r="P333" i="3"/>
  <c r="O333" i="3"/>
  <c r="N333" i="3"/>
  <c r="Q332" i="3"/>
  <c r="P332" i="3"/>
  <c r="O332" i="3"/>
  <c r="N332" i="3"/>
  <c r="Q331" i="3"/>
  <c r="P331" i="3"/>
  <c r="O331" i="3"/>
  <c r="N331" i="3"/>
  <c r="Q330" i="3"/>
  <c r="P330" i="3"/>
  <c r="O330" i="3"/>
  <c r="N330" i="3"/>
  <c r="Q329" i="3"/>
  <c r="P329" i="3"/>
  <c r="O329" i="3"/>
  <c r="N329" i="3"/>
  <c r="Q328" i="3"/>
  <c r="P328" i="3"/>
  <c r="O328" i="3"/>
  <c r="N328" i="3"/>
  <c r="Q327" i="3"/>
  <c r="P327" i="3"/>
  <c r="O327" i="3"/>
  <c r="N327" i="3"/>
  <c r="Q326" i="3"/>
  <c r="P326" i="3"/>
  <c r="O326" i="3"/>
  <c r="N326" i="3"/>
  <c r="Q325" i="3"/>
  <c r="P325" i="3"/>
  <c r="O325" i="3"/>
  <c r="N325" i="3"/>
  <c r="Q324" i="3"/>
  <c r="P324" i="3"/>
  <c r="O324" i="3"/>
  <c r="N324" i="3"/>
  <c r="Q323" i="3"/>
  <c r="P323" i="3"/>
  <c r="O323" i="3"/>
  <c r="N323" i="3"/>
  <c r="Q322" i="3"/>
  <c r="P322" i="3"/>
  <c r="O322" i="3"/>
  <c r="N322" i="3"/>
  <c r="Q321" i="3"/>
  <c r="P321" i="3"/>
  <c r="O321" i="3"/>
  <c r="N321" i="3"/>
  <c r="Q320" i="3"/>
  <c r="P320" i="3"/>
  <c r="O320" i="3"/>
  <c r="N320" i="3"/>
  <c r="Q319" i="3"/>
  <c r="P319" i="3"/>
  <c r="O319" i="3"/>
  <c r="N319" i="3"/>
  <c r="Q318" i="3"/>
  <c r="P318" i="3"/>
  <c r="O318" i="3"/>
  <c r="N318" i="3"/>
  <c r="Q317" i="3"/>
  <c r="P317" i="3"/>
  <c r="O317" i="3"/>
  <c r="N317" i="3"/>
  <c r="Q316" i="3"/>
  <c r="P316" i="3"/>
  <c r="O316" i="3"/>
  <c r="N316" i="3"/>
  <c r="Q315" i="3"/>
  <c r="P315" i="3"/>
  <c r="O315" i="3"/>
  <c r="N315" i="3"/>
  <c r="Q314" i="3"/>
  <c r="P314" i="3"/>
  <c r="O314" i="3"/>
  <c r="N314" i="3"/>
  <c r="Q313" i="3"/>
  <c r="P313" i="3"/>
  <c r="O313" i="3"/>
  <c r="N313" i="3"/>
  <c r="Q312" i="3"/>
  <c r="P312" i="3"/>
  <c r="O312" i="3"/>
  <c r="N312" i="3"/>
  <c r="Q311" i="3"/>
  <c r="P311" i="3"/>
  <c r="O311" i="3"/>
  <c r="N311" i="3"/>
  <c r="Q310" i="3"/>
  <c r="P310" i="3"/>
  <c r="O310" i="3"/>
  <c r="N310" i="3"/>
  <c r="Q309" i="3"/>
  <c r="P309" i="3"/>
  <c r="O309" i="3"/>
  <c r="N309" i="3"/>
  <c r="Q308" i="3"/>
  <c r="P308" i="3"/>
  <c r="O308" i="3"/>
  <c r="N308" i="3"/>
  <c r="Q307" i="3"/>
  <c r="P307" i="3"/>
  <c r="O307" i="3"/>
  <c r="N307" i="3"/>
  <c r="Q306" i="3"/>
  <c r="P306" i="3"/>
  <c r="O306" i="3"/>
  <c r="N306" i="3"/>
  <c r="Q305" i="3"/>
  <c r="P305" i="3"/>
  <c r="O305" i="3"/>
  <c r="N305" i="3"/>
  <c r="Q304" i="3"/>
  <c r="P304" i="3"/>
  <c r="O304" i="3"/>
  <c r="N304" i="3"/>
  <c r="Q303" i="3"/>
  <c r="P303" i="3"/>
  <c r="O303" i="3"/>
  <c r="N303" i="3"/>
  <c r="Q302" i="3"/>
  <c r="P302" i="3"/>
  <c r="O302" i="3"/>
  <c r="N302" i="3"/>
  <c r="Q301" i="3"/>
  <c r="P301" i="3"/>
  <c r="O301" i="3"/>
  <c r="N301" i="3"/>
  <c r="Q300" i="3"/>
  <c r="P300" i="3"/>
  <c r="O300" i="3"/>
  <c r="N300" i="3"/>
  <c r="Q299" i="3"/>
  <c r="P299" i="3"/>
  <c r="O299" i="3"/>
  <c r="N299" i="3"/>
  <c r="Q298" i="3"/>
  <c r="P298" i="3"/>
  <c r="O298" i="3"/>
  <c r="N298" i="3"/>
  <c r="Q297" i="3"/>
  <c r="P297" i="3"/>
  <c r="O297" i="3"/>
  <c r="N297" i="3"/>
  <c r="Q296" i="3"/>
  <c r="P296" i="3"/>
  <c r="O296" i="3"/>
  <c r="N296" i="3"/>
  <c r="Q295" i="3"/>
  <c r="P295" i="3"/>
  <c r="O295" i="3"/>
  <c r="N295" i="3"/>
  <c r="Q294" i="3"/>
  <c r="P294" i="3"/>
  <c r="O294" i="3"/>
  <c r="N294" i="3"/>
  <c r="Q293" i="3"/>
  <c r="P293" i="3"/>
  <c r="O293" i="3"/>
  <c r="N293" i="3"/>
  <c r="Q292" i="3"/>
  <c r="P292" i="3"/>
  <c r="O292" i="3"/>
  <c r="N292" i="3"/>
  <c r="Q291" i="3"/>
  <c r="P291" i="3"/>
  <c r="O291" i="3"/>
  <c r="N291" i="3"/>
  <c r="Q290" i="3"/>
  <c r="P290" i="3"/>
  <c r="O290" i="3"/>
  <c r="N290" i="3"/>
  <c r="Q289" i="3"/>
  <c r="P289" i="3"/>
  <c r="O289" i="3"/>
  <c r="N289" i="3"/>
  <c r="Q288" i="3"/>
  <c r="P288" i="3"/>
  <c r="O288" i="3"/>
  <c r="N288" i="3"/>
  <c r="Q287" i="3"/>
  <c r="P287" i="3"/>
  <c r="O287" i="3"/>
  <c r="N287" i="3"/>
  <c r="Q286" i="3"/>
  <c r="P286" i="3"/>
  <c r="O286" i="3"/>
  <c r="N286" i="3"/>
  <c r="Q285" i="3"/>
  <c r="P285" i="3"/>
  <c r="O285" i="3"/>
  <c r="N285" i="3"/>
  <c r="Q284" i="3"/>
  <c r="P284" i="3"/>
  <c r="O284" i="3"/>
  <c r="N284" i="3"/>
  <c r="Q283" i="3"/>
  <c r="P283" i="3"/>
  <c r="O283" i="3"/>
  <c r="N283" i="3"/>
  <c r="Q282" i="3"/>
  <c r="P282" i="3"/>
  <c r="O282" i="3"/>
  <c r="N282" i="3"/>
  <c r="Q281" i="3"/>
  <c r="P281" i="3"/>
  <c r="O281" i="3"/>
  <c r="N281" i="3"/>
  <c r="Q280" i="3"/>
  <c r="P280" i="3"/>
  <c r="O280" i="3"/>
  <c r="N280" i="3"/>
  <c r="Q279" i="3"/>
  <c r="P279" i="3"/>
  <c r="O279" i="3"/>
  <c r="N279" i="3"/>
  <c r="Q278" i="3"/>
  <c r="P278" i="3"/>
  <c r="O278" i="3"/>
  <c r="N278" i="3"/>
  <c r="Q277" i="3"/>
  <c r="P277" i="3"/>
  <c r="O277" i="3"/>
  <c r="N277" i="3"/>
  <c r="Q276" i="3"/>
  <c r="P276" i="3"/>
  <c r="O276" i="3"/>
  <c r="N276" i="3"/>
  <c r="Q275" i="3"/>
  <c r="P275" i="3"/>
  <c r="O275" i="3"/>
  <c r="N275" i="3"/>
  <c r="Q274" i="3"/>
  <c r="P274" i="3"/>
  <c r="O274" i="3"/>
  <c r="N274" i="3"/>
  <c r="Q273" i="3"/>
  <c r="P273" i="3"/>
  <c r="O273" i="3"/>
  <c r="N273" i="3"/>
  <c r="Q272" i="3"/>
  <c r="P272" i="3"/>
  <c r="O272" i="3"/>
  <c r="N272" i="3"/>
  <c r="Q271" i="3"/>
  <c r="P271" i="3"/>
  <c r="O271" i="3"/>
  <c r="N271" i="3"/>
  <c r="Q270" i="3"/>
  <c r="P270" i="3"/>
  <c r="O270" i="3"/>
  <c r="N270" i="3"/>
  <c r="Q269" i="3"/>
  <c r="P269" i="3"/>
  <c r="O269" i="3"/>
  <c r="N269" i="3"/>
  <c r="Q268" i="3"/>
  <c r="P268" i="3"/>
  <c r="O268" i="3"/>
  <c r="N268" i="3"/>
  <c r="Q267" i="3"/>
  <c r="P267" i="3"/>
  <c r="O267" i="3"/>
  <c r="N267" i="3"/>
  <c r="Q266" i="3"/>
  <c r="P266" i="3"/>
  <c r="O266" i="3"/>
  <c r="N266" i="3"/>
  <c r="Q265" i="3"/>
  <c r="P265" i="3"/>
  <c r="O265" i="3"/>
  <c r="N265" i="3"/>
  <c r="Q264" i="3"/>
  <c r="P264" i="3"/>
  <c r="O264" i="3"/>
  <c r="N264" i="3"/>
  <c r="Q263" i="3"/>
  <c r="P263" i="3"/>
  <c r="O263" i="3"/>
  <c r="N263" i="3"/>
  <c r="Q262" i="3"/>
  <c r="P262" i="3"/>
  <c r="O262" i="3"/>
  <c r="N262" i="3"/>
  <c r="Q261" i="3"/>
  <c r="P261" i="3"/>
  <c r="O261" i="3"/>
  <c r="N261" i="3"/>
  <c r="Q260" i="3"/>
  <c r="P260" i="3"/>
  <c r="O260" i="3"/>
  <c r="N260" i="3"/>
  <c r="Q259" i="3"/>
  <c r="P259" i="3"/>
  <c r="O259" i="3"/>
  <c r="N259" i="3"/>
  <c r="Q258" i="3"/>
  <c r="P258" i="3"/>
  <c r="O258" i="3"/>
  <c r="N258" i="3"/>
  <c r="Q257" i="3"/>
  <c r="P257" i="3"/>
  <c r="O257" i="3"/>
  <c r="N257" i="3"/>
  <c r="Q256" i="3"/>
  <c r="P256" i="3"/>
  <c r="O256" i="3"/>
  <c r="N256" i="3"/>
  <c r="Q255" i="3"/>
  <c r="P255" i="3"/>
  <c r="O255" i="3"/>
  <c r="N255" i="3"/>
  <c r="Q254" i="3"/>
  <c r="P254" i="3"/>
  <c r="O254" i="3"/>
  <c r="N254" i="3"/>
  <c r="Q253" i="3"/>
  <c r="P253" i="3"/>
  <c r="O253" i="3"/>
  <c r="N253" i="3"/>
  <c r="Q252" i="3"/>
  <c r="P252" i="3"/>
  <c r="O252" i="3"/>
  <c r="N252" i="3"/>
  <c r="Q251" i="3"/>
  <c r="P251" i="3"/>
  <c r="O251" i="3"/>
  <c r="N251" i="3"/>
  <c r="Q250" i="3"/>
  <c r="P250" i="3"/>
  <c r="O250" i="3"/>
  <c r="N250" i="3"/>
  <c r="Q249" i="3"/>
  <c r="P249" i="3"/>
  <c r="O249" i="3"/>
  <c r="N249" i="3"/>
  <c r="Q248" i="3"/>
  <c r="P248" i="3"/>
  <c r="O248" i="3"/>
  <c r="N248" i="3"/>
  <c r="Q247" i="3"/>
  <c r="P247" i="3"/>
  <c r="O247" i="3"/>
  <c r="N247" i="3"/>
  <c r="Q246" i="3"/>
  <c r="P246" i="3"/>
  <c r="O246" i="3"/>
  <c r="N246" i="3"/>
  <c r="Q245" i="3"/>
  <c r="P245" i="3"/>
  <c r="O245" i="3"/>
  <c r="N245" i="3"/>
  <c r="Q244" i="3"/>
  <c r="P244" i="3"/>
  <c r="O244" i="3"/>
  <c r="N244" i="3"/>
  <c r="Q243" i="3"/>
  <c r="P243" i="3"/>
  <c r="O243" i="3"/>
  <c r="N243" i="3"/>
  <c r="Q242" i="3"/>
  <c r="P242" i="3"/>
  <c r="O242" i="3"/>
  <c r="N242" i="3"/>
  <c r="Q241" i="3"/>
  <c r="P241" i="3"/>
  <c r="O241" i="3"/>
  <c r="N241" i="3"/>
  <c r="Q240" i="3"/>
  <c r="P240" i="3"/>
  <c r="O240" i="3"/>
  <c r="N240" i="3"/>
  <c r="Q239" i="3"/>
  <c r="P239" i="3"/>
  <c r="O239" i="3"/>
  <c r="N239" i="3"/>
  <c r="Q238" i="3"/>
  <c r="P238" i="3"/>
  <c r="O238" i="3"/>
  <c r="N238" i="3"/>
  <c r="Q237" i="3"/>
  <c r="P237" i="3"/>
  <c r="O237" i="3"/>
  <c r="N237" i="3"/>
  <c r="Q236" i="3"/>
  <c r="P236" i="3"/>
  <c r="O236" i="3"/>
  <c r="N236" i="3"/>
  <c r="Q235" i="3"/>
  <c r="P235" i="3"/>
  <c r="O235" i="3"/>
  <c r="N235" i="3"/>
  <c r="Q234" i="3"/>
  <c r="P234" i="3"/>
  <c r="O234" i="3"/>
  <c r="N234" i="3"/>
  <c r="Q233" i="3"/>
  <c r="P233" i="3"/>
  <c r="O233" i="3"/>
  <c r="N233" i="3"/>
  <c r="Q232" i="3"/>
  <c r="P232" i="3"/>
  <c r="O232" i="3"/>
  <c r="N232" i="3"/>
  <c r="Q231" i="3"/>
  <c r="P231" i="3"/>
  <c r="O231" i="3"/>
  <c r="N231" i="3"/>
  <c r="Q230" i="3"/>
  <c r="P230" i="3"/>
  <c r="O230" i="3"/>
  <c r="N230" i="3"/>
  <c r="Q229" i="3"/>
  <c r="P229" i="3"/>
  <c r="O229" i="3"/>
  <c r="N229" i="3"/>
  <c r="Q228" i="3"/>
  <c r="P228" i="3"/>
  <c r="O228" i="3"/>
  <c r="N228" i="3"/>
  <c r="Q227" i="3"/>
  <c r="P227" i="3"/>
  <c r="O227" i="3"/>
  <c r="N227" i="3"/>
  <c r="Q226" i="3"/>
  <c r="P226" i="3"/>
  <c r="O226" i="3"/>
  <c r="N226" i="3"/>
  <c r="Q225" i="3"/>
  <c r="P225" i="3"/>
  <c r="O225" i="3"/>
  <c r="N225" i="3"/>
  <c r="Q224" i="3"/>
  <c r="P224" i="3"/>
  <c r="O224" i="3"/>
  <c r="N224" i="3"/>
  <c r="Q223" i="3"/>
  <c r="P223" i="3"/>
  <c r="O223" i="3"/>
  <c r="N223" i="3"/>
  <c r="Q222" i="3"/>
  <c r="P222" i="3"/>
  <c r="O222" i="3"/>
  <c r="N222" i="3"/>
  <c r="Q221" i="3"/>
  <c r="P221" i="3"/>
  <c r="O221" i="3"/>
  <c r="N221" i="3"/>
  <c r="Q220" i="3"/>
  <c r="P220" i="3"/>
  <c r="O220" i="3"/>
  <c r="N220" i="3"/>
  <c r="Q219" i="3"/>
  <c r="P219" i="3"/>
  <c r="O219" i="3"/>
  <c r="N219" i="3"/>
  <c r="Q218" i="3"/>
  <c r="P218" i="3"/>
  <c r="O218" i="3"/>
  <c r="N218" i="3"/>
  <c r="Q217" i="3"/>
  <c r="P217" i="3"/>
  <c r="O217" i="3"/>
  <c r="N217" i="3"/>
  <c r="X15" i="3" s="1"/>
  <c r="Q216" i="3"/>
  <c r="P216" i="3"/>
  <c r="O216" i="3"/>
  <c r="N216" i="3"/>
  <c r="X16" i="3" s="1"/>
  <c r="Q215" i="3"/>
  <c r="P215" i="3"/>
  <c r="O215" i="3"/>
  <c r="N215" i="3"/>
  <c r="Q214" i="3"/>
  <c r="P214" i="3"/>
  <c r="O214" i="3"/>
  <c r="N214" i="3"/>
  <c r="Q213" i="3"/>
  <c r="P213" i="3"/>
  <c r="O213" i="3"/>
  <c r="N213" i="3"/>
  <c r="Q212" i="3"/>
  <c r="P212" i="3"/>
  <c r="O212" i="3"/>
  <c r="N212" i="3"/>
  <c r="Q211" i="3"/>
  <c r="P211" i="3"/>
  <c r="O211" i="3"/>
  <c r="N211" i="3"/>
  <c r="Q210" i="3"/>
  <c r="P210" i="3"/>
  <c r="O210" i="3"/>
  <c r="N210" i="3"/>
  <c r="Q209" i="3"/>
  <c r="P209" i="3"/>
  <c r="O209" i="3"/>
  <c r="N209" i="3"/>
  <c r="Q208" i="3"/>
  <c r="P208" i="3"/>
  <c r="O208" i="3"/>
  <c r="N208" i="3"/>
  <c r="Q207" i="3"/>
  <c r="P207" i="3"/>
  <c r="O207" i="3"/>
  <c r="N207" i="3"/>
  <c r="Q206" i="3"/>
  <c r="P206" i="3"/>
  <c r="O206" i="3"/>
  <c r="N206" i="3"/>
  <c r="Q205" i="3"/>
  <c r="P205" i="3"/>
  <c r="O205" i="3"/>
  <c r="N205" i="3"/>
  <c r="Q204" i="3"/>
  <c r="P204" i="3"/>
  <c r="O204" i="3"/>
  <c r="N204" i="3"/>
  <c r="Q203" i="3"/>
  <c r="P203" i="3"/>
  <c r="O203" i="3"/>
  <c r="N203" i="3"/>
  <c r="Q202" i="3"/>
  <c r="P202" i="3"/>
  <c r="O202" i="3"/>
  <c r="N202" i="3"/>
  <c r="Q201" i="3"/>
  <c r="P201" i="3"/>
  <c r="O201" i="3"/>
  <c r="N201" i="3"/>
  <c r="Q200" i="3"/>
  <c r="P200" i="3"/>
  <c r="O200" i="3"/>
  <c r="N200" i="3"/>
  <c r="Q199" i="3"/>
  <c r="P199" i="3"/>
  <c r="O199" i="3"/>
  <c r="N199" i="3"/>
  <c r="Q198" i="3"/>
  <c r="P198" i="3"/>
  <c r="O198" i="3"/>
  <c r="N198" i="3"/>
  <c r="Q197" i="3"/>
  <c r="P197" i="3"/>
  <c r="O197" i="3"/>
  <c r="N197" i="3"/>
  <c r="Q196" i="3"/>
  <c r="P196" i="3"/>
  <c r="O196" i="3"/>
  <c r="N196" i="3"/>
  <c r="Q195" i="3"/>
  <c r="P195" i="3"/>
  <c r="O195" i="3"/>
  <c r="N195" i="3"/>
  <c r="Q194" i="3"/>
  <c r="P194" i="3"/>
  <c r="O194" i="3"/>
  <c r="N194" i="3"/>
  <c r="Q193" i="3"/>
  <c r="P193" i="3"/>
  <c r="O193" i="3"/>
  <c r="N193" i="3"/>
  <c r="Q192" i="3"/>
  <c r="P192" i="3"/>
  <c r="O192" i="3"/>
  <c r="N192" i="3"/>
  <c r="Q191" i="3"/>
  <c r="P191" i="3"/>
  <c r="O191" i="3"/>
  <c r="N191" i="3"/>
  <c r="Q190" i="3"/>
  <c r="P190" i="3"/>
  <c r="O190" i="3"/>
  <c r="N190" i="3"/>
  <c r="Q189" i="3"/>
  <c r="P189" i="3"/>
  <c r="O189" i="3"/>
  <c r="N189" i="3"/>
  <c r="Q188" i="3"/>
  <c r="P188" i="3"/>
  <c r="O188" i="3"/>
  <c r="N188" i="3"/>
  <c r="Q187" i="3"/>
  <c r="P187" i="3"/>
  <c r="O187" i="3"/>
  <c r="N187" i="3"/>
  <c r="Q186" i="3"/>
  <c r="P186" i="3"/>
  <c r="O186" i="3"/>
  <c r="N186" i="3"/>
  <c r="Q185" i="3"/>
  <c r="P185" i="3"/>
  <c r="O185" i="3"/>
  <c r="N185" i="3"/>
  <c r="Q184" i="3"/>
  <c r="P184" i="3"/>
  <c r="O184" i="3"/>
  <c r="N184" i="3"/>
  <c r="Q183" i="3"/>
  <c r="P183" i="3"/>
  <c r="O183" i="3"/>
  <c r="N183" i="3"/>
  <c r="Q182" i="3"/>
  <c r="P182" i="3"/>
  <c r="O182" i="3"/>
  <c r="N182" i="3"/>
  <c r="Q181" i="3"/>
  <c r="P181" i="3"/>
  <c r="O181" i="3"/>
  <c r="N181" i="3"/>
  <c r="Q180" i="3"/>
  <c r="P180" i="3"/>
  <c r="O180" i="3"/>
  <c r="N180" i="3"/>
  <c r="Q179" i="3"/>
  <c r="P179" i="3"/>
  <c r="O179" i="3"/>
  <c r="N179" i="3"/>
  <c r="Q178" i="3"/>
  <c r="P178" i="3"/>
  <c r="O178" i="3"/>
  <c r="N178" i="3"/>
  <c r="Q177" i="3"/>
  <c r="P177" i="3"/>
  <c r="O177" i="3"/>
  <c r="N177" i="3"/>
  <c r="Q176" i="3"/>
  <c r="P176" i="3"/>
  <c r="O176" i="3"/>
  <c r="N176" i="3"/>
  <c r="Q175" i="3"/>
  <c r="P175" i="3"/>
  <c r="O175" i="3"/>
  <c r="N175" i="3"/>
  <c r="Q174" i="3"/>
  <c r="P174" i="3"/>
  <c r="O174" i="3"/>
  <c r="N174" i="3"/>
  <c r="Q173" i="3"/>
  <c r="P173" i="3"/>
  <c r="O173" i="3"/>
  <c r="N173" i="3"/>
  <c r="Q172" i="3"/>
  <c r="P172" i="3"/>
  <c r="O172" i="3"/>
  <c r="N172" i="3"/>
  <c r="Q171" i="3"/>
  <c r="P171" i="3"/>
  <c r="O171" i="3"/>
  <c r="N171" i="3"/>
  <c r="Q170" i="3"/>
  <c r="P170" i="3"/>
  <c r="O170" i="3"/>
  <c r="N170" i="3"/>
  <c r="Q169" i="3"/>
  <c r="P169" i="3"/>
  <c r="O169" i="3"/>
  <c r="N169" i="3"/>
  <c r="Q168" i="3"/>
  <c r="P168" i="3"/>
  <c r="O168" i="3"/>
  <c r="N168" i="3"/>
  <c r="Q167" i="3"/>
  <c r="P167" i="3"/>
  <c r="O167" i="3"/>
  <c r="N167" i="3"/>
  <c r="Q166" i="3"/>
  <c r="P166" i="3"/>
  <c r="O166" i="3"/>
  <c r="N166" i="3"/>
  <c r="Q165" i="3"/>
  <c r="P165" i="3"/>
  <c r="O165" i="3"/>
  <c r="N165" i="3"/>
  <c r="Q164" i="3"/>
  <c r="P164" i="3"/>
  <c r="O164" i="3"/>
  <c r="N164" i="3"/>
  <c r="Q163" i="3"/>
  <c r="P163" i="3"/>
  <c r="O163" i="3"/>
  <c r="N163" i="3"/>
  <c r="Q162" i="3"/>
  <c r="P162" i="3"/>
  <c r="O162" i="3"/>
  <c r="N162" i="3"/>
  <c r="Q161" i="3"/>
  <c r="P161" i="3"/>
  <c r="O161" i="3"/>
  <c r="N161" i="3"/>
  <c r="Q160" i="3"/>
  <c r="P160" i="3"/>
  <c r="O160" i="3"/>
  <c r="N160" i="3"/>
  <c r="Q159" i="3"/>
  <c r="P159" i="3"/>
  <c r="O159" i="3"/>
  <c r="N159" i="3"/>
  <c r="Q158" i="3"/>
  <c r="P158" i="3"/>
  <c r="O158" i="3"/>
  <c r="N158" i="3"/>
  <c r="Q157" i="3"/>
  <c r="P157" i="3"/>
  <c r="O157" i="3"/>
  <c r="N157" i="3"/>
  <c r="Q156" i="3"/>
  <c r="P156" i="3"/>
  <c r="O156" i="3"/>
  <c r="N156" i="3"/>
  <c r="Q155" i="3"/>
  <c r="P155" i="3"/>
  <c r="O155" i="3"/>
  <c r="N155" i="3"/>
  <c r="Q154" i="3"/>
  <c r="P154" i="3"/>
  <c r="O154" i="3"/>
  <c r="N154" i="3"/>
  <c r="Q153" i="3"/>
  <c r="P153" i="3"/>
  <c r="O153" i="3"/>
  <c r="N153" i="3"/>
  <c r="Q152" i="3"/>
  <c r="P152" i="3"/>
  <c r="O152" i="3"/>
  <c r="N152" i="3"/>
  <c r="Q151" i="3"/>
  <c r="P151" i="3"/>
  <c r="O151" i="3"/>
  <c r="N151" i="3"/>
  <c r="Q150" i="3"/>
  <c r="P150" i="3"/>
  <c r="O150" i="3"/>
  <c r="N150" i="3"/>
  <c r="Q149" i="3"/>
  <c r="P149" i="3"/>
  <c r="O149" i="3"/>
  <c r="N149" i="3"/>
  <c r="Q148" i="3"/>
  <c r="P148" i="3"/>
  <c r="O148" i="3"/>
  <c r="N148" i="3"/>
  <c r="Q147" i="3"/>
  <c r="P147" i="3"/>
  <c r="O147" i="3"/>
  <c r="N147" i="3"/>
  <c r="Q146" i="3"/>
  <c r="P146" i="3"/>
  <c r="O146" i="3"/>
  <c r="N146" i="3"/>
  <c r="Q145" i="3"/>
  <c r="P145" i="3"/>
  <c r="O145" i="3"/>
  <c r="N145" i="3"/>
  <c r="Q144" i="3"/>
  <c r="P144" i="3"/>
  <c r="O144" i="3"/>
  <c r="N144" i="3"/>
  <c r="Q143" i="3"/>
  <c r="P143" i="3"/>
  <c r="O143" i="3"/>
  <c r="N143" i="3"/>
  <c r="Q142" i="3"/>
  <c r="P142" i="3"/>
  <c r="O142" i="3"/>
  <c r="N142" i="3"/>
  <c r="Q141" i="3"/>
  <c r="P141" i="3"/>
  <c r="O141" i="3"/>
  <c r="N141" i="3"/>
  <c r="Q140" i="3"/>
  <c r="P140" i="3"/>
  <c r="O140" i="3"/>
  <c r="N140" i="3"/>
  <c r="Q139" i="3"/>
  <c r="P139" i="3"/>
  <c r="O139" i="3"/>
  <c r="N139" i="3"/>
  <c r="Q138" i="3"/>
  <c r="P138" i="3"/>
  <c r="O138" i="3"/>
  <c r="N138" i="3"/>
  <c r="Q137" i="3"/>
  <c r="P137" i="3"/>
  <c r="O137" i="3"/>
  <c r="N137" i="3"/>
  <c r="Q136" i="3"/>
  <c r="P136" i="3"/>
  <c r="O136" i="3"/>
  <c r="N136" i="3"/>
  <c r="Q135" i="3"/>
  <c r="P135" i="3"/>
  <c r="O135" i="3"/>
  <c r="N135" i="3"/>
  <c r="Q134" i="3"/>
  <c r="P134" i="3"/>
  <c r="O134" i="3"/>
  <c r="N134" i="3"/>
  <c r="Q133" i="3"/>
  <c r="P133" i="3"/>
  <c r="O133" i="3"/>
  <c r="N133" i="3"/>
  <c r="Q132" i="3"/>
  <c r="P132" i="3"/>
  <c r="O132" i="3"/>
  <c r="N132" i="3"/>
  <c r="Q131" i="3"/>
  <c r="P131" i="3"/>
  <c r="O131" i="3"/>
  <c r="N131" i="3"/>
  <c r="Q130" i="3"/>
  <c r="P130" i="3"/>
  <c r="O130" i="3"/>
  <c r="N130" i="3"/>
  <c r="Q129" i="3"/>
  <c r="P129" i="3"/>
  <c r="O129" i="3"/>
  <c r="N129" i="3"/>
  <c r="Q128" i="3"/>
  <c r="P128" i="3"/>
  <c r="O128" i="3"/>
  <c r="N128" i="3"/>
  <c r="Q127" i="3"/>
  <c r="P127" i="3"/>
  <c r="O127" i="3"/>
  <c r="N127" i="3"/>
  <c r="Q126" i="3"/>
  <c r="P126" i="3"/>
  <c r="O126" i="3"/>
  <c r="N126" i="3"/>
  <c r="Q125" i="3"/>
  <c r="P125" i="3"/>
  <c r="O125" i="3"/>
  <c r="N125" i="3"/>
  <c r="Q124" i="3"/>
  <c r="P124" i="3"/>
  <c r="O124" i="3"/>
  <c r="N124" i="3"/>
  <c r="Q123" i="3"/>
  <c r="P123" i="3"/>
  <c r="O123" i="3"/>
  <c r="N123" i="3"/>
  <c r="Q122" i="3"/>
  <c r="P122" i="3"/>
  <c r="O122" i="3"/>
  <c r="N122" i="3"/>
  <c r="Q121" i="3"/>
  <c r="P121" i="3"/>
  <c r="O121" i="3"/>
  <c r="N121" i="3"/>
  <c r="Q120" i="3"/>
  <c r="P120" i="3"/>
  <c r="O120" i="3"/>
  <c r="N120" i="3"/>
  <c r="Q119" i="3"/>
  <c r="P119" i="3"/>
  <c r="O119" i="3"/>
  <c r="N119" i="3"/>
  <c r="Q118" i="3"/>
  <c r="P118" i="3"/>
  <c r="O118" i="3"/>
  <c r="N118" i="3"/>
  <c r="Q117" i="3"/>
  <c r="P117" i="3"/>
  <c r="O117" i="3"/>
  <c r="N117" i="3"/>
  <c r="Q116" i="3"/>
  <c r="P116" i="3"/>
  <c r="O116" i="3"/>
  <c r="N116" i="3"/>
  <c r="Q115" i="3"/>
  <c r="P115" i="3"/>
  <c r="O115" i="3"/>
  <c r="N115" i="3"/>
  <c r="Q114" i="3"/>
  <c r="P114" i="3"/>
  <c r="O114" i="3"/>
  <c r="N114" i="3"/>
  <c r="Q113" i="3"/>
  <c r="P113" i="3"/>
  <c r="O113" i="3"/>
  <c r="N113" i="3"/>
  <c r="Q112" i="3"/>
  <c r="P112" i="3"/>
  <c r="O112" i="3"/>
  <c r="N112" i="3"/>
  <c r="Q111" i="3"/>
  <c r="P111" i="3"/>
  <c r="O111" i="3"/>
  <c r="N111" i="3"/>
  <c r="Q110" i="3"/>
  <c r="P110" i="3"/>
  <c r="O110" i="3"/>
  <c r="N110" i="3"/>
  <c r="Q109" i="3"/>
  <c r="P109" i="3"/>
  <c r="O109" i="3"/>
  <c r="N109" i="3"/>
  <c r="Q108" i="3"/>
  <c r="P108" i="3"/>
  <c r="O108" i="3"/>
  <c r="N108" i="3"/>
  <c r="Q107" i="3"/>
  <c r="P107" i="3"/>
  <c r="O107" i="3"/>
  <c r="N107" i="3"/>
  <c r="Q106" i="3"/>
  <c r="P106" i="3"/>
  <c r="O106" i="3"/>
  <c r="N106" i="3"/>
  <c r="Q105" i="3"/>
  <c r="P105" i="3"/>
  <c r="O105" i="3"/>
  <c r="N105" i="3"/>
  <c r="Q104" i="3"/>
  <c r="P104" i="3"/>
  <c r="O104" i="3"/>
  <c r="N104" i="3"/>
  <c r="Q103" i="3"/>
  <c r="P103" i="3"/>
  <c r="O103" i="3"/>
  <c r="N103" i="3"/>
  <c r="Q102" i="3"/>
  <c r="P102" i="3"/>
  <c r="O102" i="3"/>
  <c r="N102" i="3"/>
  <c r="Q101" i="3"/>
  <c r="P101" i="3"/>
  <c r="O101" i="3"/>
  <c r="N101" i="3"/>
  <c r="Q100" i="3"/>
  <c r="P100" i="3"/>
  <c r="O100" i="3"/>
  <c r="N100" i="3"/>
  <c r="Q99" i="3"/>
  <c r="P99" i="3"/>
  <c r="O99" i="3"/>
  <c r="N99" i="3"/>
  <c r="Q98" i="3"/>
  <c r="P98" i="3"/>
  <c r="O98" i="3"/>
  <c r="N98" i="3"/>
  <c r="Q97" i="3"/>
  <c r="P97" i="3"/>
  <c r="O97" i="3"/>
  <c r="N97" i="3"/>
  <c r="Q96" i="3"/>
  <c r="P96" i="3"/>
  <c r="O96" i="3"/>
  <c r="N96" i="3"/>
  <c r="Q95" i="3"/>
  <c r="P95" i="3"/>
  <c r="O95" i="3"/>
  <c r="N95" i="3"/>
  <c r="Q94" i="3"/>
  <c r="P94" i="3"/>
  <c r="O94" i="3"/>
  <c r="N94" i="3"/>
  <c r="Q93" i="3"/>
  <c r="P93" i="3"/>
  <c r="O93" i="3"/>
  <c r="N93" i="3"/>
  <c r="Q92" i="3"/>
  <c r="P92" i="3"/>
  <c r="O92" i="3"/>
  <c r="N92" i="3"/>
  <c r="Q91" i="3"/>
  <c r="P91" i="3"/>
  <c r="O91" i="3"/>
  <c r="N91" i="3"/>
  <c r="Q90" i="3"/>
  <c r="P90" i="3"/>
  <c r="O90" i="3"/>
  <c r="N90" i="3"/>
  <c r="Q89" i="3"/>
  <c r="P89" i="3"/>
  <c r="O89" i="3"/>
  <c r="N89" i="3"/>
  <c r="Q88" i="3"/>
  <c r="P88" i="3"/>
  <c r="O88" i="3"/>
  <c r="N88" i="3"/>
  <c r="Q87" i="3"/>
  <c r="P87" i="3"/>
  <c r="O87" i="3"/>
  <c r="N87" i="3"/>
  <c r="Q86" i="3"/>
  <c r="P86" i="3"/>
  <c r="O86" i="3"/>
  <c r="N86" i="3"/>
  <c r="Q85" i="3"/>
  <c r="P85" i="3"/>
  <c r="O85" i="3"/>
  <c r="N85" i="3"/>
  <c r="Q84" i="3"/>
  <c r="P84" i="3"/>
  <c r="O84" i="3"/>
  <c r="N84" i="3"/>
  <c r="Q83" i="3"/>
  <c r="P83" i="3"/>
  <c r="O83" i="3"/>
  <c r="N83" i="3"/>
  <c r="Q82" i="3"/>
  <c r="P82" i="3"/>
  <c r="O82" i="3"/>
  <c r="N82" i="3"/>
  <c r="Q81" i="3"/>
  <c r="P81" i="3"/>
  <c r="O81" i="3"/>
  <c r="N81" i="3"/>
  <c r="Q80" i="3"/>
  <c r="P80" i="3"/>
  <c r="O80" i="3"/>
  <c r="N80" i="3"/>
  <c r="Q79" i="3"/>
  <c r="P79" i="3"/>
  <c r="O79" i="3"/>
  <c r="N79" i="3"/>
  <c r="Q78" i="3"/>
  <c r="P78" i="3"/>
  <c r="O78" i="3"/>
  <c r="N78" i="3"/>
  <c r="Q77" i="3"/>
  <c r="P77" i="3"/>
  <c r="O77" i="3"/>
  <c r="N77" i="3"/>
  <c r="Q76" i="3"/>
  <c r="P76" i="3"/>
  <c r="O76" i="3"/>
  <c r="N76" i="3"/>
  <c r="Q75" i="3"/>
  <c r="P75" i="3"/>
  <c r="O75" i="3"/>
  <c r="N75" i="3"/>
  <c r="Q74" i="3"/>
  <c r="P74" i="3"/>
  <c r="O74" i="3"/>
  <c r="N74" i="3"/>
  <c r="Q73" i="3"/>
  <c r="P73" i="3"/>
  <c r="O73" i="3"/>
  <c r="N73" i="3"/>
  <c r="AC72" i="3"/>
  <c r="Q72" i="3"/>
  <c r="P72" i="3"/>
  <c r="O72" i="3"/>
  <c r="N72" i="3"/>
  <c r="AC71" i="3"/>
  <c r="Q71" i="3"/>
  <c r="P71" i="3"/>
  <c r="O71" i="3"/>
  <c r="N71" i="3"/>
  <c r="Q70" i="3"/>
  <c r="P70" i="3"/>
  <c r="O70" i="3"/>
  <c r="N70" i="3"/>
  <c r="AC69" i="3"/>
  <c r="Q69" i="3"/>
  <c r="P69" i="3"/>
  <c r="O69" i="3"/>
  <c r="N69" i="3"/>
  <c r="Q68" i="3"/>
  <c r="P68" i="3"/>
  <c r="O68" i="3"/>
  <c r="N68" i="3"/>
  <c r="AC67" i="3"/>
  <c r="Q67" i="3"/>
  <c r="P67" i="3"/>
  <c r="O67" i="3"/>
  <c r="N67" i="3"/>
  <c r="Q66" i="3"/>
  <c r="P66" i="3"/>
  <c r="O66" i="3"/>
  <c r="N66" i="3"/>
  <c r="AC65" i="3"/>
  <c r="Q65" i="3"/>
  <c r="P65" i="3"/>
  <c r="O65" i="3"/>
  <c r="N65" i="3"/>
  <c r="Q64" i="3"/>
  <c r="P64" i="3"/>
  <c r="O64" i="3"/>
  <c r="N64" i="3"/>
  <c r="AC63" i="3"/>
  <c r="Q63" i="3"/>
  <c r="P63" i="3"/>
  <c r="O63" i="3"/>
  <c r="N63" i="3"/>
  <c r="Q62" i="3"/>
  <c r="P62" i="3"/>
  <c r="O62" i="3"/>
  <c r="N62" i="3"/>
  <c r="AC61" i="3"/>
  <c r="Q61" i="3"/>
  <c r="P61" i="3"/>
  <c r="O61" i="3"/>
  <c r="N61" i="3"/>
  <c r="Q60" i="3"/>
  <c r="P60" i="3"/>
  <c r="O60" i="3"/>
  <c r="N60" i="3"/>
  <c r="AC59" i="3"/>
  <c r="Q59" i="3"/>
  <c r="P59" i="3"/>
  <c r="O59" i="3"/>
  <c r="N59" i="3"/>
  <c r="Q58" i="3"/>
  <c r="P58" i="3"/>
  <c r="O58" i="3"/>
  <c r="N58" i="3"/>
  <c r="AC57" i="3"/>
  <c r="Q57" i="3"/>
  <c r="P57" i="3"/>
  <c r="O57" i="3"/>
  <c r="N57" i="3"/>
  <c r="AC56" i="3"/>
  <c r="Q56" i="3"/>
  <c r="P56" i="3"/>
  <c r="O56" i="3"/>
  <c r="N56" i="3"/>
  <c r="Q55" i="3"/>
  <c r="P55" i="3"/>
  <c r="O55" i="3"/>
  <c r="N55" i="3"/>
  <c r="Q54" i="3"/>
  <c r="P54" i="3"/>
  <c r="Z37" i="3" s="1"/>
  <c r="O54" i="3"/>
  <c r="N54" i="3"/>
  <c r="Q53" i="3"/>
  <c r="P53" i="3"/>
  <c r="O53" i="3"/>
  <c r="N53" i="3"/>
  <c r="Q52" i="3"/>
  <c r="P52" i="3"/>
  <c r="O52" i="3"/>
  <c r="N52" i="3"/>
  <c r="X36" i="3" s="1"/>
  <c r="X69" i="3" s="1"/>
  <c r="Q51" i="3"/>
  <c r="P51" i="3"/>
  <c r="O51" i="3"/>
  <c r="N51" i="3"/>
  <c r="Q50" i="3"/>
  <c r="P50" i="3"/>
  <c r="O50" i="3"/>
  <c r="N50" i="3"/>
  <c r="Q49" i="3"/>
  <c r="P49" i="3"/>
  <c r="Z35" i="3" s="1"/>
  <c r="Z67" i="3" s="1"/>
  <c r="O49" i="3"/>
  <c r="Y35" i="3" s="1"/>
  <c r="Y67" i="3" s="1"/>
  <c r="N49" i="3"/>
  <c r="Q48" i="3"/>
  <c r="P48" i="3"/>
  <c r="Z33" i="3" s="1"/>
  <c r="Z63" i="3" s="1"/>
  <c r="O48" i="3"/>
  <c r="N48" i="3"/>
  <c r="X33" i="3" s="1"/>
  <c r="Q47" i="3"/>
  <c r="P47" i="3"/>
  <c r="Z31" i="3" s="1"/>
  <c r="O47" i="3"/>
  <c r="Y31" i="3" s="1"/>
  <c r="Y59" i="3" s="1"/>
  <c r="N47" i="3"/>
  <c r="X31" i="3" s="1"/>
  <c r="X59" i="3" s="1"/>
  <c r="Q46" i="3"/>
  <c r="P46" i="3"/>
  <c r="O46" i="3"/>
  <c r="N46" i="3"/>
  <c r="S46" i="3" s="1"/>
  <c r="Q45" i="3"/>
  <c r="AA34" i="3" s="1"/>
  <c r="AA65" i="3" s="1"/>
  <c r="P45" i="3"/>
  <c r="Z34" i="3" s="1"/>
  <c r="Z65" i="3" s="1"/>
  <c r="O45" i="3"/>
  <c r="Y34" i="3" s="1"/>
  <c r="Y65" i="3" s="1"/>
  <c r="N45" i="3"/>
  <c r="Q44" i="3"/>
  <c r="P44" i="3"/>
  <c r="O44" i="3"/>
  <c r="N44" i="3"/>
  <c r="Q43" i="3"/>
  <c r="P43" i="3"/>
  <c r="O43" i="3"/>
  <c r="N43" i="3"/>
  <c r="S43" i="3" s="1"/>
  <c r="Q42" i="3"/>
  <c r="P42" i="3"/>
  <c r="O42" i="3"/>
  <c r="N42" i="3"/>
  <c r="Q41" i="3"/>
  <c r="P41" i="3"/>
  <c r="O41" i="3"/>
  <c r="N41" i="3"/>
  <c r="Q40" i="3"/>
  <c r="P40" i="3"/>
  <c r="O40" i="3"/>
  <c r="N40" i="3"/>
  <c r="S40" i="3" s="1"/>
  <c r="Q39" i="3"/>
  <c r="P39" i="3"/>
  <c r="O39" i="3"/>
  <c r="N39" i="3"/>
  <c r="Y38" i="3"/>
  <c r="X38" i="3"/>
  <c r="Q38" i="3"/>
  <c r="P38" i="3"/>
  <c r="O38" i="3"/>
  <c r="N38" i="3"/>
  <c r="Y37" i="3"/>
  <c r="X37" i="3"/>
  <c r="Q37" i="3"/>
  <c r="P37" i="3"/>
  <c r="O37" i="3"/>
  <c r="N37" i="3"/>
  <c r="AA36" i="3"/>
  <c r="AA69" i="3" s="1"/>
  <c r="Z36" i="3"/>
  <c r="Z69" i="3" s="1"/>
  <c r="Y36" i="3"/>
  <c r="Q36" i="3"/>
  <c r="P36" i="3"/>
  <c r="O36" i="3"/>
  <c r="N36" i="3"/>
  <c r="AA35" i="3"/>
  <c r="AA67" i="3" s="1"/>
  <c r="Q35" i="3"/>
  <c r="P35" i="3"/>
  <c r="O35" i="3"/>
  <c r="N35" i="3"/>
  <c r="Q34" i="3"/>
  <c r="P34" i="3"/>
  <c r="O34" i="3"/>
  <c r="N34" i="3"/>
  <c r="Y33" i="3"/>
  <c r="Y63" i="3" s="1"/>
  <c r="Q33" i="3"/>
  <c r="P33" i="3"/>
  <c r="Z30" i="3" s="1"/>
  <c r="Z57" i="3" s="1"/>
  <c r="O33" i="3"/>
  <c r="Y30" i="3" s="1"/>
  <c r="Y57" i="3" s="1"/>
  <c r="N33" i="3"/>
  <c r="Q32" i="3"/>
  <c r="P32" i="3"/>
  <c r="O32" i="3"/>
  <c r="N32" i="3"/>
  <c r="AA31" i="3"/>
  <c r="AA59" i="3" s="1"/>
  <c r="Q31" i="3"/>
  <c r="AA29" i="3" s="1"/>
  <c r="AA56" i="3" s="1"/>
  <c r="P31" i="3"/>
  <c r="Z29" i="3" s="1"/>
  <c r="Z56" i="3" s="1"/>
  <c r="O31" i="3"/>
  <c r="Y29" i="3" s="1"/>
  <c r="Y56" i="3" s="1"/>
  <c r="N31" i="3"/>
  <c r="Q30" i="3"/>
  <c r="P30" i="3"/>
  <c r="O30" i="3"/>
  <c r="N30" i="3"/>
  <c r="X29" i="3"/>
  <c r="X56" i="3" s="1"/>
  <c r="Q29" i="3"/>
  <c r="P29" i="3"/>
  <c r="O29" i="3"/>
  <c r="N29" i="3"/>
  <c r="Q28" i="3"/>
  <c r="P28" i="3"/>
  <c r="O28" i="3"/>
  <c r="N28" i="3"/>
  <c r="Q27" i="3"/>
  <c r="P27" i="3"/>
  <c r="O27" i="3"/>
  <c r="N27" i="3"/>
  <c r="Q26" i="3"/>
  <c r="P26" i="3"/>
  <c r="O26" i="3"/>
  <c r="N26" i="3"/>
  <c r="Q25" i="3"/>
  <c r="P25" i="3"/>
  <c r="O25" i="3"/>
  <c r="N25" i="3"/>
  <c r="Q24" i="3"/>
  <c r="P24" i="3"/>
  <c r="O24" i="3"/>
  <c r="N24" i="3"/>
  <c r="Q23" i="3"/>
  <c r="P23" i="3"/>
  <c r="O23" i="3"/>
  <c r="N23" i="3"/>
  <c r="Q22" i="3"/>
  <c r="P22" i="3"/>
  <c r="O22" i="3"/>
  <c r="N22" i="3"/>
  <c r="Q21" i="3"/>
  <c r="P21" i="3"/>
  <c r="O21" i="3"/>
  <c r="N21" i="3"/>
  <c r="Q20" i="3"/>
  <c r="P20" i="3"/>
  <c r="O20" i="3"/>
  <c r="N20" i="3"/>
  <c r="Q19" i="3"/>
  <c r="P19" i="3"/>
  <c r="O19" i="3"/>
  <c r="N19" i="3"/>
  <c r="Q18" i="3"/>
  <c r="P18" i="3"/>
  <c r="O18" i="3"/>
  <c r="N18" i="3"/>
  <c r="Q17" i="3"/>
  <c r="P17" i="3"/>
  <c r="O17" i="3"/>
  <c r="N17" i="3"/>
  <c r="Q16" i="3"/>
  <c r="P16" i="3"/>
  <c r="O16" i="3"/>
  <c r="N16" i="3"/>
  <c r="Q15" i="3"/>
  <c r="P15" i="3"/>
  <c r="O15" i="3"/>
  <c r="N15" i="3"/>
  <c r="Q14" i="3"/>
  <c r="P14" i="3"/>
  <c r="O14" i="3"/>
  <c r="N14" i="3"/>
  <c r="Q13" i="3"/>
  <c r="P13" i="3"/>
  <c r="O13" i="3"/>
  <c r="N13" i="3"/>
  <c r="Q12" i="3"/>
  <c r="P12" i="3"/>
  <c r="O12" i="3"/>
  <c r="N12" i="3"/>
  <c r="Q11" i="3"/>
  <c r="P11" i="3"/>
  <c r="O11" i="3"/>
  <c r="N11" i="3"/>
  <c r="Q10" i="3"/>
  <c r="P10" i="3"/>
  <c r="O10" i="3"/>
  <c r="N10" i="3"/>
  <c r="Q9" i="3"/>
  <c r="P9" i="3"/>
  <c r="O9" i="3"/>
  <c r="N9" i="3"/>
  <c r="Q8" i="3"/>
  <c r="P8" i="3"/>
  <c r="O8" i="3"/>
  <c r="N8" i="3"/>
  <c r="Q7" i="3"/>
  <c r="P7" i="3"/>
  <c r="O7" i="3"/>
  <c r="N7" i="3"/>
  <c r="Q6" i="3"/>
  <c r="P6" i="3"/>
  <c r="O6" i="3"/>
  <c r="N6" i="3"/>
  <c r="Q5" i="3"/>
  <c r="P5" i="3"/>
  <c r="O5" i="3"/>
  <c r="N5" i="3"/>
  <c r="Q4" i="3"/>
  <c r="P4" i="3"/>
  <c r="O4" i="3"/>
  <c r="N4" i="3"/>
  <c r="Q3" i="3"/>
  <c r="P3" i="3"/>
  <c r="O3" i="3"/>
  <c r="N3" i="3"/>
  <c r="Q2" i="3"/>
  <c r="S2" i="3" s="1"/>
  <c r="J1" i="2"/>
  <c r="Z38" i="3" l="1"/>
  <c r="S10" i="3"/>
  <c r="AA30" i="3"/>
  <c r="AA57" i="3" s="1"/>
  <c r="AA58" i="3" s="1"/>
  <c r="S5" i="3"/>
  <c r="S38" i="3"/>
  <c r="S55" i="3"/>
  <c r="Y16" i="3"/>
  <c r="S57" i="3"/>
  <c r="Z32" i="3"/>
  <c r="Z61" i="3" s="1"/>
  <c r="S56" i="3"/>
  <c r="S48" i="3"/>
  <c r="S16" i="3"/>
  <c r="S12" i="3"/>
  <c r="S15" i="3"/>
  <c r="X30" i="3"/>
  <c r="AB30" i="3" s="1"/>
  <c r="AB57" i="3" s="1"/>
  <c r="S35" i="3"/>
  <c r="AA32" i="3"/>
  <c r="AA61" i="3" s="1"/>
  <c r="S50" i="3"/>
  <c r="AA66" i="3"/>
  <c r="Y60" i="3"/>
  <c r="Y58" i="3"/>
  <c r="S32" i="3"/>
  <c r="S34" i="3"/>
  <c r="S41" i="3"/>
  <c r="S49" i="3"/>
  <c r="S52" i="3"/>
  <c r="S11" i="3"/>
  <c r="S28" i="3"/>
  <c r="S23" i="3"/>
  <c r="S29" i="3"/>
  <c r="Y32" i="3"/>
  <c r="Y61" i="3" s="1"/>
  <c r="S4" i="3"/>
  <c r="S21" i="3"/>
  <c r="S17" i="3"/>
  <c r="AC73" i="3"/>
  <c r="X60" i="3"/>
  <c r="AB36" i="3"/>
  <c r="AB69" i="3" s="1"/>
  <c r="S3" i="3"/>
  <c r="S7" i="3"/>
  <c r="S8" i="3"/>
  <c r="S14" i="3"/>
  <c r="S19" i="3"/>
  <c r="S26" i="3"/>
  <c r="S30" i="3"/>
  <c r="S36" i="3"/>
  <c r="S39" i="3"/>
  <c r="S53" i="3"/>
  <c r="AA38" i="3"/>
  <c r="AB38" i="3" s="1"/>
  <c r="S25" i="3"/>
  <c r="S31" i="3"/>
  <c r="X32" i="3"/>
  <c r="X61" i="3" s="1"/>
  <c r="Y64" i="3"/>
  <c r="S45" i="3"/>
  <c r="S9" i="3"/>
  <c r="S20" i="3"/>
  <c r="S27" i="3"/>
  <c r="X35" i="3"/>
  <c r="AB35" i="3" s="1"/>
  <c r="AB67" i="3" s="1"/>
  <c r="Y66" i="3"/>
  <c r="S51" i="3"/>
  <c r="X70" i="3"/>
  <c r="S54" i="3"/>
  <c r="S6" i="3"/>
  <c r="S13" i="3"/>
  <c r="S18" i="3"/>
  <c r="Y15" i="3"/>
  <c r="S22" i="3"/>
  <c r="S24" i="3"/>
  <c r="Y68" i="3"/>
  <c r="AA37" i="3"/>
  <c r="AB37" i="3" s="1"/>
  <c r="S42" i="3"/>
  <c r="S44" i="3"/>
  <c r="X57" i="3"/>
  <c r="Z64" i="3"/>
  <c r="Z68" i="3"/>
  <c r="AB31" i="3"/>
  <c r="AB59" i="3" s="1"/>
  <c r="Z59" i="3"/>
  <c r="AB29" i="3"/>
  <c r="AB56" i="3" s="1"/>
  <c r="AA68" i="3"/>
  <c r="Z58" i="3"/>
  <c r="Z70" i="3"/>
  <c r="AA60" i="3"/>
  <c r="Z66" i="3"/>
  <c r="AA70" i="3"/>
  <c r="AA33" i="3"/>
  <c r="AA63" i="3" s="1"/>
  <c r="S37" i="3"/>
  <c r="S47" i="3"/>
  <c r="X63" i="3"/>
  <c r="Y69" i="3"/>
  <c r="X34" i="3"/>
  <c r="S33" i="3"/>
  <c r="Z62" i="3" l="1"/>
  <c r="Y70" i="3"/>
  <c r="X62" i="3"/>
  <c r="AA64" i="3"/>
  <c r="AA62" i="3"/>
  <c r="X64" i="3"/>
  <c r="X58" i="3"/>
  <c r="Z60" i="3"/>
  <c r="Y62" i="3"/>
  <c r="X14" i="3"/>
  <c r="Y14" i="3" s="1"/>
  <c r="AB70" i="3"/>
  <c r="AB32" i="3"/>
  <c r="AB61" i="3" s="1"/>
  <c r="Y74" i="3"/>
  <c r="X67" i="3"/>
  <c r="AA74" i="3"/>
  <c r="Z75" i="3"/>
  <c r="Z74" i="3"/>
  <c r="AB68" i="3"/>
  <c r="AB33" i="3"/>
  <c r="AB63" i="3" s="1"/>
  <c r="AB60" i="3"/>
  <c r="AB58" i="3"/>
  <c r="AB34" i="3"/>
  <c r="AB65" i="3" s="1"/>
  <c r="X65" i="3"/>
  <c r="AB64" i="3" l="1"/>
  <c r="AA75" i="3"/>
  <c r="X68" i="3"/>
  <c r="Y75" i="3"/>
  <c r="X66" i="3"/>
  <c r="AB62" i="3"/>
  <c r="AB66" i="3"/>
  <c r="X74" i="3"/>
  <c r="AB74" i="3"/>
  <c r="AB75" i="3" l="1"/>
  <c r="X75" i="3"/>
  <c r="B1" i="1"/>
  <c r="C1" i="1" s="1"/>
  <c r="D1" i="1" s="1"/>
  <c r="A9" i="10" l="1"/>
  <c r="K9" i="10" s="1"/>
  <c r="T9" i="10"/>
  <c r="Q9" i="10"/>
  <c r="S9" i="10"/>
  <c r="J9" i="10"/>
  <c r="P9" i="10"/>
  <c r="I9" i="10"/>
  <c r="T18" i="8"/>
  <c r="P18" i="8"/>
  <c r="R18" i="8"/>
  <c r="S18" i="8"/>
  <c r="Q18" i="8"/>
  <c r="A9" i="7"/>
  <c r="A9" i="5"/>
  <c r="E1" i="1"/>
  <c r="A9" i="2"/>
  <c r="T9" i="2" s="1"/>
  <c r="S77" i="14" l="1"/>
  <c r="P77" i="14"/>
  <c r="T77" i="14"/>
  <c r="R77" i="14"/>
  <c r="Q77" i="14"/>
  <c r="R9" i="10"/>
  <c r="M9" i="10"/>
  <c r="O9" i="10"/>
  <c r="L9" i="10"/>
  <c r="N9" i="10"/>
  <c r="A10" i="10"/>
  <c r="Q10" i="10" s="1"/>
  <c r="Q11" i="10" s="1"/>
  <c r="O9" i="2"/>
  <c r="R77" i="2"/>
  <c r="R77" i="10"/>
  <c r="T77" i="2"/>
  <c r="T77" i="10"/>
  <c r="S77" i="2"/>
  <c r="S77" i="10"/>
  <c r="Q77" i="2"/>
  <c r="Q77" i="10"/>
  <c r="P77" i="2"/>
  <c r="P77" i="10"/>
  <c r="Q9" i="2"/>
  <c r="S9" i="2"/>
  <c r="L9" i="2"/>
  <c r="K9" i="2"/>
  <c r="M9" i="2"/>
  <c r="J9" i="2"/>
  <c r="I9" i="2"/>
  <c r="R9" i="5"/>
  <c r="I9" i="5"/>
  <c r="M9" i="5"/>
  <c r="O9" i="5"/>
  <c r="K9" i="5"/>
  <c r="P9" i="5"/>
  <c r="N9" i="5"/>
  <c r="S9" i="5"/>
  <c r="Q9" i="5"/>
  <c r="T9" i="5"/>
  <c r="J9" i="5"/>
  <c r="L9" i="5"/>
  <c r="A10" i="7"/>
  <c r="A10" i="5"/>
  <c r="Q9" i="7"/>
  <c r="P9" i="7"/>
  <c r="S9" i="7"/>
  <c r="I9" i="7"/>
  <c r="R9" i="7"/>
  <c r="N9" i="7"/>
  <c r="M9" i="7"/>
  <c r="O9" i="7"/>
  <c r="T9" i="7"/>
  <c r="J9" i="7"/>
  <c r="L9" i="7"/>
  <c r="K9" i="7"/>
  <c r="R9" i="2"/>
  <c r="N9" i="2"/>
  <c r="P9" i="2"/>
  <c r="F1" i="1"/>
  <c r="A10" i="2"/>
  <c r="K10" i="10" l="1"/>
  <c r="K11" i="10" s="1"/>
  <c r="M10" i="10"/>
  <c r="M11" i="10" s="1"/>
  <c r="I10" i="10"/>
  <c r="I11" i="10" s="1"/>
  <c r="N10" i="10"/>
  <c r="N11" i="10" s="1"/>
  <c r="P10" i="10"/>
  <c r="P11" i="10" s="1"/>
  <c r="J10" i="10"/>
  <c r="J11" i="10" s="1"/>
  <c r="L10" i="10"/>
  <c r="L11" i="10" s="1"/>
  <c r="S10" i="10"/>
  <c r="S11" i="10" s="1"/>
  <c r="R10" i="10"/>
  <c r="R11" i="10" s="1"/>
  <c r="O10" i="10"/>
  <c r="O11" i="10" s="1"/>
  <c r="T10" i="10"/>
  <c r="T11" i="10" s="1"/>
  <c r="A12" i="10"/>
  <c r="I12" i="10" s="1"/>
  <c r="A12" i="7"/>
  <c r="A12" i="5"/>
  <c r="Q10" i="5"/>
  <c r="Q11" i="5" s="1"/>
  <c r="S10" i="5"/>
  <c r="S11" i="5" s="1"/>
  <c r="M10" i="5"/>
  <c r="M11" i="5" s="1"/>
  <c r="R10" i="5"/>
  <c r="R11" i="5" s="1"/>
  <c r="N10" i="5"/>
  <c r="N11" i="5" s="1"/>
  <c r="K10" i="5"/>
  <c r="K11" i="5" s="1"/>
  <c r="T10" i="5"/>
  <c r="T11" i="5" s="1"/>
  <c r="O10" i="5"/>
  <c r="O11" i="5" s="1"/>
  <c r="L10" i="5"/>
  <c r="L11" i="5" s="1"/>
  <c r="J10" i="5"/>
  <c r="J11" i="5" s="1"/>
  <c r="I10" i="5"/>
  <c r="I11" i="5" s="1"/>
  <c r="P10" i="5"/>
  <c r="P11" i="5" s="1"/>
  <c r="P10" i="7"/>
  <c r="P11" i="7" s="1"/>
  <c r="Q10" i="7"/>
  <c r="Q11" i="7" s="1"/>
  <c r="N10" i="7"/>
  <c r="N11" i="7" s="1"/>
  <c r="R10" i="7"/>
  <c r="R11" i="7" s="1"/>
  <c r="T10" i="7"/>
  <c r="T11" i="7" s="1"/>
  <c r="O10" i="7"/>
  <c r="O11" i="7" s="1"/>
  <c r="K10" i="7"/>
  <c r="K11" i="7" s="1"/>
  <c r="L10" i="7"/>
  <c r="L11" i="7" s="1"/>
  <c r="S10" i="7"/>
  <c r="S11" i="7" s="1"/>
  <c r="I10" i="7"/>
  <c r="I11" i="7" s="1"/>
  <c r="J10" i="7"/>
  <c r="J11" i="7" s="1"/>
  <c r="M10" i="7"/>
  <c r="M11" i="7" s="1"/>
  <c r="S10" i="2"/>
  <c r="T10" i="2"/>
  <c r="I10" i="2"/>
  <c r="M10" i="2"/>
  <c r="L10" i="2"/>
  <c r="O10" i="2"/>
  <c r="J10" i="2"/>
  <c r="K10" i="2"/>
  <c r="N10" i="2"/>
  <c r="P10" i="2"/>
  <c r="R10" i="2"/>
  <c r="Q10" i="2"/>
  <c r="G1" i="1"/>
  <c r="A12" i="2"/>
  <c r="S12" i="10" l="1"/>
  <c r="R12" i="10"/>
  <c r="O12" i="10"/>
  <c r="N12" i="10"/>
  <c r="J12" i="10"/>
  <c r="Q12" i="10"/>
  <c r="K12" i="10"/>
  <c r="T12" i="10"/>
  <c r="L12" i="10"/>
  <c r="P12" i="10"/>
  <c r="M12" i="10"/>
  <c r="A13" i="10"/>
  <c r="J13" i="10" s="1"/>
  <c r="T13" i="10"/>
  <c r="P13" i="10"/>
  <c r="N13" i="10"/>
  <c r="I13" i="10"/>
  <c r="O12" i="7"/>
  <c r="K12" i="7"/>
  <c r="Q12" i="7"/>
  <c r="I12" i="7"/>
  <c r="N12" i="7"/>
  <c r="J12" i="7"/>
  <c r="P12" i="7"/>
  <c r="S12" i="7"/>
  <c r="L12" i="7"/>
  <c r="M12" i="7"/>
  <c r="T12" i="7"/>
  <c r="R12" i="7"/>
  <c r="A13" i="7"/>
  <c r="A13" i="5"/>
  <c r="P12" i="5"/>
  <c r="K12" i="5"/>
  <c r="N12" i="5"/>
  <c r="I12" i="5"/>
  <c r="O12" i="5"/>
  <c r="J12" i="5"/>
  <c r="S12" i="5"/>
  <c r="Q12" i="5"/>
  <c r="T12" i="5"/>
  <c r="R12" i="5"/>
  <c r="L12" i="5"/>
  <c r="M12" i="5"/>
  <c r="O11" i="2"/>
  <c r="L11" i="2"/>
  <c r="Q11" i="2"/>
  <c r="M11" i="2"/>
  <c r="R11" i="2"/>
  <c r="N11" i="2"/>
  <c r="I11" i="2"/>
  <c r="T11" i="2"/>
  <c r="P11" i="2"/>
  <c r="K11" i="2"/>
  <c r="J11" i="2"/>
  <c r="S11" i="2"/>
  <c r="Q12" i="2"/>
  <c r="J12" i="2"/>
  <c r="O12" i="2"/>
  <c r="K12" i="2"/>
  <c r="M12" i="2"/>
  <c r="T12" i="2"/>
  <c r="R12" i="2"/>
  <c r="S12" i="2"/>
  <c r="I12" i="2"/>
  <c r="N12" i="2"/>
  <c r="L12" i="2"/>
  <c r="P12" i="2"/>
  <c r="H1" i="1"/>
  <c r="I1" i="1" s="1"/>
  <c r="J1" i="1" s="1"/>
  <c r="K1" i="1" s="1"/>
  <c r="L1" i="1" s="1"/>
  <c r="A13" i="2"/>
  <c r="L13" i="10" l="1"/>
  <c r="Q13" i="10"/>
  <c r="K13" i="10"/>
  <c r="S13" i="10"/>
  <c r="O13" i="10"/>
  <c r="R13" i="10"/>
  <c r="M13" i="10"/>
  <c r="A14" i="10"/>
  <c r="K14" i="10" s="1"/>
  <c r="L14" i="10"/>
  <c r="T14" i="10"/>
  <c r="A14" i="7"/>
  <c r="A14" i="5"/>
  <c r="T13" i="5"/>
  <c r="M13" i="5"/>
  <c r="L13" i="5"/>
  <c r="K13" i="5"/>
  <c r="N13" i="5"/>
  <c r="J13" i="5"/>
  <c r="O13" i="5"/>
  <c r="Q13" i="5"/>
  <c r="I13" i="5"/>
  <c r="T13" i="7"/>
  <c r="R13" i="7"/>
  <c r="P13" i="7"/>
  <c r="K13" i="7"/>
  <c r="I13" i="7"/>
  <c r="S13" i="7"/>
  <c r="J13" i="7"/>
  <c r="L13" i="7"/>
  <c r="M13" i="7"/>
  <c r="Q13" i="7"/>
  <c r="N13" i="7"/>
  <c r="O13" i="7"/>
  <c r="T13" i="2"/>
  <c r="J13" i="2"/>
  <c r="L13" i="2"/>
  <c r="N13" i="2"/>
  <c r="Q13" i="2"/>
  <c r="I13" i="2"/>
  <c r="M1" i="1"/>
  <c r="A14" i="2"/>
  <c r="Q14" i="10" l="1"/>
  <c r="P14" i="10"/>
  <c r="I14" i="10"/>
  <c r="M14" i="10"/>
  <c r="R14" i="10"/>
  <c r="J14" i="10"/>
  <c r="N14" i="10"/>
  <c r="S14" i="10"/>
  <c r="O14" i="10"/>
  <c r="A46" i="10"/>
  <c r="P46" i="10" s="1"/>
  <c r="AB43" i="12" s="1"/>
  <c r="T46" i="10"/>
  <c r="AF43" i="12" s="1"/>
  <c r="N1" i="1"/>
  <c r="A19" i="7" s="1"/>
  <c r="A46" i="2"/>
  <c r="A19" i="5"/>
  <c r="T14" i="5"/>
  <c r="O14" i="5"/>
  <c r="P14" i="5"/>
  <c r="I14" i="5"/>
  <c r="R14" i="5"/>
  <c r="Q14" i="5"/>
  <c r="N14" i="5"/>
  <c r="M14" i="5"/>
  <c r="L14" i="5"/>
  <c r="S14" i="5"/>
  <c r="J14" i="5"/>
  <c r="K14" i="5"/>
  <c r="S14" i="7"/>
  <c r="T14" i="7"/>
  <c r="N14" i="7"/>
  <c r="I14" i="7"/>
  <c r="J14" i="7"/>
  <c r="O14" i="7"/>
  <c r="L14" i="7"/>
  <c r="K14" i="7"/>
  <c r="P14" i="7"/>
  <c r="M14" i="7"/>
  <c r="R14" i="7"/>
  <c r="Q14" i="7"/>
  <c r="T14" i="2"/>
  <c r="S14" i="2"/>
  <c r="J14" i="2"/>
  <c r="Q14" i="2"/>
  <c r="L14" i="2"/>
  <c r="N14" i="2"/>
  <c r="O14" i="2"/>
  <c r="P14" i="2"/>
  <c r="R14" i="2"/>
  <c r="M14" i="2"/>
  <c r="I14" i="2"/>
  <c r="K14" i="2"/>
  <c r="K46" i="10" l="1"/>
  <c r="W43" i="12" s="1"/>
  <c r="O46" i="10"/>
  <c r="AA43" i="12" s="1"/>
  <c r="I46" i="10"/>
  <c r="U43" i="12" s="1"/>
  <c r="Q46" i="10"/>
  <c r="AC43" i="12" s="1"/>
  <c r="M46" i="10"/>
  <c r="Y43" i="12" s="1"/>
  <c r="L46" i="10"/>
  <c r="X43" i="12" s="1"/>
  <c r="S46" i="10"/>
  <c r="AE43" i="12" s="1"/>
  <c r="R46" i="10"/>
  <c r="AD43" i="12" s="1"/>
  <c r="N46" i="10"/>
  <c r="Z43" i="12" s="1"/>
  <c r="J46" i="10"/>
  <c r="V43" i="12" s="1"/>
  <c r="A121" i="7"/>
  <c r="A19" i="10"/>
  <c r="A19" i="2"/>
  <c r="T19" i="2" s="1"/>
  <c r="A26" i="9"/>
  <c r="O1" i="1"/>
  <c r="A121" i="5"/>
  <c r="O46" i="2"/>
  <c r="I46" i="2"/>
  <c r="T46" i="2"/>
  <c r="N46" i="2"/>
  <c r="S46" i="2"/>
  <c r="M46" i="2"/>
  <c r="R46" i="2"/>
  <c r="L46" i="2"/>
  <c r="Q46" i="2"/>
  <c r="K46" i="2"/>
  <c r="P46" i="2"/>
  <c r="J46" i="2"/>
  <c r="T121" i="5"/>
  <c r="O121" i="5"/>
  <c r="I121" i="5"/>
  <c r="P121" i="5"/>
  <c r="R121" i="5"/>
  <c r="Q121" i="5"/>
  <c r="S121" i="5"/>
  <c r="K121" i="5"/>
  <c r="N121" i="5"/>
  <c r="M121" i="5"/>
  <c r="L121" i="5"/>
  <c r="J121" i="5"/>
  <c r="R19" i="5"/>
  <c r="AF10" i="4" s="1"/>
  <c r="M19" i="5"/>
  <c r="O19" i="5"/>
  <c r="Q19" i="5"/>
  <c r="S19" i="5"/>
  <c r="N19" i="5"/>
  <c r="L19" i="5"/>
  <c r="T19" i="5"/>
  <c r="J19" i="5"/>
  <c r="P19" i="5"/>
  <c r="K19" i="5"/>
  <c r="I19" i="5"/>
  <c r="T121" i="7"/>
  <c r="O121" i="7"/>
  <c r="I121" i="7"/>
  <c r="N121" i="7"/>
  <c r="K121" i="7"/>
  <c r="J121" i="7"/>
  <c r="R121" i="7"/>
  <c r="S121" i="7"/>
  <c r="P121" i="7"/>
  <c r="L121" i="7"/>
  <c r="M121" i="7"/>
  <c r="Q121" i="7"/>
  <c r="O19" i="7"/>
  <c r="AC11" i="4" s="1"/>
  <c r="P19" i="7"/>
  <c r="N19" i="7"/>
  <c r="I19" i="7"/>
  <c r="J19" i="7"/>
  <c r="K19" i="7"/>
  <c r="T19" i="7"/>
  <c r="L19" i="7"/>
  <c r="R19" i="7"/>
  <c r="M19" i="7"/>
  <c r="Q19" i="7"/>
  <c r="S19" i="7"/>
  <c r="K19" i="2"/>
  <c r="L19" i="2"/>
  <c r="O19" i="2"/>
  <c r="I19" i="2"/>
  <c r="N19" i="2"/>
  <c r="S19" i="2"/>
  <c r="R19" i="2"/>
  <c r="Q19" i="2"/>
  <c r="P19" i="2"/>
  <c r="R165" i="2"/>
  <c r="L165" i="2"/>
  <c r="P165" i="2"/>
  <c r="J165" i="2"/>
  <c r="T165" i="2"/>
  <c r="S165" i="2"/>
  <c r="O165" i="2"/>
  <c r="N165" i="2"/>
  <c r="M165" i="2"/>
  <c r="Q165" i="2"/>
  <c r="I165" i="2"/>
  <c r="K165" i="2"/>
  <c r="AB6" i="12" l="1"/>
  <c r="K6" i="12" s="1"/>
  <c r="Z6" i="12"/>
  <c r="I6" i="12" s="1"/>
  <c r="AA6" i="12"/>
  <c r="J6" i="12" s="1"/>
  <c r="AF6" i="12"/>
  <c r="O6" i="12" s="1"/>
  <c r="AC6" i="12"/>
  <c r="L6" i="12" s="1"/>
  <c r="X6" i="12"/>
  <c r="G6" i="12" s="1"/>
  <c r="U6" i="12"/>
  <c r="D6" i="12" s="1"/>
  <c r="AD6" i="12"/>
  <c r="M6" i="12" s="1"/>
  <c r="W6" i="12"/>
  <c r="F6" i="12" s="1"/>
  <c r="AE6" i="12"/>
  <c r="N6" i="12" s="1"/>
  <c r="M19" i="2"/>
  <c r="J19" i="2"/>
  <c r="R165" i="10"/>
  <c r="S165" i="10"/>
  <c r="N165" i="10"/>
  <c r="J165" i="10"/>
  <c r="M165" i="10"/>
  <c r="O165" i="10"/>
  <c r="T165" i="10"/>
  <c r="K165" i="10"/>
  <c r="L165" i="10"/>
  <c r="Q165" i="10"/>
  <c r="I165" i="10"/>
  <c r="P165" i="10"/>
  <c r="T19" i="10"/>
  <c r="AF7" i="12" s="1"/>
  <c r="P19" i="10"/>
  <c r="AB7" i="12" s="1"/>
  <c r="J19" i="10"/>
  <c r="V7" i="12" s="1"/>
  <c r="O19" i="10"/>
  <c r="AA7" i="12" s="1"/>
  <c r="K19" i="10"/>
  <c r="W7" i="12" s="1"/>
  <c r="Q19" i="10"/>
  <c r="AC7" i="12" s="1"/>
  <c r="M19" i="10"/>
  <c r="Y7" i="12" s="1"/>
  <c r="I19" i="10"/>
  <c r="U7" i="12" s="1"/>
  <c r="S19" i="10"/>
  <c r="AE7" i="12" s="1"/>
  <c r="L19" i="10"/>
  <c r="X7" i="12" s="1"/>
  <c r="R19" i="10"/>
  <c r="AD7" i="12" s="1"/>
  <c r="N19" i="10"/>
  <c r="Z7" i="12" s="1"/>
  <c r="L26" i="9"/>
  <c r="J26" i="9"/>
  <c r="N26" i="9"/>
  <c r="O26" i="9"/>
  <c r="I26" i="9"/>
  <c r="M26" i="9"/>
  <c r="K26" i="9"/>
  <c r="R26" i="9"/>
  <c r="P26" i="9"/>
  <c r="Q26" i="9"/>
  <c r="S26" i="9"/>
  <c r="T26" i="9"/>
  <c r="P1" i="1"/>
  <c r="Q1" i="1" s="1"/>
  <c r="A29" i="10"/>
  <c r="A29" i="2"/>
  <c r="Z11" i="4"/>
  <c r="W10" i="4"/>
  <c r="AH11" i="4"/>
  <c r="Y10" i="4"/>
  <c r="AG10" i="4"/>
  <c r="S21" i="7"/>
  <c r="N21" i="7"/>
  <c r="O21" i="7"/>
  <c r="T21" i="7"/>
  <c r="P21" i="7"/>
  <c r="K21" i="7"/>
  <c r="Q21" i="7"/>
  <c r="I21" i="7"/>
  <c r="R21" i="7"/>
  <c r="L21" i="7"/>
  <c r="M21" i="7"/>
  <c r="J21" i="7"/>
  <c r="AD11" i="4"/>
  <c r="AB10" i="4"/>
  <c r="T21" i="5"/>
  <c r="L21" i="5"/>
  <c r="J21" i="5"/>
  <c r="K21" i="5"/>
  <c r="N21" i="5"/>
  <c r="Q21" i="5"/>
  <c r="I21" i="5"/>
  <c r="R21" i="5"/>
  <c r="P21" i="5"/>
  <c r="M21" i="5"/>
  <c r="O21" i="5"/>
  <c r="S21" i="5"/>
  <c r="AG11" i="4"/>
  <c r="Y11" i="4"/>
  <c r="AD10" i="4"/>
  <c r="AE10" i="4"/>
  <c r="AE11" i="4"/>
  <c r="X11" i="4"/>
  <c r="X10" i="4"/>
  <c r="AC10" i="4"/>
  <c r="M11" i="4" s="1"/>
  <c r="AH10" i="4"/>
  <c r="AA10" i="4"/>
  <c r="AA11" i="4"/>
  <c r="W11" i="4"/>
  <c r="AF11" i="4"/>
  <c r="P11" i="4" s="1"/>
  <c r="AB11" i="4"/>
  <c r="Z10" i="4"/>
  <c r="R7" i="4"/>
  <c r="AH12" i="4" s="1"/>
  <c r="N7" i="4"/>
  <c r="AD12" i="4" s="1"/>
  <c r="G7" i="4"/>
  <c r="W12" i="4" s="1"/>
  <c r="O7" i="4"/>
  <c r="AE12" i="4" s="1"/>
  <c r="M7" i="4"/>
  <c r="AC12" i="4" s="1"/>
  <c r="L7" i="4"/>
  <c r="AB12" i="4" s="1"/>
  <c r="P7" i="4"/>
  <c r="AF12" i="4" s="1"/>
  <c r="J7" i="4"/>
  <c r="Z12" i="4" s="1"/>
  <c r="Q7" i="4"/>
  <c r="AG12" i="4" s="1"/>
  <c r="I7" i="4"/>
  <c r="Y12" i="4" s="1"/>
  <c r="I7" i="12" l="1"/>
  <c r="N7" i="12"/>
  <c r="K7" i="12"/>
  <c r="O7" i="12"/>
  <c r="D7" i="12"/>
  <c r="L7" i="12"/>
  <c r="F7" i="12"/>
  <c r="M7" i="12"/>
  <c r="V6" i="12"/>
  <c r="E6" i="12" s="1"/>
  <c r="G7" i="12"/>
  <c r="J7" i="12"/>
  <c r="Y6" i="12"/>
  <c r="H6" i="12" s="1"/>
  <c r="H7" i="4"/>
  <c r="X12" i="4" s="1"/>
  <c r="H12" i="4" s="1"/>
  <c r="K7" i="4"/>
  <c r="AA12" i="4" s="1"/>
  <c r="K12" i="4" s="1"/>
  <c r="L29" i="2"/>
  <c r="R29" i="2"/>
  <c r="O29" i="2"/>
  <c r="P29" i="2"/>
  <c r="K29" i="2"/>
  <c r="I29" i="2"/>
  <c r="M29" i="2"/>
  <c r="J29" i="2"/>
  <c r="S29" i="2"/>
  <c r="T29" i="2"/>
  <c r="N29" i="2"/>
  <c r="Q29" i="2"/>
  <c r="O29" i="10"/>
  <c r="L29" i="10"/>
  <c r="Q29" i="10"/>
  <c r="I29" i="10"/>
  <c r="R29" i="10"/>
  <c r="J29" i="10"/>
  <c r="T29" i="10"/>
  <c r="M29" i="10"/>
  <c r="S29" i="10"/>
  <c r="P29" i="10"/>
  <c r="K29" i="10"/>
  <c r="N29" i="10"/>
  <c r="R1" i="1"/>
  <c r="A23" i="10"/>
  <c r="A21" i="5"/>
  <c r="A21" i="7"/>
  <c r="A23" i="2"/>
  <c r="G11" i="4"/>
  <c r="K11" i="4"/>
  <c r="O11" i="4"/>
  <c r="T20" i="7"/>
  <c r="T57" i="14" s="1"/>
  <c r="L20" i="7"/>
  <c r="L57" i="14" s="1"/>
  <c r="Q20" i="7"/>
  <c r="Q57" i="14" s="1"/>
  <c r="S20" i="7"/>
  <c r="S57" i="14" s="1"/>
  <c r="K20" i="7"/>
  <c r="K57" i="14" s="1"/>
  <c r="R20" i="7"/>
  <c r="R57" i="14" s="1"/>
  <c r="J20" i="7"/>
  <c r="J57" i="14" s="1"/>
  <c r="I20" i="7"/>
  <c r="I57" i="14" s="1"/>
  <c r="P20" i="7"/>
  <c r="P57" i="14" s="1"/>
  <c r="M20" i="7"/>
  <c r="M57" i="14" s="1"/>
  <c r="N20" i="7"/>
  <c r="N57" i="14" s="1"/>
  <c r="O20" i="7"/>
  <c r="O57" i="14" s="1"/>
  <c r="Q11" i="4"/>
  <c r="L11" i="4"/>
  <c r="N11" i="4"/>
  <c r="H11" i="4"/>
  <c r="O20" i="5"/>
  <c r="M20" i="5"/>
  <c r="Q20" i="5"/>
  <c r="N20" i="5"/>
  <c r="L20" i="5"/>
  <c r="T20" i="5"/>
  <c r="K20" i="5"/>
  <c r="P20" i="5"/>
  <c r="J20" i="5"/>
  <c r="S20" i="5"/>
  <c r="R20" i="5"/>
  <c r="I20" i="5"/>
  <c r="R11" i="4"/>
  <c r="J11" i="4"/>
  <c r="I12" i="4"/>
  <c r="P12" i="4"/>
  <c r="O12" i="4"/>
  <c r="R12" i="4"/>
  <c r="Q12" i="4"/>
  <c r="L12" i="4"/>
  <c r="G12" i="4"/>
  <c r="J12" i="4"/>
  <c r="M12" i="4"/>
  <c r="N12" i="4"/>
  <c r="E7" i="12" l="1"/>
  <c r="H7" i="12"/>
  <c r="J23" i="2"/>
  <c r="O23" i="2"/>
  <c r="L23" i="2"/>
  <c r="N23" i="2"/>
  <c r="T23" i="2"/>
  <c r="S23" i="2"/>
  <c r="I23" i="2"/>
  <c r="M23" i="2"/>
  <c r="R23" i="2"/>
  <c r="Q23" i="2"/>
  <c r="K23" i="2"/>
  <c r="P23" i="2"/>
  <c r="P23" i="10"/>
  <c r="P47" i="10" s="1"/>
  <c r="K23" i="10"/>
  <c r="K47" i="10" s="1"/>
  <c r="M23" i="10"/>
  <c r="M47" i="10" s="1"/>
  <c r="N23" i="10"/>
  <c r="O23" i="10"/>
  <c r="O47" i="10" s="1"/>
  <c r="I23" i="10"/>
  <c r="I47" i="10" s="1"/>
  <c r="Q23" i="10"/>
  <c r="Q47" i="10" s="1"/>
  <c r="L23" i="10"/>
  <c r="R23" i="10"/>
  <c r="S23" i="10"/>
  <c r="J23" i="10"/>
  <c r="T23" i="10"/>
  <c r="S1" i="1"/>
  <c r="T1" i="1" s="1"/>
  <c r="A22" i="10"/>
  <c r="A20" i="5"/>
  <c r="A22" i="2"/>
  <c r="A20" i="7"/>
  <c r="Z14" i="4"/>
  <c r="L22" i="5"/>
  <c r="O25" i="5"/>
  <c r="O26" i="5" s="1"/>
  <c r="R25" i="5"/>
  <c r="R26" i="5" s="1"/>
  <c r="M25" i="5"/>
  <c r="M26" i="5" s="1"/>
  <c r="N25" i="5"/>
  <c r="N26" i="5" s="1"/>
  <c r="T25" i="5"/>
  <c r="T26" i="5" s="1"/>
  <c r="J25" i="5"/>
  <c r="J26" i="5" s="1"/>
  <c r="S25" i="5"/>
  <c r="S26" i="5" s="1"/>
  <c r="P25" i="5"/>
  <c r="P26" i="5" s="1"/>
  <c r="K25" i="5"/>
  <c r="K26" i="5" s="1"/>
  <c r="I25" i="5"/>
  <c r="I26" i="5" s="1"/>
  <c r="Q25" i="5"/>
  <c r="Q26" i="5" s="1"/>
  <c r="L25" i="5"/>
  <c r="L26" i="5" s="1"/>
  <c r="AF15" i="4"/>
  <c r="R42" i="7"/>
  <c r="R22" i="7"/>
  <c r="AG14" i="4"/>
  <c r="S22" i="5"/>
  <c r="AB14" i="4"/>
  <c r="N22" i="5"/>
  <c r="O120" i="7"/>
  <c r="P120" i="7"/>
  <c r="R120" i="7"/>
  <c r="M120" i="7"/>
  <c r="N120" i="7"/>
  <c r="I120" i="7"/>
  <c r="T120" i="7"/>
  <c r="K120" i="7"/>
  <c r="S120" i="7"/>
  <c r="J120" i="7"/>
  <c r="L120" i="7"/>
  <c r="Q120" i="7"/>
  <c r="AB15" i="4"/>
  <c r="N22" i="7"/>
  <c r="N42" i="7"/>
  <c r="Y15" i="4"/>
  <c r="K22" i="7"/>
  <c r="K42" i="7"/>
  <c r="AF14" i="4"/>
  <c r="R22" i="5"/>
  <c r="AE14" i="4"/>
  <c r="Q22" i="5"/>
  <c r="R25" i="7"/>
  <c r="R26" i="7" s="1"/>
  <c r="K25" i="7"/>
  <c r="K26" i="7" s="1"/>
  <c r="M25" i="7"/>
  <c r="M26" i="7" s="1"/>
  <c r="S25" i="7"/>
  <c r="S26" i="7" s="1"/>
  <c r="N25" i="7"/>
  <c r="N26" i="7" s="1"/>
  <c r="T25" i="7"/>
  <c r="T26" i="7" s="1"/>
  <c r="O25" i="7"/>
  <c r="O26" i="7" s="1"/>
  <c r="P25" i="7"/>
  <c r="P26" i="7" s="1"/>
  <c r="L25" i="7"/>
  <c r="L26" i="7" s="1"/>
  <c r="J25" i="7"/>
  <c r="J26" i="7" s="1"/>
  <c r="Q25" i="7"/>
  <c r="Q26" i="7" s="1"/>
  <c r="I25" i="7"/>
  <c r="I26" i="7" s="1"/>
  <c r="AA15" i="4"/>
  <c r="M42" i="7"/>
  <c r="M22" i="7"/>
  <c r="AG15" i="4"/>
  <c r="S42" i="7"/>
  <c r="S22" i="7"/>
  <c r="X14" i="4"/>
  <c r="J22" i="5"/>
  <c r="AD14" i="4"/>
  <c r="P22" i="5"/>
  <c r="AA14" i="4"/>
  <c r="M22" i="5"/>
  <c r="AD15" i="4"/>
  <c r="P22" i="7"/>
  <c r="P42" i="7"/>
  <c r="AE15" i="4"/>
  <c r="Q22" i="7"/>
  <c r="Q42" i="7"/>
  <c r="AC15" i="4"/>
  <c r="O22" i="7"/>
  <c r="O42" i="7"/>
  <c r="Y14" i="4"/>
  <c r="K22" i="5"/>
  <c r="AC14" i="4"/>
  <c r="O22" i="5"/>
  <c r="W15" i="4"/>
  <c r="I42" i="7"/>
  <c r="I22" i="7"/>
  <c r="Z15" i="4"/>
  <c r="L42" i="7"/>
  <c r="L22" i="7"/>
  <c r="W14" i="4"/>
  <c r="I22" i="5"/>
  <c r="AH14" i="4"/>
  <c r="T22" i="5"/>
  <c r="O120" i="5"/>
  <c r="N120" i="5"/>
  <c r="T120" i="5"/>
  <c r="I120" i="5"/>
  <c r="L120" i="5"/>
  <c r="P120" i="5"/>
  <c r="J120" i="5"/>
  <c r="K120" i="5"/>
  <c r="M120" i="5"/>
  <c r="R120" i="5"/>
  <c r="Q120" i="5"/>
  <c r="S120" i="5"/>
  <c r="X15" i="4"/>
  <c r="J42" i="7"/>
  <c r="J22" i="7"/>
  <c r="AH15" i="4"/>
  <c r="T42" i="7"/>
  <c r="T22" i="7"/>
  <c r="P47" i="2" l="1"/>
  <c r="S47" i="2"/>
  <c r="K47" i="2"/>
  <c r="T47" i="2"/>
  <c r="Q47" i="2"/>
  <c r="N47" i="2"/>
  <c r="R47" i="2"/>
  <c r="L47" i="2"/>
  <c r="M47" i="2"/>
  <c r="O47" i="2"/>
  <c r="I47" i="2"/>
  <c r="J47" i="2"/>
  <c r="Q22" i="10"/>
  <c r="T22" i="10"/>
  <c r="S22" i="10"/>
  <c r="I22" i="10"/>
  <c r="P22" i="10"/>
  <c r="N22" i="10"/>
  <c r="J22" i="10"/>
  <c r="M22" i="10"/>
  <c r="L22" i="10"/>
  <c r="K22" i="10"/>
  <c r="O22" i="10"/>
  <c r="R22" i="10"/>
  <c r="S47" i="10"/>
  <c r="N47" i="10"/>
  <c r="U1" i="1"/>
  <c r="V1" i="1" s="1"/>
  <c r="A36" i="10"/>
  <c r="A120" i="5"/>
  <c r="A36" i="2"/>
  <c r="A120" i="7"/>
  <c r="A25" i="7"/>
  <c r="A25" i="5"/>
  <c r="R47" i="10"/>
  <c r="L47" i="10"/>
  <c r="J22" i="2"/>
  <c r="L22" i="2"/>
  <c r="S22" i="2"/>
  <c r="K22" i="2"/>
  <c r="Q22" i="2"/>
  <c r="N22" i="2"/>
  <c r="R22" i="2"/>
  <c r="I22" i="2"/>
  <c r="P22" i="2"/>
  <c r="O22" i="2"/>
  <c r="M22" i="2"/>
  <c r="T22" i="2"/>
  <c r="T47" i="10"/>
  <c r="J47" i="10"/>
  <c r="I10" i="4"/>
  <c r="I11" i="4" s="1"/>
  <c r="T74" i="5"/>
  <c r="T110" i="5" s="1"/>
  <c r="T168" i="14" s="1"/>
  <c r="O74" i="5"/>
  <c r="O110" i="5" s="1"/>
  <c r="O168" i="14" s="1"/>
  <c r="I74" i="5"/>
  <c r="I110" i="5" s="1"/>
  <c r="I168" i="14" s="1"/>
  <c r="L74" i="5"/>
  <c r="L110" i="5" s="1"/>
  <c r="L168" i="14" s="1"/>
  <c r="R74" i="5"/>
  <c r="R110" i="5" s="1"/>
  <c r="R168" i="14" s="1"/>
  <c r="N74" i="5"/>
  <c r="N110" i="5" s="1"/>
  <c r="N168" i="14" s="1"/>
  <c r="Q74" i="5"/>
  <c r="Q110" i="5" s="1"/>
  <c r="Q168" i="14" s="1"/>
  <c r="S74" i="5"/>
  <c r="S110" i="5" s="1"/>
  <c r="S168" i="14" s="1"/>
  <c r="K74" i="5"/>
  <c r="K110" i="5" s="1"/>
  <c r="K168" i="14" s="1"/>
  <c r="M74" i="5"/>
  <c r="M110" i="5" s="1"/>
  <c r="M168" i="14" s="1"/>
  <c r="P74" i="5"/>
  <c r="P110" i="5" s="1"/>
  <c r="P168" i="14" s="1"/>
  <c r="J74" i="5"/>
  <c r="J110" i="5" s="1"/>
  <c r="J168" i="14" s="1"/>
  <c r="R74" i="7"/>
  <c r="R110" i="7" s="1"/>
  <c r="O99" i="4" s="1"/>
  <c r="M74" i="7"/>
  <c r="M110" i="7" s="1"/>
  <c r="J99" i="4" s="1"/>
  <c r="I74" i="7"/>
  <c r="I110" i="7" s="1"/>
  <c r="F99" i="4" s="1"/>
  <c r="Q74" i="7"/>
  <c r="Q110" i="7" s="1"/>
  <c r="N99" i="4" s="1"/>
  <c r="O74" i="7"/>
  <c r="O110" i="7" s="1"/>
  <c r="L99" i="4" s="1"/>
  <c r="L74" i="7"/>
  <c r="L110" i="7" s="1"/>
  <c r="I99" i="4" s="1"/>
  <c r="S74" i="7"/>
  <c r="S110" i="7" s="1"/>
  <c r="P99" i="4" s="1"/>
  <c r="T74" i="7"/>
  <c r="T110" i="7" s="1"/>
  <c r="Q99" i="4" s="1"/>
  <c r="J74" i="7"/>
  <c r="J110" i="7" s="1"/>
  <c r="G99" i="4" s="1"/>
  <c r="N74" i="7"/>
  <c r="N110" i="7" s="1"/>
  <c r="K99" i="4" s="1"/>
  <c r="K74" i="7"/>
  <c r="K110" i="7" s="1"/>
  <c r="H99" i="4" s="1"/>
  <c r="P74" i="7"/>
  <c r="P110" i="7" s="1"/>
  <c r="M99" i="4" s="1"/>
  <c r="S168" i="10" l="1"/>
  <c r="O168" i="10"/>
  <c r="Q168" i="10"/>
  <c r="T168" i="10"/>
  <c r="J168" i="10"/>
  <c r="N168" i="10"/>
  <c r="P168" i="10"/>
  <c r="R168" i="10"/>
  <c r="M168" i="10"/>
  <c r="L168" i="10"/>
  <c r="K168" i="10"/>
  <c r="I168" i="10"/>
  <c r="N63" i="2"/>
  <c r="AB16" i="4"/>
  <c r="N33" i="2"/>
  <c r="AF16" i="4"/>
  <c r="R33" i="2"/>
  <c r="R63" i="2"/>
  <c r="J33" i="2"/>
  <c r="X16" i="4"/>
  <c r="J63" i="2"/>
  <c r="T36" i="10"/>
  <c r="Q36" i="10"/>
  <c r="L36" i="10"/>
  <c r="N36" i="10"/>
  <c r="R36" i="10"/>
  <c r="P36" i="10"/>
  <c r="S36" i="10"/>
  <c r="M36" i="10"/>
  <c r="K36" i="10"/>
  <c r="I36" i="10"/>
  <c r="O36" i="10"/>
  <c r="J36" i="10"/>
  <c r="R63" i="10"/>
  <c r="R33" i="10"/>
  <c r="R57" i="10"/>
  <c r="N63" i="10"/>
  <c r="N33" i="10"/>
  <c r="N57" i="10"/>
  <c r="AA16" i="4"/>
  <c r="M33" i="2"/>
  <c r="M63" i="2"/>
  <c r="Q63" i="2"/>
  <c r="Q33" i="2"/>
  <c r="AE16" i="4"/>
  <c r="R36" i="2"/>
  <c r="I36" i="2"/>
  <c r="T36" i="2"/>
  <c r="M36" i="2"/>
  <c r="S36" i="2"/>
  <c r="J36" i="2"/>
  <c r="K36" i="2"/>
  <c r="N36" i="2"/>
  <c r="P36" i="2"/>
  <c r="X36" i="2" s="1"/>
  <c r="L36" i="2"/>
  <c r="Q36" i="2"/>
  <c r="O36" i="2"/>
  <c r="K63" i="10"/>
  <c r="K33" i="10"/>
  <c r="K57" i="10"/>
  <c r="I63" i="10"/>
  <c r="I33" i="10"/>
  <c r="I57" i="10"/>
  <c r="P63" i="10"/>
  <c r="P33" i="10"/>
  <c r="P57" i="10"/>
  <c r="AC16" i="4"/>
  <c r="O33" i="2"/>
  <c r="O63" i="2"/>
  <c r="K63" i="2"/>
  <c r="K33" i="2"/>
  <c r="Y16" i="4"/>
  <c r="L164" i="2"/>
  <c r="P164" i="2"/>
  <c r="N164" i="2"/>
  <c r="T164" i="2"/>
  <c r="K164" i="2"/>
  <c r="Q164" i="2"/>
  <c r="S164" i="2"/>
  <c r="O164" i="2"/>
  <c r="J164" i="2"/>
  <c r="M164" i="2"/>
  <c r="R164" i="2"/>
  <c r="I164" i="2"/>
  <c r="L33" i="10"/>
  <c r="L63" i="10"/>
  <c r="L57" i="10"/>
  <c r="S63" i="10"/>
  <c r="S33" i="10"/>
  <c r="S57" i="10"/>
  <c r="O63" i="10"/>
  <c r="O33" i="10"/>
  <c r="O57" i="10"/>
  <c r="AD16" i="4"/>
  <c r="P63" i="2"/>
  <c r="P33" i="2"/>
  <c r="S33" i="2"/>
  <c r="S63" i="2"/>
  <c r="AG16" i="4"/>
  <c r="M63" i="10"/>
  <c r="M33" i="10"/>
  <c r="M57" i="10"/>
  <c r="T33" i="10"/>
  <c r="T63" i="10"/>
  <c r="T57" i="10"/>
  <c r="T63" i="2"/>
  <c r="T33" i="2"/>
  <c r="AH16" i="4"/>
  <c r="W1" i="1"/>
  <c r="X1" i="1" s="1"/>
  <c r="A74" i="10"/>
  <c r="A74" i="2"/>
  <c r="W16" i="4"/>
  <c r="I33" i="2"/>
  <c r="I63" i="2"/>
  <c r="Z16" i="4"/>
  <c r="L33" i="2"/>
  <c r="L63" i="2"/>
  <c r="T164" i="10"/>
  <c r="M164" i="10"/>
  <c r="R164" i="10"/>
  <c r="N164" i="10"/>
  <c r="J164" i="10"/>
  <c r="O164" i="10"/>
  <c r="I164" i="10"/>
  <c r="K164" i="10"/>
  <c r="S164" i="10"/>
  <c r="P164" i="10"/>
  <c r="L164" i="10"/>
  <c r="Q164" i="10"/>
  <c r="J33" i="10"/>
  <c r="J63" i="10"/>
  <c r="J57" i="10"/>
  <c r="Q63" i="10"/>
  <c r="Q33" i="10"/>
  <c r="Q57" i="10"/>
  <c r="T124" i="7"/>
  <c r="K124" i="7"/>
  <c r="I124" i="7"/>
  <c r="S124" i="7"/>
  <c r="O124" i="7"/>
  <c r="Q124" i="7"/>
  <c r="J124" i="7"/>
  <c r="N124" i="7"/>
  <c r="P124" i="7"/>
  <c r="R124" i="7"/>
  <c r="N66" i="5"/>
  <c r="I66" i="5"/>
  <c r="L66" i="5"/>
  <c r="K66" i="5"/>
  <c r="M66" i="5"/>
  <c r="J66" i="5"/>
  <c r="O66" i="5"/>
  <c r="M124" i="7"/>
  <c r="L124" i="7"/>
  <c r="Q66" i="7"/>
  <c r="M66" i="7"/>
  <c r="R66" i="7"/>
  <c r="T66" i="7"/>
  <c r="L66" i="7"/>
  <c r="S66" i="7"/>
  <c r="I66" i="7"/>
  <c r="O66" i="7"/>
  <c r="N66" i="7"/>
  <c r="J66" i="7"/>
  <c r="P66" i="7"/>
  <c r="K66" i="7"/>
  <c r="K37" i="10" l="1"/>
  <c r="K20" i="10" s="1"/>
  <c r="K21" i="10" s="1"/>
  <c r="W8" i="12"/>
  <c r="F8" i="12" s="1"/>
  <c r="L37" i="10"/>
  <c r="L20" i="10" s="1"/>
  <c r="L21" i="10" s="1"/>
  <c r="X8" i="12"/>
  <c r="G8" i="12" s="1"/>
  <c r="M37" i="10"/>
  <c r="M20" i="10" s="1"/>
  <c r="M21" i="10" s="1"/>
  <c r="Y8" i="12"/>
  <c r="H8" i="12" s="1"/>
  <c r="Q37" i="10"/>
  <c r="Q20" i="10" s="1"/>
  <c r="Q21" i="10" s="1"/>
  <c r="AC8" i="12"/>
  <c r="L8" i="12" s="1"/>
  <c r="S37" i="10"/>
  <c r="S20" i="10" s="1"/>
  <c r="S21" i="10" s="1"/>
  <c r="AE8" i="12"/>
  <c r="N8" i="12" s="1"/>
  <c r="T37" i="10"/>
  <c r="T20" i="10" s="1"/>
  <c r="T21" i="10" s="1"/>
  <c r="AF8" i="12"/>
  <c r="O8" i="12" s="1"/>
  <c r="J37" i="10"/>
  <c r="V8" i="12"/>
  <c r="E8" i="12" s="1"/>
  <c r="P37" i="10"/>
  <c r="P20" i="10" s="1"/>
  <c r="P21" i="10" s="1"/>
  <c r="AB8" i="12"/>
  <c r="K8" i="12" s="1"/>
  <c r="O37" i="10"/>
  <c r="O20" i="10" s="1"/>
  <c r="O21" i="10" s="1"/>
  <c r="AA8" i="12"/>
  <c r="J8" i="12" s="1"/>
  <c r="R37" i="10"/>
  <c r="R20" i="10" s="1"/>
  <c r="R21" i="10" s="1"/>
  <c r="AD8" i="12"/>
  <c r="M8" i="12" s="1"/>
  <c r="I37" i="10"/>
  <c r="I20" i="10" s="1"/>
  <c r="I21" i="10" s="1"/>
  <c r="U8" i="12"/>
  <c r="D8" i="12" s="1"/>
  <c r="N37" i="10"/>
  <c r="N20" i="10" s="1"/>
  <c r="N21" i="10" s="1"/>
  <c r="Z8" i="12"/>
  <c r="I8" i="12" s="1"/>
  <c r="N37" i="2"/>
  <c r="N20" i="2" s="1"/>
  <c r="AB9" i="4"/>
  <c r="W9" i="4"/>
  <c r="I37" i="2"/>
  <c r="I20" i="2" s="1"/>
  <c r="J20" i="10"/>
  <c r="J21" i="10" s="1"/>
  <c r="Y1" i="1"/>
  <c r="A67" i="10"/>
  <c r="A67" i="2"/>
  <c r="S37" i="2"/>
  <c r="S20" i="2" s="1"/>
  <c r="AG9" i="4"/>
  <c r="R74" i="2"/>
  <c r="O74" i="2"/>
  <c r="L74" i="2"/>
  <c r="I74" i="2"/>
  <c r="Q74" i="2"/>
  <c r="M74" i="2"/>
  <c r="S74" i="2"/>
  <c r="K74" i="2"/>
  <c r="N74" i="2"/>
  <c r="P74" i="2"/>
  <c r="T74" i="2"/>
  <c r="J74" i="2"/>
  <c r="Y9" i="4"/>
  <c r="I8" i="4" s="1"/>
  <c r="K37" i="2"/>
  <c r="K20" i="2" s="1"/>
  <c r="R37" i="2"/>
  <c r="R20" i="2" s="1"/>
  <c r="AF9" i="4"/>
  <c r="T74" i="10"/>
  <c r="O74" i="10"/>
  <c r="Q74" i="10"/>
  <c r="I74" i="10"/>
  <c r="K74" i="10"/>
  <c r="P74" i="10"/>
  <c r="R74" i="10"/>
  <c r="L74" i="10"/>
  <c r="M74" i="10"/>
  <c r="S74" i="10"/>
  <c r="N74" i="10"/>
  <c r="J74" i="10"/>
  <c r="AC9" i="4"/>
  <c r="O37" i="2"/>
  <c r="O20" i="2" s="1"/>
  <c r="J37" i="2"/>
  <c r="J20" i="2" s="1"/>
  <c r="X9" i="4"/>
  <c r="Q37" i="2"/>
  <c r="Q20" i="2" s="1"/>
  <c r="AE9" i="4"/>
  <c r="L37" i="2"/>
  <c r="L20" i="2" s="1"/>
  <c r="Z9" i="4"/>
  <c r="AA9" i="4"/>
  <c r="M37" i="2"/>
  <c r="M20" i="2" s="1"/>
  <c r="AD9" i="4"/>
  <c r="P37" i="2"/>
  <c r="P20" i="2" s="1"/>
  <c r="T37" i="2"/>
  <c r="T20" i="2" s="1"/>
  <c r="AH9" i="4"/>
  <c r="L70" i="5"/>
  <c r="I70" i="5"/>
  <c r="K70" i="5"/>
  <c r="J70" i="5"/>
  <c r="O70" i="5"/>
  <c r="M70" i="5"/>
  <c r="N70" i="5"/>
  <c r="T70" i="7"/>
  <c r="T71" i="7" s="1"/>
  <c r="S70" i="7"/>
  <c r="S71" i="7" s="1"/>
  <c r="J70" i="7"/>
  <c r="J71" i="7" s="1"/>
  <c r="Q70" i="7"/>
  <c r="Q71" i="7" s="1"/>
  <c r="P70" i="7"/>
  <c r="P71" i="7" s="1"/>
  <c r="L70" i="7"/>
  <c r="L71" i="7" s="1"/>
  <c r="M70" i="7"/>
  <c r="M71" i="7" s="1"/>
  <c r="K70" i="7"/>
  <c r="K71" i="7" s="1"/>
  <c r="I70" i="7"/>
  <c r="I71" i="7" s="1"/>
  <c r="O70" i="7"/>
  <c r="O71" i="7" s="1"/>
  <c r="R70" i="7"/>
  <c r="R71" i="7" s="1"/>
  <c r="N70" i="7"/>
  <c r="N71" i="7" s="1"/>
  <c r="T66" i="5"/>
  <c r="N75" i="10" l="1"/>
  <c r="Z41" i="12"/>
  <c r="K75" i="10"/>
  <c r="W41" i="12"/>
  <c r="S75" i="10"/>
  <c r="AE41" i="12"/>
  <c r="I75" i="10"/>
  <c r="U41" i="12"/>
  <c r="Q75" i="10"/>
  <c r="AC41" i="12"/>
  <c r="M75" i="10"/>
  <c r="Y41" i="12"/>
  <c r="L75" i="10"/>
  <c r="X41" i="12"/>
  <c r="O75" i="10"/>
  <c r="AA41" i="12"/>
  <c r="R75" i="10"/>
  <c r="AD41" i="12"/>
  <c r="T75" i="10"/>
  <c r="AF41" i="12"/>
  <c r="J75" i="10"/>
  <c r="V41" i="12"/>
  <c r="P75" i="10"/>
  <c r="AB41" i="12"/>
  <c r="T75" i="2"/>
  <c r="Q75" i="2"/>
  <c r="S75" i="2"/>
  <c r="J75" i="2"/>
  <c r="P75" i="2"/>
  <c r="I75" i="2"/>
  <c r="N75" i="2"/>
  <c r="L75" i="2"/>
  <c r="R75" i="2"/>
  <c r="M75" i="2"/>
  <c r="K75" i="2"/>
  <c r="O75" i="2"/>
  <c r="H10" i="4"/>
  <c r="H8" i="4"/>
  <c r="R10" i="4"/>
  <c r="R8" i="4"/>
  <c r="Z1" i="1"/>
  <c r="A79" i="10"/>
  <c r="A79" i="2"/>
  <c r="G10" i="4"/>
  <c r="G8" i="4"/>
  <c r="O8" i="4"/>
  <c r="O9" i="4" s="1"/>
  <c r="O10" i="4"/>
  <c r="P10" i="4"/>
  <c r="P8" i="4"/>
  <c r="Q10" i="4"/>
  <c r="Q8" i="4"/>
  <c r="L10" i="4"/>
  <c r="L8" i="4"/>
  <c r="N10" i="4"/>
  <c r="N8" i="4"/>
  <c r="M10" i="4"/>
  <c r="M8" i="4"/>
  <c r="K10" i="4"/>
  <c r="K8" i="4"/>
  <c r="M67" i="2"/>
  <c r="N67" i="2"/>
  <c r="K67" i="2"/>
  <c r="T67" i="2"/>
  <c r="I67" i="2"/>
  <c r="O67" i="2"/>
  <c r="L67" i="2"/>
  <c r="J67" i="2"/>
  <c r="P67" i="2"/>
  <c r="S67" i="2"/>
  <c r="R67" i="2"/>
  <c r="Q67" i="2"/>
  <c r="J10" i="4"/>
  <c r="J8" i="4"/>
  <c r="I2" i="4"/>
  <c r="I9" i="4"/>
  <c r="O67" i="10"/>
  <c r="AA11" i="12" s="1"/>
  <c r="AA33" i="12" s="1"/>
  <c r="L67" i="10"/>
  <c r="X11" i="12" s="1"/>
  <c r="X33" i="12" s="1"/>
  <c r="Q67" i="10"/>
  <c r="AC11" i="12" s="1"/>
  <c r="AC33" i="12" s="1"/>
  <c r="J67" i="10"/>
  <c r="V11" i="12" s="1"/>
  <c r="V33" i="12" s="1"/>
  <c r="N67" i="10"/>
  <c r="Z11" i="12" s="1"/>
  <c r="Z33" i="12" s="1"/>
  <c r="S67" i="10"/>
  <c r="AE11" i="12" s="1"/>
  <c r="AE33" i="12" s="1"/>
  <c r="M67" i="10"/>
  <c r="Y11" i="12" s="1"/>
  <c r="Y33" i="12" s="1"/>
  <c r="K67" i="10"/>
  <c r="W11" i="12" s="1"/>
  <c r="W33" i="12" s="1"/>
  <c r="R67" i="10"/>
  <c r="AD11" i="12" s="1"/>
  <c r="AD33" i="12" s="1"/>
  <c r="I67" i="10"/>
  <c r="U11" i="12" s="1"/>
  <c r="U33" i="12" s="1"/>
  <c r="T67" i="10"/>
  <c r="AF11" i="12" s="1"/>
  <c r="AF33" i="12" s="1"/>
  <c r="P67" i="10"/>
  <c r="AB11" i="12" s="1"/>
  <c r="AB33" i="12" s="1"/>
  <c r="T70" i="5"/>
  <c r="J71" i="5"/>
  <c r="N71" i="5"/>
  <c r="I71" i="5"/>
  <c r="M71" i="5"/>
  <c r="K71" i="5"/>
  <c r="J72" i="5"/>
  <c r="N72" i="5"/>
  <c r="T72" i="5"/>
  <c r="O72" i="5"/>
  <c r="M72" i="5"/>
  <c r="I72" i="5"/>
  <c r="L72" i="5"/>
  <c r="K72" i="5"/>
  <c r="L71" i="5"/>
  <c r="T72" i="7"/>
  <c r="I72" i="7"/>
  <c r="P72" i="7"/>
  <c r="O72" i="7"/>
  <c r="N72" i="7"/>
  <c r="L72" i="7"/>
  <c r="J72" i="7"/>
  <c r="M72" i="7"/>
  <c r="S72" i="7"/>
  <c r="R72" i="7"/>
  <c r="K72" i="7"/>
  <c r="Q72" i="7"/>
  <c r="O71" i="5"/>
  <c r="S70" i="5"/>
  <c r="S66" i="5"/>
  <c r="R66" i="5"/>
  <c r="Y9" i="12" l="1"/>
  <c r="AC9" i="12"/>
  <c r="AA9" i="12"/>
  <c r="AD9" i="12"/>
  <c r="U9" i="12"/>
  <c r="AE9" i="12"/>
  <c r="AF9" i="12"/>
  <c r="X9" i="12"/>
  <c r="AB9" i="12"/>
  <c r="W9" i="12"/>
  <c r="V9" i="12"/>
  <c r="Z9" i="12"/>
  <c r="H9" i="12"/>
  <c r="R2" i="4"/>
  <c r="R9" i="4"/>
  <c r="L2" i="4"/>
  <c r="L9" i="4"/>
  <c r="O2" i="4"/>
  <c r="M2" i="4"/>
  <c r="M9" i="4"/>
  <c r="K9" i="4"/>
  <c r="K2" i="4"/>
  <c r="Q9" i="4"/>
  <c r="Q2" i="4"/>
  <c r="T79" i="2"/>
  <c r="J79" i="2"/>
  <c r="I79" i="2"/>
  <c r="Q79" i="2"/>
  <c r="L79" i="2"/>
  <c r="N79" i="2"/>
  <c r="A11" i="8"/>
  <c r="M79" i="2"/>
  <c r="R79" i="2"/>
  <c r="S79" i="2"/>
  <c r="O79" i="2"/>
  <c r="K79" i="2"/>
  <c r="P79" i="2"/>
  <c r="H9" i="4"/>
  <c r="H2" i="4"/>
  <c r="N2" i="4"/>
  <c r="N9" i="4"/>
  <c r="Q79" i="10"/>
  <c r="R79" i="10"/>
  <c r="L79" i="10"/>
  <c r="O79" i="10"/>
  <c r="K79" i="10"/>
  <c r="P79" i="10"/>
  <c r="J79" i="10"/>
  <c r="T79" i="10"/>
  <c r="N79" i="10"/>
  <c r="S79" i="10"/>
  <c r="I79" i="10"/>
  <c r="M79" i="10"/>
  <c r="J9" i="4"/>
  <c r="J2" i="4"/>
  <c r="P9" i="4"/>
  <c r="P2" i="4"/>
  <c r="G2" i="4"/>
  <c r="G9" i="4"/>
  <c r="AA1" i="1"/>
  <c r="A81" i="10"/>
  <c r="A81" i="2"/>
  <c r="R70" i="5"/>
  <c r="T71" i="5"/>
  <c r="R13" i="2"/>
  <c r="R13" i="5"/>
  <c r="S72" i="5"/>
  <c r="R72" i="5"/>
  <c r="S13" i="2"/>
  <c r="S13" i="5"/>
  <c r="S71" i="5"/>
  <c r="R73" i="5"/>
  <c r="M73" i="5"/>
  <c r="N73" i="5"/>
  <c r="L73" i="5"/>
  <c r="S73" i="5"/>
  <c r="T73" i="5"/>
  <c r="K73" i="5"/>
  <c r="O73" i="5"/>
  <c r="I73" i="5"/>
  <c r="J73" i="5"/>
  <c r="N73" i="7"/>
  <c r="Q73" i="7"/>
  <c r="K73" i="7"/>
  <c r="M73" i="7"/>
  <c r="J73" i="7"/>
  <c r="R73" i="7"/>
  <c r="O73" i="7"/>
  <c r="S73" i="7"/>
  <c r="L73" i="7"/>
  <c r="P73" i="7"/>
  <c r="I73" i="7"/>
  <c r="T73" i="7"/>
  <c r="Q70" i="5"/>
  <c r="Q66" i="5"/>
  <c r="Z32" i="12" l="1"/>
  <c r="I10" i="12"/>
  <c r="E11" i="12"/>
  <c r="E10" i="12"/>
  <c r="D23" i="12"/>
  <c r="D10" i="12"/>
  <c r="F11" i="12"/>
  <c r="F10" i="12"/>
  <c r="M24" i="12"/>
  <c r="M10" i="12"/>
  <c r="AB32" i="12"/>
  <c r="K10" i="12"/>
  <c r="AA32" i="12"/>
  <c r="J10" i="12"/>
  <c r="X32" i="12"/>
  <c r="G10" i="12"/>
  <c r="L9" i="12"/>
  <c r="L10" i="12"/>
  <c r="AE32" i="12"/>
  <c r="N10" i="12"/>
  <c r="O9" i="12"/>
  <c r="O10" i="12"/>
  <c r="Y32" i="12"/>
  <c r="H10" i="12"/>
  <c r="O24" i="12"/>
  <c r="M11" i="12"/>
  <c r="AF32" i="12"/>
  <c r="D11" i="12"/>
  <c r="M9" i="12"/>
  <c r="F24" i="12"/>
  <c r="H12" i="12"/>
  <c r="G23" i="12"/>
  <c r="W32" i="12"/>
  <c r="F9" i="12"/>
  <c r="O12" i="12"/>
  <c r="M23" i="12"/>
  <c r="H23" i="12"/>
  <c r="F23" i="12"/>
  <c r="O23" i="12"/>
  <c r="M12" i="12"/>
  <c r="H11" i="12"/>
  <c r="F12" i="12"/>
  <c r="O11" i="12"/>
  <c r="AD32" i="12"/>
  <c r="H24" i="12"/>
  <c r="J23" i="12"/>
  <c r="I23" i="12"/>
  <c r="D9" i="12"/>
  <c r="L24" i="12"/>
  <c r="E24" i="12"/>
  <c r="D24" i="12"/>
  <c r="L23" i="12"/>
  <c r="V32" i="12"/>
  <c r="U32" i="12"/>
  <c r="AC32" i="12"/>
  <c r="D12" i="12"/>
  <c r="L12" i="12"/>
  <c r="G12" i="12"/>
  <c r="L11" i="12"/>
  <c r="G9" i="12"/>
  <c r="E23" i="12"/>
  <c r="E9" i="12"/>
  <c r="E12" i="12"/>
  <c r="G11" i="12"/>
  <c r="I12" i="12"/>
  <c r="K9" i="12"/>
  <c r="N11" i="12"/>
  <c r="J12" i="12"/>
  <c r="K24" i="12"/>
  <c r="I11" i="12"/>
  <c r="K12" i="12"/>
  <c r="N24" i="12"/>
  <c r="J11" i="12"/>
  <c r="I9" i="12"/>
  <c r="K23" i="12"/>
  <c r="N12" i="12"/>
  <c r="J9" i="12"/>
  <c r="N9" i="12"/>
  <c r="I24" i="12"/>
  <c r="K11" i="12"/>
  <c r="N23" i="12"/>
  <c r="J24" i="12"/>
  <c r="G24" i="12"/>
  <c r="Z51" i="12"/>
  <c r="I34" i="12" s="1"/>
  <c r="N32" i="12"/>
  <c r="AE50" i="12"/>
  <c r="N33" i="12" s="1"/>
  <c r="AA50" i="12"/>
  <c r="J33" i="12" s="1"/>
  <c r="S11" i="8"/>
  <c r="O11" i="8"/>
  <c r="M11" i="8"/>
  <c r="L11" i="8"/>
  <c r="K11" i="8"/>
  <c r="I11" i="8"/>
  <c r="J11" i="8"/>
  <c r="P11" i="8"/>
  <c r="N11" i="8"/>
  <c r="R11" i="8"/>
  <c r="T11" i="8"/>
  <c r="Q11" i="8"/>
  <c r="T81" i="10"/>
  <c r="M81" i="10"/>
  <c r="L81" i="10"/>
  <c r="O81" i="10"/>
  <c r="S81" i="10"/>
  <c r="P81" i="10"/>
  <c r="J81" i="10"/>
  <c r="R81" i="10"/>
  <c r="K81" i="10"/>
  <c r="Q81" i="10"/>
  <c r="I81" i="10"/>
  <c r="N81" i="10"/>
  <c r="AB1" i="1"/>
  <c r="A82" i="10"/>
  <c r="A82" i="2"/>
  <c r="N81" i="2"/>
  <c r="R81" i="2"/>
  <c r="K81" i="2"/>
  <c r="I81" i="2"/>
  <c r="J81" i="2"/>
  <c r="P81" i="2"/>
  <c r="O81" i="2"/>
  <c r="L81" i="2"/>
  <c r="T81" i="2"/>
  <c r="S81" i="2"/>
  <c r="A13" i="8"/>
  <c r="M81" i="2"/>
  <c r="Q81" i="2"/>
  <c r="R71" i="5"/>
  <c r="Q71" i="5"/>
  <c r="Q73" i="5"/>
  <c r="Q72" i="5"/>
  <c r="T27" i="5"/>
  <c r="R18" i="4" s="1"/>
  <c r="M27" i="5"/>
  <c r="K18" i="4" s="1"/>
  <c r="S27" i="5"/>
  <c r="Q18" i="4" s="1"/>
  <c r="K27" i="5"/>
  <c r="I18" i="4" s="1"/>
  <c r="O27" i="5"/>
  <c r="M18" i="4" s="1"/>
  <c r="Q27" i="5"/>
  <c r="O18" i="4" s="1"/>
  <c r="L27" i="5"/>
  <c r="J18" i="4" s="1"/>
  <c r="N27" i="5"/>
  <c r="L18" i="4" s="1"/>
  <c r="I27" i="5"/>
  <c r="G18" i="4" s="1"/>
  <c r="J27" i="5"/>
  <c r="H18" i="4" s="1"/>
  <c r="R27" i="5"/>
  <c r="P18" i="4" s="1"/>
  <c r="Q27" i="7"/>
  <c r="J27" i="7"/>
  <c r="S27" i="7"/>
  <c r="I27" i="7"/>
  <c r="O27" i="7"/>
  <c r="M27" i="7"/>
  <c r="L27" i="7"/>
  <c r="R27" i="7"/>
  <c r="P27" i="7"/>
  <c r="N27" i="7"/>
  <c r="K27" i="7"/>
  <c r="T27" i="7"/>
  <c r="P27" i="5"/>
  <c r="N18" i="4" s="1"/>
  <c r="P70" i="5"/>
  <c r="P66" i="5"/>
  <c r="U50" i="12" l="1"/>
  <c r="D33" i="12" s="1"/>
  <c r="D42" i="12"/>
  <c r="V50" i="12"/>
  <c r="E33" i="12" s="1"/>
  <c r="E42" i="12"/>
  <c r="Y51" i="12"/>
  <c r="H34" i="12" s="1"/>
  <c r="H42" i="12"/>
  <c r="AB50" i="12"/>
  <c r="K33" i="12" s="1"/>
  <c r="K42" i="12"/>
  <c r="W50" i="12"/>
  <c r="F33" i="12" s="1"/>
  <c r="F42" i="12"/>
  <c r="AF51" i="12"/>
  <c r="O34" i="12" s="1"/>
  <c r="O42" i="12"/>
  <c r="X50" i="12"/>
  <c r="G33" i="12" s="1"/>
  <c r="G42" i="12"/>
  <c r="AD51" i="12"/>
  <c r="M34" i="12" s="1"/>
  <c r="M42" i="12"/>
  <c r="F32" i="12"/>
  <c r="L32" i="12"/>
  <c r="L42" i="12"/>
  <c r="AE51" i="12"/>
  <c r="N34" i="12" s="1"/>
  <c r="N42" i="12"/>
  <c r="J32" i="12"/>
  <c r="J42" i="12"/>
  <c r="Z50" i="12"/>
  <c r="I33" i="12" s="1"/>
  <c r="I42" i="12"/>
  <c r="I32" i="12"/>
  <c r="AA51" i="12"/>
  <c r="J34" i="12" s="1"/>
  <c r="G32" i="12"/>
  <c r="X51" i="12"/>
  <c r="G34" i="12" s="1"/>
  <c r="AB51" i="12"/>
  <c r="K34" i="12" s="1"/>
  <c r="K32" i="12"/>
  <c r="Y50" i="12"/>
  <c r="H33" i="12" s="1"/>
  <c r="H32" i="12"/>
  <c r="AF50" i="12"/>
  <c r="O33" i="12" s="1"/>
  <c r="O32" i="12"/>
  <c r="D32" i="12"/>
  <c r="U51" i="12"/>
  <c r="D34" i="12" s="1"/>
  <c r="M32" i="12"/>
  <c r="W51" i="12"/>
  <c r="F34" i="12" s="1"/>
  <c r="V51" i="12"/>
  <c r="E34" i="12" s="1"/>
  <c r="AD50" i="12"/>
  <c r="M33" i="12" s="1"/>
  <c r="E32" i="12"/>
  <c r="AC51" i="12"/>
  <c r="L34" i="12" s="1"/>
  <c r="AC50" i="12"/>
  <c r="L33" i="12" s="1"/>
  <c r="Q13" i="8"/>
  <c r="M13" i="8"/>
  <c r="J13" i="8"/>
  <c r="R13" i="8"/>
  <c r="L13" i="8"/>
  <c r="I13" i="8"/>
  <c r="K13" i="8"/>
  <c r="O13" i="8"/>
  <c r="T13" i="8"/>
  <c r="N13" i="8"/>
  <c r="S13" i="8"/>
  <c r="P13" i="8"/>
  <c r="A14" i="8"/>
  <c r="S82" i="2"/>
  <c r="S71" i="2" s="1"/>
  <c r="N82" i="2"/>
  <c r="N71" i="2" s="1"/>
  <c r="L82" i="2"/>
  <c r="L71" i="2" s="1"/>
  <c r="Q82" i="2"/>
  <c r="Q71" i="2" s="1"/>
  <c r="R82" i="2"/>
  <c r="R71" i="2" s="1"/>
  <c r="K82" i="2"/>
  <c r="K71" i="2" s="1"/>
  <c r="M82" i="2"/>
  <c r="M71" i="2" s="1"/>
  <c r="J82" i="2"/>
  <c r="J71" i="2" s="1"/>
  <c r="O82" i="2"/>
  <c r="O71" i="2" s="1"/>
  <c r="I82" i="2"/>
  <c r="I71" i="2" s="1"/>
  <c r="U38" i="12" s="1"/>
  <c r="P82" i="2"/>
  <c r="P71" i="2" s="1"/>
  <c r="T82" i="2"/>
  <c r="T71" i="2" s="1"/>
  <c r="T82" i="10"/>
  <c r="T71" i="10" s="1"/>
  <c r="AF39" i="12" s="1"/>
  <c r="S82" i="10"/>
  <c r="S71" i="10" s="1"/>
  <c r="AE39" i="12" s="1"/>
  <c r="M82" i="10"/>
  <c r="M71" i="10" s="1"/>
  <c r="Y39" i="12" s="1"/>
  <c r="J82" i="10"/>
  <c r="J71" i="10" s="1"/>
  <c r="V39" i="12" s="1"/>
  <c r="O82" i="10"/>
  <c r="O71" i="10" s="1"/>
  <c r="AA39" i="12" s="1"/>
  <c r="L82" i="10"/>
  <c r="L71" i="10" s="1"/>
  <c r="X39" i="12" s="1"/>
  <c r="N82" i="10"/>
  <c r="N71" i="10" s="1"/>
  <c r="Z39" i="12" s="1"/>
  <c r="R82" i="10"/>
  <c r="R71" i="10" s="1"/>
  <c r="AD39" i="12" s="1"/>
  <c r="K82" i="10"/>
  <c r="K71" i="10" s="1"/>
  <c r="W39" i="12" s="1"/>
  <c r="Q82" i="10"/>
  <c r="Q71" i="10" s="1"/>
  <c r="AC39" i="12" s="1"/>
  <c r="I82" i="10"/>
  <c r="I71" i="10" s="1"/>
  <c r="U39" i="12" s="1"/>
  <c r="P82" i="10"/>
  <c r="P71" i="10" s="1"/>
  <c r="AB39" i="12" s="1"/>
  <c r="AC1" i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80" i="10"/>
  <c r="A80" i="2"/>
  <c r="P72" i="5"/>
  <c r="P71" i="5"/>
  <c r="R19" i="4"/>
  <c r="P19" i="4"/>
  <c r="O19" i="4"/>
  <c r="N19" i="4"/>
  <c r="J19" i="4"/>
  <c r="L19" i="4"/>
  <c r="K19" i="4"/>
  <c r="H19" i="4"/>
  <c r="M19" i="4"/>
  <c r="O37" i="5"/>
  <c r="R37" i="5"/>
  <c r="I37" i="5"/>
  <c r="M37" i="5"/>
  <c r="S37" i="5"/>
  <c r="P37" i="5"/>
  <c r="N37" i="5"/>
  <c r="L37" i="5"/>
  <c r="J37" i="5"/>
  <c r="K37" i="5"/>
  <c r="T37" i="5"/>
  <c r="Q37" i="5"/>
  <c r="I19" i="4"/>
  <c r="S37" i="7"/>
  <c r="O37" i="7"/>
  <c r="L37" i="7"/>
  <c r="N37" i="7"/>
  <c r="T37" i="7"/>
  <c r="Q37" i="7"/>
  <c r="J37" i="7"/>
  <c r="R37" i="7"/>
  <c r="M37" i="7"/>
  <c r="P37" i="7"/>
  <c r="K37" i="7"/>
  <c r="I37" i="7"/>
  <c r="G19" i="4"/>
  <c r="Q19" i="4"/>
  <c r="O13" i="2"/>
  <c r="M13" i="2"/>
  <c r="K13" i="2"/>
  <c r="D44" i="12" l="1"/>
  <c r="AB38" i="12"/>
  <c r="AD38" i="12"/>
  <c r="U57" i="12"/>
  <c r="AC38" i="12"/>
  <c r="AA38" i="12"/>
  <c r="X38" i="12"/>
  <c r="V38" i="12"/>
  <c r="Z38" i="12"/>
  <c r="Y38" i="12"/>
  <c r="AE38" i="12"/>
  <c r="AF38" i="12"/>
  <c r="W38" i="12"/>
  <c r="AB57" i="12"/>
  <c r="R14" i="8"/>
  <c r="R85" i="2" s="1"/>
  <c r="R72" i="2" s="1"/>
  <c r="O14" i="8"/>
  <c r="O85" i="2" s="1"/>
  <c r="O72" i="2" s="1"/>
  <c r="P14" i="8"/>
  <c r="P85" i="2" s="1"/>
  <c r="P72" i="2" s="1"/>
  <c r="I14" i="8"/>
  <c r="I85" i="2" s="1"/>
  <c r="I72" i="2" s="1"/>
  <c r="J14" i="8"/>
  <c r="J85" i="2" s="1"/>
  <c r="J72" i="2" s="1"/>
  <c r="S14" i="8"/>
  <c r="S85" i="2" s="1"/>
  <c r="S72" i="2" s="1"/>
  <c r="M14" i="8"/>
  <c r="M85" i="2" s="1"/>
  <c r="M72" i="2" s="1"/>
  <c r="K14" i="8"/>
  <c r="K85" i="2" s="1"/>
  <c r="K72" i="2" s="1"/>
  <c r="T14" i="8"/>
  <c r="T85" i="2" s="1"/>
  <c r="T72" i="2" s="1"/>
  <c r="Q14" i="8"/>
  <c r="Q85" i="2" s="1"/>
  <c r="Q72" i="2" s="1"/>
  <c r="N14" i="8"/>
  <c r="N85" i="2" s="1"/>
  <c r="N72" i="2" s="1"/>
  <c r="L14" i="8"/>
  <c r="L85" i="2" s="1"/>
  <c r="L72" i="2" s="1"/>
  <c r="AS1" i="1"/>
  <c r="AT1" i="1" s="1"/>
  <c r="AU1" i="1" s="1"/>
  <c r="AV1" i="1" s="1"/>
  <c r="A118" i="10"/>
  <c r="A74" i="7"/>
  <c r="A74" i="5"/>
  <c r="A118" i="2"/>
  <c r="T80" i="2"/>
  <c r="T68" i="2" s="1"/>
  <c r="K80" i="2"/>
  <c r="K68" i="2" s="1"/>
  <c r="S80" i="2"/>
  <c r="S68" i="2" s="1"/>
  <c r="R80" i="2"/>
  <c r="R68" i="2" s="1"/>
  <c r="I80" i="2"/>
  <c r="I68" i="2" s="1"/>
  <c r="N80" i="2"/>
  <c r="N68" i="2" s="1"/>
  <c r="A12" i="8"/>
  <c r="Q80" i="2"/>
  <c r="Q68" i="2" s="1"/>
  <c r="P80" i="2"/>
  <c r="P68" i="2" s="1"/>
  <c r="L80" i="2"/>
  <c r="L68" i="2" s="1"/>
  <c r="O80" i="2"/>
  <c r="O68" i="2" s="1"/>
  <c r="J80" i="2"/>
  <c r="J68" i="2" s="1"/>
  <c r="M80" i="2"/>
  <c r="M68" i="2" s="1"/>
  <c r="T80" i="10"/>
  <c r="T68" i="10" s="1"/>
  <c r="AF36" i="12" s="1"/>
  <c r="I80" i="10"/>
  <c r="I68" i="10" s="1"/>
  <c r="U36" i="12" s="1"/>
  <c r="S80" i="10"/>
  <c r="S68" i="10" s="1"/>
  <c r="AE36" i="12" s="1"/>
  <c r="M80" i="10"/>
  <c r="M68" i="10" s="1"/>
  <c r="Y36" i="12" s="1"/>
  <c r="K80" i="10"/>
  <c r="K68" i="10" s="1"/>
  <c r="W36" i="12" s="1"/>
  <c r="J80" i="10"/>
  <c r="J68" i="10" s="1"/>
  <c r="V36" i="12" s="1"/>
  <c r="R80" i="10"/>
  <c r="R68" i="10" s="1"/>
  <c r="AD36" i="12" s="1"/>
  <c r="P80" i="10"/>
  <c r="P68" i="10" s="1"/>
  <c r="AB36" i="12" s="1"/>
  <c r="O80" i="10"/>
  <c r="O68" i="10" s="1"/>
  <c r="AA36" i="12" s="1"/>
  <c r="L80" i="10"/>
  <c r="L68" i="10" s="1"/>
  <c r="X36" i="12" s="1"/>
  <c r="Q80" i="10"/>
  <c r="Q68" i="10" s="1"/>
  <c r="AC36" i="12" s="1"/>
  <c r="N80" i="10"/>
  <c r="N68" i="10" s="1"/>
  <c r="Z36" i="12" s="1"/>
  <c r="P13" i="2"/>
  <c r="P13" i="5"/>
  <c r="P73" i="5"/>
  <c r="T35" i="7"/>
  <c r="R35" i="7"/>
  <c r="L35" i="7"/>
  <c r="J35" i="7"/>
  <c r="K35" i="7"/>
  <c r="S35" i="7"/>
  <c r="M35" i="7"/>
  <c r="O35" i="7"/>
  <c r="I35" i="7"/>
  <c r="Q35" i="7"/>
  <c r="N35" i="7"/>
  <c r="P35" i="7"/>
  <c r="P35" i="5"/>
  <c r="N35" i="5"/>
  <c r="K35" i="5"/>
  <c r="Q35" i="5"/>
  <c r="T35" i="5"/>
  <c r="S35" i="5"/>
  <c r="L35" i="5"/>
  <c r="O35" i="5"/>
  <c r="R35" i="5"/>
  <c r="M35" i="5"/>
  <c r="I35" i="5"/>
  <c r="J35" i="5"/>
  <c r="O38" i="12" l="1"/>
  <c r="O44" i="12"/>
  <c r="J38" i="12"/>
  <c r="J44" i="12"/>
  <c r="AE57" i="12"/>
  <c r="N37" i="12" s="1"/>
  <c r="N44" i="12"/>
  <c r="Y57" i="12"/>
  <c r="H44" i="12"/>
  <c r="AC57" i="12"/>
  <c r="L44" i="12"/>
  <c r="Z57" i="12"/>
  <c r="I37" i="12" s="1"/>
  <c r="I44" i="12"/>
  <c r="AD56" i="12"/>
  <c r="M39" i="12" s="1"/>
  <c r="M44" i="12"/>
  <c r="E38" i="12"/>
  <c r="E44" i="12"/>
  <c r="K38" i="12"/>
  <c r="K44" i="12"/>
  <c r="W56" i="12"/>
  <c r="F39" i="12" s="1"/>
  <c r="F44" i="12"/>
  <c r="X57" i="12"/>
  <c r="G44" i="12"/>
  <c r="L38" i="12"/>
  <c r="U56" i="12"/>
  <c r="D39" i="12" s="1"/>
  <c r="D38" i="12"/>
  <c r="V56" i="12"/>
  <c r="E39" i="12" s="1"/>
  <c r="AC56" i="12"/>
  <c r="L39" i="12" s="1"/>
  <c r="F38" i="12"/>
  <c r="Y56" i="12"/>
  <c r="H39" i="12" s="1"/>
  <c r="AA57" i="12"/>
  <c r="J37" i="12" s="1"/>
  <c r="Z56" i="12"/>
  <c r="I39" i="12" s="1"/>
  <c r="X56" i="12"/>
  <c r="G39" i="12" s="1"/>
  <c r="W57" i="12"/>
  <c r="F40" i="12" s="1"/>
  <c r="H38" i="12"/>
  <c r="G38" i="12"/>
  <c r="AF57" i="12"/>
  <c r="O37" i="12" s="1"/>
  <c r="I38" i="12"/>
  <c r="AA56" i="12"/>
  <c r="J39" i="12" s="1"/>
  <c r="AB56" i="12"/>
  <c r="K39" i="12" s="1"/>
  <c r="AF56" i="12"/>
  <c r="O39" i="12" s="1"/>
  <c r="Y35" i="12"/>
  <c r="AF35" i="12"/>
  <c r="AE56" i="12"/>
  <c r="N39" i="12" s="1"/>
  <c r="M38" i="12"/>
  <c r="V35" i="12"/>
  <c r="Z35" i="12"/>
  <c r="N38" i="12"/>
  <c r="AA35" i="12"/>
  <c r="U35" i="12"/>
  <c r="V57" i="12"/>
  <c r="E40" i="12" s="1"/>
  <c r="X35" i="12"/>
  <c r="AD35" i="12"/>
  <c r="AB35" i="12"/>
  <c r="AE35" i="12"/>
  <c r="AD57" i="12"/>
  <c r="M37" i="12" s="1"/>
  <c r="AC35" i="12"/>
  <c r="W35" i="12"/>
  <c r="T85" i="14"/>
  <c r="T72" i="14" s="1"/>
  <c r="I40" i="12"/>
  <c r="R85" i="14"/>
  <c r="R72" i="14" s="1"/>
  <c r="D37" i="12"/>
  <c r="D40" i="12"/>
  <c r="Q85" i="14"/>
  <c r="Q72" i="14" s="1"/>
  <c r="H37" i="12"/>
  <c r="H40" i="12"/>
  <c r="N85" i="14"/>
  <c r="N72" i="14" s="1"/>
  <c r="K85" i="14"/>
  <c r="K72" i="14" s="1"/>
  <c r="M85" i="14"/>
  <c r="M72" i="14" s="1"/>
  <c r="G40" i="12"/>
  <c r="G37" i="12"/>
  <c r="L85" i="14"/>
  <c r="L72" i="14" s="1"/>
  <c r="K37" i="12"/>
  <c r="K40" i="12"/>
  <c r="O85" i="14"/>
  <c r="O72" i="14" s="1"/>
  <c r="S85" i="14"/>
  <c r="S72" i="14" s="1"/>
  <c r="I85" i="14"/>
  <c r="I72" i="14" s="1"/>
  <c r="J85" i="14"/>
  <c r="J72" i="14" s="1"/>
  <c r="L40" i="12"/>
  <c r="L37" i="12"/>
  <c r="P85" i="14"/>
  <c r="P72" i="14" s="1"/>
  <c r="J85" i="10"/>
  <c r="J72" i="10" s="1"/>
  <c r="J48" i="10" s="1"/>
  <c r="S85" i="10"/>
  <c r="S72" i="10" s="1"/>
  <c r="S48" i="10" s="1"/>
  <c r="M12" i="8"/>
  <c r="M84" i="14" s="1"/>
  <c r="M69" i="14" s="1"/>
  <c r="M70" i="14" s="1"/>
  <c r="J12" i="8"/>
  <c r="J84" i="14" s="1"/>
  <c r="J69" i="14" s="1"/>
  <c r="J70" i="14" s="1"/>
  <c r="T12" i="8"/>
  <c r="T84" i="14" s="1"/>
  <c r="T69" i="14" s="1"/>
  <c r="T70" i="14" s="1"/>
  <c r="K12" i="8"/>
  <c r="K84" i="14" s="1"/>
  <c r="K69" i="14" s="1"/>
  <c r="K70" i="14" s="1"/>
  <c r="P12" i="8"/>
  <c r="P84" i="14" s="1"/>
  <c r="P69" i="14" s="1"/>
  <c r="P70" i="14" s="1"/>
  <c r="I12" i="8"/>
  <c r="I84" i="14" s="1"/>
  <c r="I69" i="14" s="1"/>
  <c r="I70" i="14" s="1"/>
  <c r="R12" i="8"/>
  <c r="R84" i="14" s="1"/>
  <c r="R69" i="14" s="1"/>
  <c r="R70" i="14" s="1"/>
  <c r="N12" i="8"/>
  <c r="N84" i="14" s="1"/>
  <c r="N69" i="14" s="1"/>
  <c r="N70" i="14" s="1"/>
  <c r="Q12" i="8"/>
  <c r="Q84" i="14" s="1"/>
  <c r="Q69" i="14" s="1"/>
  <c r="Q70" i="14" s="1"/>
  <c r="L12" i="8"/>
  <c r="L84" i="14" s="1"/>
  <c r="L69" i="14" s="1"/>
  <c r="L70" i="14" s="1"/>
  <c r="S12" i="8"/>
  <c r="S84" i="14" s="1"/>
  <c r="S69" i="14" s="1"/>
  <c r="S70" i="14" s="1"/>
  <c r="O12" i="8"/>
  <c r="O84" i="14" s="1"/>
  <c r="O69" i="14" s="1"/>
  <c r="O70" i="14" s="1"/>
  <c r="R85" i="10"/>
  <c r="R72" i="10" s="1"/>
  <c r="R48" i="10" s="1"/>
  <c r="L85" i="10"/>
  <c r="L72" i="10" s="1"/>
  <c r="L48" i="10" s="1"/>
  <c r="I85" i="10"/>
  <c r="I72" i="10" s="1"/>
  <c r="I48" i="10" s="1"/>
  <c r="Q85" i="10"/>
  <c r="Q72" i="10" s="1"/>
  <c r="Q48" i="10" s="1"/>
  <c r="M85" i="10"/>
  <c r="M72" i="10" s="1"/>
  <c r="M48" i="10" s="1"/>
  <c r="T85" i="10"/>
  <c r="T72" i="10" s="1"/>
  <c r="T48" i="10" s="1"/>
  <c r="N85" i="10"/>
  <c r="N72" i="10" s="1"/>
  <c r="N48" i="10" s="1"/>
  <c r="O85" i="10"/>
  <c r="O72" i="10" s="1"/>
  <c r="O48" i="10" s="1"/>
  <c r="P85" i="10"/>
  <c r="P72" i="10" s="1"/>
  <c r="P48" i="10" s="1"/>
  <c r="K85" i="10"/>
  <c r="K72" i="10" s="1"/>
  <c r="K48" i="10" s="1"/>
  <c r="K48" i="2"/>
  <c r="M48" i="2"/>
  <c r="L48" i="2"/>
  <c r="I48" i="2"/>
  <c r="T48" i="2"/>
  <c r="N48" i="2"/>
  <c r="O48" i="2"/>
  <c r="R48" i="2"/>
  <c r="S48" i="2"/>
  <c r="J48" i="2"/>
  <c r="Q48" i="2"/>
  <c r="P48" i="2"/>
  <c r="A32" i="8"/>
  <c r="N118" i="2"/>
  <c r="Q118" i="2"/>
  <c r="K118" i="2"/>
  <c r="P118" i="2"/>
  <c r="T118" i="2"/>
  <c r="J118" i="2"/>
  <c r="S118" i="2"/>
  <c r="I118" i="2"/>
  <c r="M118" i="2"/>
  <c r="L118" i="2"/>
  <c r="R118" i="2"/>
  <c r="O118" i="2"/>
  <c r="O118" i="10"/>
  <c r="O154" i="10" s="1"/>
  <c r="AA80" i="12" s="1"/>
  <c r="P118" i="10"/>
  <c r="P154" i="10" s="1"/>
  <c r="AB80" i="12" s="1"/>
  <c r="R118" i="10"/>
  <c r="R154" i="10" s="1"/>
  <c r="AD80" i="12" s="1"/>
  <c r="M118" i="10"/>
  <c r="M154" i="10" s="1"/>
  <c r="Y80" i="12" s="1"/>
  <c r="S118" i="10"/>
  <c r="S154" i="10" s="1"/>
  <c r="AE80" i="12" s="1"/>
  <c r="N118" i="10"/>
  <c r="N154" i="10" s="1"/>
  <c r="Z80" i="12" s="1"/>
  <c r="J118" i="10"/>
  <c r="J154" i="10" s="1"/>
  <c r="V80" i="12" s="1"/>
  <c r="Q118" i="10"/>
  <c r="Q154" i="10" s="1"/>
  <c r="AC80" i="12" s="1"/>
  <c r="L118" i="10"/>
  <c r="L154" i="10" s="1"/>
  <c r="X80" i="12" s="1"/>
  <c r="T118" i="10"/>
  <c r="T154" i="10" s="1"/>
  <c r="AF80" i="12" s="1"/>
  <c r="I118" i="10"/>
  <c r="I154" i="10" s="1"/>
  <c r="U80" i="12" s="1"/>
  <c r="K118" i="10"/>
  <c r="K154" i="10" s="1"/>
  <c r="W80" i="12" s="1"/>
  <c r="AW1" i="1"/>
  <c r="A109" i="10"/>
  <c r="A66" i="7"/>
  <c r="A66" i="5"/>
  <c r="A109" i="2"/>
  <c r="T40" i="5"/>
  <c r="T41" i="5" s="1"/>
  <c r="R14" i="4" s="1"/>
  <c r="Q40" i="5"/>
  <c r="Q41" i="5" s="1"/>
  <c r="O14" i="4" s="1"/>
  <c r="K40" i="5"/>
  <c r="K41" i="5" s="1"/>
  <c r="I14" i="4" s="1"/>
  <c r="I40" i="5"/>
  <c r="I41" i="5" s="1"/>
  <c r="G14" i="4" s="1"/>
  <c r="P40" i="5"/>
  <c r="P41" i="5" s="1"/>
  <c r="N14" i="4" s="1"/>
  <c r="M40" i="5"/>
  <c r="M41" i="5" s="1"/>
  <c r="K14" i="4" s="1"/>
  <c r="O40" i="5"/>
  <c r="O41" i="5" s="1"/>
  <c r="M14" i="4" s="1"/>
  <c r="S40" i="5"/>
  <c r="S41" i="5" s="1"/>
  <c r="Q14" i="4" s="1"/>
  <c r="L40" i="5"/>
  <c r="L41" i="5" s="1"/>
  <c r="J14" i="4" s="1"/>
  <c r="J40" i="5"/>
  <c r="J41" i="5" s="1"/>
  <c r="H14" i="4" s="1"/>
  <c r="R40" i="5"/>
  <c r="R41" i="5" s="1"/>
  <c r="P14" i="4" s="1"/>
  <c r="N40" i="5"/>
  <c r="N41" i="5" s="1"/>
  <c r="L14" i="4" s="1"/>
  <c r="R40" i="7"/>
  <c r="R41" i="7" s="1"/>
  <c r="S40" i="7"/>
  <c r="S41" i="7" s="1"/>
  <c r="M40" i="7"/>
  <c r="M41" i="7" s="1"/>
  <c r="I40" i="7"/>
  <c r="I41" i="7" s="1"/>
  <c r="N40" i="7"/>
  <c r="N41" i="7" s="1"/>
  <c r="O40" i="7"/>
  <c r="O41" i="7" s="1"/>
  <c r="K40" i="7"/>
  <c r="K41" i="7" s="1"/>
  <c r="L40" i="7"/>
  <c r="L41" i="7" s="1"/>
  <c r="Q40" i="7"/>
  <c r="Q41" i="7" s="1"/>
  <c r="P40" i="7"/>
  <c r="P41" i="7" s="1"/>
  <c r="J40" i="7"/>
  <c r="J41" i="7" s="1"/>
  <c r="T40" i="7"/>
  <c r="T41" i="7" s="1"/>
  <c r="N40" i="12" l="1"/>
  <c r="N35" i="12"/>
  <c r="N43" i="12"/>
  <c r="AA53" i="12"/>
  <c r="J36" i="12" s="1"/>
  <c r="J43" i="12"/>
  <c r="O35" i="12"/>
  <c r="O43" i="12"/>
  <c r="K35" i="12"/>
  <c r="K43" i="12"/>
  <c r="Y53" i="12"/>
  <c r="H36" i="12" s="1"/>
  <c r="H43" i="12"/>
  <c r="AD53" i="12"/>
  <c r="M36" i="12" s="1"/>
  <c r="M43" i="12"/>
  <c r="Z53" i="12"/>
  <c r="I36" i="12" s="1"/>
  <c r="I43" i="12"/>
  <c r="W53" i="12"/>
  <c r="F36" i="12" s="1"/>
  <c r="F43" i="12"/>
  <c r="X54" i="12"/>
  <c r="G43" i="12"/>
  <c r="E35" i="12"/>
  <c r="E43" i="12"/>
  <c r="AC54" i="12"/>
  <c r="L43" i="12"/>
  <c r="D35" i="12"/>
  <c r="D43" i="12"/>
  <c r="L35" i="12"/>
  <c r="J40" i="12"/>
  <c r="G35" i="12"/>
  <c r="F37" i="12"/>
  <c r="Y54" i="12"/>
  <c r="H35" i="12"/>
  <c r="M35" i="12"/>
  <c r="X53" i="12"/>
  <c r="G36" i="12" s="1"/>
  <c r="AF53" i="12"/>
  <c r="O36" i="12" s="1"/>
  <c r="U54" i="12"/>
  <c r="V53" i="12"/>
  <c r="E36" i="12" s="1"/>
  <c r="AF54" i="12"/>
  <c r="W54" i="12"/>
  <c r="U53" i="12"/>
  <c r="D36" i="12" s="1"/>
  <c r="O40" i="12"/>
  <c r="J35" i="12"/>
  <c r="V54" i="12"/>
  <c r="M40" i="12"/>
  <c r="AD54" i="12"/>
  <c r="AA54" i="12"/>
  <c r="AE53" i="12"/>
  <c r="N36" i="12" s="1"/>
  <c r="AE54" i="12"/>
  <c r="Z54" i="12"/>
  <c r="AB54" i="12"/>
  <c r="AC53" i="12"/>
  <c r="L36" i="12" s="1"/>
  <c r="I35" i="12"/>
  <c r="F35" i="12"/>
  <c r="AB53" i="12"/>
  <c r="K36" i="12" s="1"/>
  <c r="E37" i="12"/>
  <c r="O48" i="14"/>
  <c r="Q48" i="14"/>
  <c r="P48" i="14"/>
  <c r="I48" i="14"/>
  <c r="M48" i="14"/>
  <c r="S48" i="14"/>
  <c r="K48" i="14"/>
  <c r="T48" i="14"/>
  <c r="N48" i="14"/>
  <c r="R48" i="14"/>
  <c r="J48" i="14"/>
  <c r="L48" i="14"/>
  <c r="R154" i="2"/>
  <c r="T154" i="2"/>
  <c r="L154" i="2"/>
  <c r="P154" i="2"/>
  <c r="M154" i="2"/>
  <c r="K154" i="2"/>
  <c r="Q154" i="2"/>
  <c r="S154" i="2"/>
  <c r="N154" i="2"/>
  <c r="O154" i="2"/>
  <c r="J154" i="2"/>
  <c r="L84" i="2"/>
  <c r="L69" i="2" s="1"/>
  <c r="L84" i="10"/>
  <c r="L69" i="10" s="1"/>
  <c r="L70" i="10" s="1"/>
  <c r="K84" i="2"/>
  <c r="K69" i="2" s="1"/>
  <c r="K84" i="10"/>
  <c r="K69" i="10" s="1"/>
  <c r="K70" i="10" s="1"/>
  <c r="Q84" i="2"/>
  <c r="Q69" i="2" s="1"/>
  <c r="Q84" i="10"/>
  <c r="Q69" i="10" s="1"/>
  <c r="Q70" i="10" s="1"/>
  <c r="T84" i="2"/>
  <c r="T69" i="2" s="1"/>
  <c r="T84" i="10"/>
  <c r="T69" i="10" s="1"/>
  <c r="T70" i="10" s="1"/>
  <c r="N84" i="2"/>
  <c r="N69" i="2" s="1"/>
  <c r="N70" i="2" s="1"/>
  <c r="N84" i="10"/>
  <c r="N69" i="10" s="1"/>
  <c r="N70" i="10" s="1"/>
  <c r="J84" i="10"/>
  <c r="J69" i="10" s="1"/>
  <c r="J70" i="10" s="1"/>
  <c r="J84" i="2"/>
  <c r="J69" i="2" s="1"/>
  <c r="R84" i="10"/>
  <c r="R69" i="10" s="1"/>
  <c r="R70" i="10" s="1"/>
  <c r="R84" i="2"/>
  <c r="R69" i="2" s="1"/>
  <c r="M84" i="2"/>
  <c r="M69" i="2" s="1"/>
  <c r="M84" i="10"/>
  <c r="M69" i="10" s="1"/>
  <c r="M70" i="10" s="1"/>
  <c r="O84" i="2"/>
  <c r="O69" i="2" s="1"/>
  <c r="O84" i="10"/>
  <c r="O69" i="10" s="1"/>
  <c r="O70" i="10" s="1"/>
  <c r="I84" i="2"/>
  <c r="I69" i="2" s="1"/>
  <c r="I84" i="10"/>
  <c r="I69" i="10" s="1"/>
  <c r="I70" i="10" s="1"/>
  <c r="N32" i="8"/>
  <c r="S32" i="8"/>
  <c r="P32" i="8"/>
  <c r="M32" i="8"/>
  <c r="J32" i="8"/>
  <c r="R32" i="8"/>
  <c r="O32" i="8"/>
  <c r="L32" i="8"/>
  <c r="I32" i="8"/>
  <c r="Q32" i="8"/>
  <c r="T32" i="8"/>
  <c r="K32" i="8"/>
  <c r="S84" i="10"/>
  <c r="S69" i="10" s="1"/>
  <c r="S70" i="10" s="1"/>
  <c r="S84" i="2"/>
  <c r="S69" i="2" s="1"/>
  <c r="P84" i="10"/>
  <c r="P69" i="10" s="1"/>
  <c r="P70" i="10" s="1"/>
  <c r="P84" i="2"/>
  <c r="P69" i="2" s="1"/>
  <c r="I154" i="2"/>
  <c r="S109" i="2"/>
  <c r="A23" i="8"/>
  <c r="T109" i="2"/>
  <c r="R109" i="2"/>
  <c r="Q109" i="2"/>
  <c r="P109" i="2"/>
  <c r="M109" i="2"/>
  <c r="K109" i="2"/>
  <c r="J109" i="2"/>
  <c r="L109" i="2"/>
  <c r="N109" i="2"/>
  <c r="O109" i="2"/>
  <c r="O109" i="10"/>
  <c r="AA71" i="12" s="1"/>
  <c r="L109" i="10"/>
  <c r="X71" i="12" s="1"/>
  <c r="S109" i="10"/>
  <c r="AE71" i="12" s="1"/>
  <c r="Q109" i="10"/>
  <c r="AC71" i="12" s="1"/>
  <c r="K109" i="10"/>
  <c r="W71" i="12" s="1"/>
  <c r="M109" i="10"/>
  <c r="Y71" i="12" s="1"/>
  <c r="R109" i="10"/>
  <c r="AD71" i="12" s="1"/>
  <c r="I109" i="10"/>
  <c r="U71" i="12" s="1"/>
  <c r="N109" i="10"/>
  <c r="Z71" i="12" s="1"/>
  <c r="P109" i="10"/>
  <c r="AB71" i="12" s="1"/>
  <c r="T109" i="10"/>
  <c r="AF71" i="12" s="1"/>
  <c r="J109" i="10"/>
  <c r="V71" i="12" s="1"/>
  <c r="AX1" i="1"/>
  <c r="A114" i="10"/>
  <c r="A70" i="5"/>
  <c r="A114" i="2"/>
  <c r="A70" i="7"/>
  <c r="P15" i="4"/>
  <c r="L15" i="4"/>
  <c r="Q15" i="4"/>
  <c r="R15" i="4"/>
  <c r="J15" i="4"/>
  <c r="P28" i="7"/>
  <c r="I28" i="7"/>
  <c r="K28" i="7"/>
  <c r="O28" i="7"/>
  <c r="Q28" i="7"/>
  <c r="M28" i="7"/>
  <c r="L28" i="7"/>
  <c r="S28" i="7"/>
  <c r="N28" i="7"/>
  <c r="T28" i="7"/>
  <c r="R28" i="7"/>
  <c r="J28" i="7"/>
  <c r="K15" i="4"/>
  <c r="I15" i="4"/>
  <c r="N15" i="4"/>
  <c r="S28" i="5"/>
  <c r="Q28" i="5"/>
  <c r="J28" i="5"/>
  <c r="L28" i="5"/>
  <c r="N28" i="5"/>
  <c r="P28" i="5"/>
  <c r="R28" i="5"/>
  <c r="M28" i="5"/>
  <c r="O28" i="5"/>
  <c r="I28" i="5"/>
  <c r="K28" i="5"/>
  <c r="T28" i="5"/>
  <c r="H15" i="4"/>
  <c r="M15" i="4"/>
  <c r="G15" i="4"/>
  <c r="O15" i="4"/>
  <c r="I109" i="2"/>
  <c r="W69" i="12" l="1"/>
  <c r="F72" i="12" s="1"/>
  <c r="Z79" i="12"/>
  <c r="I79" i="12" s="1"/>
  <c r="I80" i="12" s="1"/>
  <c r="X79" i="12"/>
  <c r="G79" i="12" s="1"/>
  <c r="G80" i="12" s="1"/>
  <c r="Y69" i="12"/>
  <c r="H71" i="12" s="1"/>
  <c r="AE69" i="12"/>
  <c r="N71" i="12" s="1"/>
  <c r="AE79" i="12"/>
  <c r="N79" i="12" s="1"/>
  <c r="N81" i="12" s="1"/>
  <c r="AF79" i="12"/>
  <c r="O79" i="12" s="1"/>
  <c r="O80" i="12" s="1"/>
  <c r="U69" i="12"/>
  <c r="D72" i="12" s="1"/>
  <c r="AA69" i="12"/>
  <c r="J72" i="12" s="1"/>
  <c r="AB69" i="12"/>
  <c r="K69" i="12" s="1"/>
  <c r="AC79" i="12"/>
  <c r="L79" i="12" s="1"/>
  <c r="L80" i="12" s="1"/>
  <c r="AD79" i="12"/>
  <c r="M79" i="12" s="1"/>
  <c r="M80" i="12" s="1"/>
  <c r="Z69" i="12"/>
  <c r="I72" i="12" s="1"/>
  <c r="AC69" i="12"/>
  <c r="L69" i="12" s="1"/>
  <c r="U79" i="12"/>
  <c r="D79" i="12" s="1"/>
  <c r="D81" i="12" s="1"/>
  <c r="W79" i="12"/>
  <c r="F79" i="12" s="1"/>
  <c r="F80" i="12" s="1"/>
  <c r="X69" i="12"/>
  <c r="G71" i="12" s="1"/>
  <c r="AD69" i="12"/>
  <c r="M69" i="12" s="1"/>
  <c r="V79" i="12"/>
  <c r="E79" i="12" s="1"/>
  <c r="E80" i="12" s="1"/>
  <c r="Y79" i="12"/>
  <c r="H79" i="12" s="1"/>
  <c r="H80" i="12" s="1"/>
  <c r="V69" i="12"/>
  <c r="E71" i="12" s="1"/>
  <c r="AF69" i="12"/>
  <c r="O71" i="12" s="1"/>
  <c r="AA79" i="12"/>
  <c r="J79" i="12" s="1"/>
  <c r="J80" i="12" s="1"/>
  <c r="AB79" i="12"/>
  <c r="K79" i="12" s="1"/>
  <c r="K80" i="12" s="1"/>
  <c r="E81" i="12"/>
  <c r="P70" i="2"/>
  <c r="J70" i="2"/>
  <c r="I70" i="2"/>
  <c r="M70" i="2"/>
  <c r="T70" i="2"/>
  <c r="K70" i="2"/>
  <c r="Q70" i="2"/>
  <c r="O70" i="2"/>
  <c r="L70" i="2"/>
  <c r="S70" i="2"/>
  <c r="R70" i="2"/>
  <c r="O23" i="8"/>
  <c r="Q23" i="8"/>
  <c r="I23" i="8"/>
  <c r="K23" i="8"/>
  <c r="N23" i="8"/>
  <c r="T23" i="8"/>
  <c r="S23" i="8"/>
  <c r="M23" i="8"/>
  <c r="P23" i="8"/>
  <c r="R23" i="8"/>
  <c r="J23" i="8"/>
  <c r="L23" i="8"/>
  <c r="L97" i="4"/>
  <c r="P97" i="4"/>
  <c r="N97" i="4"/>
  <c r="J97" i="4"/>
  <c r="P69" i="4"/>
  <c r="R69" i="4"/>
  <c r="Q97" i="4"/>
  <c r="F97" i="4"/>
  <c r="O97" i="4"/>
  <c r="M97" i="4"/>
  <c r="Q69" i="4"/>
  <c r="G97" i="4"/>
  <c r="K97" i="4"/>
  <c r="H97" i="4"/>
  <c r="I97" i="4"/>
  <c r="M69" i="4"/>
  <c r="N69" i="4"/>
  <c r="L69" i="4"/>
  <c r="O69" i="4"/>
  <c r="A28" i="8"/>
  <c r="T114" i="2"/>
  <c r="Q114" i="2"/>
  <c r="R114" i="2"/>
  <c r="S114" i="2"/>
  <c r="N114" i="2"/>
  <c r="L114" i="2"/>
  <c r="K114" i="2"/>
  <c r="M114" i="2"/>
  <c r="P114" i="2"/>
  <c r="O114" i="2"/>
  <c r="J114" i="2"/>
  <c r="I114" i="2"/>
  <c r="J69" i="4"/>
  <c r="H69" i="4"/>
  <c r="T114" i="10"/>
  <c r="Q114" i="10"/>
  <c r="M114" i="10"/>
  <c r="I114" i="10"/>
  <c r="P114" i="10"/>
  <c r="N114" i="10"/>
  <c r="L114" i="10"/>
  <c r="S114" i="10"/>
  <c r="R114" i="10"/>
  <c r="O114" i="10"/>
  <c r="K114" i="10"/>
  <c r="J114" i="10"/>
  <c r="I69" i="4"/>
  <c r="AY1" i="1"/>
  <c r="A116" i="10"/>
  <c r="A72" i="7"/>
  <c r="A72" i="5"/>
  <c r="A116" i="2"/>
  <c r="K69" i="4"/>
  <c r="O29" i="7"/>
  <c r="O30" i="7" s="1"/>
  <c r="O31" i="7" s="1"/>
  <c r="O32" i="7" s="1"/>
  <c r="J29" i="7"/>
  <c r="J30" i="7" s="1"/>
  <c r="J31" i="7" s="1"/>
  <c r="J32" i="7" s="1"/>
  <c r="Q29" i="7"/>
  <c r="Q30" i="7" s="1"/>
  <c r="Q31" i="7" s="1"/>
  <c r="Q32" i="7" s="1"/>
  <c r="P29" i="7"/>
  <c r="P30" i="7" s="1"/>
  <c r="P31" i="7" s="1"/>
  <c r="P32" i="7" s="1"/>
  <c r="M29" i="7"/>
  <c r="M30" i="7" s="1"/>
  <c r="M31" i="7" s="1"/>
  <c r="M32" i="7" s="1"/>
  <c r="T29" i="7"/>
  <c r="T30" i="7" s="1"/>
  <c r="T31" i="7" s="1"/>
  <c r="T32" i="7" s="1"/>
  <c r="I29" i="7"/>
  <c r="I30" i="7" s="1"/>
  <c r="I31" i="7" s="1"/>
  <c r="I32" i="7" s="1"/>
  <c r="S29" i="7"/>
  <c r="S30" i="7" s="1"/>
  <c r="S31" i="7" s="1"/>
  <c r="S32" i="7" s="1"/>
  <c r="K29" i="7"/>
  <c r="K30" i="7" s="1"/>
  <c r="K31" i="7" s="1"/>
  <c r="K32" i="7" s="1"/>
  <c r="R29" i="7"/>
  <c r="R30" i="7" s="1"/>
  <c r="R31" i="7" s="1"/>
  <c r="R32" i="7" s="1"/>
  <c r="L29" i="7"/>
  <c r="L30" i="7" s="1"/>
  <c r="L31" i="7" s="1"/>
  <c r="L32" i="7" s="1"/>
  <c r="N29" i="7"/>
  <c r="N30" i="7" s="1"/>
  <c r="N31" i="7" s="1"/>
  <c r="N32" i="7" s="1"/>
  <c r="R29" i="5"/>
  <c r="R30" i="5" s="1"/>
  <c r="R31" i="5" s="1"/>
  <c r="R32" i="5" s="1"/>
  <c r="M29" i="5"/>
  <c r="M30" i="5" s="1"/>
  <c r="M31" i="5" s="1"/>
  <c r="M32" i="5" s="1"/>
  <c r="N29" i="5"/>
  <c r="N30" i="5" s="1"/>
  <c r="N31" i="5" s="1"/>
  <c r="N32" i="5" s="1"/>
  <c r="O29" i="5"/>
  <c r="O30" i="5" s="1"/>
  <c r="O31" i="5" s="1"/>
  <c r="O32" i="5" s="1"/>
  <c r="Q29" i="5"/>
  <c r="Q30" i="5" s="1"/>
  <c r="Q31" i="5" s="1"/>
  <c r="Q32" i="5" s="1"/>
  <c r="S29" i="5"/>
  <c r="S30" i="5" s="1"/>
  <c r="S31" i="5" s="1"/>
  <c r="S32" i="5" s="1"/>
  <c r="T29" i="5"/>
  <c r="T30" i="5" s="1"/>
  <c r="T31" i="5" s="1"/>
  <c r="T32" i="5" s="1"/>
  <c r="J29" i="5"/>
  <c r="J30" i="5" s="1"/>
  <c r="J31" i="5" s="1"/>
  <c r="J32" i="5" s="1"/>
  <c r="P29" i="5"/>
  <c r="P30" i="5" s="1"/>
  <c r="P31" i="5" s="1"/>
  <c r="P32" i="5" s="1"/>
  <c r="K29" i="5"/>
  <c r="K30" i="5" s="1"/>
  <c r="K31" i="5" s="1"/>
  <c r="K32" i="5" s="1"/>
  <c r="I29" i="5"/>
  <c r="I30" i="5" s="1"/>
  <c r="I31" i="5" s="1"/>
  <c r="I32" i="5" s="1"/>
  <c r="L29" i="5"/>
  <c r="L30" i="5" s="1"/>
  <c r="L31" i="5" s="1"/>
  <c r="L32" i="5" s="1"/>
  <c r="G69" i="4"/>
  <c r="I81" i="12" l="1"/>
  <c r="M81" i="12"/>
  <c r="N69" i="12"/>
  <c r="D69" i="12"/>
  <c r="F71" i="12"/>
  <c r="G81" i="12"/>
  <c r="J71" i="12"/>
  <c r="N72" i="12"/>
  <c r="L71" i="12"/>
  <c r="H81" i="12"/>
  <c r="L81" i="12"/>
  <c r="K72" i="12"/>
  <c r="H69" i="12"/>
  <c r="I71" i="12"/>
  <c r="O72" i="12"/>
  <c r="O81" i="12"/>
  <c r="N80" i="12"/>
  <c r="J69" i="12"/>
  <c r="D71" i="12"/>
  <c r="J81" i="12"/>
  <c r="G69" i="12"/>
  <c r="L72" i="12"/>
  <c r="G72" i="12"/>
  <c r="M71" i="12"/>
  <c r="M72" i="12"/>
  <c r="K81" i="12"/>
  <c r="K71" i="12"/>
  <c r="H72" i="12"/>
  <c r="F81" i="12"/>
  <c r="E72" i="12"/>
  <c r="I69" i="12"/>
  <c r="F69" i="12"/>
  <c r="O69" i="12"/>
  <c r="E69" i="12"/>
  <c r="D80" i="12"/>
  <c r="Z75" i="12"/>
  <c r="I75" i="12" s="1"/>
  <c r="I78" i="12" s="1"/>
  <c r="AA75" i="12"/>
  <c r="J75" i="12" s="1"/>
  <c r="J78" i="12" s="1"/>
  <c r="AE75" i="12"/>
  <c r="N75" i="12" s="1"/>
  <c r="N78" i="12" s="1"/>
  <c r="AB75" i="12"/>
  <c r="K75" i="12" s="1"/>
  <c r="K78" i="12" s="1"/>
  <c r="AD75" i="12"/>
  <c r="M75" i="12" s="1"/>
  <c r="M78" i="12" s="1"/>
  <c r="V75" i="12"/>
  <c r="E75" i="12" s="1"/>
  <c r="E78" i="12" s="1"/>
  <c r="Y75" i="12"/>
  <c r="H75" i="12" s="1"/>
  <c r="AC75" i="12"/>
  <c r="L75" i="12" s="1"/>
  <c r="L78" i="12" s="1"/>
  <c r="W75" i="12"/>
  <c r="F75" i="12" s="1"/>
  <c r="F78" i="12" s="1"/>
  <c r="AF75" i="12"/>
  <c r="O75" i="12" s="1"/>
  <c r="O78" i="12" s="1"/>
  <c r="U75" i="12"/>
  <c r="D75" i="12" s="1"/>
  <c r="D78" i="12" s="1"/>
  <c r="X75" i="12"/>
  <c r="G75" i="12" s="1"/>
  <c r="G78" i="12" s="1"/>
  <c r="R115" i="10"/>
  <c r="AD77" i="12"/>
  <c r="M115" i="10"/>
  <c r="Y77" i="12"/>
  <c r="S115" i="10"/>
  <c r="AE77" i="12"/>
  <c r="Q115" i="10"/>
  <c r="AC77" i="12"/>
  <c r="T115" i="10"/>
  <c r="AF77" i="12"/>
  <c r="J115" i="10"/>
  <c r="V77" i="12"/>
  <c r="N115" i="10"/>
  <c r="Z77" i="12"/>
  <c r="K115" i="10"/>
  <c r="W77" i="12"/>
  <c r="P115" i="10"/>
  <c r="AB77" i="12"/>
  <c r="L115" i="10"/>
  <c r="X77" i="12"/>
  <c r="O115" i="10"/>
  <c r="AA77" i="12"/>
  <c r="I115" i="10"/>
  <c r="U77" i="12"/>
  <c r="L71" i="4"/>
  <c r="R71" i="4"/>
  <c r="Q71" i="4"/>
  <c r="P71" i="4"/>
  <c r="O28" i="8"/>
  <c r="L28" i="8"/>
  <c r="I28" i="8"/>
  <c r="Q28" i="8"/>
  <c r="T28" i="8"/>
  <c r="K28" i="8"/>
  <c r="N28" i="8"/>
  <c r="M28" i="8"/>
  <c r="P28" i="8"/>
  <c r="S28" i="8"/>
  <c r="J28" i="8"/>
  <c r="R28" i="8"/>
  <c r="N74" i="4"/>
  <c r="K74" i="4"/>
  <c r="O74" i="4"/>
  <c r="M74" i="4"/>
  <c r="I74" i="4"/>
  <c r="G74" i="4"/>
  <c r="J74" i="4"/>
  <c r="H74" i="4"/>
  <c r="L74" i="4"/>
  <c r="I115" i="2"/>
  <c r="M115" i="2"/>
  <c r="K115" i="2"/>
  <c r="L115" i="2"/>
  <c r="P115" i="2"/>
  <c r="Q115" i="2"/>
  <c r="N71" i="4"/>
  <c r="T116" i="10"/>
  <c r="P116" i="10"/>
  <c r="J116" i="10"/>
  <c r="O116" i="10"/>
  <c r="S116" i="10"/>
  <c r="L116" i="10"/>
  <c r="M116" i="10"/>
  <c r="N116" i="10"/>
  <c r="K116" i="10"/>
  <c r="R116" i="10"/>
  <c r="Q116" i="10"/>
  <c r="I116" i="10"/>
  <c r="J71" i="4"/>
  <c r="S115" i="2"/>
  <c r="Q74" i="4"/>
  <c r="O71" i="4"/>
  <c r="M71" i="4"/>
  <c r="K71" i="4"/>
  <c r="AZ1" i="1"/>
  <c r="BA1" i="1" s="1"/>
  <c r="BB1" i="1" s="1"/>
  <c r="BC1" i="1" s="1"/>
  <c r="A117" i="10"/>
  <c r="A117" i="2"/>
  <c r="A73" i="7"/>
  <c r="A73" i="5"/>
  <c r="R115" i="2"/>
  <c r="P74" i="4"/>
  <c r="N115" i="2"/>
  <c r="O115" i="2"/>
  <c r="J115" i="2"/>
  <c r="K116" i="2"/>
  <c r="O116" i="2"/>
  <c r="A30" i="8"/>
  <c r="M116" i="2"/>
  <c r="S116" i="2"/>
  <c r="R116" i="2"/>
  <c r="J116" i="2"/>
  <c r="T116" i="2"/>
  <c r="L116" i="2"/>
  <c r="Q116" i="2"/>
  <c r="N116" i="2"/>
  <c r="P116" i="2"/>
  <c r="I116" i="2"/>
  <c r="I71" i="4"/>
  <c r="H71" i="4"/>
  <c r="T115" i="2"/>
  <c r="R74" i="4"/>
  <c r="G71" i="4"/>
  <c r="R15" i="7"/>
  <c r="T15" i="7"/>
  <c r="M15" i="7"/>
  <c r="S15" i="7"/>
  <c r="J15" i="7"/>
  <c r="K15" i="7"/>
  <c r="P15" i="7"/>
  <c r="Q15" i="7"/>
  <c r="N15" i="7"/>
  <c r="I15" i="7"/>
  <c r="L15" i="7"/>
  <c r="O15" i="7"/>
  <c r="O15" i="5"/>
  <c r="K15" i="5"/>
  <c r="R15" i="5"/>
  <c r="J15" i="5"/>
  <c r="P15" i="5"/>
  <c r="M15" i="5"/>
  <c r="N15" i="5"/>
  <c r="Q15" i="5"/>
  <c r="S15" i="5"/>
  <c r="T15" i="5"/>
  <c r="I15" i="5"/>
  <c r="L15" i="5"/>
  <c r="M77" i="12" l="1"/>
  <c r="L77" i="12"/>
  <c r="D77" i="12"/>
  <c r="K77" i="12"/>
  <c r="H77" i="12"/>
  <c r="F77" i="12"/>
  <c r="N77" i="12"/>
  <c r="O77" i="12"/>
  <c r="J77" i="12"/>
  <c r="H78" i="12"/>
  <c r="G77" i="12"/>
  <c r="I77" i="12"/>
  <c r="E77" i="12"/>
  <c r="P75" i="4"/>
  <c r="R75" i="4"/>
  <c r="I75" i="4"/>
  <c r="K75" i="4"/>
  <c r="M75" i="4"/>
  <c r="H75" i="4"/>
  <c r="L75" i="4"/>
  <c r="O75" i="4"/>
  <c r="Q75" i="4"/>
  <c r="J75" i="4"/>
  <c r="P30" i="8"/>
  <c r="N30" i="8"/>
  <c r="J30" i="8"/>
  <c r="M30" i="8"/>
  <c r="O30" i="8"/>
  <c r="R30" i="8"/>
  <c r="I30" i="8"/>
  <c r="L30" i="8"/>
  <c r="S30" i="8"/>
  <c r="Q30" i="8"/>
  <c r="T30" i="8"/>
  <c r="K30" i="8"/>
  <c r="N75" i="4"/>
  <c r="G75" i="4"/>
  <c r="S117" i="2"/>
  <c r="J117" i="2"/>
  <c r="L117" i="2"/>
  <c r="P117" i="2"/>
  <c r="Q117" i="2"/>
  <c r="O117" i="2"/>
  <c r="M117" i="2"/>
  <c r="K117" i="2"/>
  <c r="A31" i="8"/>
  <c r="R117" i="2"/>
  <c r="T117" i="2"/>
  <c r="N117" i="2"/>
  <c r="I117" i="2"/>
  <c r="N117" i="10"/>
  <c r="Z67" i="12" s="1"/>
  <c r="J117" i="10"/>
  <c r="V67" i="12" s="1"/>
  <c r="Q117" i="10"/>
  <c r="AC67" i="12" s="1"/>
  <c r="T117" i="10"/>
  <c r="AF67" i="12" s="1"/>
  <c r="S117" i="10"/>
  <c r="AE67" i="12" s="1"/>
  <c r="R117" i="10"/>
  <c r="AD67" i="12" s="1"/>
  <c r="L117" i="10"/>
  <c r="X67" i="12" s="1"/>
  <c r="M117" i="10"/>
  <c r="Y67" i="12" s="1"/>
  <c r="O117" i="10"/>
  <c r="AA67" i="12" s="1"/>
  <c r="K117" i="10"/>
  <c r="W67" i="12" s="1"/>
  <c r="P117" i="10"/>
  <c r="AB67" i="12" s="1"/>
  <c r="I117" i="10"/>
  <c r="U67" i="12" s="1"/>
  <c r="BD1" i="1"/>
  <c r="A38" i="10"/>
  <c r="A27" i="5"/>
  <c r="A38" i="2"/>
  <c r="A27" i="7"/>
  <c r="S18" i="5"/>
  <c r="I18" i="5"/>
  <c r="M18" i="5"/>
  <c r="R18" i="5"/>
  <c r="K18" i="5"/>
  <c r="O18" i="5"/>
  <c r="Q18" i="5"/>
  <c r="L18" i="5"/>
  <c r="J18" i="5"/>
  <c r="N18" i="5"/>
  <c r="P18" i="5"/>
  <c r="T18" i="5"/>
  <c r="P18" i="7"/>
  <c r="Q18" i="7"/>
  <c r="I18" i="7"/>
  <c r="O18" i="7"/>
  <c r="L18" i="7"/>
  <c r="R18" i="7"/>
  <c r="M18" i="7"/>
  <c r="K18" i="7"/>
  <c r="T18" i="7"/>
  <c r="J18" i="7"/>
  <c r="S18" i="7"/>
  <c r="N18" i="7"/>
  <c r="AF66" i="12" l="1"/>
  <c r="O66" i="12" s="1"/>
  <c r="AC66" i="12"/>
  <c r="L67" i="12" s="1"/>
  <c r="AD66" i="12"/>
  <c r="M66" i="12" s="1"/>
  <c r="AB66" i="12"/>
  <c r="K66" i="12" s="1"/>
  <c r="X66" i="12"/>
  <c r="G68" i="12" s="1"/>
  <c r="W66" i="12"/>
  <c r="F67" i="12" s="1"/>
  <c r="V66" i="12"/>
  <c r="E67" i="12" s="1"/>
  <c r="U66" i="12"/>
  <c r="D66" i="12" s="1"/>
  <c r="Y66" i="12"/>
  <c r="H67" i="12" s="1"/>
  <c r="AE66" i="12"/>
  <c r="N67" i="12" s="1"/>
  <c r="Z66" i="12"/>
  <c r="I66" i="12" s="1"/>
  <c r="AA66" i="12"/>
  <c r="J68" i="12" s="1"/>
  <c r="O68" i="12"/>
  <c r="P31" i="8"/>
  <c r="N31" i="8"/>
  <c r="S31" i="8"/>
  <c r="J31" i="8"/>
  <c r="M31" i="8"/>
  <c r="O31" i="8"/>
  <c r="R31" i="8"/>
  <c r="I31" i="8"/>
  <c r="L31" i="8"/>
  <c r="Q31" i="8"/>
  <c r="T31" i="8"/>
  <c r="K31" i="8"/>
  <c r="J67" i="4"/>
  <c r="I67" i="4"/>
  <c r="I70" i="4" s="1"/>
  <c r="H67" i="4"/>
  <c r="G67" i="4"/>
  <c r="K67" i="4"/>
  <c r="K70" i="4" s="1"/>
  <c r="Q67" i="4"/>
  <c r="L67" i="4"/>
  <c r="M67" i="4"/>
  <c r="R67" i="4"/>
  <c r="R70" i="4" s="1"/>
  <c r="O67" i="4"/>
  <c r="P67" i="4"/>
  <c r="N67" i="4"/>
  <c r="O38" i="2"/>
  <c r="J38" i="2"/>
  <c r="L38" i="2"/>
  <c r="S38" i="2"/>
  <c r="T38" i="2"/>
  <c r="P38" i="2"/>
  <c r="R38" i="2"/>
  <c r="K38" i="2"/>
  <c r="Q38" i="2"/>
  <c r="M38" i="2"/>
  <c r="N38" i="2"/>
  <c r="I38" i="2"/>
  <c r="L70" i="4"/>
  <c r="S38" i="10"/>
  <c r="S24" i="10" s="1"/>
  <c r="S25" i="10" s="1"/>
  <c r="T38" i="10"/>
  <c r="T24" i="10" s="1"/>
  <c r="T25" i="10" s="1"/>
  <c r="Q38" i="10"/>
  <c r="Q24" i="10" s="1"/>
  <c r="Q25" i="10" s="1"/>
  <c r="L38" i="10"/>
  <c r="L24" i="10" s="1"/>
  <c r="L25" i="10" s="1"/>
  <c r="R38" i="10"/>
  <c r="R24" i="10" s="1"/>
  <c r="R25" i="10" s="1"/>
  <c r="I38" i="10"/>
  <c r="I24" i="10" s="1"/>
  <c r="I25" i="10" s="1"/>
  <c r="J38" i="10"/>
  <c r="J24" i="10" s="1"/>
  <c r="J25" i="10" s="1"/>
  <c r="O38" i="10"/>
  <c r="O24" i="10" s="1"/>
  <c r="O25" i="10" s="1"/>
  <c r="K38" i="10"/>
  <c r="K24" i="10" s="1"/>
  <c r="K25" i="10" s="1"/>
  <c r="M38" i="10"/>
  <c r="M24" i="10" s="1"/>
  <c r="M25" i="10" s="1"/>
  <c r="N38" i="10"/>
  <c r="N24" i="10" s="1"/>
  <c r="N25" i="10" s="1"/>
  <c r="P38" i="10"/>
  <c r="P24" i="10" s="1"/>
  <c r="P25" i="10" s="1"/>
  <c r="BE1" i="1"/>
  <c r="BF1" i="1" s="1"/>
  <c r="A37" i="7"/>
  <c r="A37" i="5"/>
  <c r="R89" i="7"/>
  <c r="M89" i="7"/>
  <c r="S89" i="7"/>
  <c r="O89" i="7"/>
  <c r="Q89" i="7"/>
  <c r="N89" i="7"/>
  <c r="J89" i="7"/>
  <c r="K89" i="7"/>
  <c r="T89" i="7"/>
  <c r="P89" i="7"/>
  <c r="L89" i="7"/>
  <c r="I89" i="7"/>
  <c r="T16" i="5"/>
  <c r="P16" i="5"/>
  <c r="R16" i="5"/>
  <c r="M16" i="5"/>
  <c r="K16" i="5"/>
  <c r="J16" i="5"/>
  <c r="Q16" i="5"/>
  <c r="O16" i="5"/>
  <c r="I16" i="5"/>
  <c r="S16" i="5"/>
  <c r="L16" i="5"/>
  <c r="N16" i="5"/>
  <c r="R89" i="5"/>
  <c r="S89" i="5"/>
  <c r="K89" i="5"/>
  <c r="Q89" i="5"/>
  <c r="M89" i="5"/>
  <c r="O89" i="5"/>
  <c r="N89" i="5"/>
  <c r="J89" i="5"/>
  <c r="T89" i="5"/>
  <c r="I89" i="5"/>
  <c r="P89" i="5"/>
  <c r="L89" i="5"/>
  <c r="Q16" i="7"/>
  <c r="J16" i="7"/>
  <c r="I16" i="7"/>
  <c r="S16" i="7"/>
  <c r="R16" i="7"/>
  <c r="L16" i="7"/>
  <c r="M16" i="7"/>
  <c r="T16" i="7"/>
  <c r="O16" i="7"/>
  <c r="P16" i="7"/>
  <c r="K16" i="7"/>
  <c r="N16" i="7"/>
  <c r="E66" i="12" l="1"/>
  <c r="E70" i="12" s="1"/>
  <c r="E68" i="12"/>
  <c r="O67" i="12"/>
  <c r="K68" i="12"/>
  <c r="M67" i="12"/>
  <c r="N66" i="12"/>
  <c r="N76" i="12" s="1"/>
  <c r="J66" i="12"/>
  <c r="J70" i="12" s="1"/>
  <c r="L68" i="12"/>
  <c r="F68" i="12"/>
  <c r="J67" i="12"/>
  <c r="H68" i="12"/>
  <c r="I68" i="12"/>
  <c r="D67" i="12"/>
  <c r="G67" i="12"/>
  <c r="N68" i="12"/>
  <c r="D68" i="12"/>
  <c r="K67" i="12"/>
  <c r="L66" i="12"/>
  <c r="L70" i="12" s="1"/>
  <c r="I67" i="12"/>
  <c r="H66" i="12"/>
  <c r="H70" i="12" s="1"/>
  <c r="G66" i="12"/>
  <c r="G70" i="12" s="1"/>
  <c r="M68" i="12"/>
  <c r="F66" i="12"/>
  <c r="F76" i="12" s="1"/>
  <c r="D76" i="12"/>
  <c r="D70" i="12"/>
  <c r="K76" i="12"/>
  <c r="K70" i="12"/>
  <c r="I76" i="12"/>
  <c r="I70" i="12"/>
  <c r="M76" i="12"/>
  <c r="M70" i="12"/>
  <c r="O76" i="12"/>
  <c r="O70" i="12"/>
  <c r="O68" i="4"/>
  <c r="G68" i="4"/>
  <c r="Q68" i="4"/>
  <c r="N68" i="4"/>
  <c r="P68" i="4"/>
  <c r="H68" i="4"/>
  <c r="L68" i="4"/>
  <c r="M68" i="4"/>
  <c r="J68" i="4"/>
  <c r="I68" i="4"/>
  <c r="J70" i="4"/>
  <c r="G70" i="4"/>
  <c r="K68" i="4"/>
  <c r="P70" i="4"/>
  <c r="O70" i="4"/>
  <c r="Q70" i="4"/>
  <c r="H70" i="4"/>
  <c r="N70" i="4"/>
  <c r="R68" i="4"/>
  <c r="M70" i="4"/>
  <c r="K20" i="4"/>
  <c r="M24" i="2"/>
  <c r="K17" i="4"/>
  <c r="S24" i="2"/>
  <c r="Q17" i="4"/>
  <c r="Q20" i="4"/>
  <c r="O20" i="4"/>
  <c r="Q24" i="2"/>
  <c r="O17" i="4"/>
  <c r="L24" i="2"/>
  <c r="J17" i="4"/>
  <c r="J20" i="4"/>
  <c r="I17" i="4"/>
  <c r="I20" i="4"/>
  <c r="K24" i="2"/>
  <c r="H17" i="4"/>
  <c r="H20" i="4"/>
  <c r="J24" i="2"/>
  <c r="BG1" i="1"/>
  <c r="BH1" i="1" s="1"/>
  <c r="BI1" i="1" s="1"/>
  <c r="BJ1" i="1" s="1"/>
  <c r="BK1" i="1" s="1"/>
  <c r="BL1" i="1" s="1"/>
  <c r="BM1" i="1" s="1"/>
  <c r="A35" i="5"/>
  <c r="A35" i="7"/>
  <c r="R24" i="2"/>
  <c r="P17" i="4"/>
  <c r="P20" i="4"/>
  <c r="O24" i="2"/>
  <c r="M20" i="4"/>
  <c r="M17" i="4"/>
  <c r="G20" i="4"/>
  <c r="I24" i="2"/>
  <c r="G17" i="4"/>
  <c r="N17" i="4"/>
  <c r="P24" i="2"/>
  <c r="N20" i="4"/>
  <c r="N24" i="2"/>
  <c r="L17" i="4"/>
  <c r="L20" i="4"/>
  <c r="R20" i="4"/>
  <c r="T24" i="2"/>
  <c r="R17" i="4"/>
  <c r="R112" i="5"/>
  <c r="J112" i="7"/>
  <c r="N17" i="7"/>
  <c r="N38" i="7"/>
  <c r="N36" i="7"/>
  <c r="L17" i="7"/>
  <c r="L36" i="7"/>
  <c r="L38" i="7"/>
  <c r="L112" i="5"/>
  <c r="O112" i="5"/>
  <c r="N17" i="5"/>
  <c r="N36" i="5"/>
  <c r="N38" i="5"/>
  <c r="J17" i="5"/>
  <c r="J38" i="5"/>
  <c r="J36" i="5"/>
  <c r="I112" i="7"/>
  <c r="N112" i="7"/>
  <c r="Q17" i="5"/>
  <c r="Q38" i="5"/>
  <c r="Q36" i="5"/>
  <c r="K17" i="7"/>
  <c r="K38" i="7"/>
  <c r="K36" i="7"/>
  <c r="N112" i="5"/>
  <c r="P112" i="5"/>
  <c r="M112" i="5"/>
  <c r="K17" i="5"/>
  <c r="K38" i="5"/>
  <c r="K36" i="5"/>
  <c r="P17" i="7"/>
  <c r="P36" i="7"/>
  <c r="P38" i="7"/>
  <c r="S17" i="7"/>
  <c r="S36" i="7"/>
  <c r="S38" i="7"/>
  <c r="I112" i="5"/>
  <c r="Q112" i="5"/>
  <c r="S17" i="5"/>
  <c r="S38" i="5"/>
  <c r="S36" i="5"/>
  <c r="M17" i="5"/>
  <c r="M36" i="5"/>
  <c r="M38" i="5"/>
  <c r="P112" i="7"/>
  <c r="O112" i="7"/>
  <c r="T92" i="5"/>
  <c r="L92" i="5"/>
  <c r="O92" i="5"/>
  <c r="I92" i="5"/>
  <c r="N92" i="5"/>
  <c r="R92" i="5"/>
  <c r="K92" i="5"/>
  <c r="M92" i="5"/>
  <c r="P92" i="5"/>
  <c r="J92" i="5"/>
  <c r="S92" i="5"/>
  <c r="Q92" i="5"/>
  <c r="Q17" i="7"/>
  <c r="Q38" i="7"/>
  <c r="Q36" i="7"/>
  <c r="R112" i="7"/>
  <c r="O17" i="7"/>
  <c r="O38" i="7"/>
  <c r="O36" i="7"/>
  <c r="I17" i="7"/>
  <c r="I38" i="7"/>
  <c r="I36" i="7"/>
  <c r="T112" i="5"/>
  <c r="K112" i="5"/>
  <c r="I17" i="5"/>
  <c r="I38" i="5"/>
  <c r="I36" i="5"/>
  <c r="R17" i="5"/>
  <c r="R36" i="5"/>
  <c r="R38" i="5"/>
  <c r="T112" i="7"/>
  <c r="S112" i="7"/>
  <c r="Q92" i="7"/>
  <c r="L92" i="7"/>
  <c r="I92" i="7"/>
  <c r="K92" i="7"/>
  <c r="M92" i="7"/>
  <c r="O92" i="7"/>
  <c r="S92" i="7"/>
  <c r="R92" i="7"/>
  <c r="J92" i="7"/>
  <c r="P92" i="7"/>
  <c r="N92" i="7"/>
  <c r="T92" i="7"/>
  <c r="M17" i="7"/>
  <c r="M38" i="7"/>
  <c r="M36" i="7"/>
  <c r="T17" i="5"/>
  <c r="T36" i="5"/>
  <c r="T38" i="5"/>
  <c r="R17" i="7"/>
  <c r="R38" i="7"/>
  <c r="L17" i="5"/>
  <c r="L38" i="5"/>
  <c r="L36" i="5"/>
  <c r="L112" i="7"/>
  <c r="Q112" i="7"/>
  <c r="T17" i="7"/>
  <c r="T38" i="7"/>
  <c r="T36" i="7"/>
  <c r="J17" i="7"/>
  <c r="J38" i="7"/>
  <c r="J36" i="7"/>
  <c r="J112" i="5"/>
  <c r="S112" i="5"/>
  <c r="O17" i="5"/>
  <c r="O38" i="5"/>
  <c r="O36" i="5"/>
  <c r="P17" i="5"/>
  <c r="P38" i="5"/>
  <c r="P36" i="5"/>
  <c r="K112" i="7"/>
  <c r="M112" i="7"/>
  <c r="R36" i="7"/>
  <c r="J76" i="12" l="1"/>
  <c r="H76" i="12"/>
  <c r="E76" i="12"/>
  <c r="N70" i="12"/>
  <c r="L76" i="12"/>
  <c r="F70" i="12"/>
  <c r="G76" i="12"/>
  <c r="I25" i="2"/>
  <c r="N25" i="2"/>
  <c r="R25" i="2"/>
  <c r="L25" i="2"/>
  <c r="S25" i="2"/>
  <c r="K25" i="2"/>
  <c r="T25" i="2"/>
  <c r="P25" i="2"/>
  <c r="Q25" i="2"/>
  <c r="M25" i="2"/>
  <c r="O25" i="2"/>
  <c r="J25" i="2"/>
  <c r="BN1" i="1"/>
  <c r="A55" i="10"/>
  <c r="A8" i="9"/>
  <c r="A40" i="7"/>
  <c r="A40" i="5"/>
  <c r="A55" i="2"/>
  <c r="R21" i="2"/>
  <c r="L21" i="2"/>
  <c r="Q21" i="2"/>
  <c r="I21" i="2"/>
  <c r="K21" i="2"/>
  <c r="J21" i="2"/>
  <c r="S21" i="2"/>
  <c r="T21" i="2"/>
  <c r="M21" i="2"/>
  <c r="O21" i="2"/>
  <c r="P21" i="2"/>
  <c r="N21" i="2"/>
  <c r="S102" i="7"/>
  <c r="P102" i="5"/>
  <c r="P93" i="7"/>
  <c r="P95" i="7" s="1"/>
  <c r="Q93" i="7"/>
  <c r="Q95" i="7" s="1"/>
  <c r="K93" i="7"/>
  <c r="K95" i="7" s="1"/>
  <c r="R93" i="7"/>
  <c r="R95" i="7" s="1"/>
  <c r="L93" i="7"/>
  <c r="L95" i="7" s="1"/>
  <c r="M93" i="7"/>
  <c r="I93" i="7"/>
  <c r="I95" i="7" s="1"/>
  <c r="S93" i="7"/>
  <c r="S95" i="7" s="1"/>
  <c r="O93" i="7"/>
  <c r="O95" i="7" s="1"/>
  <c r="J93" i="7"/>
  <c r="J95" i="7" s="1"/>
  <c r="T93" i="7"/>
  <c r="N93" i="7"/>
  <c r="T102" i="7"/>
  <c r="O102" i="7"/>
  <c r="M102" i="5"/>
  <c r="L102" i="5"/>
  <c r="O102" i="5"/>
  <c r="T82" i="7"/>
  <c r="P82" i="7"/>
  <c r="O82" i="7"/>
  <c r="I82" i="7"/>
  <c r="K82" i="7"/>
  <c r="M82" i="7"/>
  <c r="J82" i="7"/>
  <c r="Q82" i="7"/>
  <c r="S82" i="7"/>
  <c r="R82" i="7"/>
  <c r="N82" i="7"/>
  <c r="L82" i="7"/>
  <c r="Q102" i="7"/>
  <c r="N102" i="7"/>
  <c r="M102" i="7"/>
  <c r="K102" i="5"/>
  <c r="T102" i="5"/>
  <c r="P93" i="5"/>
  <c r="P95" i="5" s="1"/>
  <c r="Q93" i="5"/>
  <c r="Q95" i="5" s="1"/>
  <c r="R93" i="5"/>
  <c r="R95" i="5" s="1"/>
  <c r="N93" i="5"/>
  <c r="N95" i="5" s="1"/>
  <c r="S93" i="5"/>
  <c r="S95" i="5" s="1"/>
  <c r="M93" i="5"/>
  <c r="T93" i="5"/>
  <c r="O93" i="5"/>
  <c r="J93" i="5"/>
  <c r="K93" i="5"/>
  <c r="K95" i="5" s="1"/>
  <c r="L93" i="5"/>
  <c r="L95" i="5" s="1"/>
  <c r="I93" i="5"/>
  <c r="I95" i="5" s="1"/>
  <c r="P102" i="7"/>
  <c r="K102" i="7"/>
  <c r="Q102" i="5"/>
  <c r="R102" i="5"/>
  <c r="J102" i="7"/>
  <c r="I102" i="7"/>
  <c r="S102" i="5"/>
  <c r="N102" i="5"/>
  <c r="T82" i="5"/>
  <c r="Q82" i="5"/>
  <c r="N82" i="5"/>
  <c r="P82" i="5"/>
  <c r="K82" i="5"/>
  <c r="S82" i="5"/>
  <c r="O82" i="5"/>
  <c r="M82" i="5"/>
  <c r="I82" i="5"/>
  <c r="J82" i="5"/>
  <c r="R82" i="5"/>
  <c r="L82" i="5"/>
  <c r="R102" i="7"/>
  <c r="L102" i="7"/>
  <c r="J102" i="5"/>
  <c r="I102" i="5"/>
  <c r="M55" i="2" l="1"/>
  <c r="O55" i="2"/>
  <c r="J55" i="2"/>
  <c r="L55" i="2"/>
  <c r="Q55" i="2"/>
  <c r="T55" i="2"/>
  <c r="I55" i="2"/>
  <c r="N55" i="2"/>
  <c r="S55" i="2"/>
  <c r="R55" i="2"/>
  <c r="P55" i="2"/>
  <c r="K55" i="2"/>
  <c r="K8" i="9"/>
  <c r="J8" i="9"/>
  <c r="L8" i="9"/>
  <c r="I8" i="9"/>
  <c r="N8" i="9"/>
  <c r="M8" i="9"/>
  <c r="O8" i="9"/>
  <c r="P8" i="9"/>
  <c r="S8" i="9"/>
  <c r="T8" i="9"/>
  <c r="R8" i="9"/>
  <c r="Q8" i="9"/>
  <c r="O55" i="10"/>
  <c r="O56" i="10" s="1"/>
  <c r="T55" i="10"/>
  <c r="T56" i="10" s="1"/>
  <c r="R55" i="10"/>
  <c r="R56" i="10" s="1"/>
  <c r="N55" i="10"/>
  <c r="N56" i="10" s="1"/>
  <c r="I55" i="10"/>
  <c r="I56" i="10" s="1"/>
  <c r="S55" i="10"/>
  <c r="S56" i="10" s="1"/>
  <c r="K55" i="10"/>
  <c r="K56" i="10" s="1"/>
  <c r="P55" i="10"/>
  <c r="P56" i="10" s="1"/>
  <c r="L55" i="10"/>
  <c r="L56" i="10" s="1"/>
  <c r="M55" i="10"/>
  <c r="M56" i="10" s="1"/>
  <c r="J55" i="10"/>
  <c r="J56" i="10" s="1"/>
  <c r="Q55" i="10"/>
  <c r="Q56" i="10" s="1"/>
  <c r="BO1" i="1"/>
  <c r="BP1" i="1" s="1"/>
  <c r="BQ1" i="1" s="1"/>
  <c r="BR1" i="1" s="1"/>
  <c r="A39" i="10"/>
  <c r="A28" i="5"/>
  <c r="A28" i="7"/>
  <c r="A39" i="2"/>
  <c r="M94" i="7"/>
  <c r="M115" i="7"/>
  <c r="O115" i="5"/>
  <c r="O94" i="5"/>
  <c r="T94" i="7"/>
  <c r="T115" i="7"/>
  <c r="L94" i="7"/>
  <c r="L115" i="7"/>
  <c r="N115" i="7"/>
  <c r="N94" i="7"/>
  <c r="M93" i="4"/>
  <c r="T115" i="5"/>
  <c r="T94" i="5"/>
  <c r="P94" i="5"/>
  <c r="P115" i="5"/>
  <c r="J115" i="7"/>
  <c r="J94" i="7"/>
  <c r="R94" i="7"/>
  <c r="R115" i="7"/>
  <c r="P93" i="4"/>
  <c r="H93" i="4"/>
  <c r="I94" i="5"/>
  <c r="I115" i="5"/>
  <c r="M94" i="5"/>
  <c r="M115" i="5"/>
  <c r="T95" i="5"/>
  <c r="O95" i="5"/>
  <c r="O115" i="7"/>
  <c r="O94" i="7"/>
  <c r="K115" i="7"/>
  <c r="K94" i="7"/>
  <c r="Q93" i="4"/>
  <c r="J94" i="5"/>
  <c r="J115" i="5"/>
  <c r="N95" i="7"/>
  <c r="G93" i="4"/>
  <c r="Q115" i="5"/>
  <c r="Q94" i="5"/>
  <c r="O93" i="4"/>
  <c r="K93" i="4"/>
  <c r="L94" i="5"/>
  <c r="L115" i="5"/>
  <c r="S94" i="5"/>
  <c r="S115" i="5"/>
  <c r="M95" i="7"/>
  <c r="P105" i="5"/>
  <c r="P106" i="5" s="1"/>
  <c r="K105" i="5"/>
  <c r="K106" i="5" s="1"/>
  <c r="M105" i="5"/>
  <c r="M106" i="5" s="1"/>
  <c r="L105" i="5"/>
  <c r="L106" i="5" s="1"/>
  <c r="N105" i="5"/>
  <c r="N106" i="5" s="1"/>
  <c r="Q105" i="5"/>
  <c r="Q106" i="5" s="1"/>
  <c r="S105" i="5"/>
  <c r="S106" i="5" s="1"/>
  <c r="I105" i="5"/>
  <c r="I106" i="5" s="1"/>
  <c r="O105" i="5"/>
  <c r="O106" i="5" s="1"/>
  <c r="R105" i="5"/>
  <c r="R106" i="5" s="1"/>
  <c r="T105" i="5"/>
  <c r="T106" i="5" s="1"/>
  <c r="J105" i="5"/>
  <c r="J106" i="5" s="1"/>
  <c r="M95" i="5"/>
  <c r="S94" i="7"/>
  <c r="S115" i="7"/>
  <c r="Q94" i="7"/>
  <c r="Q115" i="7"/>
  <c r="J93" i="4"/>
  <c r="R115" i="5"/>
  <c r="R94" i="5"/>
  <c r="F93" i="4"/>
  <c r="N93" i="4"/>
  <c r="J95" i="5"/>
  <c r="L93" i="4"/>
  <c r="I93" i="4"/>
  <c r="K115" i="5"/>
  <c r="K94" i="5"/>
  <c r="N115" i="5"/>
  <c r="N94" i="5"/>
  <c r="P105" i="7"/>
  <c r="P106" i="7" s="1"/>
  <c r="Q105" i="7"/>
  <c r="Q106" i="7" s="1"/>
  <c r="K105" i="7"/>
  <c r="K106" i="7" s="1"/>
  <c r="R105" i="7"/>
  <c r="R106" i="7" s="1"/>
  <c r="M105" i="7"/>
  <c r="M106" i="7" s="1"/>
  <c r="N105" i="7"/>
  <c r="N106" i="7" s="1"/>
  <c r="I105" i="7"/>
  <c r="I106" i="7" s="1"/>
  <c r="T105" i="7"/>
  <c r="T106" i="7" s="1"/>
  <c r="O105" i="7"/>
  <c r="O106" i="7" s="1"/>
  <c r="J105" i="7"/>
  <c r="J106" i="7" s="1"/>
  <c r="S105" i="7"/>
  <c r="S106" i="7" s="1"/>
  <c r="L105" i="7"/>
  <c r="L106" i="7" s="1"/>
  <c r="T95" i="7"/>
  <c r="I115" i="7"/>
  <c r="I94" i="7"/>
  <c r="P115" i="7"/>
  <c r="P94" i="7"/>
  <c r="K56" i="2" l="1"/>
  <c r="Y13" i="4"/>
  <c r="AH13" i="4"/>
  <c r="T56" i="2"/>
  <c r="N39" i="2"/>
  <c r="L39" i="2"/>
  <c r="R39" i="2"/>
  <c r="K39" i="2"/>
  <c r="I39" i="2"/>
  <c r="Q39" i="2"/>
  <c r="O39" i="2"/>
  <c r="T39" i="2"/>
  <c r="P39" i="2"/>
  <c r="S39" i="2"/>
  <c r="M39" i="2"/>
  <c r="J39" i="2"/>
  <c r="P56" i="2"/>
  <c r="AD13" i="4"/>
  <c r="Q56" i="2"/>
  <c r="AE13" i="4"/>
  <c r="AF13" i="4"/>
  <c r="R56" i="2"/>
  <c r="Z13" i="4"/>
  <c r="L56" i="2"/>
  <c r="S56" i="2"/>
  <c r="AG13" i="4"/>
  <c r="X13" i="4"/>
  <c r="J56" i="2"/>
  <c r="R39" i="10"/>
  <c r="J39" i="10"/>
  <c r="Q39" i="10"/>
  <c r="N39" i="10"/>
  <c r="I39" i="10"/>
  <c r="S39" i="10"/>
  <c r="M39" i="10"/>
  <c r="L39" i="10"/>
  <c r="O39" i="10"/>
  <c r="P39" i="10"/>
  <c r="K39" i="10"/>
  <c r="T39" i="10"/>
  <c r="N56" i="2"/>
  <c r="AB13" i="4"/>
  <c r="O56" i="2"/>
  <c r="AC13" i="4"/>
  <c r="BS1" i="1"/>
  <c r="A40" i="10"/>
  <c r="A29" i="7"/>
  <c r="A29" i="5"/>
  <c r="A40" i="2"/>
  <c r="I56" i="2"/>
  <c r="W13" i="4"/>
  <c r="G13" i="4" s="1"/>
  <c r="AA13" i="4"/>
  <c r="M56" i="2"/>
  <c r="L103" i="5"/>
  <c r="L90" i="5" s="1"/>
  <c r="L91" i="5" s="1"/>
  <c r="T103" i="5"/>
  <c r="T90" i="5" s="1"/>
  <c r="T91" i="5" s="1"/>
  <c r="O103" i="5"/>
  <c r="O90" i="5" s="1"/>
  <c r="O91" i="5" s="1"/>
  <c r="N103" i="5"/>
  <c r="N90" i="5" s="1"/>
  <c r="N91" i="5" s="1"/>
  <c r="I103" i="5"/>
  <c r="I90" i="5" s="1"/>
  <c r="I91" i="5" s="1"/>
  <c r="Q103" i="5"/>
  <c r="Q90" i="5" s="1"/>
  <c r="Q91" i="5" s="1"/>
  <c r="S103" i="5"/>
  <c r="S90" i="5" s="1"/>
  <c r="S91" i="5" s="1"/>
  <c r="K103" i="5"/>
  <c r="K90" i="5" s="1"/>
  <c r="K91" i="5" s="1"/>
  <c r="M103" i="5"/>
  <c r="M90" i="5" s="1"/>
  <c r="M91" i="5" s="1"/>
  <c r="R103" i="5"/>
  <c r="R90" i="5" s="1"/>
  <c r="R91" i="5" s="1"/>
  <c r="P103" i="5"/>
  <c r="P90" i="5" s="1"/>
  <c r="P91" i="5" s="1"/>
  <c r="J103" i="5"/>
  <c r="J90" i="5" s="1"/>
  <c r="J91" i="5" s="1"/>
  <c r="Q103" i="7"/>
  <c r="Q90" i="7" s="1"/>
  <c r="Q91" i="7" s="1"/>
  <c r="L103" i="7"/>
  <c r="L90" i="7" s="1"/>
  <c r="L91" i="7" s="1"/>
  <c r="N103" i="7"/>
  <c r="N90" i="7" s="1"/>
  <c r="N91" i="7" s="1"/>
  <c r="R103" i="7"/>
  <c r="R90" i="7" s="1"/>
  <c r="R91" i="7" s="1"/>
  <c r="M103" i="7"/>
  <c r="M90" i="7" s="1"/>
  <c r="M91" i="7" s="1"/>
  <c r="O103" i="7"/>
  <c r="O90" i="7" s="1"/>
  <c r="O91" i="7" s="1"/>
  <c r="P103" i="7"/>
  <c r="P90" i="7" s="1"/>
  <c r="P91" i="7" s="1"/>
  <c r="T103" i="7"/>
  <c r="T90" i="7" s="1"/>
  <c r="T91" i="7" s="1"/>
  <c r="J103" i="7"/>
  <c r="J90" i="7" s="1"/>
  <c r="J91" i="7" s="1"/>
  <c r="S103" i="7"/>
  <c r="S90" i="7" s="1"/>
  <c r="S91" i="7" s="1"/>
  <c r="K103" i="7"/>
  <c r="K90" i="7" s="1"/>
  <c r="K91" i="7" s="1"/>
  <c r="I103" i="7"/>
  <c r="I90" i="7" s="1"/>
  <c r="I91" i="7" s="1"/>
  <c r="J16" i="4" l="1"/>
  <c r="K16" i="4"/>
  <c r="L16" i="4"/>
  <c r="H16" i="4"/>
  <c r="P16" i="4"/>
  <c r="R16" i="4"/>
  <c r="N16" i="4"/>
  <c r="G16" i="4"/>
  <c r="M16" i="4"/>
  <c r="Q16" i="4"/>
  <c r="O16" i="4"/>
  <c r="I16" i="4"/>
  <c r="M40" i="2"/>
  <c r="M41" i="2" s="1"/>
  <c r="M42" i="2" s="1"/>
  <c r="M43" i="2" s="1"/>
  <c r="O40" i="2"/>
  <c r="O41" i="2" s="1"/>
  <c r="O42" i="2" s="1"/>
  <c r="O43" i="2" s="1"/>
  <c r="N40" i="2"/>
  <c r="N41" i="2" s="1"/>
  <c r="N42" i="2" s="1"/>
  <c r="N43" i="2" s="1"/>
  <c r="R40" i="2"/>
  <c r="R41" i="2" s="1"/>
  <c r="R42" i="2" s="1"/>
  <c r="R43" i="2" s="1"/>
  <c r="Q40" i="2"/>
  <c r="Q41" i="2" s="1"/>
  <c r="Q42" i="2" s="1"/>
  <c r="Q43" i="2" s="1"/>
  <c r="I40" i="2"/>
  <c r="I41" i="2" s="1"/>
  <c r="I42" i="2" s="1"/>
  <c r="I43" i="2" s="1"/>
  <c r="J40" i="2"/>
  <c r="J41" i="2" s="1"/>
  <c r="J42" i="2" s="1"/>
  <c r="J43" i="2" s="1"/>
  <c r="K40" i="2"/>
  <c r="K41" i="2" s="1"/>
  <c r="K42" i="2" s="1"/>
  <c r="K43" i="2" s="1"/>
  <c r="T40" i="2"/>
  <c r="T41" i="2" s="1"/>
  <c r="T42" i="2" s="1"/>
  <c r="T43" i="2" s="1"/>
  <c r="L40" i="2"/>
  <c r="L41" i="2" s="1"/>
  <c r="L42" i="2" s="1"/>
  <c r="L43" i="2" s="1"/>
  <c r="S40" i="2"/>
  <c r="S41" i="2" s="1"/>
  <c r="S42" i="2" s="1"/>
  <c r="S43" i="2" s="1"/>
  <c r="P40" i="2"/>
  <c r="P41" i="2" s="1"/>
  <c r="P42" i="2" s="1"/>
  <c r="P43" i="2" s="1"/>
  <c r="Q40" i="10"/>
  <c r="Q41" i="10" s="1"/>
  <c r="Q42" i="10" s="1"/>
  <c r="Q43" i="10" s="1"/>
  <c r="L40" i="10"/>
  <c r="L41" i="10" s="1"/>
  <c r="L42" i="10" s="1"/>
  <c r="L43" i="10" s="1"/>
  <c r="P40" i="10"/>
  <c r="P41" i="10" s="1"/>
  <c r="P42" i="10" s="1"/>
  <c r="P43" i="10" s="1"/>
  <c r="R40" i="10"/>
  <c r="R41" i="10" s="1"/>
  <c r="R42" i="10" s="1"/>
  <c r="R43" i="10" s="1"/>
  <c r="T40" i="10"/>
  <c r="T41" i="10" s="1"/>
  <c r="T42" i="10" s="1"/>
  <c r="T43" i="10" s="1"/>
  <c r="S40" i="10"/>
  <c r="S41" i="10" s="1"/>
  <c r="S42" i="10" s="1"/>
  <c r="S43" i="10" s="1"/>
  <c r="K40" i="10"/>
  <c r="K41" i="10" s="1"/>
  <c r="K42" i="10" s="1"/>
  <c r="K43" i="10" s="1"/>
  <c r="I40" i="10"/>
  <c r="I41" i="10" s="1"/>
  <c r="I42" i="10" s="1"/>
  <c r="I43" i="10" s="1"/>
  <c r="J40" i="10"/>
  <c r="J41" i="10" s="1"/>
  <c r="J42" i="10" s="1"/>
  <c r="J43" i="10" s="1"/>
  <c r="N40" i="10"/>
  <c r="N41" i="10" s="1"/>
  <c r="N42" i="10" s="1"/>
  <c r="N43" i="10" s="1"/>
  <c r="M40" i="10"/>
  <c r="M41" i="10" s="1"/>
  <c r="M42" i="10" s="1"/>
  <c r="M43" i="10" s="1"/>
  <c r="O40" i="10"/>
  <c r="O41" i="10" s="1"/>
  <c r="O42" i="10" s="1"/>
  <c r="O43" i="10" s="1"/>
  <c r="BT1" i="1"/>
  <c r="A16" i="9"/>
  <c r="O96" i="5"/>
  <c r="P96" i="5"/>
  <c r="J96" i="5"/>
  <c r="R96" i="5"/>
  <c r="K96" i="5"/>
  <c r="L96" i="5"/>
  <c r="S96" i="5"/>
  <c r="I96" i="5"/>
  <c r="N96" i="5"/>
  <c r="M96" i="5"/>
  <c r="Q96" i="5"/>
  <c r="T96" i="5"/>
  <c r="O96" i="7"/>
  <c r="L96" i="7"/>
  <c r="K96" i="7"/>
  <c r="J96" i="7"/>
  <c r="S96" i="7"/>
  <c r="I96" i="7"/>
  <c r="Q96" i="7"/>
  <c r="M96" i="7"/>
  <c r="P96" i="7"/>
  <c r="T96" i="7"/>
  <c r="N96" i="7"/>
  <c r="R96" i="7"/>
  <c r="M16" i="9" l="1"/>
  <c r="I16" i="9"/>
  <c r="N16" i="9"/>
  <c r="L16" i="9"/>
  <c r="J16" i="9"/>
  <c r="O16" i="9"/>
  <c r="K16" i="9"/>
  <c r="R16" i="9"/>
  <c r="Q16" i="9"/>
  <c r="T16" i="9"/>
  <c r="S16" i="9"/>
  <c r="P16" i="9"/>
  <c r="BU1" i="1"/>
  <c r="A7" i="9"/>
  <c r="I7" i="9" l="1"/>
  <c r="I9" i="9" s="1"/>
  <c r="J7" i="9"/>
  <c r="J9" i="9" s="1"/>
  <c r="L7" i="9"/>
  <c r="L9" i="9" s="1"/>
  <c r="M7" i="9"/>
  <c r="M9" i="9" s="1"/>
  <c r="O7" i="9"/>
  <c r="O9" i="9" s="1"/>
  <c r="N7" i="9"/>
  <c r="N9" i="9" s="1"/>
  <c r="K7" i="9"/>
  <c r="K9" i="9" s="1"/>
  <c r="P7" i="9"/>
  <c r="P9" i="9" s="1"/>
  <c r="Q7" i="9"/>
  <c r="Q9" i="9" s="1"/>
  <c r="T7" i="9"/>
  <c r="T9" i="9" s="1"/>
  <c r="S7" i="9"/>
  <c r="S9" i="9" s="1"/>
  <c r="R7" i="9"/>
  <c r="R9" i="9" s="1"/>
  <c r="BV1" i="1"/>
  <c r="A15" i="10"/>
  <c r="A27" i="9"/>
  <c r="A7" i="8"/>
  <c r="A15" i="2"/>
  <c r="A15" i="5"/>
  <c r="A15" i="7"/>
  <c r="P98" i="5"/>
  <c r="R98" i="5"/>
  <c r="J98" i="5"/>
  <c r="L98" i="5"/>
  <c r="N98" i="5"/>
  <c r="Q98" i="5"/>
  <c r="T98" i="5"/>
  <c r="K98" i="5"/>
  <c r="S98" i="5"/>
  <c r="O98" i="5"/>
  <c r="M98" i="5"/>
  <c r="I98" i="5"/>
  <c r="T98" i="7"/>
  <c r="N98" i="7"/>
  <c r="L98" i="7"/>
  <c r="I98" i="7"/>
  <c r="Q98" i="7"/>
  <c r="S98" i="7"/>
  <c r="P98" i="7"/>
  <c r="M98" i="7"/>
  <c r="J98" i="7"/>
  <c r="K98" i="7"/>
  <c r="O98" i="7"/>
  <c r="R98" i="7"/>
  <c r="M7" i="8" l="1"/>
  <c r="P7" i="8"/>
  <c r="L7" i="8"/>
  <c r="T7" i="8"/>
  <c r="J7" i="8"/>
  <c r="N7" i="8"/>
  <c r="K7" i="8"/>
  <c r="O7" i="8"/>
  <c r="S7" i="8"/>
  <c r="I7" i="8"/>
  <c r="R7" i="8"/>
  <c r="Q7" i="8"/>
  <c r="Q15" i="2"/>
  <c r="M15" i="2"/>
  <c r="P15" i="2"/>
  <c r="I15" i="2"/>
  <c r="T15" i="2"/>
  <c r="R15" i="2"/>
  <c r="K15" i="2"/>
  <c r="L15" i="2"/>
  <c r="S15" i="2"/>
  <c r="N15" i="2"/>
  <c r="J15" i="2"/>
  <c r="O15" i="2"/>
  <c r="L27" i="9"/>
  <c r="K27" i="9"/>
  <c r="J27" i="9"/>
  <c r="O27" i="9"/>
  <c r="I27" i="9"/>
  <c r="N27" i="9"/>
  <c r="M27" i="9"/>
  <c r="S27" i="9"/>
  <c r="T27" i="9"/>
  <c r="Q27" i="9"/>
  <c r="P27" i="9"/>
  <c r="R27" i="9"/>
  <c r="O15" i="10"/>
  <c r="T15" i="10"/>
  <c r="L15" i="10"/>
  <c r="I15" i="10"/>
  <c r="N15" i="10"/>
  <c r="M15" i="10"/>
  <c r="S15" i="10"/>
  <c r="R15" i="10"/>
  <c r="K15" i="10"/>
  <c r="J15" i="10"/>
  <c r="P15" i="10"/>
  <c r="Q15" i="10"/>
  <c r="BW1" i="1"/>
  <c r="A18" i="10"/>
  <c r="A28" i="9"/>
  <c r="A18" i="2"/>
  <c r="A8" i="8"/>
  <c r="A18" i="7"/>
  <c r="A18" i="5"/>
  <c r="R99" i="5"/>
  <c r="R104" i="5" s="1"/>
  <c r="T99" i="5"/>
  <c r="T104" i="5" s="1"/>
  <c r="P99" i="5"/>
  <c r="P104" i="5" s="1"/>
  <c r="O99" i="5"/>
  <c r="O104" i="5" s="1"/>
  <c r="I99" i="5"/>
  <c r="I104" i="5" s="1"/>
  <c r="M99" i="5"/>
  <c r="M104" i="5" s="1"/>
  <c r="S99" i="5"/>
  <c r="S104" i="5" s="1"/>
  <c r="Q99" i="5"/>
  <c r="Q104" i="5" s="1"/>
  <c r="J99" i="5"/>
  <c r="J104" i="5" s="1"/>
  <c r="L99" i="5"/>
  <c r="L104" i="5" s="1"/>
  <c r="N99" i="5"/>
  <c r="N104" i="5" s="1"/>
  <c r="K99" i="5"/>
  <c r="K104" i="5" s="1"/>
  <c r="R99" i="7"/>
  <c r="R104" i="7" s="1"/>
  <c r="S99" i="7"/>
  <c r="S104" i="7" s="1"/>
  <c r="M99" i="7"/>
  <c r="M104" i="7" s="1"/>
  <c r="O99" i="7"/>
  <c r="O104" i="7" s="1"/>
  <c r="J99" i="7"/>
  <c r="J104" i="7" s="1"/>
  <c r="K99" i="7"/>
  <c r="K104" i="7" s="1"/>
  <c r="N99" i="7"/>
  <c r="N104" i="7" s="1"/>
  <c r="P99" i="7"/>
  <c r="P104" i="7" s="1"/>
  <c r="Q99" i="7"/>
  <c r="Q104" i="7" s="1"/>
  <c r="L99" i="7"/>
  <c r="L104" i="7" s="1"/>
  <c r="I99" i="7"/>
  <c r="I104" i="7" s="1"/>
  <c r="T99" i="7"/>
  <c r="T104" i="7" s="1"/>
  <c r="J8" i="8" l="1"/>
  <c r="P8" i="8"/>
  <c r="K8" i="8"/>
  <c r="Q8" i="8"/>
  <c r="O8" i="8"/>
  <c r="M8" i="8"/>
  <c r="N8" i="8"/>
  <c r="L8" i="8"/>
  <c r="T8" i="8"/>
  <c r="R8" i="8"/>
  <c r="S8" i="8"/>
  <c r="I8" i="8"/>
  <c r="K18" i="2"/>
  <c r="T18" i="2"/>
  <c r="M18" i="2"/>
  <c r="S18" i="2"/>
  <c r="O18" i="2"/>
  <c r="R18" i="2"/>
  <c r="Q18" i="2"/>
  <c r="I18" i="2"/>
  <c r="L18" i="2"/>
  <c r="P18" i="2"/>
  <c r="N18" i="2"/>
  <c r="J18" i="2"/>
  <c r="I28" i="9"/>
  <c r="K28" i="9"/>
  <c r="J28" i="9"/>
  <c r="M28" i="9"/>
  <c r="O28" i="9"/>
  <c r="N28" i="9"/>
  <c r="L28" i="9"/>
  <c r="T28" i="9"/>
  <c r="P28" i="9"/>
  <c r="S28" i="9"/>
  <c r="R28" i="9"/>
  <c r="Q28" i="9"/>
  <c r="S18" i="10"/>
  <c r="K18" i="10"/>
  <c r="I18" i="10"/>
  <c r="J18" i="10"/>
  <c r="Q18" i="10"/>
  <c r="T18" i="10"/>
  <c r="R18" i="10"/>
  <c r="N18" i="10"/>
  <c r="L18" i="10"/>
  <c r="P18" i="10"/>
  <c r="O18" i="10"/>
  <c r="M18" i="10"/>
  <c r="BX1" i="1"/>
  <c r="A16" i="10"/>
  <c r="A133" i="10"/>
  <c r="A29" i="9"/>
  <c r="A9" i="8"/>
  <c r="A16" i="7"/>
  <c r="A89" i="5"/>
  <c r="A16" i="5"/>
  <c r="A16" i="2"/>
  <c r="A89" i="7"/>
  <c r="A133" i="2"/>
  <c r="Q50" i="7"/>
  <c r="O50" i="7"/>
  <c r="M50" i="7"/>
  <c r="S50" i="7"/>
  <c r="J50" i="7"/>
  <c r="R50" i="7"/>
  <c r="L50" i="7"/>
  <c r="I50" i="7"/>
  <c r="T50" i="7"/>
  <c r="K50" i="7"/>
  <c r="P50" i="7"/>
  <c r="N50" i="7"/>
  <c r="T50" i="5"/>
  <c r="Q50" i="5"/>
  <c r="K50" i="5"/>
  <c r="I50" i="5"/>
  <c r="R50" i="5"/>
  <c r="L50" i="5"/>
  <c r="N50" i="5"/>
  <c r="O50" i="5"/>
  <c r="P50" i="5"/>
  <c r="S50" i="5"/>
  <c r="M50" i="5"/>
  <c r="J50" i="5"/>
  <c r="J9" i="8" l="1"/>
  <c r="J6" i="8" s="1"/>
  <c r="J45" i="14" s="1"/>
  <c r="P9" i="8"/>
  <c r="P6" i="8" s="1"/>
  <c r="P45" i="14" s="1"/>
  <c r="K9" i="8"/>
  <c r="K6" i="8" s="1"/>
  <c r="K45" i="14" s="1"/>
  <c r="M9" i="8"/>
  <c r="M6" i="8" s="1"/>
  <c r="M45" i="14" s="1"/>
  <c r="N9" i="8"/>
  <c r="N6" i="8" s="1"/>
  <c r="N45" i="14" s="1"/>
  <c r="R9" i="8"/>
  <c r="R6" i="8" s="1"/>
  <c r="R45" i="14" s="1"/>
  <c r="Q9" i="8"/>
  <c r="Q6" i="8" s="1"/>
  <c r="Q45" i="14" s="1"/>
  <c r="L9" i="8"/>
  <c r="L6" i="8" s="1"/>
  <c r="L45" i="14" s="1"/>
  <c r="S9" i="8"/>
  <c r="S6" i="8" s="1"/>
  <c r="S45" i="14" s="1"/>
  <c r="T9" i="8"/>
  <c r="T6" i="8" s="1"/>
  <c r="T45" i="14" s="1"/>
  <c r="I9" i="8"/>
  <c r="I6" i="8" s="1"/>
  <c r="I45" i="14" s="1"/>
  <c r="O9" i="8"/>
  <c r="O6" i="8" s="1"/>
  <c r="O45" i="14" s="1"/>
  <c r="J29" i="9"/>
  <c r="J30" i="9" s="1"/>
  <c r="O29" i="9"/>
  <c r="O30" i="9" s="1"/>
  <c r="L29" i="9"/>
  <c r="L30" i="9" s="1"/>
  <c r="N29" i="9"/>
  <c r="N30" i="9" s="1"/>
  <c r="M29" i="9"/>
  <c r="M30" i="9" s="1"/>
  <c r="K29" i="9"/>
  <c r="K30" i="9" s="1"/>
  <c r="I29" i="9"/>
  <c r="I30" i="9" s="1"/>
  <c r="T29" i="9"/>
  <c r="T30" i="9" s="1"/>
  <c r="Q29" i="9"/>
  <c r="Q30" i="9" s="1"/>
  <c r="P29" i="9"/>
  <c r="P30" i="9" s="1"/>
  <c r="R29" i="9"/>
  <c r="R30" i="9" s="1"/>
  <c r="S29" i="9"/>
  <c r="S30" i="9" s="1"/>
  <c r="O16" i="2"/>
  <c r="L16" i="2"/>
  <c r="J16" i="2"/>
  <c r="M16" i="2"/>
  <c r="T16" i="2"/>
  <c r="S16" i="2"/>
  <c r="I16" i="2"/>
  <c r="P16" i="2"/>
  <c r="K16" i="2"/>
  <c r="R16" i="2"/>
  <c r="Q16" i="2"/>
  <c r="N16" i="2"/>
  <c r="T133" i="10"/>
  <c r="AF91" i="12" s="1"/>
  <c r="O133" i="10"/>
  <c r="AA91" i="12" s="1"/>
  <c r="M133" i="10"/>
  <c r="Y91" i="12" s="1"/>
  <c r="I133" i="10"/>
  <c r="U91" i="12" s="1"/>
  <c r="S133" i="10"/>
  <c r="AE91" i="12" s="1"/>
  <c r="J133" i="10"/>
  <c r="V91" i="12" s="1"/>
  <c r="Q133" i="10"/>
  <c r="AC91" i="12" s="1"/>
  <c r="R133" i="10"/>
  <c r="AD91" i="12" s="1"/>
  <c r="N133" i="10"/>
  <c r="Z91" i="12" s="1"/>
  <c r="K133" i="10"/>
  <c r="W91" i="12" s="1"/>
  <c r="L133" i="10"/>
  <c r="X91" i="12" s="1"/>
  <c r="P133" i="10"/>
  <c r="AB91" i="12" s="1"/>
  <c r="T16" i="10"/>
  <c r="T17" i="10" s="1"/>
  <c r="O16" i="10"/>
  <c r="O17" i="10" s="1"/>
  <c r="M16" i="10"/>
  <c r="M17" i="10" s="1"/>
  <c r="R16" i="10"/>
  <c r="R17" i="10" s="1"/>
  <c r="J16" i="10"/>
  <c r="J17" i="10" s="1"/>
  <c r="N16" i="10"/>
  <c r="N17" i="10" s="1"/>
  <c r="S16" i="10"/>
  <c r="S17" i="10" s="1"/>
  <c r="P16" i="10"/>
  <c r="P17" i="10" s="1"/>
  <c r="I16" i="10"/>
  <c r="I17" i="10" s="1"/>
  <c r="L16" i="10"/>
  <c r="L17" i="10" s="1"/>
  <c r="K16" i="10"/>
  <c r="K17" i="10" s="1"/>
  <c r="Q16" i="10"/>
  <c r="Q17" i="10" s="1"/>
  <c r="BY1" i="1"/>
  <c r="A136" i="10"/>
  <c r="A136" i="2"/>
  <c r="A92" i="7"/>
  <c r="A92" i="5"/>
  <c r="R133" i="2"/>
  <c r="I133" i="2"/>
  <c r="O133" i="2"/>
  <c r="P133" i="2"/>
  <c r="S133" i="2"/>
  <c r="N133" i="2"/>
  <c r="M133" i="2"/>
  <c r="J133" i="2"/>
  <c r="T133" i="2"/>
  <c r="L133" i="2"/>
  <c r="Q133" i="2"/>
  <c r="K133" i="2"/>
  <c r="O51" i="5"/>
  <c r="K51" i="5"/>
  <c r="L51" i="5"/>
  <c r="Q51" i="5"/>
  <c r="M51" i="5"/>
  <c r="I51" i="5"/>
  <c r="J51" i="5"/>
  <c r="P51" i="5"/>
  <c r="S51" i="5"/>
  <c r="N51" i="5"/>
  <c r="R51" i="5"/>
  <c r="T51" i="5"/>
  <c r="P51" i="7"/>
  <c r="K51" i="7"/>
  <c r="Q51" i="7"/>
  <c r="N51" i="7"/>
  <c r="I51" i="7"/>
  <c r="T51" i="7"/>
  <c r="O51" i="7"/>
  <c r="L51" i="7"/>
  <c r="R51" i="7"/>
  <c r="M51" i="7"/>
  <c r="J51" i="7"/>
  <c r="S51" i="7"/>
  <c r="Y90" i="12" l="1"/>
  <c r="H91" i="12" s="1"/>
  <c r="AD90" i="12"/>
  <c r="M90" i="12" s="1"/>
  <c r="K104" i="12"/>
  <c r="K103" i="12"/>
  <c r="K106" i="12"/>
  <c r="K102" i="12"/>
  <c r="K105" i="12"/>
  <c r="K101" i="12"/>
  <c r="K100" i="12"/>
  <c r="E106" i="12"/>
  <c r="E104" i="12"/>
  <c r="E102" i="12"/>
  <c r="E105" i="12"/>
  <c r="E103" i="12"/>
  <c r="E101" i="12"/>
  <c r="E100" i="12"/>
  <c r="W90" i="12"/>
  <c r="F92" i="12" s="1"/>
  <c r="Z90" i="12"/>
  <c r="I91" i="12" s="1"/>
  <c r="G106" i="12"/>
  <c r="G104" i="12"/>
  <c r="G102" i="12"/>
  <c r="G105" i="12"/>
  <c r="G103" i="12"/>
  <c r="G101" i="12"/>
  <c r="G100" i="12"/>
  <c r="N106" i="12"/>
  <c r="N102" i="12"/>
  <c r="N105" i="12"/>
  <c r="N103" i="12"/>
  <c r="N104" i="12"/>
  <c r="N101" i="12"/>
  <c r="N100" i="12"/>
  <c r="AC90" i="12"/>
  <c r="L90" i="12" s="1"/>
  <c r="AE90" i="12"/>
  <c r="N92" i="12" s="1"/>
  <c r="F102" i="12"/>
  <c r="F105" i="12"/>
  <c r="F103" i="12"/>
  <c r="F106" i="12"/>
  <c r="F104" i="12"/>
  <c r="F101" i="12"/>
  <c r="F100" i="12"/>
  <c r="D106" i="12"/>
  <c r="D102" i="12"/>
  <c r="D103" i="12"/>
  <c r="D105" i="12"/>
  <c r="D104" i="12"/>
  <c r="D101" i="12"/>
  <c r="D100" i="12"/>
  <c r="X90" i="12"/>
  <c r="G91" i="12" s="1"/>
  <c r="AB90" i="12"/>
  <c r="K90" i="12" s="1"/>
  <c r="I104" i="12"/>
  <c r="I105" i="12"/>
  <c r="I103" i="12"/>
  <c r="I102" i="12"/>
  <c r="I106" i="12"/>
  <c r="I101" i="12"/>
  <c r="I100" i="12"/>
  <c r="H104" i="12"/>
  <c r="H102" i="12"/>
  <c r="H105" i="12"/>
  <c r="H103" i="12"/>
  <c r="H106" i="12"/>
  <c r="H101" i="12"/>
  <c r="H100" i="12"/>
  <c r="AF90" i="12"/>
  <c r="O92" i="12" s="1"/>
  <c r="AA90" i="12"/>
  <c r="J90" i="12" s="1"/>
  <c r="M106" i="12"/>
  <c r="M104" i="12"/>
  <c r="M103" i="12"/>
  <c r="M102" i="12"/>
  <c r="M105" i="12"/>
  <c r="M101" i="12"/>
  <c r="M100" i="12"/>
  <c r="J104" i="12"/>
  <c r="J106" i="12"/>
  <c r="J103" i="12"/>
  <c r="J102" i="12"/>
  <c r="J105" i="12"/>
  <c r="J101" i="12"/>
  <c r="J100" i="12"/>
  <c r="V90" i="12"/>
  <c r="E90" i="12" s="1"/>
  <c r="U90" i="12"/>
  <c r="D92" i="12" s="1"/>
  <c r="L106" i="12"/>
  <c r="L104" i="12"/>
  <c r="L103" i="12"/>
  <c r="L102" i="12"/>
  <c r="L105" i="12"/>
  <c r="L101" i="12"/>
  <c r="L100" i="12"/>
  <c r="O102" i="12"/>
  <c r="O103" i="12"/>
  <c r="O104" i="12"/>
  <c r="O105" i="12"/>
  <c r="O106" i="12"/>
  <c r="O101" i="12"/>
  <c r="O100" i="12"/>
  <c r="O26" i="14"/>
  <c r="O73" i="14"/>
  <c r="R26" i="14"/>
  <c r="R73" i="14"/>
  <c r="I26" i="14"/>
  <c r="I73" i="14"/>
  <c r="N26" i="14"/>
  <c r="N73" i="14"/>
  <c r="L91" i="12"/>
  <c r="T26" i="14"/>
  <c r="T73" i="14"/>
  <c r="M26" i="14"/>
  <c r="M73" i="14"/>
  <c r="S26" i="14"/>
  <c r="S73" i="14"/>
  <c r="K26" i="14"/>
  <c r="K73" i="14"/>
  <c r="L26" i="14"/>
  <c r="L73" i="14"/>
  <c r="P26" i="14"/>
  <c r="P73" i="14"/>
  <c r="Q26" i="14"/>
  <c r="Q73" i="14"/>
  <c r="J26" i="14"/>
  <c r="J73" i="14"/>
  <c r="I156" i="2"/>
  <c r="O45" i="2"/>
  <c r="O45" i="10"/>
  <c r="R45" i="2"/>
  <c r="R45" i="10"/>
  <c r="I45" i="2"/>
  <c r="I45" i="10"/>
  <c r="N45" i="2"/>
  <c r="N45" i="10"/>
  <c r="T45" i="10"/>
  <c r="T45" i="2"/>
  <c r="M45" i="10"/>
  <c r="M45" i="2"/>
  <c r="S45" i="10"/>
  <c r="S45" i="2"/>
  <c r="K45" i="2"/>
  <c r="K45" i="10"/>
  <c r="L45" i="2"/>
  <c r="L45" i="10"/>
  <c r="P45" i="2"/>
  <c r="P45" i="10"/>
  <c r="Q45" i="2"/>
  <c r="Q45" i="10"/>
  <c r="J45" i="10"/>
  <c r="J45" i="2"/>
  <c r="M156" i="2"/>
  <c r="R156" i="2"/>
  <c r="K156" i="2"/>
  <c r="N156" i="2"/>
  <c r="Q156" i="2"/>
  <c r="S156" i="2"/>
  <c r="L156" i="2"/>
  <c r="P156" i="2"/>
  <c r="T156" i="2"/>
  <c r="O156" i="2"/>
  <c r="J156" i="2"/>
  <c r="H81" i="4"/>
  <c r="H92" i="4" s="1"/>
  <c r="K81" i="4"/>
  <c r="K92" i="4" s="1"/>
  <c r="L156" i="10"/>
  <c r="S156" i="10"/>
  <c r="Q17" i="2"/>
  <c r="O3" i="4"/>
  <c r="O4" i="4" s="1"/>
  <c r="T17" i="2"/>
  <c r="R3" i="4"/>
  <c r="R4" i="4" s="1"/>
  <c r="N81" i="4"/>
  <c r="N92" i="4" s="1"/>
  <c r="P81" i="4"/>
  <c r="P92" i="4" s="1"/>
  <c r="K156" i="10"/>
  <c r="I156" i="10"/>
  <c r="R17" i="2"/>
  <c r="P3" i="4"/>
  <c r="P4" i="4" s="1"/>
  <c r="M17" i="2"/>
  <c r="K3" i="4"/>
  <c r="K4" i="4" s="1"/>
  <c r="I81" i="4"/>
  <c r="I92" i="4" s="1"/>
  <c r="M81" i="4"/>
  <c r="M92" i="4" s="1"/>
  <c r="A36" i="8"/>
  <c r="R136" i="2"/>
  <c r="K136" i="2"/>
  <c r="O136" i="2"/>
  <c r="N136" i="2"/>
  <c r="L136" i="2"/>
  <c r="S136" i="2"/>
  <c r="I136" i="2"/>
  <c r="M136" i="2"/>
  <c r="T136" i="2"/>
  <c r="Q136" i="2"/>
  <c r="J136" i="2"/>
  <c r="P136" i="2"/>
  <c r="N156" i="10"/>
  <c r="M156" i="10"/>
  <c r="K17" i="2"/>
  <c r="I3" i="4"/>
  <c r="I4" i="4" s="1"/>
  <c r="J17" i="2"/>
  <c r="H3" i="4"/>
  <c r="H4" i="4" s="1"/>
  <c r="Q81" i="4"/>
  <c r="Q92" i="4" s="1"/>
  <c r="L81" i="4"/>
  <c r="L92" i="4" s="1"/>
  <c r="M136" i="10"/>
  <c r="Y94" i="12" s="1"/>
  <c r="T136" i="10"/>
  <c r="AF94" i="12" s="1"/>
  <c r="S136" i="10"/>
  <c r="AE94" i="12" s="1"/>
  <c r="J136" i="10"/>
  <c r="V94" i="12" s="1"/>
  <c r="P136" i="10"/>
  <c r="AB94" i="12" s="1"/>
  <c r="R136" i="10"/>
  <c r="AD94" i="12" s="1"/>
  <c r="L136" i="10"/>
  <c r="X94" i="12" s="1"/>
  <c r="Q136" i="10"/>
  <c r="AC94" i="12" s="1"/>
  <c r="O136" i="10"/>
  <c r="AA94" i="12" s="1"/>
  <c r="N136" i="10"/>
  <c r="Z94" i="12" s="1"/>
  <c r="I136" i="10"/>
  <c r="U94" i="12" s="1"/>
  <c r="K136" i="10"/>
  <c r="W94" i="12" s="1"/>
  <c r="R156" i="10"/>
  <c r="O156" i="10"/>
  <c r="P17" i="2"/>
  <c r="N3" i="4"/>
  <c r="N4" i="4" s="1"/>
  <c r="L17" i="2"/>
  <c r="J3" i="4"/>
  <c r="J4" i="4" s="1"/>
  <c r="G81" i="4"/>
  <c r="G92" i="4" s="1"/>
  <c r="F81" i="4"/>
  <c r="F92" i="4" s="1"/>
  <c r="BZ1" i="1"/>
  <c r="A137" i="10"/>
  <c r="A126" i="10"/>
  <c r="A126" i="2"/>
  <c r="A137" i="2"/>
  <c r="A82" i="7"/>
  <c r="A93" i="7"/>
  <c r="A82" i="5"/>
  <c r="A93" i="5"/>
  <c r="Q156" i="10"/>
  <c r="T156" i="10"/>
  <c r="I17" i="2"/>
  <c r="G3" i="4"/>
  <c r="G4" i="4" s="1"/>
  <c r="O17" i="2"/>
  <c r="M3" i="4"/>
  <c r="M4" i="4" s="1"/>
  <c r="J81" i="4"/>
  <c r="J92" i="4" s="1"/>
  <c r="O81" i="4"/>
  <c r="O92" i="4" s="1"/>
  <c r="P156" i="10"/>
  <c r="J156" i="10"/>
  <c r="N17" i="2"/>
  <c r="L3" i="4"/>
  <c r="L4" i="4" s="1"/>
  <c r="S17" i="2"/>
  <c r="Q3" i="4"/>
  <c r="Q4" i="4" s="1"/>
  <c r="M52" i="5"/>
  <c r="K52" i="5"/>
  <c r="P52" i="5"/>
  <c r="T52" i="5"/>
  <c r="O52" i="5"/>
  <c r="I52" i="5"/>
  <c r="S52" i="5"/>
  <c r="J52" i="5"/>
  <c r="N52" i="5"/>
  <c r="Q52" i="5"/>
  <c r="L52" i="5"/>
  <c r="R52" i="5"/>
  <c r="O52" i="7"/>
  <c r="P52" i="7"/>
  <c r="Q52" i="7"/>
  <c r="L52" i="7"/>
  <c r="I52" i="7"/>
  <c r="R52" i="7"/>
  <c r="S52" i="7"/>
  <c r="T52" i="7"/>
  <c r="J52" i="7"/>
  <c r="M52" i="7"/>
  <c r="N52" i="7"/>
  <c r="K52" i="7"/>
  <c r="E92" i="12" l="1"/>
  <c r="F90" i="12"/>
  <c r="H90" i="12"/>
  <c r="O90" i="12"/>
  <c r="G90" i="12"/>
  <c r="O91" i="12"/>
  <c r="G92" i="12"/>
  <c r="L92" i="12"/>
  <c r="F91" i="12"/>
  <c r="H92" i="12"/>
  <c r="M91" i="12"/>
  <c r="N90" i="12"/>
  <c r="I92" i="12"/>
  <c r="K91" i="12"/>
  <c r="I90" i="12"/>
  <c r="M92" i="12"/>
  <c r="J91" i="12"/>
  <c r="N91" i="12"/>
  <c r="J92" i="12"/>
  <c r="D90" i="12"/>
  <c r="E91" i="12"/>
  <c r="AF93" i="12"/>
  <c r="O93" i="12" s="1"/>
  <c r="Y93" i="12"/>
  <c r="H93" i="12" s="1"/>
  <c r="H94" i="12" s="1"/>
  <c r="W93" i="12"/>
  <c r="F93" i="12" s="1"/>
  <c r="AA93" i="12"/>
  <c r="J93" i="12" s="1"/>
  <c r="J94" i="12" s="1"/>
  <c r="U93" i="12"/>
  <c r="D93" i="12" s="1"/>
  <c r="AD93" i="12"/>
  <c r="M93" i="12" s="1"/>
  <c r="M95" i="12" s="1"/>
  <c r="AB93" i="12"/>
  <c r="K93" i="12" s="1"/>
  <c r="K94" i="12" s="1"/>
  <c r="AE93" i="12"/>
  <c r="N93" i="12" s="1"/>
  <c r="V93" i="12"/>
  <c r="E93" i="12" s="1"/>
  <c r="E94" i="12" s="1"/>
  <c r="X93" i="12"/>
  <c r="G93" i="12" s="1"/>
  <c r="G94" i="12" s="1"/>
  <c r="D91" i="12"/>
  <c r="K92" i="12"/>
  <c r="AC93" i="12"/>
  <c r="L93" i="12" s="1"/>
  <c r="L95" i="12" s="1"/>
  <c r="Z93" i="12"/>
  <c r="I93" i="12" s="1"/>
  <c r="I94" i="12" s="1"/>
  <c r="R36" i="8"/>
  <c r="O90" i="4" s="1"/>
  <c r="J36" i="8"/>
  <c r="G90" i="4" s="1"/>
  <c r="S36" i="8"/>
  <c r="P90" i="4" s="1"/>
  <c r="L36" i="8"/>
  <c r="I90" i="4" s="1"/>
  <c r="O36" i="8"/>
  <c r="L90" i="4" s="1"/>
  <c r="M36" i="8"/>
  <c r="J90" i="4" s="1"/>
  <c r="K36" i="8"/>
  <c r="H90" i="4" s="1"/>
  <c r="I36" i="8"/>
  <c r="F90" i="4" s="1"/>
  <c r="Q36" i="8"/>
  <c r="N90" i="4" s="1"/>
  <c r="T36" i="8"/>
  <c r="Q90" i="4" s="1"/>
  <c r="N36" i="8"/>
  <c r="K90" i="4" s="1"/>
  <c r="P36" i="8"/>
  <c r="M90" i="4" s="1"/>
  <c r="J73" i="2"/>
  <c r="J26" i="2"/>
  <c r="P26" i="10"/>
  <c r="P73" i="10"/>
  <c r="K26" i="10"/>
  <c r="K73" i="10"/>
  <c r="M26" i="2"/>
  <c r="M73" i="2"/>
  <c r="N26" i="10"/>
  <c r="N73" i="10"/>
  <c r="R26" i="10"/>
  <c r="R73" i="10"/>
  <c r="J26" i="10"/>
  <c r="J73" i="10"/>
  <c r="P73" i="2"/>
  <c r="P26" i="2"/>
  <c r="K73" i="2"/>
  <c r="K26" i="2"/>
  <c r="M26" i="10"/>
  <c r="M73" i="10"/>
  <c r="N73" i="2"/>
  <c r="N26" i="2"/>
  <c r="R73" i="2"/>
  <c r="R26" i="2"/>
  <c r="Q26" i="10"/>
  <c r="Q73" i="10"/>
  <c r="L26" i="10"/>
  <c r="L73" i="10"/>
  <c r="S73" i="2"/>
  <c r="S26" i="2"/>
  <c r="T26" i="2"/>
  <c r="T73" i="2"/>
  <c r="I26" i="10"/>
  <c r="I73" i="10"/>
  <c r="O26" i="10"/>
  <c r="O73" i="10"/>
  <c r="Q73" i="2"/>
  <c r="Q26" i="2"/>
  <c r="L73" i="2"/>
  <c r="L26" i="2"/>
  <c r="S26" i="10"/>
  <c r="S73" i="10"/>
  <c r="T26" i="10"/>
  <c r="T73" i="10"/>
  <c r="I73" i="2"/>
  <c r="I26" i="2"/>
  <c r="O73" i="2"/>
  <c r="O26" i="2"/>
  <c r="CA1" i="1"/>
  <c r="CB1" i="1" s="1"/>
  <c r="A149" i="10"/>
  <c r="A149" i="2"/>
  <c r="A105" i="7"/>
  <c r="A105" i="5"/>
  <c r="K146" i="10"/>
  <c r="R146" i="10"/>
  <c r="F83" i="4"/>
  <c r="I146" i="2"/>
  <c r="O83" i="4"/>
  <c r="R146" i="2"/>
  <c r="I146" i="10"/>
  <c r="P146" i="10"/>
  <c r="P146" i="2"/>
  <c r="M83" i="4"/>
  <c r="P83" i="4"/>
  <c r="S146" i="2"/>
  <c r="R137" i="2"/>
  <c r="P137" i="2"/>
  <c r="A37" i="8"/>
  <c r="Q137" i="2"/>
  <c r="J137" i="2"/>
  <c r="T137" i="2"/>
  <c r="I137" i="2"/>
  <c r="M137" i="2"/>
  <c r="N137" i="2"/>
  <c r="L137" i="2"/>
  <c r="K137" i="2"/>
  <c r="O137" i="2"/>
  <c r="S137" i="2"/>
  <c r="N146" i="10"/>
  <c r="J146" i="10"/>
  <c r="G83" i="4"/>
  <c r="J146" i="2"/>
  <c r="I83" i="4"/>
  <c r="L146" i="2"/>
  <c r="L126" i="2"/>
  <c r="R126" i="2"/>
  <c r="O126" i="2"/>
  <c r="Q126" i="2"/>
  <c r="N126" i="2"/>
  <c r="T126" i="2"/>
  <c r="S126" i="2"/>
  <c r="I126" i="2"/>
  <c r="P126" i="2"/>
  <c r="M126" i="2"/>
  <c r="J126" i="2"/>
  <c r="K126" i="2"/>
  <c r="O146" i="10"/>
  <c r="S146" i="10"/>
  <c r="N83" i="4"/>
  <c r="Q146" i="2"/>
  <c r="K83" i="4"/>
  <c r="N146" i="2"/>
  <c r="P126" i="10"/>
  <c r="I126" i="10"/>
  <c r="N126" i="10"/>
  <c r="K126" i="10"/>
  <c r="M126" i="10"/>
  <c r="T126" i="10"/>
  <c r="R126" i="10"/>
  <c r="O126" i="10"/>
  <c r="S126" i="10"/>
  <c r="J126" i="10"/>
  <c r="L126" i="10"/>
  <c r="Q126" i="10"/>
  <c r="Q146" i="10"/>
  <c r="T146" i="10"/>
  <c r="T146" i="2"/>
  <c r="Q83" i="4"/>
  <c r="L83" i="4"/>
  <c r="O146" i="2"/>
  <c r="R137" i="10"/>
  <c r="AD97" i="12" s="1"/>
  <c r="S137" i="10"/>
  <c r="AE97" i="12" s="1"/>
  <c r="P137" i="10"/>
  <c r="AB97" i="12" s="1"/>
  <c r="N137" i="10"/>
  <c r="I137" i="10"/>
  <c r="O137" i="10"/>
  <c r="AA97" i="12" s="1"/>
  <c r="Q137" i="10"/>
  <c r="AC97" i="12" s="1"/>
  <c r="M137" i="10"/>
  <c r="L137" i="10"/>
  <c r="K137" i="10"/>
  <c r="J137" i="10"/>
  <c r="T137" i="10"/>
  <c r="AF97" i="12" s="1"/>
  <c r="L146" i="10"/>
  <c r="M146" i="10"/>
  <c r="J83" i="4"/>
  <c r="M146" i="2"/>
  <c r="K146" i="2"/>
  <c r="H83" i="4"/>
  <c r="T113" i="7"/>
  <c r="T114" i="7"/>
  <c r="T111" i="7"/>
  <c r="T117" i="7"/>
  <c r="T116" i="7"/>
  <c r="P117" i="7"/>
  <c r="P114" i="7"/>
  <c r="P113" i="7"/>
  <c r="P111" i="7"/>
  <c r="P116" i="7"/>
  <c r="J114" i="5"/>
  <c r="J113" i="5"/>
  <c r="J111" i="5"/>
  <c r="J116" i="5"/>
  <c r="J117" i="5"/>
  <c r="K114" i="5"/>
  <c r="K113" i="5"/>
  <c r="K111" i="5"/>
  <c r="K117" i="5"/>
  <c r="K116" i="5"/>
  <c r="S114" i="7"/>
  <c r="S113" i="7"/>
  <c r="S111" i="7"/>
  <c r="S117" i="7"/>
  <c r="S116" i="7"/>
  <c r="O113" i="7"/>
  <c r="O114" i="7"/>
  <c r="O111" i="7"/>
  <c r="O116" i="7"/>
  <c r="O117" i="7"/>
  <c r="S114" i="5"/>
  <c r="S113" i="5"/>
  <c r="S111" i="5"/>
  <c r="S116" i="5"/>
  <c r="S117" i="5"/>
  <c r="M114" i="5"/>
  <c r="M113" i="5"/>
  <c r="M111" i="5"/>
  <c r="M116" i="5"/>
  <c r="M117" i="5"/>
  <c r="K117" i="7"/>
  <c r="K114" i="7"/>
  <c r="K113" i="7"/>
  <c r="K111" i="7"/>
  <c r="K116" i="7"/>
  <c r="R113" i="7"/>
  <c r="R114" i="7"/>
  <c r="R111" i="7"/>
  <c r="R116" i="7"/>
  <c r="R117" i="7"/>
  <c r="R113" i="5"/>
  <c r="R114" i="5"/>
  <c r="R111" i="5"/>
  <c r="R117" i="5"/>
  <c r="R116" i="5"/>
  <c r="I113" i="5"/>
  <c r="I114" i="5"/>
  <c r="I111" i="5"/>
  <c r="I117" i="5"/>
  <c r="I116" i="5"/>
  <c r="N114" i="7"/>
  <c r="N113" i="7"/>
  <c r="N111" i="7"/>
  <c r="N117" i="7"/>
  <c r="N116" i="7"/>
  <c r="I113" i="7"/>
  <c r="I114" i="7"/>
  <c r="I111" i="7"/>
  <c r="I116" i="7"/>
  <c r="I117" i="7"/>
  <c r="L113" i="5"/>
  <c r="L114" i="5"/>
  <c r="L111" i="5"/>
  <c r="L116" i="5"/>
  <c r="L117" i="5"/>
  <c r="O113" i="5"/>
  <c r="O114" i="5"/>
  <c r="O111" i="5"/>
  <c r="O116" i="5"/>
  <c r="O117" i="5"/>
  <c r="P58" i="5"/>
  <c r="N58" i="5"/>
  <c r="M58" i="5"/>
  <c r="O58" i="5"/>
  <c r="R58" i="5"/>
  <c r="L58" i="5"/>
  <c r="Q58" i="5"/>
  <c r="I58" i="5"/>
  <c r="K58" i="5"/>
  <c r="J58" i="5"/>
  <c r="S58" i="5"/>
  <c r="T58" i="5"/>
  <c r="T111" i="5"/>
  <c r="T113" i="5"/>
  <c r="T114" i="5"/>
  <c r="T116" i="5"/>
  <c r="T117" i="5"/>
  <c r="S58" i="7"/>
  <c r="M58" i="7"/>
  <c r="L58" i="7"/>
  <c r="T58" i="7"/>
  <c r="K58" i="7"/>
  <c r="R58" i="7"/>
  <c r="J58" i="7"/>
  <c r="I58" i="7"/>
  <c r="P58" i="7"/>
  <c r="Q58" i="7"/>
  <c r="O58" i="7"/>
  <c r="N58" i="7"/>
  <c r="M114" i="7"/>
  <c r="M113" i="7"/>
  <c r="M111" i="7"/>
  <c r="M116" i="7"/>
  <c r="M117" i="7"/>
  <c r="L111" i="7"/>
  <c r="L114" i="7"/>
  <c r="L113" i="7"/>
  <c r="L116" i="7"/>
  <c r="L117" i="7"/>
  <c r="Q114" i="5"/>
  <c r="Q113" i="5"/>
  <c r="Q111" i="5"/>
  <c r="Q117" i="5"/>
  <c r="Q116" i="5"/>
  <c r="J114" i="7"/>
  <c r="J113" i="7"/>
  <c r="J111" i="7"/>
  <c r="J117" i="7"/>
  <c r="J116" i="7"/>
  <c r="Q117" i="7"/>
  <c r="Q113" i="7"/>
  <c r="Q114" i="7"/>
  <c r="Q111" i="7"/>
  <c r="Q116" i="7"/>
  <c r="N114" i="5"/>
  <c r="N113" i="5"/>
  <c r="N111" i="5"/>
  <c r="N117" i="5"/>
  <c r="N116" i="5"/>
  <c r="P116" i="5"/>
  <c r="P113" i="5"/>
  <c r="P114" i="5"/>
  <c r="P111" i="5"/>
  <c r="P117" i="5"/>
  <c r="O95" i="12" l="1"/>
  <c r="F95" i="12"/>
  <c r="O94" i="12"/>
  <c r="N95" i="12"/>
  <c r="D95" i="12"/>
  <c r="J95" i="12"/>
  <c r="I95" i="12"/>
  <c r="L94" i="12"/>
  <c r="N94" i="12"/>
  <c r="M94" i="12"/>
  <c r="E95" i="12"/>
  <c r="H95" i="12"/>
  <c r="D94" i="12"/>
  <c r="G95" i="12"/>
  <c r="K95" i="12"/>
  <c r="F94" i="12"/>
  <c r="AE96" i="12"/>
  <c r="N96" i="12" s="1"/>
  <c r="AE73" i="12"/>
  <c r="N73" i="12" s="1"/>
  <c r="N74" i="12" s="1"/>
  <c r="U73" i="12"/>
  <c r="D73" i="12" s="1"/>
  <c r="D74" i="12" s="1"/>
  <c r="U96" i="12"/>
  <c r="D96" i="12" s="1"/>
  <c r="AD96" i="12"/>
  <c r="M96" i="12" s="1"/>
  <c r="AD73" i="12"/>
  <c r="M73" i="12" s="1"/>
  <c r="M74" i="12" s="1"/>
  <c r="J139" i="10"/>
  <c r="V97" i="12"/>
  <c r="I139" i="10"/>
  <c r="U97" i="12"/>
  <c r="AA96" i="12"/>
  <c r="J96" i="12" s="1"/>
  <c r="AA73" i="12"/>
  <c r="J73" i="12" s="1"/>
  <c r="J74" i="12" s="1"/>
  <c r="AF96" i="12"/>
  <c r="O96" i="12" s="1"/>
  <c r="AF73" i="12"/>
  <c r="O73" i="12" s="1"/>
  <c r="O74" i="12" s="1"/>
  <c r="K139" i="10"/>
  <c r="W97" i="12"/>
  <c r="N139" i="10"/>
  <c r="Z97" i="12"/>
  <c r="W73" i="12"/>
  <c r="F73" i="12" s="1"/>
  <c r="F74" i="12" s="1"/>
  <c r="W96" i="12"/>
  <c r="F96" i="12" s="1"/>
  <c r="V96" i="12"/>
  <c r="E96" i="12" s="1"/>
  <c r="V73" i="12"/>
  <c r="E73" i="12" s="1"/>
  <c r="E74" i="12" s="1"/>
  <c r="L139" i="10"/>
  <c r="X97" i="12"/>
  <c r="X96" i="12"/>
  <c r="G96" i="12" s="1"/>
  <c r="X73" i="12"/>
  <c r="G73" i="12" s="1"/>
  <c r="G74" i="12" s="1"/>
  <c r="AC73" i="12"/>
  <c r="L73" i="12" s="1"/>
  <c r="L74" i="12" s="1"/>
  <c r="AC96" i="12"/>
  <c r="L96" i="12" s="1"/>
  <c r="M139" i="10"/>
  <c r="Y97" i="12"/>
  <c r="Z96" i="12"/>
  <c r="I96" i="12" s="1"/>
  <c r="Z73" i="12"/>
  <c r="I73" i="12" s="1"/>
  <c r="I74" i="12" s="1"/>
  <c r="Y96" i="12"/>
  <c r="H96" i="12" s="1"/>
  <c r="Y73" i="12"/>
  <c r="H73" i="12" s="1"/>
  <c r="H74" i="12" s="1"/>
  <c r="AB73" i="12"/>
  <c r="K73" i="12" s="1"/>
  <c r="K74" i="12" s="1"/>
  <c r="AB96" i="12"/>
  <c r="K96" i="12" s="1"/>
  <c r="R37" i="8"/>
  <c r="O91" i="4" s="1"/>
  <c r="I37" i="8"/>
  <c r="F91" i="4" s="1"/>
  <c r="K37" i="8"/>
  <c r="H91" i="4" s="1"/>
  <c r="T37" i="8"/>
  <c r="Q91" i="4" s="1"/>
  <c r="P37" i="8"/>
  <c r="M91" i="4" s="1"/>
  <c r="L37" i="8"/>
  <c r="I91" i="4" s="1"/>
  <c r="Q37" i="8"/>
  <c r="N91" i="4" s="1"/>
  <c r="M37" i="8"/>
  <c r="J91" i="4" s="1"/>
  <c r="J37" i="8"/>
  <c r="G91" i="4" s="1"/>
  <c r="N37" i="8"/>
  <c r="K91" i="4" s="1"/>
  <c r="S37" i="8"/>
  <c r="P91" i="4" s="1"/>
  <c r="O37" i="8"/>
  <c r="L91" i="4" s="1"/>
  <c r="R159" i="2"/>
  <c r="O159" i="2"/>
  <c r="T159" i="2"/>
  <c r="S159" i="2"/>
  <c r="K159" i="2"/>
  <c r="J159" i="2"/>
  <c r="L159" i="2"/>
  <c r="Q159" i="2"/>
  <c r="N159" i="2"/>
  <c r="M159" i="2"/>
  <c r="P159" i="2"/>
  <c r="N72" i="4"/>
  <c r="N73" i="4" s="1"/>
  <c r="M72" i="4"/>
  <c r="M73" i="4" s="1"/>
  <c r="G72" i="4"/>
  <c r="G73" i="4" s="1"/>
  <c r="P72" i="4"/>
  <c r="P73" i="4" s="1"/>
  <c r="N139" i="2"/>
  <c r="Q72" i="4"/>
  <c r="Q73" i="4" s="1"/>
  <c r="J72" i="4"/>
  <c r="J73" i="4" s="1"/>
  <c r="P139" i="2"/>
  <c r="I72" i="4"/>
  <c r="I73" i="4" s="1"/>
  <c r="R72" i="4"/>
  <c r="R73" i="4" s="1"/>
  <c r="H72" i="4"/>
  <c r="H73" i="4" s="1"/>
  <c r="L72" i="4"/>
  <c r="L73" i="4" s="1"/>
  <c r="O139" i="2"/>
  <c r="T139" i="2"/>
  <c r="K72" i="4"/>
  <c r="K73" i="4" s="1"/>
  <c r="O72" i="4"/>
  <c r="O73" i="4" s="1"/>
  <c r="J85" i="4"/>
  <c r="J84" i="4"/>
  <c r="R159" i="10"/>
  <c r="R138" i="10"/>
  <c r="Q139" i="2"/>
  <c r="N86" i="4"/>
  <c r="Q138" i="2"/>
  <c r="T139" i="10"/>
  <c r="T159" i="10"/>
  <c r="T138" i="10"/>
  <c r="O138" i="10"/>
  <c r="O159" i="10"/>
  <c r="K86" i="4"/>
  <c r="N138" i="2"/>
  <c r="M85" i="4"/>
  <c r="M84" i="4"/>
  <c r="Q159" i="10"/>
  <c r="Q138" i="10"/>
  <c r="I85" i="4"/>
  <c r="I84" i="4"/>
  <c r="L139" i="2"/>
  <c r="I86" i="4"/>
  <c r="L138" i="2"/>
  <c r="F84" i="4"/>
  <c r="F85" i="4"/>
  <c r="J159" i="10"/>
  <c r="J138" i="10"/>
  <c r="I159" i="10"/>
  <c r="I138" i="10"/>
  <c r="K85" i="4"/>
  <c r="K84" i="4"/>
  <c r="O139" i="10"/>
  <c r="G84" i="4"/>
  <c r="G85" i="4"/>
  <c r="M139" i="2"/>
  <c r="M138" i="2"/>
  <c r="J86" i="4"/>
  <c r="P138" i="2"/>
  <c r="M86" i="4"/>
  <c r="H85" i="4"/>
  <c r="H84" i="4"/>
  <c r="K138" i="10"/>
  <c r="K159" i="10"/>
  <c r="N159" i="10"/>
  <c r="N138" i="10"/>
  <c r="L85" i="4"/>
  <c r="L84" i="4"/>
  <c r="S139" i="2"/>
  <c r="S138" i="2"/>
  <c r="P86" i="4"/>
  <c r="I139" i="2"/>
  <c r="F86" i="4"/>
  <c r="I159" i="2"/>
  <c r="I138" i="2"/>
  <c r="R139" i="2"/>
  <c r="R138" i="2"/>
  <c r="O86" i="4"/>
  <c r="R139" i="10"/>
  <c r="O149" i="2"/>
  <c r="O150" i="2" s="1"/>
  <c r="P149" i="2"/>
  <c r="P150" i="2" s="1"/>
  <c r="R149" i="2"/>
  <c r="R150" i="2" s="1"/>
  <c r="K149" i="2"/>
  <c r="K150" i="2" s="1"/>
  <c r="J149" i="2"/>
  <c r="J150" i="2" s="1"/>
  <c r="N149" i="2"/>
  <c r="N150" i="2" s="1"/>
  <c r="L149" i="2"/>
  <c r="L150" i="2" s="1"/>
  <c r="M149" i="2"/>
  <c r="M150" i="2" s="1"/>
  <c r="I149" i="2"/>
  <c r="I150" i="2" s="1"/>
  <c r="T149" i="2"/>
  <c r="T150" i="2" s="1"/>
  <c r="Q149" i="2"/>
  <c r="Q150" i="2" s="1"/>
  <c r="S149" i="2"/>
  <c r="S150" i="2" s="1"/>
  <c r="L159" i="10"/>
  <c r="L138" i="10"/>
  <c r="P138" i="10"/>
  <c r="P159" i="10"/>
  <c r="Q139" i="10"/>
  <c r="N85" i="4"/>
  <c r="N84" i="4"/>
  <c r="L86" i="4"/>
  <c r="O138" i="2"/>
  <c r="T138" i="2"/>
  <c r="Q86" i="4"/>
  <c r="O85" i="4"/>
  <c r="O84" i="4"/>
  <c r="T149" i="10"/>
  <c r="T150" i="10" s="1"/>
  <c r="O149" i="10"/>
  <c r="O150" i="10" s="1"/>
  <c r="I149" i="10"/>
  <c r="I150" i="10" s="1"/>
  <c r="M149" i="10"/>
  <c r="M150" i="10" s="1"/>
  <c r="L149" i="10"/>
  <c r="L150" i="10" s="1"/>
  <c r="R149" i="10"/>
  <c r="R150" i="10" s="1"/>
  <c r="K149" i="10"/>
  <c r="K150" i="10" s="1"/>
  <c r="P149" i="10"/>
  <c r="P150" i="10" s="1"/>
  <c r="N149" i="10"/>
  <c r="N150" i="10" s="1"/>
  <c r="Q149" i="10"/>
  <c r="Q150" i="10" s="1"/>
  <c r="J149" i="10"/>
  <c r="J150" i="10" s="1"/>
  <c r="S149" i="10"/>
  <c r="S150" i="10" s="1"/>
  <c r="M159" i="10"/>
  <c r="M138" i="10"/>
  <c r="S159" i="10"/>
  <c r="S138" i="10"/>
  <c r="Q85" i="4"/>
  <c r="Q84" i="4"/>
  <c r="S139" i="10"/>
  <c r="K139" i="2"/>
  <c r="H86" i="4"/>
  <c r="K138" i="2"/>
  <c r="J139" i="2"/>
  <c r="J138" i="2"/>
  <c r="G86" i="4"/>
  <c r="P85" i="4"/>
  <c r="P84" i="4"/>
  <c r="P139" i="10"/>
  <c r="CC1" i="1"/>
  <c r="CD1" i="1" s="1"/>
  <c r="CE1" i="1" s="1"/>
  <c r="A147" i="10"/>
  <c r="A103" i="5"/>
  <c r="A147" i="2"/>
  <c r="A103" i="7"/>
  <c r="S59" i="5"/>
  <c r="O59" i="5"/>
  <c r="Q59" i="5"/>
  <c r="K59" i="5"/>
  <c r="I59" i="5"/>
  <c r="P59" i="5"/>
  <c r="J59" i="5"/>
  <c r="N59" i="5"/>
  <c r="R59" i="5"/>
  <c r="T59" i="5"/>
  <c r="M59" i="5"/>
  <c r="L59" i="5"/>
  <c r="I59" i="7"/>
  <c r="J59" i="7"/>
  <c r="O59" i="7"/>
  <c r="T59" i="7"/>
  <c r="N59" i="7"/>
  <c r="Q59" i="7"/>
  <c r="K59" i="7"/>
  <c r="M59" i="7"/>
  <c r="S59" i="7"/>
  <c r="R59" i="7"/>
  <c r="L59" i="7"/>
  <c r="P59" i="7"/>
  <c r="G87" i="4" l="1"/>
  <c r="K97" i="12"/>
  <c r="K98" i="12"/>
  <c r="J97" i="12"/>
  <c r="J98" i="12"/>
  <c r="M97" i="12"/>
  <c r="M98" i="12"/>
  <c r="L97" i="12"/>
  <c r="L98" i="12"/>
  <c r="D97" i="12"/>
  <c r="D98" i="12"/>
  <c r="H97" i="12"/>
  <c r="H98" i="12"/>
  <c r="E97" i="12"/>
  <c r="E98" i="12"/>
  <c r="F97" i="12"/>
  <c r="F98" i="12"/>
  <c r="I97" i="12"/>
  <c r="I98" i="12"/>
  <c r="G97" i="12"/>
  <c r="G98" i="12"/>
  <c r="O97" i="12"/>
  <c r="O98" i="12"/>
  <c r="N97" i="12"/>
  <c r="N98" i="12"/>
  <c r="Q87" i="4"/>
  <c r="H87" i="4"/>
  <c r="P87" i="4"/>
  <c r="K87" i="4"/>
  <c r="J87" i="4"/>
  <c r="F87" i="4"/>
  <c r="O87" i="4"/>
  <c r="M87" i="4"/>
  <c r="N87" i="4"/>
  <c r="L87" i="4"/>
  <c r="I87" i="4"/>
  <c r="P147" i="2"/>
  <c r="P134" i="2" s="1"/>
  <c r="O147" i="2"/>
  <c r="O134" i="2" s="1"/>
  <c r="T147" i="2"/>
  <c r="T134" i="2" s="1"/>
  <c r="N147" i="2"/>
  <c r="N134" i="2" s="1"/>
  <c r="R147" i="2"/>
  <c r="R134" i="2" s="1"/>
  <c r="J147" i="2"/>
  <c r="J134" i="2" s="1"/>
  <c r="L147" i="2"/>
  <c r="L134" i="2" s="1"/>
  <c r="S147" i="2"/>
  <c r="S134" i="2" s="1"/>
  <c r="M147" i="2"/>
  <c r="M134" i="2" s="1"/>
  <c r="Q147" i="2"/>
  <c r="Q134" i="2" s="1"/>
  <c r="I147" i="2"/>
  <c r="I134" i="2" s="1"/>
  <c r="K147" i="2"/>
  <c r="K134" i="2" s="1"/>
  <c r="F88" i="4"/>
  <c r="O147" i="10"/>
  <c r="O134" i="10" s="1"/>
  <c r="O135" i="10" s="1"/>
  <c r="L147" i="10"/>
  <c r="L134" i="10" s="1"/>
  <c r="L135" i="10" s="1"/>
  <c r="K147" i="10"/>
  <c r="K134" i="10" s="1"/>
  <c r="K135" i="10" s="1"/>
  <c r="Q147" i="10"/>
  <c r="Q134" i="10" s="1"/>
  <c r="Q135" i="10" s="1"/>
  <c r="J147" i="10"/>
  <c r="J134" i="10" s="1"/>
  <c r="J135" i="10" s="1"/>
  <c r="T147" i="10"/>
  <c r="T134" i="10" s="1"/>
  <c r="T135" i="10" s="1"/>
  <c r="M147" i="10"/>
  <c r="M134" i="10" s="1"/>
  <c r="M135" i="10" s="1"/>
  <c r="I147" i="10"/>
  <c r="I134" i="10" s="1"/>
  <c r="I135" i="10" s="1"/>
  <c r="S147" i="10"/>
  <c r="S134" i="10" s="1"/>
  <c r="S135" i="10" s="1"/>
  <c r="R147" i="10"/>
  <c r="R134" i="10" s="1"/>
  <c r="R135" i="10" s="1"/>
  <c r="N147" i="10"/>
  <c r="N134" i="10" s="1"/>
  <c r="N135" i="10" s="1"/>
  <c r="P147" i="10"/>
  <c r="P134" i="10" s="1"/>
  <c r="P135" i="10" s="1"/>
  <c r="CF1" i="1"/>
  <c r="A140" i="10"/>
  <c r="A96" i="7"/>
  <c r="A96" i="5"/>
  <c r="A140" i="2"/>
  <c r="T60" i="5"/>
  <c r="K60" i="5"/>
  <c r="M60" i="5"/>
  <c r="P60" i="5"/>
  <c r="R60" i="5"/>
  <c r="O60" i="5"/>
  <c r="N60" i="5"/>
  <c r="I60" i="5"/>
  <c r="L60" i="5"/>
  <c r="Q60" i="5"/>
  <c r="J60" i="5"/>
  <c r="S60" i="5"/>
  <c r="M60" i="7"/>
  <c r="S60" i="7"/>
  <c r="N60" i="7"/>
  <c r="K60" i="7"/>
  <c r="P60" i="7"/>
  <c r="R60" i="7"/>
  <c r="O60" i="7"/>
  <c r="L60" i="7"/>
  <c r="Q60" i="7"/>
  <c r="J60" i="7"/>
  <c r="I60" i="7"/>
  <c r="T60" i="7"/>
  <c r="S135" i="2" l="1"/>
  <c r="P82" i="4" s="1"/>
  <c r="O135" i="2"/>
  <c r="L82" i="4" s="1"/>
  <c r="L135" i="2"/>
  <c r="I82" i="4" s="1"/>
  <c r="P135" i="2"/>
  <c r="M82" i="4" s="1"/>
  <c r="K135" i="2"/>
  <c r="H82" i="4" s="1"/>
  <c r="J135" i="2"/>
  <c r="G82" i="4" s="1"/>
  <c r="I135" i="2"/>
  <c r="F82" i="4" s="1"/>
  <c r="R135" i="2"/>
  <c r="O82" i="4" s="1"/>
  <c r="Q135" i="2"/>
  <c r="N82" i="4" s="1"/>
  <c r="N135" i="2"/>
  <c r="K82" i="4" s="1"/>
  <c r="M135" i="2"/>
  <c r="J82" i="4" s="1"/>
  <c r="T135" i="2"/>
  <c r="Q82" i="4" s="1"/>
  <c r="S140" i="2"/>
  <c r="J140" i="2"/>
  <c r="P140" i="2"/>
  <c r="I140" i="2"/>
  <c r="L140" i="2"/>
  <c r="T140" i="2"/>
  <c r="K140" i="2"/>
  <c r="O140" i="2"/>
  <c r="R140" i="2"/>
  <c r="N140" i="2"/>
  <c r="M140" i="2"/>
  <c r="Q140" i="2"/>
  <c r="T140" i="10"/>
  <c r="M140" i="10"/>
  <c r="R140" i="10"/>
  <c r="L140" i="10"/>
  <c r="N140" i="10"/>
  <c r="Q140" i="10"/>
  <c r="K140" i="10"/>
  <c r="J140" i="10"/>
  <c r="S140" i="10"/>
  <c r="O140" i="10"/>
  <c r="I140" i="10"/>
  <c r="P140" i="10"/>
  <c r="CG1" i="1"/>
  <c r="CH1" i="1" s="1"/>
  <c r="A141" i="10"/>
  <c r="A97" i="5"/>
  <c r="A141" i="2"/>
  <c r="A97" i="7"/>
  <c r="O67" i="5"/>
  <c r="S67" i="5"/>
  <c r="J67" i="5"/>
  <c r="P67" i="5"/>
  <c r="N67" i="5"/>
  <c r="T67" i="5"/>
  <c r="K67" i="5"/>
  <c r="R67" i="5"/>
  <c r="M67" i="5"/>
  <c r="Q67" i="5"/>
  <c r="I67" i="5"/>
  <c r="L67" i="5"/>
  <c r="P67" i="7"/>
  <c r="K67" i="7"/>
  <c r="Q67" i="7"/>
  <c r="T67" i="7"/>
  <c r="I67" i="7"/>
  <c r="R67" i="7"/>
  <c r="M67" i="7"/>
  <c r="O67" i="7"/>
  <c r="N67" i="7"/>
  <c r="S67" i="7"/>
  <c r="J67" i="7"/>
  <c r="L67" i="7"/>
  <c r="N97" i="7" l="1"/>
  <c r="L97" i="7"/>
  <c r="R97" i="7"/>
  <c r="T97" i="7"/>
  <c r="K97" i="7"/>
  <c r="M97" i="7"/>
  <c r="S97" i="7"/>
  <c r="Q97" i="7"/>
  <c r="O97" i="7"/>
  <c r="I97" i="7"/>
  <c r="J97" i="7"/>
  <c r="P97" i="7"/>
  <c r="O141" i="2"/>
  <c r="P141" i="2"/>
  <c r="M141" i="2"/>
  <c r="I141" i="2"/>
  <c r="T141" i="2"/>
  <c r="S141" i="2"/>
  <c r="N141" i="2"/>
  <c r="R141" i="2"/>
  <c r="K141" i="2"/>
  <c r="J141" i="2"/>
  <c r="Q141" i="2"/>
  <c r="L141" i="2"/>
  <c r="N97" i="5"/>
  <c r="I97" i="5"/>
  <c r="T97" i="5"/>
  <c r="O97" i="5"/>
  <c r="Q97" i="5"/>
  <c r="M97" i="5"/>
  <c r="J97" i="5"/>
  <c r="P97" i="5"/>
  <c r="L97" i="5"/>
  <c r="K97" i="5"/>
  <c r="S97" i="5"/>
  <c r="R97" i="5"/>
  <c r="P141" i="10"/>
  <c r="M141" i="10"/>
  <c r="K141" i="10"/>
  <c r="L141" i="10"/>
  <c r="N141" i="10"/>
  <c r="S141" i="10"/>
  <c r="J141" i="10"/>
  <c r="O141" i="10"/>
  <c r="I141" i="10"/>
  <c r="R141" i="10"/>
  <c r="Q141" i="10"/>
  <c r="T141" i="10"/>
  <c r="CI1" i="1"/>
  <c r="A142" i="10"/>
  <c r="A98" i="5"/>
  <c r="A98" i="7"/>
  <c r="A142" i="2"/>
  <c r="R83" i="7"/>
  <c r="I83" i="7"/>
  <c r="N83" i="7"/>
  <c r="Q83" i="7"/>
  <c r="P83" i="7"/>
  <c r="J83" i="7"/>
  <c r="K83" i="7"/>
  <c r="O83" i="7"/>
  <c r="M83" i="7"/>
  <c r="S83" i="7"/>
  <c r="L83" i="7"/>
  <c r="T83" i="7"/>
  <c r="O142" i="10" l="1"/>
  <c r="Q142" i="10"/>
  <c r="P142" i="10"/>
  <c r="P148" i="10" s="1"/>
  <c r="S142" i="10"/>
  <c r="M142" i="10"/>
  <c r="K142" i="10"/>
  <c r="J142" i="10"/>
  <c r="J148" i="10" s="1"/>
  <c r="I142" i="10"/>
  <c r="N142" i="10"/>
  <c r="L142" i="10"/>
  <c r="R142" i="10"/>
  <c r="T142" i="10"/>
  <c r="P142" i="2"/>
  <c r="M142" i="2"/>
  <c r="O142" i="2"/>
  <c r="L142" i="2"/>
  <c r="T142" i="2"/>
  <c r="R142" i="2"/>
  <c r="N142" i="2"/>
  <c r="K142" i="2"/>
  <c r="S142" i="2"/>
  <c r="Q142" i="2"/>
  <c r="I142" i="2"/>
  <c r="J142" i="2"/>
  <c r="CJ1" i="1"/>
  <c r="CK1" i="1" s="1"/>
  <c r="CL1" i="1" s="1"/>
  <c r="CM1" i="1" s="1"/>
  <c r="CN1" i="1" s="1"/>
  <c r="A143" i="10"/>
  <c r="A99" i="7"/>
  <c r="A143" i="2"/>
  <c r="A99" i="5"/>
  <c r="P80" i="7"/>
  <c r="R80" i="7"/>
  <c r="K80" i="7"/>
  <c r="Q80" i="7"/>
  <c r="N80" i="7"/>
  <c r="M80" i="7"/>
  <c r="I80" i="7"/>
  <c r="J80" i="7"/>
  <c r="S80" i="7"/>
  <c r="O80" i="7"/>
  <c r="L80" i="7"/>
  <c r="T80" i="7"/>
  <c r="O80" i="5"/>
  <c r="I80" i="5"/>
  <c r="M80" i="5"/>
  <c r="K80" i="5"/>
  <c r="S80" i="5"/>
  <c r="R80" i="5"/>
  <c r="T80" i="5"/>
  <c r="Q80" i="5"/>
  <c r="P80" i="5"/>
  <c r="N80" i="5"/>
  <c r="J80" i="5"/>
  <c r="L80" i="5"/>
  <c r="J148" i="2" l="1"/>
  <c r="P148" i="2"/>
  <c r="CO1" i="1"/>
  <c r="A92" i="10"/>
  <c r="A50" i="5"/>
  <c r="A92" i="2"/>
  <c r="A50" i="7"/>
  <c r="S143" i="2"/>
  <c r="I143" i="2"/>
  <c r="L143" i="2"/>
  <c r="Q143" i="2"/>
  <c r="N143" i="2"/>
  <c r="O143" i="2"/>
  <c r="R143" i="2"/>
  <c r="M143" i="2"/>
  <c r="K143" i="2"/>
  <c r="T143" i="2"/>
  <c r="O143" i="10"/>
  <c r="O148" i="10" s="1"/>
  <c r="N143" i="10"/>
  <c r="N148" i="10" s="1"/>
  <c r="T143" i="10"/>
  <c r="T148" i="10" s="1"/>
  <c r="M143" i="10"/>
  <c r="M148" i="10" s="1"/>
  <c r="R143" i="10"/>
  <c r="R148" i="10" s="1"/>
  <c r="K143" i="10"/>
  <c r="K148" i="10" s="1"/>
  <c r="S143" i="10"/>
  <c r="S148" i="10" s="1"/>
  <c r="I143" i="10"/>
  <c r="I148" i="10" s="1"/>
  <c r="Q143" i="10"/>
  <c r="Q148" i="10" s="1"/>
  <c r="L143" i="10"/>
  <c r="L148" i="10" s="1"/>
  <c r="S79" i="5"/>
  <c r="S69" i="5" s="1"/>
  <c r="M79" i="5"/>
  <c r="O79" i="5"/>
  <c r="K79" i="5"/>
  <c r="R79" i="5"/>
  <c r="I79" i="5"/>
  <c r="T79" i="5"/>
  <c r="Q79" i="5"/>
  <c r="N79" i="5"/>
  <c r="P79" i="5"/>
  <c r="L79" i="5"/>
  <c r="J79" i="5"/>
  <c r="Q79" i="7"/>
  <c r="Q69" i="7" s="1"/>
  <c r="S79" i="7"/>
  <c r="S69" i="7" s="1"/>
  <c r="M79" i="7"/>
  <c r="M69" i="7" s="1"/>
  <c r="R79" i="7"/>
  <c r="R69" i="7" s="1"/>
  <c r="O79" i="7"/>
  <c r="J79" i="7"/>
  <c r="N79" i="7"/>
  <c r="P79" i="7"/>
  <c r="I79" i="7"/>
  <c r="K79" i="7"/>
  <c r="L79" i="7"/>
  <c r="T79" i="7"/>
  <c r="L148" i="2" l="1"/>
  <c r="K148" i="2"/>
  <c r="M148" i="2"/>
  <c r="I148" i="2"/>
  <c r="R148" i="2"/>
  <c r="S148" i="2"/>
  <c r="O148" i="2"/>
  <c r="N148" i="2"/>
  <c r="T148" i="2"/>
  <c r="Q148" i="2"/>
  <c r="O92" i="10"/>
  <c r="J92" i="10"/>
  <c r="L92" i="10"/>
  <c r="R92" i="10"/>
  <c r="M92" i="10"/>
  <c r="P92" i="10"/>
  <c r="T92" i="10"/>
  <c r="N92" i="10"/>
  <c r="S92" i="10"/>
  <c r="K92" i="10"/>
  <c r="Q92" i="10"/>
  <c r="I92" i="10"/>
  <c r="CP1" i="1"/>
  <c r="A93" i="10"/>
  <c r="A51" i="7"/>
  <c r="A51" i="5"/>
  <c r="A93" i="2"/>
  <c r="Q92" i="2"/>
  <c r="O21" i="4" s="1"/>
  <c r="M92" i="2"/>
  <c r="K21" i="4" s="1"/>
  <c r="N92" i="2"/>
  <c r="L21" i="4" s="1"/>
  <c r="O92" i="2"/>
  <c r="M21" i="4" s="1"/>
  <c r="K92" i="2"/>
  <c r="R92" i="2"/>
  <c r="P21" i="4" s="1"/>
  <c r="J92" i="2"/>
  <c r="H21" i="4" s="1"/>
  <c r="S92" i="2"/>
  <c r="Q21" i="4" s="1"/>
  <c r="T92" i="2"/>
  <c r="R21" i="4" s="1"/>
  <c r="P92" i="2"/>
  <c r="N21" i="4" s="1"/>
  <c r="I92" i="2"/>
  <c r="G21" i="4" s="1"/>
  <c r="L92" i="2"/>
  <c r="J21" i="4" s="1"/>
  <c r="Q69" i="5"/>
  <c r="T69" i="5"/>
  <c r="L69" i="5"/>
  <c r="R69" i="5"/>
  <c r="P69" i="7"/>
  <c r="M69" i="5"/>
  <c r="N69" i="7"/>
  <c r="J69" i="7"/>
  <c r="I69" i="5"/>
  <c r="O69" i="7"/>
  <c r="P69" i="5"/>
  <c r="K69" i="5"/>
  <c r="O81" i="5"/>
  <c r="O68" i="5" s="1"/>
  <c r="K81" i="5"/>
  <c r="K68" i="5" s="1"/>
  <c r="M81" i="5"/>
  <c r="M68" i="5" s="1"/>
  <c r="R81" i="5"/>
  <c r="R68" i="5" s="1"/>
  <c r="S81" i="5"/>
  <c r="S68" i="5" s="1"/>
  <c r="I81" i="5"/>
  <c r="I68" i="5" s="1"/>
  <c r="T81" i="5"/>
  <c r="T68" i="5" s="1"/>
  <c r="Q81" i="5"/>
  <c r="Q68" i="5" s="1"/>
  <c r="P81" i="5"/>
  <c r="P68" i="5" s="1"/>
  <c r="N81" i="5"/>
  <c r="N68" i="5" s="1"/>
  <c r="L81" i="5"/>
  <c r="L68" i="5" s="1"/>
  <c r="J81" i="5"/>
  <c r="J68" i="5" s="1"/>
  <c r="T69" i="7"/>
  <c r="J69" i="5"/>
  <c r="L69" i="7"/>
  <c r="K69" i="7"/>
  <c r="I69" i="7"/>
  <c r="N69" i="5"/>
  <c r="O69" i="5"/>
  <c r="O81" i="7"/>
  <c r="O68" i="7" s="1"/>
  <c r="P81" i="7"/>
  <c r="P68" i="7" s="1"/>
  <c r="Q81" i="7"/>
  <c r="Q68" i="7" s="1"/>
  <c r="I81" i="7"/>
  <c r="I68" i="7" s="1"/>
  <c r="K81" i="7"/>
  <c r="K68" i="7" s="1"/>
  <c r="S81" i="7"/>
  <c r="S68" i="7" s="1"/>
  <c r="M81" i="7"/>
  <c r="M68" i="7" s="1"/>
  <c r="J81" i="7"/>
  <c r="J68" i="7" s="1"/>
  <c r="R81" i="7"/>
  <c r="R68" i="7" s="1"/>
  <c r="N81" i="7"/>
  <c r="N68" i="7" s="1"/>
  <c r="L81" i="7"/>
  <c r="L68" i="7" s="1"/>
  <c r="T81" i="7"/>
  <c r="T68" i="7" s="1"/>
  <c r="Q93" i="2" l="1"/>
  <c r="R93" i="2"/>
  <c r="K93" i="2"/>
  <c r="S93" i="2"/>
  <c r="I93" i="2"/>
  <c r="L93" i="2"/>
  <c r="T93" i="2"/>
  <c r="J93" i="2"/>
  <c r="N93" i="2"/>
  <c r="M93" i="2"/>
  <c r="P93" i="2"/>
  <c r="O93" i="2"/>
  <c r="T93" i="10"/>
  <c r="Q93" i="10"/>
  <c r="N93" i="10"/>
  <c r="R93" i="10"/>
  <c r="L93" i="10"/>
  <c r="O93" i="10"/>
  <c r="I93" i="10"/>
  <c r="K93" i="10"/>
  <c r="J93" i="10"/>
  <c r="M93" i="10"/>
  <c r="P93" i="10"/>
  <c r="S93" i="10"/>
  <c r="CQ1" i="1"/>
  <c r="A94" i="10"/>
  <c r="A94" i="2"/>
  <c r="A52" i="7"/>
  <c r="A52" i="5"/>
  <c r="M94" i="2" l="1"/>
  <c r="O94" i="2"/>
  <c r="L94" i="2"/>
  <c r="Q94" i="2"/>
  <c r="J94" i="2"/>
  <c r="K94" i="2"/>
  <c r="I94" i="2"/>
  <c r="N94" i="2"/>
  <c r="R94" i="2"/>
  <c r="T94" i="2"/>
  <c r="S94" i="2"/>
  <c r="P94" i="2"/>
  <c r="P94" i="10"/>
  <c r="M94" i="10"/>
  <c r="S94" i="10"/>
  <c r="N94" i="10"/>
  <c r="R94" i="10"/>
  <c r="I94" i="10"/>
  <c r="L94" i="10"/>
  <c r="Q94" i="10"/>
  <c r="O94" i="10"/>
  <c r="T94" i="10"/>
  <c r="J94" i="10"/>
  <c r="K94" i="10"/>
  <c r="CR1" i="1"/>
  <c r="A100" i="10"/>
  <c r="A58" i="7"/>
  <c r="A58" i="5"/>
  <c r="A100" i="2"/>
  <c r="M100" i="2" l="1"/>
  <c r="L100" i="2"/>
  <c r="T100" i="2"/>
  <c r="Q100" i="2"/>
  <c r="P100" i="2"/>
  <c r="A16" i="8"/>
  <c r="K100" i="2"/>
  <c r="N100" i="2"/>
  <c r="I100" i="2"/>
  <c r="J100" i="2"/>
  <c r="S100" i="2"/>
  <c r="O100" i="2"/>
  <c r="R100" i="2"/>
  <c r="P100" i="10"/>
  <c r="AB14" i="12" s="1"/>
  <c r="J100" i="10"/>
  <c r="V14" i="12" s="1"/>
  <c r="M100" i="10"/>
  <c r="Y14" i="12" s="1"/>
  <c r="R100" i="10"/>
  <c r="AD14" i="12" s="1"/>
  <c r="L100" i="10"/>
  <c r="X14" i="12" s="1"/>
  <c r="O100" i="10"/>
  <c r="AA14" i="12" s="1"/>
  <c r="T100" i="10"/>
  <c r="AF14" i="12" s="1"/>
  <c r="N100" i="10"/>
  <c r="Z14" i="12" s="1"/>
  <c r="K100" i="10"/>
  <c r="W14" i="12" s="1"/>
  <c r="S100" i="10"/>
  <c r="AE14" i="12" s="1"/>
  <c r="Q100" i="10"/>
  <c r="AC14" i="12" s="1"/>
  <c r="I100" i="10"/>
  <c r="U14" i="12" s="1"/>
  <c r="CS1" i="1"/>
  <c r="A101" i="10"/>
  <c r="A59" i="5"/>
  <c r="A101" i="2"/>
  <c r="A59" i="7"/>
  <c r="AE13" i="12" l="1"/>
  <c r="N13" i="12" s="1"/>
  <c r="AB13" i="12"/>
  <c r="K13" i="12" s="1"/>
  <c r="V13" i="12"/>
  <c r="E14" i="12" s="1"/>
  <c r="AC13" i="12"/>
  <c r="L14" i="12" s="1"/>
  <c r="AF13" i="12"/>
  <c r="O14" i="12" s="1"/>
  <c r="AA13" i="12"/>
  <c r="J14" i="12" s="1"/>
  <c r="U13" i="12"/>
  <c r="D14" i="12" s="1"/>
  <c r="Z13" i="12"/>
  <c r="I14" i="12" s="1"/>
  <c r="X13" i="12"/>
  <c r="G14" i="12" s="1"/>
  <c r="AD13" i="12"/>
  <c r="M14" i="12" s="1"/>
  <c r="W13" i="12"/>
  <c r="F13" i="12" s="1"/>
  <c r="Y13" i="12"/>
  <c r="H14" i="12" s="1"/>
  <c r="N14" i="12"/>
  <c r="P16" i="8"/>
  <c r="P104" i="14" s="1"/>
  <c r="P105" i="14" s="1"/>
  <c r="Q16" i="8"/>
  <c r="Q104" i="14" s="1"/>
  <c r="Q105" i="14" s="1"/>
  <c r="S16" i="8"/>
  <c r="S104" i="14" s="1"/>
  <c r="S105" i="14" s="1"/>
  <c r="T16" i="8"/>
  <c r="T104" i="14" s="1"/>
  <c r="T105" i="14" s="1"/>
  <c r="L16" i="8"/>
  <c r="L104" i="14" s="1"/>
  <c r="L105" i="14" s="1"/>
  <c r="M16" i="8"/>
  <c r="M104" i="14" s="1"/>
  <c r="M105" i="14" s="1"/>
  <c r="O16" i="8"/>
  <c r="O104" i="14" s="1"/>
  <c r="O105" i="14" s="1"/>
  <c r="K16" i="8"/>
  <c r="K104" i="14" s="1"/>
  <c r="K105" i="14" s="1"/>
  <c r="R16" i="8"/>
  <c r="R104" i="14" s="1"/>
  <c r="R105" i="14" s="1"/>
  <c r="I16" i="8"/>
  <c r="I104" i="14" s="1"/>
  <c r="I105" i="14" s="1"/>
  <c r="N16" i="8"/>
  <c r="N104" i="14" s="1"/>
  <c r="N105" i="14" s="1"/>
  <c r="J16" i="8"/>
  <c r="J104" i="14" s="1"/>
  <c r="J105" i="14" s="1"/>
  <c r="L101" i="2"/>
  <c r="K101" i="2"/>
  <c r="I101" i="2"/>
  <c r="S101" i="2"/>
  <c r="N101" i="2"/>
  <c r="T101" i="2"/>
  <c r="J101" i="2"/>
  <c r="O101" i="2"/>
  <c r="R101" i="2"/>
  <c r="P101" i="2"/>
  <c r="M101" i="2"/>
  <c r="Q101" i="2"/>
  <c r="T101" i="10"/>
  <c r="O101" i="10"/>
  <c r="I101" i="10"/>
  <c r="M101" i="10"/>
  <c r="J101" i="10"/>
  <c r="N101" i="10"/>
  <c r="S101" i="10"/>
  <c r="R101" i="10"/>
  <c r="P101" i="10"/>
  <c r="K101" i="10"/>
  <c r="L101" i="10"/>
  <c r="Q101" i="10"/>
  <c r="CT1" i="1"/>
  <c r="CU1" i="1" s="1"/>
  <c r="A102" i="10"/>
  <c r="A102" i="2"/>
  <c r="A60" i="7"/>
  <c r="A60" i="5"/>
  <c r="D13" i="12" l="1"/>
  <c r="K14" i="12"/>
  <c r="L13" i="12"/>
  <c r="M13" i="12"/>
  <c r="E13" i="12"/>
  <c r="O13" i="12"/>
  <c r="F14" i="12"/>
  <c r="H13" i="12"/>
  <c r="I13" i="12"/>
  <c r="G13" i="12"/>
  <c r="J13" i="12"/>
  <c r="I104" i="10"/>
  <c r="I105" i="10" s="1"/>
  <c r="I104" i="2"/>
  <c r="I105" i="2" s="1"/>
  <c r="T104" i="2"/>
  <c r="T105" i="2" s="1"/>
  <c r="T104" i="10"/>
  <c r="T105" i="10" s="1"/>
  <c r="R104" i="2"/>
  <c r="R105" i="2" s="1"/>
  <c r="R104" i="10"/>
  <c r="R105" i="10" s="1"/>
  <c r="S104" i="2"/>
  <c r="S105" i="2" s="1"/>
  <c r="S104" i="10"/>
  <c r="S105" i="10" s="1"/>
  <c r="K104" i="2"/>
  <c r="K105" i="2" s="1"/>
  <c r="K104" i="10"/>
  <c r="K105" i="10" s="1"/>
  <c r="Q104" i="2"/>
  <c r="Q105" i="2" s="1"/>
  <c r="Q104" i="10"/>
  <c r="Q105" i="10" s="1"/>
  <c r="O104" i="10"/>
  <c r="O105" i="10" s="1"/>
  <c r="O104" i="2"/>
  <c r="O105" i="2" s="1"/>
  <c r="P104" i="10"/>
  <c r="P105" i="10" s="1"/>
  <c r="P104" i="2"/>
  <c r="P105" i="2" s="1"/>
  <c r="J104" i="10"/>
  <c r="J105" i="10" s="1"/>
  <c r="J104" i="2"/>
  <c r="J105" i="2" s="1"/>
  <c r="M104" i="2"/>
  <c r="M105" i="2" s="1"/>
  <c r="M104" i="10"/>
  <c r="M105" i="10" s="1"/>
  <c r="N104" i="2"/>
  <c r="N105" i="2" s="1"/>
  <c r="N104" i="10"/>
  <c r="N105" i="10" s="1"/>
  <c r="L104" i="2"/>
  <c r="L105" i="2" s="1"/>
  <c r="L104" i="10"/>
  <c r="L105" i="10" s="1"/>
  <c r="R102" i="2"/>
  <c r="M102" i="2"/>
  <c r="S102" i="2"/>
  <c r="Q102" i="2"/>
  <c r="N102" i="2"/>
  <c r="I102" i="2"/>
  <c r="L102" i="2"/>
  <c r="K102" i="2"/>
  <c r="O102" i="2"/>
  <c r="J102" i="2"/>
  <c r="T102" i="2"/>
  <c r="P102" i="2"/>
  <c r="T102" i="10"/>
  <c r="M102" i="10"/>
  <c r="R102" i="10"/>
  <c r="N102" i="10"/>
  <c r="Q102" i="10"/>
  <c r="K102" i="10"/>
  <c r="P102" i="10"/>
  <c r="J102" i="10"/>
  <c r="O102" i="10"/>
  <c r="L102" i="10"/>
  <c r="S102" i="10"/>
  <c r="I102" i="10"/>
  <c r="CV1" i="1"/>
  <c r="CW1" i="1" s="1"/>
  <c r="CX1" i="1" s="1"/>
  <c r="CY1" i="1" s="1"/>
  <c r="CZ1" i="1" s="1"/>
  <c r="A64" i="10"/>
  <c r="A17" i="9"/>
  <c r="A64" i="2"/>
  <c r="P158" i="2" l="1"/>
  <c r="P157" i="2"/>
  <c r="P155" i="2"/>
  <c r="P160" i="2"/>
  <c r="P161" i="2"/>
  <c r="I157" i="2"/>
  <c r="I158" i="2"/>
  <c r="I155" i="2"/>
  <c r="I161" i="2"/>
  <c r="I160" i="2"/>
  <c r="N157" i="2"/>
  <c r="N158" i="2"/>
  <c r="N155" i="2"/>
  <c r="N160" i="2"/>
  <c r="N161" i="2"/>
  <c r="J158" i="2"/>
  <c r="J157" i="2"/>
  <c r="J155" i="2"/>
  <c r="J160" i="2"/>
  <c r="J161" i="2"/>
  <c r="Q157" i="2"/>
  <c r="Q158" i="2"/>
  <c r="Q155" i="2"/>
  <c r="Q160" i="2"/>
  <c r="Q161" i="2"/>
  <c r="T157" i="2"/>
  <c r="T158" i="2"/>
  <c r="T155" i="2"/>
  <c r="T161" i="2"/>
  <c r="T160" i="2"/>
  <c r="O157" i="2"/>
  <c r="O158" i="2"/>
  <c r="O155" i="2"/>
  <c r="O160" i="2"/>
  <c r="O161" i="2"/>
  <c r="S157" i="2"/>
  <c r="S158" i="2"/>
  <c r="S155" i="2"/>
  <c r="S161" i="2"/>
  <c r="S160" i="2"/>
  <c r="K157" i="2"/>
  <c r="K158" i="2"/>
  <c r="K155" i="2"/>
  <c r="K160" i="2"/>
  <c r="K161" i="2"/>
  <c r="M157" i="2"/>
  <c r="M158" i="2"/>
  <c r="M155" i="2"/>
  <c r="M160" i="2"/>
  <c r="M161" i="2"/>
  <c r="L157" i="2"/>
  <c r="L158" i="2"/>
  <c r="L155" i="2"/>
  <c r="L160" i="2"/>
  <c r="L161" i="2"/>
  <c r="R157" i="2"/>
  <c r="R158" i="2"/>
  <c r="R155" i="2"/>
  <c r="R160" i="2"/>
  <c r="R161" i="2"/>
  <c r="S177" i="10"/>
  <c r="S183" i="10"/>
  <c r="S158" i="10"/>
  <c r="S157" i="10"/>
  <c r="S155" i="10"/>
  <c r="S161" i="10"/>
  <c r="S160" i="10"/>
  <c r="T183" i="2"/>
  <c r="Q101" i="4"/>
  <c r="T177" i="2"/>
  <c r="N183" i="2"/>
  <c r="K101" i="4"/>
  <c r="N177" i="2"/>
  <c r="I158" i="10"/>
  <c r="I183" i="10"/>
  <c r="I177" i="10"/>
  <c r="I157" i="10"/>
  <c r="I155" i="10"/>
  <c r="I160" i="10"/>
  <c r="I161" i="10"/>
  <c r="Q183" i="10"/>
  <c r="Q177" i="10"/>
  <c r="Q157" i="10"/>
  <c r="Q158" i="10"/>
  <c r="Q155" i="10"/>
  <c r="Q161" i="10"/>
  <c r="Q160" i="10"/>
  <c r="K64" i="2"/>
  <c r="I64" i="2"/>
  <c r="L64" i="2"/>
  <c r="J64" i="2"/>
  <c r="S64" i="2"/>
  <c r="Q64" i="2"/>
  <c r="M64" i="2"/>
  <c r="R64" i="2"/>
  <c r="P64" i="2"/>
  <c r="T64" i="2"/>
  <c r="N64" i="2"/>
  <c r="O64" i="2"/>
  <c r="L177" i="10"/>
  <c r="L183" i="10"/>
  <c r="L157" i="10"/>
  <c r="L158" i="10"/>
  <c r="L155" i="10"/>
  <c r="L161" i="10"/>
  <c r="L160" i="10"/>
  <c r="N183" i="10"/>
  <c r="N157" i="10"/>
  <c r="N177" i="10"/>
  <c r="N158" i="10"/>
  <c r="N155" i="10"/>
  <c r="N160" i="10"/>
  <c r="N161" i="10"/>
  <c r="J183" i="2"/>
  <c r="J177" i="2"/>
  <c r="G101" i="4"/>
  <c r="Q183" i="2"/>
  <c r="N101" i="4"/>
  <c r="Q177" i="2"/>
  <c r="P183" i="2"/>
  <c r="M101" i="4"/>
  <c r="P177" i="2"/>
  <c r="R161" i="10"/>
  <c r="R183" i="10"/>
  <c r="R158" i="10"/>
  <c r="R157" i="10"/>
  <c r="R177" i="10"/>
  <c r="R155" i="10"/>
  <c r="R160" i="10"/>
  <c r="O183" i="2"/>
  <c r="L101" i="4"/>
  <c r="O177" i="2"/>
  <c r="K183" i="10"/>
  <c r="K157" i="10"/>
  <c r="K177" i="10"/>
  <c r="K158" i="10"/>
  <c r="K155" i="10"/>
  <c r="K160" i="10"/>
  <c r="K161" i="10"/>
  <c r="O158" i="10"/>
  <c r="O183" i="10"/>
  <c r="O177" i="10"/>
  <c r="O157" i="10"/>
  <c r="O155" i="10"/>
  <c r="O160" i="10"/>
  <c r="O161" i="10"/>
  <c r="S183" i="2"/>
  <c r="P101" i="4"/>
  <c r="S177" i="2"/>
  <c r="T64" i="10"/>
  <c r="S64" i="10"/>
  <c r="M64" i="10"/>
  <c r="L64" i="10"/>
  <c r="K64" i="10"/>
  <c r="O64" i="10"/>
  <c r="Q64" i="10"/>
  <c r="R64" i="10"/>
  <c r="P64" i="10"/>
  <c r="J64" i="10"/>
  <c r="N64" i="10"/>
  <c r="I64" i="10"/>
  <c r="J157" i="10"/>
  <c r="J183" i="10"/>
  <c r="J177" i="10"/>
  <c r="J158" i="10"/>
  <c r="J155" i="10"/>
  <c r="J160" i="10"/>
  <c r="J161" i="10"/>
  <c r="M177" i="10"/>
  <c r="M183" i="10"/>
  <c r="M158" i="10"/>
  <c r="M157" i="10"/>
  <c r="M155" i="10"/>
  <c r="M160" i="10"/>
  <c r="M161" i="10"/>
  <c r="K183" i="2"/>
  <c r="H101" i="4"/>
  <c r="K177" i="2"/>
  <c r="M183" i="2"/>
  <c r="M177" i="2"/>
  <c r="J101" i="4"/>
  <c r="I183" i="2"/>
  <c r="F101" i="4"/>
  <c r="I177" i="2"/>
  <c r="O17" i="9"/>
  <c r="M17" i="9"/>
  <c r="I17" i="9"/>
  <c r="J17" i="9"/>
  <c r="N17" i="9"/>
  <c r="L17" i="9"/>
  <c r="K17" i="9"/>
  <c r="T17" i="9"/>
  <c r="S17" i="9"/>
  <c r="Q17" i="9"/>
  <c r="R17" i="9"/>
  <c r="P17" i="9"/>
  <c r="DA1" i="1"/>
  <c r="DB1" i="1" s="1"/>
  <c r="DC1" i="1" s="1"/>
  <c r="A111" i="10"/>
  <c r="A111" i="2"/>
  <c r="P177" i="10"/>
  <c r="P183" i="10"/>
  <c r="P158" i="10"/>
  <c r="P157" i="10"/>
  <c r="P155" i="10"/>
  <c r="P161" i="10"/>
  <c r="P160" i="10"/>
  <c r="T158" i="10"/>
  <c r="T183" i="10"/>
  <c r="T177" i="10"/>
  <c r="T157" i="10"/>
  <c r="T155" i="10"/>
  <c r="T161" i="10"/>
  <c r="T160" i="10"/>
  <c r="L183" i="2"/>
  <c r="I101" i="4"/>
  <c r="L177" i="2"/>
  <c r="R183" i="2"/>
  <c r="R177" i="2"/>
  <c r="O101" i="4"/>
  <c r="I66" i="2" l="1"/>
  <c r="I65" i="2"/>
  <c r="L100" i="4"/>
  <c r="F100" i="4"/>
  <c r="J100" i="4"/>
  <c r="P100" i="4"/>
  <c r="Q100" i="4"/>
  <c r="K100" i="4"/>
  <c r="H100" i="4"/>
  <c r="O100" i="4"/>
  <c r="G100" i="4"/>
  <c r="I100" i="4"/>
  <c r="M100" i="4"/>
  <c r="N100" i="4"/>
  <c r="O187" i="2"/>
  <c r="O186" i="2"/>
  <c r="N187" i="10"/>
  <c r="O186" i="10"/>
  <c r="L18" i="9"/>
  <c r="L19" i="9"/>
  <c r="L20" i="9"/>
  <c r="R66" i="10"/>
  <c r="R65" i="10"/>
  <c r="S66" i="10"/>
  <c r="S65" i="10"/>
  <c r="N66" i="2"/>
  <c r="N65" i="2"/>
  <c r="S66" i="2"/>
  <c r="S65" i="2"/>
  <c r="N18" i="9"/>
  <c r="N19" i="9"/>
  <c r="N20" i="9"/>
  <c r="Q66" i="10"/>
  <c r="Q65" i="10"/>
  <c r="T66" i="10"/>
  <c r="T65" i="10"/>
  <c r="N186" i="2"/>
  <c r="T66" i="2"/>
  <c r="T65" i="2"/>
  <c r="J66" i="2"/>
  <c r="J65" i="2"/>
  <c r="P19" i="9"/>
  <c r="P18" i="9"/>
  <c r="P20" i="9"/>
  <c r="O187" i="10"/>
  <c r="Q18" i="9"/>
  <c r="Q19" i="9"/>
  <c r="Q20" i="9"/>
  <c r="J19" i="9"/>
  <c r="J18" i="9"/>
  <c r="J20" i="9"/>
  <c r="I66" i="10"/>
  <c r="I65" i="10"/>
  <c r="O66" i="10"/>
  <c r="O65" i="10"/>
  <c r="N187" i="2"/>
  <c r="P66" i="2"/>
  <c r="P65" i="2"/>
  <c r="L66" i="2"/>
  <c r="L65" i="2"/>
  <c r="S18" i="9"/>
  <c r="S19" i="9"/>
  <c r="S20" i="9"/>
  <c r="K66" i="10"/>
  <c r="K65" i="10"/>
  <c r="R66" i="2"/>
  <c r="R65" i="2"/>
  <c r="N66" i="10"/>
  <c r="N65" i="10"/>
  <c r="T18" i="9"/>
  <c r="T19" i="9"/>
  <c r="T20" i="9"/>
  <c r="J66" i="10"/>
  <c r="J65" i="10"/>
  <c r="L66" i="10"/>
  <c r="L65" i="10"/>
  <c r="M66" i="2"/>
  <c r="M65" i="2"/>
  <c r="K66" i="2"/>
  <c r="K65" i="2"/>
  <c r="R19" i="9"/>
  <c r="R18" i="9"/>
  <c r="R20" i="9"/>
  <c r="S111" i="2"/>
  <c r="P111" i="2"/>
  <c r="M111" i="2"/>
  <c r="J111" i="2"/>
  <c r="Q111" i="2"/>
  <c r="O111" i="2"/>
  <c r="A25" i="8"/>
  <c r="K111" i="2"/>
  <c r="I111" i="2"/>
  <c r="T111" i="2"/>
  <c r="R111" i="2"/>
  <c r="N111" i="2"/>
  <c r="L111" i="2"/>
  <c r="I18" i="9"/>
  <c r="I19" i="9"/>
  <c r="I20" i="9"/>
  <c r="M111" i="10"/>
  <c r="T111" i="10"/>
  <c r="J111" i="10"/>
  <c r="N111" i="10"/>
  <c r="I111" i="10"/>
  <c r="Q111" i="10"/>
  <c r="K111" i="10"/>
  <c r="L111" i="10"/>
  <c r="O111" i="10"/>
  <c r="R111" i="10"/>
  <c r="P111" i="10"/>
  <c r="S111" i="10"/>
  <c r="M19" i="9"/>
  <c r="M18" i="9"/>
  <c r="M20" i="9"/>
  <c r="DD1" i="1"/>
  <c r="DE1" i="1" s="1"/>
  <c r="DF1" i="1" s="1"/>
  <c r="DG1" i="1" s="1"/>
  <c r="A110" i="10"/>
  <c r="A67" i="5"/>
  <c r="A67" i="7"/>
  <c r="A110" i="2"/>
  <c r="K18" i="9"/>
  <c r="K19" i="9"/>
  <c r="K20" i="9"/>
  <c r="O18" i="9"/>
  <c r="O19" i="9"/>
  <c r="O20" i="9"/>
  <c r="N186" i="10"/>
  <c r="P66" i="10"/>
  <c r="P65" i="10"/>
  <c r="M66" i="10"/>
  <c r="M65" i="10"/>
  <c r="O66" i="2"/>
  <c r="O65" i="2"/>
  <c r="Q66" i="2"/>
  <c r="Q65" i="2"/>
  <c r="N110" i="10" l="1"/>
  <c r="L110" i="10"/>
  <c r="K110" i="10"/>
  <c r="P110" i="10"/>
  <c r="J110" i="10"/>
  <c r="I110" i="10"/>
  <c r="T110" i="10"/>
  <c r="Q110" i="10"/>
  <c r="S110" i="10"/>
  <c r="R110" i="10"/>
  <c r="M110" i="10"/>
  <c r="O110" i="10"/>
  <c r="DH1" i="1"/>
  <c r="DI1" i="1" s="1"/>
  <c r="A127" i="10"/>
  <c r="A83" i="7"/>
  <c r="A127" i="2"/>
  <c r="Q110" i="2"/>
  <c r="N110" i="2"/>
  <c r="L110" i="2"/>
  <c r="M110" i="2"/>
  <c r="A24" i="8"/>
  <c r="S110" i="2"/>
  <c r="T110" i="2"/>
  <c r="O110" i="2"/>
  <c r="K110" i="2"/>
  <c r="I110" i="2"/>
  <c r="R110" i="2"/>
  <c r="J110" i="2"/>
  <c r="Q127" i="2" l="1"/>
  <c r="P127" i="2"/>
  <c r="S127" i="2"/>
  <c r="T127" i="2"/>
  <c r="J127" i="2"/>
  <c r="O127" i="2"/>
  <c r="I127" i="2"/>
  <c r="R127" i="2"/>
  <c r="N127" i="2"/>
  <c r="M127" i="2"/>
  <c r="K127" i="2"/>
  <c r="O127" i="10"/>
  <c r="K127" i="10"/>
  <c r="J127" i="10"/>
  <c r="L127" i="10"/>
  <c r="P127" i="10"/>
  <c r="Q127" i="10"/>
  <c r="R127" i="10"/>
  <c r="I127" i="10"/>
  <c r="N127" i="10"/>
  <c r="S127" i="10"/>
  <c r="M127" i="10"/>
  <c r="T127" i="10"/>
  <c r="DJ1" i="1"/>
  <c r="DK1" i="1" s="1"/>
  <c r="A124" i="10"/>
  <c r="A124" i="2"/>
  <c r="A80" i="7"/>
  <c r="A80" i="5"/>
  <c r="P124" i="10" l="1"/>
  <c r="Q124" i="10"/>
  <c r="R124" i="10"/>
  <c r="J124" i="10"/>
  <c r="T124" i="10"/>
  <c r="L124" i="10"/>
  <c r="O124" i="10"/>
  <c r="S124" i="10"/>
  <c r="M124" i="10"/>
  <c r="K124" i="10"/>
  <c r="I124" i="10"/>
  <c r="N124" i="10"/>
  <c r="L124" i="2"/>
  <c r="N124" i="2"/>
  <c r="O124" i="2"/>
  <c r="R124" i="2"/>
  <c r="I124" i="2"/>
  <c r="M124" i="2"/>
  <c r="K124" i="2"/>
  <c r="S124" i="2"/>
  <c r="J124" i="2"/>
  <c r="P124" i="2"/>
  <c r="T124" i="2"/>
  <c r="Q124" i="2"/>
  <c r="DL1" i="1"/>
  <c r="A123" i="10"/>
  <c r="A79" i="7"/>
  <c r="A79" i="5"/>
  <c r="A123" i="2"/>
  <c r="N123" i="2" l="1"/>
  <c r="N113" i="2" s="1"/>
  <c r="P123" i="2"/>
  <c r="P113" i="2" s="1"/>
  <c r="O123" i="2"/>
  <c r="O113" i="2" s="1"/>
  <c r="Q123" i="2"/>
  <c r="Q113" i="2" s="1"/>
  <c r="J123" i="2"/>
  <c r="J113" i="2" s="1"/>
  <c r="R123" i="2"/>
  <c r="R113" i="2" s="1"/>
  <c r="I123" i="2"/>
  <c r="I113" i="2" s="1"/>
  <c r="T123" i="2"/>
  <c r="T113" i="2" s="1"/>
  <c r="M123" i="2"/>
  <c r="M113" i="2" s="1"/>
  <c r="S123" i="2"/>
  <c r="S113" i="2" s="1"/>
  <c r="K123" i="2"/>
  <c r="K113" i="2" s="1"/>
  <c r="L123" i="10"/>
  <c r="S123" i="10"/>
  <c r="Q123" i="10"/>
  <c r="K123" i="10"/>
  <c r="T123" i="10"/>
  <c r="M123" i="10"/>
  <c r="P123" i="10"/>
  <c r="O123" i="10"/>
  <c r="I123" i="10"/>
  <c r="J123" i="10"/>
  <c r="N123" i="10"/>
  <c r="R123" i="10"/>
  <c r="DM1" i="1"/>
  <c r="DN1" i="1" s="1"/>
  <c r="DO1" i="1" s="1"/>
  <c r="DP1" i="1" s="1"/>
  <c r="DQ1" i="1" s="1"/>
  <c r="DR1" i="1" s="1"/>
  <c r="DS1" i="1" s="1"/>
  <c r="DT1" i="1" s="1"/>
  <c r="DU1" i="1" s="1"/>
  <c r="DV1" i="1" s="1"/>
  <c r="DW1" i="1" s="1"/>
  <c r="DX1" i="1" s="1"/>
  <c r="DY1" i="1" s="1"/>
  <c r="DZ1" i="1" s="1"/>
  <c r="EA1" i="1" s="1"/>
  <c r="EB1" i="1" s="1"/>
  <c r="A125" i="10"/>
  <c r="A81" i="5"/>
  <c r="A125" i="2"/>
  <c r="A81" i="7"/>
  <c r="R113" i="10" l="1"/>
  <c r="T113" i="10"/>
  <c r="I125" i="2"/>
  <c r="I112" i="2" s="1"/>
  <c r="S125" i="2"/>
  <c r="S112" i="2" s="1"/>
  <c r="R125" i="2"/>
  <c r="R112" i="2" s="1"/>
  <c r="K125" i="2"/>
  <c r="K112" i="2" s="1"/>
  <c r="N125" i="2"/>
  <c r="N112" i="2" s="1"/>
  <c r="L125" i="2"/>
  <c r="O125" i="2"/>
  <c r="O112" i="2" s="1"/>
  <c r="M125" i="2"/>
  <c r="M112" i="2" s="1"/>
  <c r="P125" i="2"/>
  <c r="P112" i="2" s="1"/>
  <c r="T125" i="2"/>
  <c r="T112" i="2" s="1"/>
  <c r="J125" i="2"/>
  <c r="J112" i="2" s="1"/>
  <c r="Q125" i="2"/>
  <c r="Q112" i="2" s="1"/>
  <c r="J113" i="10"/>
  <c r="K113" i="10"/>
  <c r="M113" i="10"/>
  <c r="I113" i="10"/>
  <c r="Q113" i="10"/>
  <c r="N113" i="10"/>
  <c r="T125" i="10"/>
  <c r="T112" i="10" s="1"/>
  <c r="Q125" i="10"/>
  <c r="Q112" i="10" s="1"/>
  <c r="O125" i="10"/>
  <c r="O112" i="10" s="1"/>
  <c r="I125" i="10"/>
  <c r="I112" i="10" s="1"/>
  <c r="M125" i="10"/>
  <c r="M112" i="10" s="1"/>
  <c r="P125" i="10"/>
  <c r="P112" i="10" s="1"/>
  <c r="S125" i="10"/>
  <c r="S112" i="10" s="1"/>
  <c r="R125" i="10"/>
  <c r="R112" i="10" s="1"/>
  <c r="L125" i="10"/>
  <c r="L112" i="10" s="1"/>
  <c r="K125" i="10"/>
  <c r="K112" i="10" s="1"/>
  <c r="J125" i="10"/>
  <c r="J112" i="10" s="1"/>
  <c r="N125" i="10"/>
  <c r="N112" i="10" s="1"/>
  <c r="O113" i="10"/>
  <c r="S113" i="10"/>
  <c r="P113" i="10"/>
  <c r="L113" i="10"/>
  <c r="P110" i="2" l="1"/>
  <c r="DE65" i="1"/>
  <c r="L123" i="2" l="1"/>
  <c r="L112" i="2" s="1"/>
  <c r="L113" i="2" l="1"/>
  <c r="L127" i="2"/>
  <c r="DG34" i="1"/>
  <c r="DM34" i="1"/>
  <c r="U46" i="12" l="1"/>
  <c r="D47" i="12" s="1"/>
  <c r="U45" i="12" l="1"/>
  <c r="D46" i="12" s="1"/>
</calcChain>
</file>

<file path=xl/comments1.xml><?xml version="1.0" encoding="utf-8"?>
<comments xmlns="http://schemas.openxmlformats.org/spreadsheetml/2006/main">
  <authors>
    <author>master</author>
  </authors>
  <commentList>
    <comment ref="U4" authorId="0" shapeId="0">
      <text>
        <r>
          <rPr>
            <b/>
            <sz val="9"/>
            <color indexed="81"/>
            <rFont val="돋움"/>
            <family val="3"/>
            <charset val="129"/>
          </rPr>
          <t>총자산은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보험업감독업무시행세칙에서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특별계정자산을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
운용자산은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총자산에서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비운용자산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금액
</t>
        </r>
      </text>
    </comment>
  </commentList>
</comments>
</file>

<file path=xl/comments2.xml><?xml version="1.0" encoding="utf-8"?>
<comments xmlns="http://schemas.openxmlformats.org/spreadsheetml/2006/main">
  <authors>
    <author>master</author>
  </authors>
  <commentList>
    <comment ref="U5" authorId="0" shapeId="0">
      <text>
        <r>
          <rPr>
            <b/>
            <sz val="9"/>
            <color indexed="81"/>
            <rFont val="돋움"/>
            <family val="3"/>
            <charset val="129"/>
          </rPr>
          <t>총자산은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보험업감독업무시행세칙에서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특별계정자산을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
운용자산은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총자산에서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비운용자산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금액
</t>
        </r>
      </text>
    </comment>
    <comment ref="AF22" authorId="0" shapeId="0">
      <text>
        <r>
          <rPr>
            <b/>
            <sz val="9"/>
            <color indexed="81"/>
            <rFont val="Tahoma"/>
            <family val="2"/>
          </rPr>
          <t>2024.11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CS23" authorId="0" shapeId="0">
      <text>
        <r>
          <rPr>
            <b/>
            <sz val="9"/>
            <color indexed="81"/>
            <rFont val="돋움"/>
            <family val="3"/>
            <charset val="129"/>
          </rPr>
          <t>경과조치전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BC38" authorId="0" shapeId="0">
      <text>
        <r>
          <rPr>
            <b/>
            <sz val="9"/>
            <color indexed="81"/>
            <rFont val="돋움"/>
            <family val="3"/>
            <charset val="129"/>
          </rPr>
          <t>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오류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CF38" authorId="0" shapeId="0">
      <text>
        <r>
          <rPr>
            <b/>
            <sz val="9"/>
            <color indexed="81"/>
            <rFont val="Tahoma"/>
            <family val="2"/>
          </rPr>
          <t>1~2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CG38" authorId="0" shapeId="0">
      <text>
        <r>
          <rPr>
            <b/>
            <sz val="9"/>
            <color indexed="81"/>
            <rFont val="Tahoma"/>
            <family val="2"/>
          </rPr>
          <t>2~5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T54" authorId="0" shapeId="0">
      <text>
        <r>
          <rPr>
            <b/>
            <sz val="9"/>
            <color indexed="81"/>
            <rFont val="돋움"/>
            <family val="3"/>
            <charset val="129"/>
          </rPr>
          <t>합병효과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</text>
    </comment>
    <comment ref="W57" authorId="0" shapeId="0">
      <text>
        <r>
          <rPr>
            <b/>
            <sz val="9"/>
            <color indexed="81"/>
            <rFont val="돋움"/>
            <family val="3"/>
            <charset val="129"/>
          </rPr>
          <t>경영공시
요약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재무상태표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총괄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보고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계산함
</t>
        </r>
        <r>
          <rPr>
            <b/>
            <sz val="9"/>
            <color indexed="81"/>
            <rFont val="Tahoma"/>
            <family val="2"/>
          </rPr>
          <t>1)</t>
        </r>
        <r>
          <rPr>
            <b/>
            <sz val="9"/>
            <color indexed="81"/>
            <rFont val="돋움"/>
            <family val="3"/>
            <charset val="129"/>
          </rPr>
          <t>총자산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 xml:space="preserve">특별계정자산
</t>
        </r>
        <r>
          <rPr>
            <b/>
            <sz val="9"/>
            <color indexed="81"/>
            <rFont val="Tahoma"/>
            <family val="2"/>
          </rPr>
          <t>2)  1)-</t>
        </r>
        <r>
          <rPr>
            <b/>
            <sz val="9"/>
            <color indexed="81"/>
            <rFont val="돋움"/>
            <family val="3"/>
            <charset val="129"/>
          </rPr>
          <t xml:space="preserve">비운용자산
</t>
        </r>
      </text>
    </comment>
  </commentList>
</comments>
</file>

<file path=xl/sharedStrings.xml><?xml version="1.0" encoding="utf-8"?>
<sst xmlns="http://schemas.openxmlformats.org/spreadsheetml/2006/main" count="3251" uniqueCount="1190">
  <si>
    <t>미래</t>
  </si>
  <si>
    <t>삼성</t>
  </si>
  <si>
    <t>교보</t>
  </si>
  <si>
    <t>한화</t>
  </si>
  <si>
    <t>신한라이프</t>
  </si>
  <si>
    <t>동양</t>
  </si>
  <si>
    <t>KB라이프</t>
  </si>
  <si>
    <t>삼성화재</t>
  </si>
  <si>
    <t>현대해상</t>
  </si>
  <si>
    <t>메리츠화재</t>
  </si>
  <si>
    <t>KB손보</t>
  </si>
  <si>
    <t>DB손보</t>
  </si>
  <si>
    <t>B/S</t>
    <phoneticPr fontId="2" type="noConversion"/>
  </si>
  <si>
    <t>총자산</t>
    <phoneticPr fontId="2" type="noConversion"/>
  </si>
  <si>
    <t>FVPL</t>
  </si>
  <si>
    <t>FVOCI</t>
  </si>
  <si>
    <t>AC</t>
  </si>
  <si>
    <t>총자산대비 비중</t>
  </si>
  <si>
    <t>부채</t>
  </si>
  <si>
    <t>보험계약부채</t>
  </si>
  <si>
    <t>기타포괄손익누계액</t>
  </si>
  <si>
    <t>이익잉여금</t>
  </si>
  <si>
    <t>보험손익</t>
  </si>
  <si>
    <t>투자손익</t>
  </si>
  <si>
    <t>영업이익</t>
  </si>
  <si>
    <t>영업외손익</t>
  </si>
  <si>
    <t>세전손익</t>
  </si>
  <si>
    <t>당기순이익</t>
  </si>
  <si>
    <t>금융손익</t>
  </si>
  <si>
    <t>재산관리비</t>
  </si>
  <si>
    <t>기타투자손익</t>
  </si>
  <si>
    <t>P/L</t>
    <phoneticPr fontId="2" type="noConversion"/>
  </si>
  <si>
    <t>보험손익</t>
    <phoneticPr fontId="2" type="noConversion"/>
  </si>
  <si>
    <t>투자손익</t>
    <phoneticPr fontId="2" type="noConversion"/>
  </si>
  <si>
    <t>영업외손익</t>
    <phoneticPr fontId="2" type="noConversion"/>
  </si>
  <si>
    <t>합계</t>
    <phoneticPr fontId="2" type="noConversion"/>
  </si>
  <si>
    <t>[ 자본변동 세부 ]</t>
    <phoneticPr fontId="2" type="noConversion"/>
  </si>
  <si>
    <t>기타포괄손익</t>
    <phoneticPr fontId="2" type="noConversion"/>
  </si>
  <si>
    <t>이익잉여금</t>
    <phoneticPr fontId="2" type="noConversion"/>
  </si>
  <si>
    <t>기초</t>
    <phoneticPr fontId="2" type="noConversion"/>
  </si>
  <si>
    <t>기말</t>
    <phoneticPr fontId="2" type="noConversion"/>
  </si>
  <si>
    <t>check</t>
    <phoneticPr fontId="2" type="noConversion"/>
  </si>
  <si>
    <t>금융자산평가손익</t>
    <phoneticPr fontId="2" type="noConversion"/>
  </si>
  <si>
    <t>대손충당금</t>
    <phoneticPr fontId="2" type="noConversion"/>
  </si>
  <si>
    <t>보험계약금융손익(재보포함)</t>
    <phoneticPr fontId="2" type="noConversion"/>
  </si>
  <si>
    <t>현금흐름위험회피파생상품</t>
  </si>
  <si>
    <t>재평가잉여금</t>
  </si>
  <si>
    <t>확정급여부채</t>
    <phoneticPr fontId="2" type="noConversion"/>
  </si>
  <si>
    <t>기타</t>
  </si>
  <si>
    <t>자기주식취득/처분</t>
  </si>
  <si>
    <t>순이익</t>
    <phoneticPr fontId="2" type="noConversion"/>
  </si>
  <si>
    <t>BEL</t>
    <phoneticPr fontId="2" type="noConversion"/>
  </si>
  <si>
    <t>RA</t>
    <phoneticPr fontId="2" type="noConversion"/>
  </si>
  <si>
    <t>CSM</t>
    <phoneticPr fontId="2" type="noConversion"/>
  </si>
  <si>
    <t>보험료배분접근법</t>
  </si>
  <si>
    <t>1년이하</t>
  </si>
  <si>
    <t>1~3년</t>
  </si>
  <si>
    <t>3~5년</t>
  </si>
  <si>
    <t>5~10년</t>
  </si>
  <si>
    <t>10년초과</t>
  </si>
  <si>
    <t>합계</t>
  </si>
  <si>
    <t>CSM 기간별 기대수익인식금액(재보제외)</t>
  </si>
  <si>
    <t>미공시</t>
  </si>
  <si>
    <t>손해율(연간누계)</t>
    <phoneticPr fontId="2" type="noConversion"/>
  </si>
  <si>
    <t>예실차</t>
    <phoneticPr fontId="2" type="noConversion"/>
  </si>
  <si>
    <t>K-ICS</t>
    <phoneticPr fontId="2" type="noConversion"/>
  </si>
  <si>
    <t>가용자본</t>
    <phoneticPr fontId="2" type="noConversion"/>
  </si>
  <si>
    <t>요구자본</t>
    <phoneticPr fontId="2" type="noConversion"/>
  </si>
  <si>
    <t>위험보험료</t>
    <phoneticPr fontId="2" type="noConversion"/>
  </si>
  <si>
    <t>사고보험금(간접제외)</t>
    <phoneticPr fontId="2" type="noConversion"/>
  </si>
  <si>
    <t>보험금예실차</t>
    <phoneticPr fontId="2" type="noConversion"/>
  </si>
  <si>
    <t>사업비예실차</t>
    <phoneticPr fontId="2" type="noConversion"/>
  </si>
  <si>
    <t>예상보험금</t>
    <phoneticPr fontId="2" type="noConversion"/>
  </si>
  <si>
    <t>실제보험금</t>
    <phoneticPr fontId="2" type="noConversion"/>
  </si>
  <si>
    <t>예상사업비</t>
    <phoneticPr fontId="2" type="noConversion"/>
  </si>
  <si>
    <t>실제사업비</t>
    <phoneticPr fontId="2" type="noConversion"/>
  </si>
  <si>
    <t xml:space="preserve">   - 보험서비스수익_보험취득현금흐름의 상각</t>
    <phoneticPr fontId="2" type="noConversion"/>
  </si>
  <si>
    <t xml:space="preserve">   - 보험서비스비용_보험취득현금흐름의 상각</t>
    <phoneticPr fontId="2" type="noConversion"/>
  </si>
  <si>
    <t xml:space="preserve">  - 기타보험서비스수익</t>
    <phoneticPr fontId="2" type="noConversion"/>
  </si>
  <si>
    <t xml:space="preserve">  - 기타보험서비스비용</t>
    <phoneticPr fontId="2" type="noConversion"/>
  </si>
  <si>
    <t>재무건전성(잠정치)</t>
    <phoneticPr fontId="2" type="noConversion"/>
  </si>
  <si>
    <t>* IR자료와 안맞음..</t>
  </si>
  <si>
    <t>* IR자료에서는 손해조사비를 보험금예실차에 반영함</t>
  </si>
  <si>
    <t>□ 동업사 공시 취합</t>
    <phoneticPr fontId="2" type="noConversion"/>
  </si>
  <si>
    <t>월도</t>
    <phoneticPr fontId="2" type="noConversion"/>
  </si>
  <si>
    <t>회사명</t>
    <phoneticPr fontId="2" type="noConversion"/>
  </si>
  <si>
    <t>종속기업
관계기업</t>
    <phoneticPr fontId="2" type="noConversion"/>
  </si>
  <si>
    <t>보험서비스수익
(일반+출재)</t>
    <phoneticPr fontId="2" type="noConversion"/>
  </si>
  <si>
    <t>보험서비스비용
(일반+출재+기타사업비용)</t>
    <phoneticPr fontId="2" type="noConversion"/>
  </si>
  <si>
    <t>보험금융손익
(수익-비용)</t>
    <phoneticPr fontId="2" type="noConversion"/>
  </si>
  <si>
    <t>재보험금융손익
'(수익-비용)</t>
    <phoneticPr fontId="2" type="noConversion"/>
  </si>
  <si>
    <t>CHECK1</t>
    <phoneticPr fontId="2" type="noConversion"/>
  </si>
  <si>
    <t>CHECK2</t>
    <phoneticPr fontId="2" type="noConversion"/>
  </si>
  <si>
    <t>CHECK3</t>
    <phoneticPr fontId="2" type="noConversion"/>
  </si>
  <si>
    <t xml:space="preserve"> 신계약CSM</t>
    <phoneticPr fontId="2" type="noConversion"/>
  </si>
  <si>
    <t xml:space="preserve"> CSM상각</t>
    <phoneticPr fontId="2" type="noConversion"/>
  </si>
  <si>
    <t xml:space="preserve"> 전기CSM</t>
    <phoneticPr fontId="2" type="noConversion"/>
  </si>
  <si>
    <t>재무건전성(최종))</t>
    <phoneticPr fontId="2" type="noConversion"/>
  </si>
  <si>
    <t>손해율</t>
    <phoneticPr fontId="2" type="noConversion"/>
  </si>
  <si>
    <t>수수료수익,임대료수입,기타영업수익/비용</t>
    <phoneticPr fontId="2" type="noConversion"/>
  </si>
  <si>
    <t>결산배당</t>
    <phoneticPr fontId="2" type="noConversion"/>
  </si>
  <si>
    <t>* 비금 포함</t>
    <phoneticPr fontId="2" type="noConversion"/>
  </si>
  <si>
    <t>기준월</t>
    <phoneticPr fontId="2" type="noConversion"/>
  </si>
  <si>
    <t>1. 자산 구성현황</t>
    <phoneticPr fontId="2" type="noConversion"/>
  </si>
  <si>
    <t>(단위 : 억원)</t>
    <phoneticPr fontId="2" type="noConversion"/>
  </si>
  <si>
    <t>구분</t>
    <phoneticPr fontId="2" type="noConversion"/>
  </si>
  <si>
    <t>삼성화재</t>
    <phoneticPr fontId="2" type="noConversion"/>
  </si>
  <si>
    <t>현대해상</t>
    <phoneticPr fontId="2" type="noConversion"/>
  </si>
  <si>
    <t>메리츠화재</t>
    <phoneticPr fontId="2" type="noConversion"/>
  </si>
  <si>
    <t>KB손보</t>
    <phoneticPr fontId="2" type="noConversion"/>
  </si>
  <si>
    <t>DB손보</t>
    <phoneticPr fontId="2" type="noConversion"/>
  </si>
  <si>
    <t>FVPL</t>
    <phoneticPr fontId="2" type="noConversion"/>
  </si>
  <si>
    <t>FVOCI</t>
    <phoneticPr fontId="2" type="noConversion"/>
  </si>
  <si>
    <t>AC</t>
    <phoneticPr fontId="2" type="noConversion"/>
  </si>
  <si>
    <t xml:space="preserve">  - 금융자산비중</t>
    <phoneticPr fontId="2" type="noConversion"/>
  </si>
  <si>
    <t>부채</t>
    <phoneticPr fontId="2" type="noConversion"/>
  </si>
  <si>
    <t>(비중)</t>
    <phoneticPr fontId="2" type="noConversion"/>
  </si>
  <si>
    <t>전기말 대비</t>
    <phoneticPr fontId="2" type="noConversion"/>
  </si>
  <si>
    <t>(증가율)</t>
    <phoneticPr fontId="2" type="noConversion"/>
  </si>
  <si>
    <t>신계약CSM(a)</t>
    <phoneticPr fontId="2" type="noConversion"/>
  </si>
  <si>
    <t>CSM상각액(b)</t>
    <phoneticPr fontId="2" type="noConversion"/>
  </si>
  <si>
    <t>상각액Cover율(a/b)</t>
    <phoneticPr fontId="2" type="noConversion"/>
  </si>
  <si>
    <t>전기말</t>
    <phoneticPr fontId="2" type="noConversion"/>
  </si>
  <si>
    <t>3. 손익현황</t>
    <phoneticPr fontId="2" type="noConversion"/>
  </si>
  <si>
    <t>미래에셋생명</t>
    <phoneticPr fontId="2" type="noConversion"/>
  </si>
  <si>
    <t>사업비
예실차</t>
    <phoneticPr fontId="2" type="noConversion"/>
  </si>
  <si>
    <t>예실차율</t>
    <phoneticPr fontId="2" type="noConversion"/>
  </si>
  <si>
    <t>÷ CSM상각액</t>
    <phoneticPr fontId="2" type="noConversion"/>
  </si>
  <si>
    <t>영업이익</t>
    <phoneticPr fontId="2" type="noConversion"/>
  </si>
  <si>
    <t>세전이익</t>
    <phoneticPr fontId="2" type="noConversion"/>
  </si>
  <si>
    <t>당기순이익</t>
    <phoneticPr fontId="2" type="noConversion"/>
  </si>
  <si>
    <t>ROE</t>
    <phoneticPr fontId="2" type="noConversion"/>
  </si>
  <si>
    <t>전기자기자본</t>
    <phoneticPr fontId="2" type="noConversion"/>
  </si>
  <si>
    <t>자기자본</t>
    <phoneticPr fontId="2" type="noConversion"/>
  </si>
  <si>
    <t>CSM상각액</t>
    <phoneticPr fontId="2" type="noConversion"/>
  </si>
  <si>
    <t>기타</t>
    <phoneticPr fontId="2" type="noConversion"/>
  </si>
  <si>
    <t>삼성생명</t>
    <phoneticPr fontId="2" type="noConversion"/>
  </si>
  <si>
    <t>교보생명</t>
    <phoneticPr fontId="2" type="noConversion"/>
  </si>
  <si>
    <t>한화생명</t>
    <phoneticPr fontId="2" type="noConversion"/>
  </si>
  <si>
    <t>동양생명</t>
    <phoneticPr fontId="2" type="noConversion"/>
  </si>
  <si>
    <t>자산</t>
    <phoneticPr fontId="2" type="noConversion"/>
  </si>
  <si>
    <t>기타포괄</t>
    <phoneticPr fontId="2" type="noConversion"/>
  </si>
  <si>
    <t>2. 재무건전성(잠정치)</t>
    <phoneticPr fontId="2" type="noConversion"/>
  </si>
  <si>
    <t xml:space="preserve"> * 경과조치 전</t>
    <phoneticPr fontId="2" type="noConversion"/>
  </si>
  <si>
    <t>* 예실차율(P/L 기준) = (예상-실제) / 예상,  P/L기준, 보험료배분접근법 적용 제외</t>
  </si>
  <si>
    <t>3-1. CSM 현황</t>
    <phoneticPr fontId="2" type="noConversion"/>
  </si>
  <si>
    <t>(상각률)</t>
    <phoneticPr fontId="2" type="noConversion"/>
  </si>
  <si>
    <t>기간별 상각 
금액 비중</t>
    <phoneticPr fontId="2" type="noConversion"/>
  </si>
  <si>
    <t>1년 이하</t>
  </si>
  <si>
    <t>2~5년</t>
  </si>
  <si>
    <t>10년 초과</t>
  </si>
  <si>
    <t>* CSM상각률 : CSM상각액 / (CSM잔액 + CSM상각액)  * (4 / 분기)</t>
    <phoneticPr fontId="2" type="noConversion"/>
  </si>
  <si>
    <t>* 기간별 상각금액 비중 : 순부채 기준</t>
    <phoneticPr fontId="2" type="noConversion"/>
  </si>
  <si>
    <t>4. 경영효율지표</t>
    <phoneticPr fontId="2" type="noConversion"/>
  </si>
  <si>
    <r>
      <t xml:space="preserve">RAROC </t>
    </r>
    <r>
      <rPr>
        <sz val="10"/>
        <rFont val="KoPub돋움체_Pro Light"/>
        <family val="1"/>
        <charset val="129"/>
      </rPr>
      <t>(연환산)</t>
    </r>
    <phoneticPr fontId="2" type="noConversion"/>
  </si>
  <si>
    <t>÷ 자기자본</t>
    <phoneticPr fontId="2" type="noConversion"/>
  </si>
  <si>
    <t>÷ (요구자본x150%)</t>
    <phoneticPr fontId="2" type="noConversion"/>
  </si>
  <si>
    <t>÷ (요구자본x180%)</t>
    <phoneticPr fontId="2" type="noConversion"/>
  </si>
  <si>
    <r>
      <t xml:space="preserve">CSM
상각액
</t>
    </r>
    <r>
      <rPr>
        <sz val="10"/>
        <rFont val="KoPub돋움체_Pro Light"/>
        <family val="1"/>
        <charset val="129"/>
      </rPr>
      <t>(연환산)</t>
    </r>
    <phoneticPr fontId="2" type="noConversion"/>
  </si>
  <si>
    <t>÷ 자기자본</t>
  </si>
  <si>
    <t>* ROE = 당기순이익 / (회계정책 변경후 기시 자기자본 기준, 분기말 자기자본의 평균) * (4/분기),  RAROC = 신계약CSM ÷ (요구자본x150%) * (4/분기)</t>
    <phoneticPr fontId="2" type="noConversion"/>
  </si>
  <si>
    <t>* 예실차율</t>
    <phoneticPr fontId="2" type="noConversion"/>
  </si>
  <si>
    <t>분류코드</t>
  </si>
  <si>
    <t>계정과목</t>
  </si>
  <si>
    <t>수식</t>
  </si>
  <si>
    <t>일반계정</t>
    <phoneticPr fontId="2" type="noConversion"/>
  </si>
  <si>
    <t>변액보험</t>
    <phoneticPr fontId="2" type="noConversion"/>
  </si>
  <si>
    <t>퇴직보험/연금(원리금)</t>
    <phoneticPr fontId="2" type="noConversion"/>
  </si>
  <si>
    <t>퇴직실적</t>
    <phoneticPr fontId="2" type="noConversion"/>
  </si>
  <si>
    <t>* 공시용</t>
    <phoneticPr fontId="2" type="noConversion"/>
  </si>
  <si>
    <t xml:space="preserve">  [자 산 총 계]</t>
  </si>
  <si>
    <t xml:space="preserve">금    액 </t>
  </si>
  <si>
    <t>　  [현금및현금성자산]</t>
  </si>
  <si>
    <t xml:space="preserve">  I. 현금 및 현금성자산 </t>
  </si>
  <si>
    <t>　  [당기손익-공정가치측정유가증권]</t>
  </si>
  <si>
    <t xml:space="preserve">     1.현금 과 예금</t>
  </si>
  <si>
    <t>　  [당기손익-공정가치측정지정금융자산]</t>
  </si>
  <si>
    <t xml:space="preserve">        (1) 현    금 </t>
  </si>
  <si>
    <t>　  [기타포괄손익-공정가치측정유가증권]</t>
  </si>
  <si>
    <t xml:space="preserve">        (2) 당좌예금</t>
  </si>
  <si>
    <t>　  [상각후원가측정유가증권]</t>
  </si>
  <si>
    <t xml:space="preserve">        (3) 보통예금</t>
  </si>
  <si>
    <t>　  [관계·종속기업투자주식]</t>
  </si>
  <si>
    <t xml:space="preserve">        (4) 정기예금</t>
  </si>
  <si>
    <t>　  [상각후원가측정대출채권]</t>
  </si>
  <si>
    <t xml:space="preserve">        (5) 정기적금</t>
  </si>
  <si>
    <t>　  [당기손익-공정가치측정대출채권]</t>
  </si>
  <si>
    <t xml:space="preserve">        (6) 해외제예금 </t>
  </si>
  <si>
    <t>　  [기타포괄손익-공정가치측정대출채권]</t>
  </si>
  <si>
    <t xml:space="preserve">        (7) 기타예금</t>
  </si>
  <si>
    <t>　  [위험회피회계적용파생상품자산]</t>
  </si>
  <si>
    <t xml:space="preserve">     2.금 전 신 탁 </t>
  </si>
  <si>
    <t>　  [기타금융자산]</t>
  </si>
  <si>
    <t xml:space="preserve">  II. 당기손익-공정가치측정 금융자산</t>
  </si>
  <si>
    <t>　  [비금융자산]</t>
  </si>
  <si>
    <t>특별계정자산</t>
    <phoneticPr fontId="2" type="noConversion"/>
  </si>
  <si>
    <t xml:space="preserve">     1.당기손익-공정가치측정 금융자산</t>
  </si>
  <si>
    <t>　  [매각예정처분자산집단에포함된자산]</t>
  </si>
  <si>
    <t xml:space="preserve">        (1) 당기손익-공정가치측정 유가증권</t>
  </si>
  <si>
    <t>　  [특별계정자산)</t>
  </si>
  <si>
    <t xml:space="preserve">          1) 주식</t>
  </si>
  <si>
    <t>　  Ⅰ.운 용 자 산</t>
  </si>
  <si>
    <t xml:space="preserve">             (가) 상장주식</t>
  </si>
  <si>
    <t>　　    1.현금 및 예치금</t>
  </si>
  <si>
    <t xml:space="preserve">             (나) 기타주식</t>
  </si>
  <si>
    <t>　　　      가.현금과예금</t>
  </si>
  <si>
    <t xml:space="preserve">             (다) 평가이익조정</t>
  </si>
  <si>
    <t>　　　　       (1) 현금</t>
  </si>
  <si>
    <t xml:space="preserve">          2) 출자금 </t>
  </si>
  <si>
    <t>　　　　       (2) 당좌예금</t>
  </si>
  <si>
    <t xml:space="preserve">          3) 국ㆍ공채</t>
  </si>
  <si>
    <t>국내채권</t>
    <phoneticPr fontId="2" type="noConversion"/>
  </si>
  <si>
    <t>　　　　       (3) 보통예금</t>
  </si>
  <si>
    <t xml:space="preserve">             (가) 국 채 </t>
  </si>
  <si>
    <t>　　　　       (4) 정기예금</t>
  </si>
  <si>
    <t xml:space="preserve">             (나) 공 채 </t>
  </si>
  <si>
    <t>　　　　       (5) 정기적금</t>
  </si>
  <si>
    <t xml:space="preserve">          4) 특 수 채 </t>
  </si>
  <si>
    <t>　　　　       (6) 해외제예금</t>
  </si>
  <si>
    <t xml:space="preserve">          5) 금 융 채 </t>
  </si>
  <si>
    <t>　　　　       (7) 기타예금</t>
  </si>
  <si>
    <t xml:space="preserve">          6) 회 사 채 </t>
  </si>
  <si>
    <t>　　　      나.금전신탁</t>
  </si>
  <si>
    <t xml:space="preserve">            (가) 보증사채</t>
  </si>
  <si>
    <t>　　　      다.선물거래예치금</t>
  </si>
  <si>
    <t>일반계정
(신개인 등 포함)</t>
    <phoneticPr fontId="2" type="noConversion"/>
  </si>
  <si>
    <t>퇴직연금/보험</t>
    <phoneticPr fontId="2" type="noConversion"/>
  </si>
  <si>
    <t xml:space="preserve">            (나) 무보증사채 </t>
  </si>
  <si>
    <t>　　　      라.기타예치금</t>
  </si>
  <si>
    <t>당사</t>
    <phoneticPr fontId="2" type="noConversion"/>
  </si>
  <si>
    <t xml:space="preserve">          7) 수익증권</t>
  </si>
  <si>
    <t>수익증권</t>
    <phoneticPr fontId="2" type="noConversion"/>
  </si>
  <si>
    <t>　　    2.유가증권</t>
  </si>
  <si>
    <t>유가증권</t>
    <phoneticPr fontId="2" type="noConversion"/>
  </si>
  <si>
    <t>주식/출자금</t>
    <phoneticPr fontId="2" type="noConversion"/>
  </si>
  <si>
    <t xml:space="preserve">            (가) 수익증권</t>
  </si>
  <si>
    <t>　　　     2-1.당기손익-공정가치측정유가증권</t>
  </si>
  <si>
    <t>해외주식</t>
    <phoneticPr fontId="2" type="noConversion"/>
  </si>
  <si>
    <t xml:space="preserve">            (나) 평가이익조정</t>
  </si>
  <si>
    <t>　　　　      [당기손익-공정가치측정유가증권]</t>
  </si>
  <si>
    <t xml:space="preserve">          8) 외화 유가증권</t>
  </si>
  <si>
    <t>　　　　　         가.주 식</t>
  </si>
  <si>
    <t>해외채권</t>
    <phoneticPr fontId="2" type="noConversion"/>
  </si>
  <si>
    <t xml:space="preserve">            (가) 주 식 </t>
  </si>
  <si>
    <t>　　　　　　          (1) 상장주식</t>
  </si>
  <si>
    <t xml:space="preserve">            (나) 채 권 </t>
  </si>
  <si>
    <t>　　　　　　          (2) 기타</t>
  </si>
  <si>
    <t>외화수익증권</t>
    <phoneticPr fontId="2" type="noConversion"/>
  </si>
  <si>
    <t xml:space="preserve">            (다) 수익증권</t>
  </si>
  <si>
    <t>　　　　　         나.출 자 금</t>
  </si>
  <si>
    <t xml:space="preserve">            (라) 신종유가증권</t>
  </si>
  <si>
    <t>　　　　　         다.국·공채</t>
  </si>
  <si>
    <t xml:space="preserve">            (마) 기타유가증권</t>
  </si>
  <si>
    <t>　　　　　　          (1) 국  채</t>
  </si>
  <si>
    <t xml:space="preserve">            (바) 평가이익조정</t>
  </si>
  <si>
    <t>　　　　　　          (2) 공  채</t>
  </si>
  <si>
    <t xml:space="preserve">          9) 기타 유가증권</t>
  </si>
  <si>
    <t>　　　　　         라.특 수 채</t>
  </si>
  <si>
    <t xml:space="preserve">            (가) 기업어음 등 </t>
  </si>
  <si>
    <t>　　　　　         마.금 융 채</t>
  </si>
  <si>
    <t xml:space="preserve">        (2) 당기손익-공정가치측정지정금융자산 </t>
  </si>
  <si>
    <t>　　　　　         바.회 사 채</t>
  </si>
  <si>
    <t xml:space="preserve">          1) 주 식 </t>
  </si>
  <si>
    <t>　　　　　　          (1) 보증사채</t>
  </si>
  <si>
    <t>　　　　　　          (2) 무보증사채</t>
  </si>
  <si>
    <t>　　　　　         사.수익증권</t>
  </si>
  <si>
    <t xml:space="preserve">             (다) 단기매매기타주식-기타</t>
  </si>
  <si>
    <t>　　　　　         아.외화표시유가증권</t>
  </si>
  <si>
    <t xml:space="preserve">          2) 국ㆍ 공채</t>
  </si>
  <si>
    <t>　　　　　　          (1) 주식</t>
  </si>
  <si>
    <t>　　　　　　          (2) 채권</t>
  </si>
  <si>
    <t>　　　　　　          (3) 수익증권</t>
  </si>
  <si>
    <t xml:space="preserve">          3) 특 수 채 </t>
  </si>
  <si>
    <t>　　　　　　          (4) 신종유가증권</t>
  </si>
  <si>
    <t xml:space="preserve">          4) 금 융 채 </t>
  </si>
  <si>
    <t>　　　　　　          (5) 기타유가증권</t>
  </si>
  <si>
    <t xml:space="preserve">          5) 회 사 채 </t>
  </si>
  <si>
    <t>　　　　　         자.기타유가증권</t>
  </si>
  <si>
    <t xml:space="preserve">             (가) 보증사채</t>
  </si>
  <si>
    <t>　　　　      [당기손익-공정가치측정지정금융자산]</t>
  </si>
  <si>
    <t>□ 당사 FVPL 자산 현황</t>
    <phoneticPr fontId="2" type="noConversion"/>
  </si>
  <si>
    <t xml:space="preserve">             (나) 무보증사채 </t>
  </si>
  <si>
    <t>　　　      2-2.기타포괄손익-공정가치측정유가증권</t>
  </si>
  <si>
    <t>(단위 :억원)</t>
    <phoneticPr fontId="2" type="noConversion"/>
  </si>
  <si>
    <t xml:space="preserve">          6) 수익증권</t>
  </si>
  <si>
    <t>　　　　         가.주 식</t>
  </si>
  <si>
    <t>일반계정
(신개인/자산연계 포함)</t>
    <phoneticPr fontId="2" type="noConversion"/>
  </si>
  <si>
    <t>퇴직보험/
퇴직연금(원리금보장)</t>
    <phoneticPr fontId="2" type="noConversion"/>
  </si>
  <si>
    <t>퇴직연금
(실적배당형)</t>
    <phoneticPr fontId="2" type="noConversion"/>
  </si>
  <si>
    <t>공시용</t>
    <phoneticPr fontId="2" type="noConversion"/>
  </si>
  <si>
    <t xml:space="preserve">          7) 외화 유가증권</t>
  </si>
  <si>
    <t>　　　　　          (1) 상장주식</t>
  </si>
  <si>
    <t xml:space="preserve">FVPL </t>
    <phoneticPr fontId="2" type="noConversion"/>
  </si>
  <si>
    <t xml:space="preserve">             (가) 주 식 </t>
  </si>
  <si>
    <t>　　　　　          (2) 기  타</t>
  </si>
  <si>
    <t xml:space="preserve">             (나) 채 권 </t>
  </si>
  <si>
    <t>　　　　         나.출 자 금</t>
  </si>
  <si>
    <t xml:space="preserve">             (다) 수익증권</t>
  </si>
  <si>
    <t>　　　　         다.국·공채</t>
  </si>
  <si>
    <t xml:space="preserve">             (라) 신종유가증권</t>
  </si>
  <si>
    <t>　　　　　           (1) 국 채</t>
  </si>
  <si>
    <t xml:space="preserve">             (마) 기타유가증권</t>
  </si>
  <si>
    <t>　　　　　           (2) 공 채</t>
  </si>
  <si>
    <t xml:space="preserve">          8) 기타 유가증권</t>
  </si>
  <si>
    <t>　　　　         라.특 수 채</t>
  </si>
  <si>
    <t xml:space="preserve">             (가) 파생결합증권</t>
  </si>
  <si>
    <t>　　　　         마.금 융 채</t>
  </si>
  <si>
    <t xml:space="preserve">        (3) 파생상품자산</t>
  </si>
  <si>
    <t>파생상품자산</t>
    <phoneticPr fontId="2" type="noConversion"/>
  </si>
  <si>
    <t>　　　　         바.회 사 채</t>
  </si>
  <si>
    <t xml:space="preserve">          1) 채무증권</t>
  </si>
  <si>
    <t>　　　　　           (1) 보증사채</t>
  </si>
  <si>
    <t xml:space="preserve">             (가) 통 화 </t>
  </si>
  <si>
    <t>　　　　　           (2) 무보증사채</t>
  </si>
  <si>
    <t xml:space="preserve">                a)통화선도</t>
  </si>
  <si>
    <t>　　　　         사.수익증권</t>
  </si>
  <si>
    <t xml:space="preserve">                b)통화스왑</t>
  </si>
  <si>
    <t>　　　　         아.외화표시유가증권</t>
  </si>
  <si>
    <t xml:space="preserve">                C)평가이익조정</t>
  </si>
  <si>
    <t>　　　　　          (1) 주식</t>
  </si>
  <si>
    <t xml:space="preserve">             (나) 이 자 율 </t>
  </si>
  <si>
    <t>　　　　　          (2) 채권</t>
  </si>
  <si>
    <t xml:space="preserve">             (다) 신 용 </t>
  </si>
  <si>
    <t>　　　　　          (3) 수익증권</t>
  </si>
  <si>
    <t xml:space="preserve"> * 감독회계 기준</t>
    <phoneticPr fontId="2" type="noConversion"/>
  </si>
  <si>
    <t xml:space="preserve">             (라) 주 식 </t>
  </si>
  <si>
    <t>　　　　　          (4) 신종유가증권</t>
  </si>
  <si>
    <t xml:space="preserve"> * 공시기준 FVPL자산 16조 4,320억(파생상품자산, 기타예금 분류 차이)</t>
    <phoneticPr fontId="2" type="noConversion"/>
  </si>
  <si>
    <t>기타예금</t>
    <phoneticPr fontId="2" type="noConversion"/>
  </si>
  <si>
    <t xml:space="preserve">             (마) 기 타</t>
  </si>
  <si>
    <t>　　　　　          (5) 기타유가증권</t>
  </si>
  <si>
    <t>CHECK</t>
    <phoneticPr fontId="2" type="noConversion"/>
  </si>
  <si>
    <t xml:space="preserve">     2.당기손익-공정가치측정 대출채권 및 수취채권</t>
  </si>
  <si>
    <t>　　　　         자.기타유가증권</t>
  </si>
  <si>
    <t xml:space="preserve">       (1) 대출채권 </t>
  </si>
  <si>
    <t>　　　      2-3.상각후원가측정유가증권</t>
  </si>
  <si>
    <t xml:space="preserve">          1) 콜   론 </t>
  </si>
  <si>
    <t>　　　　         (손실충당금)</t>
  </si>
  <si>
    <t xml:space="preserve">          2) 유가증권담보대출금</t>
  </si>
  <si>
    <t>　　　　         가.국·공채</t>
  </si>
  <si>
    <t xml:space="preserve">          3) 수익증권담보대출금</t>
  </si>
  <si>
    <t>　　　　　          (1) 국 채</t>
  </si>
  <si>
    <t xml:space="preserve">          4) 부동산담보대출금</t>
  </si>
  <si>
    <t>　　　　　          (2) 공 채</t>
  </si>
  <si>
    <t xml:space="preserve">          5) 신용대출금</t>
  </si>
  <si>
    <t>　　　　         나.특 수 채</t>
  </si>
  <si>
    <t xml:space="preserve">          6) 어음할인대출금</t>
  </si>
  <si>
    <t>　　　　         다.금 융 채</t>
  </si>
  <si>
    <t xml:space="preserve">          7) 지급보증대출금</t>
  </si>
  <si>
    <t>　　　　         라.회 사 채</t>
  </si>
  <si>
    <t xml:space="preserve">          8) 기타대출금</t>
  </si>
  <si>
    <t>　　　　　          (1) 보증사채</t>
  </si>
  <si>
    <t xml:space="preserve">            (가) 주택보험대출 </t>
  </si>
  <si>
    <t>　　　　　          (2) 무보증사채</t>
  </si>
  <si>
    <t xml:space="preserve">            (나) 사모사채</t>
  </si>
  <si>
    <t>　　　　         마.수익증권</t>
  </si>
  <si>
    <t xml:space="preserve">            (다) CP</t>
  </si>
  <si>
    <t>　　　　         바.외화표시유가증권</t>
  </si>
  <si>
    <t xml:space="preserve">            (라) RP</t>
  </si>
  <si>
    <t>　　　　　          (1) 채권</t>
  </si>
  <si>
    <t xml:space="preserve">            (마) 기   타</t>
  </si>
  <si>
    <t>　　　　　          (2) 수익증권</t>
  </si>
  <si>
    <t xml:space="preserve">       (2) 기타 수취채권</t>
  </si>
  <si>
    <t>　　　　　          (3) 신종유가증권</t>
  </si>
  <si>
    <t xml:space="preserve">          1) 기타예금</t>
  </si>
  <si>
    <t>　　　　　          (4) 기타유가증권</t>
  </si>
  <si>
    <t xml:space="preserve">  III. 기타포괄손익-공정가치측정 금융자산</t>
  </si>
  <si>
    <t>　　　　         사.기타유가증권</t>
  </si>
  <si>
    <t xml:space="preserve">     1.기타포괄손익-공정가치측정금융자산_유가증권</t>
  </si>
  <si>
    <t>　　　      2-4.관계·종속기업투자주식</t>
  </si>
  <si>
    <t>관계종속기업투자주식</t>
    <phoneticPr fontId="2" type="noConversion"/>
  </si>
  <si>
    <t xml:space="preserve">       (1) 주  식 </t>
  </si>
  <si>
    <t>　　　　         [종속기업투자자산]</t>
  </si>
  <si>
    <t xml:space="preserve">       (2) 출 자 금 </t>
  </si>
  <si>
    <t>　　　　         [관계기업투자자산]</t>
  </si>
  <si>
    <t xml:space="preserve">       (3) 국ㆍ공채</t>
  </si>
  <si>
    <t xml:space="preserve">           1) 국 채 </t>
  </si>
  <si>
    <t xml:space="preserve">           2) 공 채 </t>
  </si>
  <si>
    <t>　　　　         다.기 타</t>
  </si>
  <si>
    <t xml:space="preserve">       (4) 특 수 채 </t>
  </si>
  <si>
    <t>　　     3.대 출 채 권</t>
  </si>
  <si>
    <t xml:space="preserve">       (5) 금 융 채 </t>
  </si>
  <si>
    <t>　　　      [당기손익-공정가치측정대출채권]</t>
  </si>
  <si>
    <t xml:space="preserve">       (6) 회 사 채 </t>
  </si>
  <si>
    <t>　　　      [기타포괄손익-공정가치측정대출채권]</t>
  </si>
  <si>
    <t xml:space="preserve">          1) 보증사채</t>
  </si>
  <si>
    <t>　　　      [상각후원가측정대출채권]</t>
  </si>
  <si>
    <t xml:space="preserve">          2) 무보증사채 </t>
  </si>
  <si>
    <t>　　　      (현재가치할인차금)</t>
  </si>
  <si>
    <t xml:space="preserve">       (7) 수익증권</t>
  </si>
  <si>
    <t>　　　      (대손충당금)</t>
  </si>
  <si>
    <t xml:space="preserve">       (8) 외화유가증권</t>
  </si>
  <si>
    <t>　　　      (이연대출부대손익)</t>
  </si>
  <si>
    <t>　　　      가.콜론</t>
  </si>
  <si>
    <t xml:space="preserve">          2) 채 권 </t>
  </si>
  <si>
    <t>　　　      나.유가증권담보대출금</t>
  </si>
  <si>
    <t xml:space="preserve">          3) 수익증권</t>
  </si>
  <si>
    <t>　　　      다.부동산담보대출금</t>
  </si>
  <si>
    <t xml:space="preserve">          4) 신종유가증권</t>
  </si>
  <si>
    <t>　　　      라.신용대출금</t>
  </si>
  <si>
    <t xml:space="preserve">          5) 기타유가증권</t>
  </si>
  <si>
    <t>　　　      마.어음할인대출금</t>
  </si>
  <si>
    <t xml:space="preserve">       (9) 기타 유가증권</t>
  </si>
  <si>
    <t>　　　　       (1) 상업어음할인</t>
  </si>
  <si>
    <t xml:space="preserve">          1) 기업어음등 </t>
  </si>
  <si>
    <t>　　　　       (2) 무역어음할임</t>
  </si>
  <si>
    <t xml:space="preserve">     2.기타포괄손익-공정가치측정금융자산_대출채권 </t>
  </si>
  <si>
    <t>　　　　       (3) 기   타</t>
  </si>
  <si>
    <t xml:space="preserve">       (현재가치할인차금)</t>
  </si>
  <si>
    <t>　　　      바.지급보증대출금</t>
  </si>
  <si>
    <t xml:space="preserve">       (대 손 충 당 금)</t>
  </si>
  <si>
    <t>　　　      사.기타대출금</t>
  </si>
  <si>
    <t xml:space="preserve">       (이연대출부대손익)</t>
  </si>
  <si>
    <t>　　　　       (1) 사모사채</t>
  </si>
  <si>
    <t xml:space="preserve">       (1) 콜   론 </t>
  </si>
  <si>
    <t>　　　　       (2) C P</t>
  </si>
  <si>
    <t xml:space="preserve">       (2) 유가증권담보대출금</t>
  </si>
  <si>
    <t>　　　　       (3) 투자계약 보험계약대출</t>
  </si>
  <si>
    <t xml:space="preserve">       (3) 수익증권담보대출금</t>
  </si>
  <si>
    <t>　　　　       (4) 기타</t>
  </si>
  <si>
    <t xml:space="preserve">       (4) 부동산담보대출금</t>
  </si>
  <si>
    <t>　　     4.부 동 산</t>
  </si>
  <si>
    <t xml:space="preserve">       (5) 신용대출금</t>
  </si>
  <si>
    <t>　　　       (손상차손누계액)</t>
  </si>
  <si>
    <t xml:space="preserve">       (6) 어음할인대출금</t>
  </si>
  <si>
    <t>　　　       [투자부동산]</t>
  </si>
  <si>
    <t xml:space="preserve">       (7) 지급보증대출금</t>
  </si>
  <si>
    <t>　　　　        -투자부동산(토지)</t>
  </si>
  <si>
    <t xml:space="preserve">       (8) 기타대출금</t>
  </si>
  <si>
    <t>　　　　        -투자부동산(건물)</t>
  </si>
  <si>
    <t xml:space="preserve">          1) 주택보험대출 </t>
  </si>
  <si>
    <t>　　　　        -투자부동산(해외부동산)</t>
  </si>
  <si>
    <t xml:space="preserve">          2) 사모사채</t>
  </si>
  <si>
    <t>　　　　        -투자부동산(기타)</t>
  </si>
  <si>
    <t xml:space="preserve">          3) CP</t>
  </si>
  <si>
    <t>　　　       가.토  지</t>
  </si>
  <si>
    <t xml:space="preserve">          4) RP</t>
  </si>
  <si>
    <t>　　　       나.건  물</t>
  </si>
  <si>
    <t xml:space="preserve">          5) 기타</t>
  </si>
  <si>
    <t>　　　　          (감가상각누계액)</t>
  </si>
  <si>
    <t xml:space="preserve">  IV. 상각후원가측정 금융자산</t>
  </si>
  <si>
    <t>　　　       다.구 축 물</t>
  </si>
  <si>
    <t xml:space="preserve">     1.상각후원가측정유가증권</t>
  </si>
  <si>
    <t xml:space="preserve">       (대손충당금)</t>
  </si>
  <si>
    <t>　　　       라.해외부동산</t>
  </si>
  <si>
    <t xml:space="preserve">       (1) 국·공채 </t>
  </si>
  <si>
    <t>　　　　          (1) 토 지</t>
  </si>
  <si>
    <t>　　　　          (2) 건 물</t>
  </si>
  <si>
    <t xml:space="preserve">       (2) 특 수 채 </t>
  </si>
  <si>
    <t>　　　　          (3) 구 축 물</t>
  </si>
  <si>
    <t xml:space="preserve">       (3) 금 융 채 </t>
  </si>
  <si>
    <t>　　　　          (4) 건설중인자산</t>
  </si>
  <si>
    <t xml:space="preserve">       (4) 회 사 채 </t>
  </si>
  <si>
    <t>　　　       마.건설중인자산</t>
  </si>
  <si>
    <t xml:space="preserve">           1) 보증사채</t>
  </si>
  <si>
    <t>　　　       바.기타부동산</t>
  </si>
  <si>
    <t xml:space="preserve">           2) 무보증사채 </t>
  </si>
  <si>
    <t xml:space="preserve">       (5) 수익증권</t>
  </si>
  <si>
    <t>　  Ⅱ.비 운 용 자 산</t>
  </si>
  <si>
    <t xml:space="preserve">       (6) 외화 유가증권</t>
  </si>
  <si>
    <t>　　     1.보험계약자산</t>
  </si>
  <si>
    <t xml:space="preserve">           1) 주 식 </t>
  </si>
  <si>
    <t>　　　       가.잔여보장요소</t>
  </si>
  <si>
    <t xml:space="preserve">           2) 채 권 </t>
  </si>
  <si>
    <t>　　　　        (1) 최선추정</t>
  </si>
  <si>
    <t xml:space="preserve">           3) 수익증권</t>
  </si>
  <si>
    <t>　　　　        (2) 위험조정</t>
  </si>
  <si>
    <t xml:space="preserve">           4) 신종유가증권</t>
  </si>
  <si>
    <t>　　　　        (3) 보험계약마진</t>
  </si>
  <si>
    <t xml:space="preserve">           5) 기타유가증권</t>
  </si>
  <si>
    <t>　　　　        (4) 보험료배분접근법적용</t>
  </si>
  <si>
    <t xml:space="preserve">       (7) 기타 유가증권</t>
  </si>
  <si>
    <t>　　　       나.발생사고요소</t>
  </si>
  <si>
    <t xml:space="preserve">  V. 상각후원가측정 대여금및수취채권 </t>
  </si>
  <si>
    <t xml:space="preserve">     1.대출채권 </t>
  </si>
  <si>
    <t>　　　       다.사전인식 보험취득현금흐름</t>
  </si>
  <si>
    <t>　　　　           (손상차손누계액)</t>
  </si>
  <si>
    <t>　　     2.재보험계약자산</t>
  </si>
  <si>
    <t xml:space="preserve">       (2) 수익증권담보대출금</t>
  </si>
  <si>
    <t xml:space="preserve">       (3) 유가증권담보대출금</t>
  </si>
  <si>
    <t>　　     3.미 수 금</t>
  </si>
  <si>
    <t>　　　       (현재가치할인차금)</t>
  </si>
  <si>
    <t>　　　       (대손충당금)</t>
  </si>
  <si>
    <t xml:space="preserve">          4) 기타</t>
  </si>
  <si>
    <t>　　     4.보 증 금</t>
  </si>
  <si>
    <t xml:space="preserve">     2.기타 수취채권</t>
  </si>
  <si>
    <t xml:space="preserve">       (1) 예 치 금 </t>
  </si>
  <si>
    <t xml:space="preserve">           1) 선물거래예치금 </t>
  </si>
  <si>
    <t>　　　        가.공탁금</t>
  </si>
  <si>
    <t xml:space="preserve">           2) 기타예치금 </t>
  </si>
  <si>
    <t>　　　        나.예탁보증금</t>
  </si>
  <si>
    <t xml:space="preserve">           3) 기    타</t>
  </si>
  <si>
    <t>　　　        다.임차보증금</t>
  </si>
  <si>
    <t xml:space="preserve">       (2) 미 수 금 </t>
  </si>
  <si>
    <t>　　　        라.기타보증금</t>
  </si>
  <si>
    <t xml:space="preserve">          (현재가치할인차금)</t>
  </si>
  <si>
    <t>　　      5.미 수 수 익</t>
  </si>
  <si>
    <t xml:space="preserve">          (대 손 충 당 금)</t>
  </si>
  <si>
    <t>　　　        (대손충당금)</t>
  </si>
  <si>
    <t xml:space="preserve">           1) 미 수 금 </t>
  </si>
  <si>
    <t>　　      6.선 급 비 용</t>
  </si>
  <si>
    <t xml:space="preserve">       (3) 보 증 금 </t>
  </si>
  <si>
    <t>　　      7.선 급 법 인 세</t>
  </si>
  <si>
    <t>　　      8.선 급 부 가 세</t>
  </si>
  <si>
    <t>　　      9.선 급 금</t>
  </si>
  <si>
    <t xml:space="preserve">           1) 공 탁 금 </t>
  </si>
  <si>
    <t>　　　        가.일반선급금</t>
  </si>
  <si>
    <t xml:space="preserve">           2) 예탁보증금 </t>
  </si>
  <si>
    <t>　　　        나.부동산매입선급금</t>
  </si>
  <si>
    <t xml:space="preserve">           3) 임차보증금 </t>
  </si>
  <si>
    <t>　　      10.가 지 급 금</t>
  </si>
  <si>
    <t xml:space="preserve">           4) 전신전화가입권</t>
  </si>
  <si>
    <t xml:space="preserve">       (4) 미 수 수 익 </t>
  </si>
  <si>
    <t>　　　        가.일반가지급금</t>
  </si>
  <si>
    <t>　　　        나.부동산매입가지급금</t>
  </si>
  <si>
    <t xml:space="preserve">           1) 미수수익</t>
  </si>
  <si>
    <t>　　      11.가 지 급 보 험 금</t>
  </si>
  <si>
    <t xml:space="preserve">  VI. 종속기업투자주식</t>
  </si>
  <si>
    <t>　　      12.본 지 점 계 정 차</t>
  </si>
  <si>
    <t xml:space="preserve">      1.주    식 </t>
  </si>
  <si>
    <t>　　      13.차 량 운 반 구</t>
  </si>
  <si>
    <t xml:space="preserve">      2.출 자 금 </t>
  </si>
  <si>
    <t>　　　        (감가상각누계액)</t>
  </si>
  <si>
    <t xml:space="preserve">      3.기    타</t>
  </si>
  <si>
    <t>　　      14.비  품</t>
  </si>
  <si>
    <t xml:space="preserve">  VII. 보험계약자산</t>
  </si>
  <si>
    <t xml:space="preserve">      1.잔여보장자산</t>
  </si>
  <si>
    <t>　　      15.임차점포시설물</t>
  </si>
  <si>
    <t xml:space="preserve">      2.발생사고자산</t>
  </si>
  <si>
    <t xml:space="preserve">        (1) 발생사고자산_O/S</t>
  </si>
  <si>
    <t>　　      16.기타의유형자산</t>
  </si>
  <si>
    <t xml:space="preserve">        (2) 발생사고자산_IBNR</t>
  </si>
  <si>
    <t>　　      17.이연법인세자산</t>
  </si>
  <si>
    <t xml:space="preserve">      3.사전인식 보험취득현금흐름</t>
  </si>
  <si>
    <t>　　      18.파생상품자산</t>
  </si>
  <si>
    <t xml:space="preserve">  VIII. 재보험계약자산 </t>
  </si>
  <si>
    <t>　　　        [매매목적파생상품]</t>
  </si>
  <si>
    <t xml:space="preserve">      1. 잔여보장자산</t>
  </si>
  <si>
    <t>　　　        [헤지목적파생상품]</t>
  </si>
  <si>
    <t xml:space="preserve">      2. 발생사고자산</t>
  </si>
  <si>
    <t>　　　        가.이자율관련</t>
  </si>
  <si>
    <t xml:space="preserve">         (1) 발생사고자산_O/S</t>
  </si>
  <si>
    <t>　　　        나.통화관련</t>
  </si>
  <si>
    <t xml:space="preserve">         (2) 발생사고자산_IBNR</t>
  </si>
  <si>
    <t>　　　        다.주식관련</t>
  </si>
  <si>
    <t xml:space="preserve">  IX. 유형자산</t>
  </si>
  <si>
    <t>　　　        라.신용관련</t>
  </si>
  <si>
    <t xml:space="preserve">      1.토  지</t>
  </si>
  <si>
    <t>　　　        마.기타</t>
  </si>
  <si>
    <t xml:space="preserve">        (손상차손누계액)</t>
  </si>
  <si>
    <t>　　      19.무 형 자 산</t>
  </si>
  <si>
    <t xml:space="preserve">        (1) 토지</t>
  </si>
  <si>
    <t>　　　        (손상차손누계액)</t>
  </si>
  <si>
    <t xml:space="preserve">      2.건  물 </t>
  </si>
  <si>
    <t>　　　        가.영업권</t>
  </si>
  <si>
    <t>　　　        나.소프트웨어</t>
  </si>
  <si>
    <t xml:space="preserve">        (감가상각누계액)</t>
  </si>
  <si>
    <t>　　　        다.개발비</t>
  </si>
  <si>
    <t xml:space="preserve">        (1) 건물</t>
  </si>
  <si>
    <t>　　　        라.기타의무형자산</t>
  </si>
  <si>
    <t xml:space="preserve">      3.구 축 물 </t>
  </si>
  <si>
    <t>　　      20.어 음</t>
  </si>
  <si>
    <t>　　　        가.받을어음</t>
  </si>
  <si>
    <t xml:space="preserve">        (1) 구축물 </t>
  </si>
  <si>
    <t>　　　        나.부도어음</t>
  </si>
  <si>
    <t xml:space="preserve">      4.건 설 중 인 자 산 </t>
  </si>
  <si>
    <t>　　      21.순확정급여자산</t>
  </si>
  <si>
    <t xml:space="preserve">      5.차 량 운 반 구 </t>
  </si>
  <si>
    <t>　　      22.기타의비운용자산</t>
  </si>
  <si>
    <t>　　　        가.기타의비운용자산</t>
  </si>
  <si>
    <t xml:space="preserve">        (1) 차량운반구 </t>
  </si>
  <si>
    <t>　　　        나.일반계정미수금</t>
  </si>
  <si>
    <t xml:space="preserve">      6.비  품 </t>
  </si>
  <si>
    <t>　   Ⅲ.특별계정자산</t>
  </si>
  <si>
    <t>　　     (특별계정미지급금-실적배당형퇴직연금)</t>
  </si>
  <si>
    <t xml:space="preserve">        (1) 비품</t>
  </si>
  <si>
    <t>　　     (특별계정미지급금-변액보험)</t>
  </si>
  <si>
    <t xml:space="preserve">      7.임 차 점 포 시 설 물 </t>
  </si>
  <si>
    <t>　　     1.실적배당형퇴직연금</t>
  </si>
  <si>
    <t>　　     2.변액보험</t>
  </si>
  <si>
    <t xml:space="preserve">        (1) 임차점포시설물 </t>
  </si>
  <si>
    <t xml:space="preserve">  [부 채 총 계]</t>
  </si>
  <si>
    <t xml:space="preserve">      8.기타의 유형자산</t>
  </si>
  <si>
    <t>　  [보험계약부채]</t>
  </si>
  <si>
    <t>　  [재보험계약부채]</t>
  </si>
  <si>
    <t>　  [투자계약부채]</t>
  </si>
  <si>
    <t xml:space="preserve">        (1) 기타의 유형자산</t>
  </si>
  <si>
    <t>　  [당기손익-공정가치측정금융부채]</t>
  </si>
  <si>
    <t xml:space="preserve">        (2) 사 용 권 자 산 </t>
  </si>
  <si>
    <t>　  [당기손익-공정가치측정지정금융부채]</t>
  </si>
  <si>
    <t xml:space="preserve">      9.기 타 부 동 산 </t>
  </si>
  <si>
    <t>　  [상각후원가측정금융부채]</t>
  </si>
  <si>
    <t>　  [위험회피회계적용파생상품부채]</t>
  </si>
  <si>
    <t xml:space="preserve">        (1) 기타부동산</t>
  </si>
  <si>
    <t>　  [비금융부채]</t>
  </si>
  <si>
    <t xml:space="preserve">      10.해 외 부 동 산 </t>
  </si>
  <si>
    <t>　  [매각예정처분자산집단에포함된부채]</t>
  </si>
  <si>
    <t>　  [특별계정부채]</t>
  </si>
  <si>
    <t>　  Ⅰ.책 임 준 비 금</t>
  </si>
  <si>
    <t xml:space="preserve">        (1) 해외부동산</t>
  </si>
  <si>
    <t>　　     1.보험계약부채</t>
  </si>
  <si>
    <t xml:space="preserve">  X. 투 자 부 동 산 </t>
  </si>
  <si>
    <t>　　　      [보험계약대출]</t>
  </si>
  <si>
    <t xml:space="preserve">      1.토   지</t>
  </si>
  <si>
    <t>　　　      [계약자배당부채]</t>
  </si>
  <si>
    <t>　　　　       - 계약자배당준비금</t>
  </si>
  <si>
    <t>　　　　       - 계약자이익배당준비금</t>
  </si>
  <si>
    <t xml:space="preserve">      2.건   물 </t>
  </si>
  <si>
    <t>　　　　       - 배당보험손실보전준비금</t>
  </si>
  <si>
    <t>　　　　       - 계약자배당안정화준비금</t>
  </si>
  <si>
    <t>　　　      [보증준비금]</t>
  </si>
  <si>
    <t>　　　      가.잔여보장요소</t>
  </si>
  <si>
    <t>　　　　       (1) 최선추정</t>
  </si>
  <si>
    <t>　　　　       (2) 위험조정</t>
  </si>
  <si>
    <t>　　　　       (3) 보험계약마진</t>
  </si>
  <si>
    <t>　　　　       (4) 보험료배분접근법적용</t>
  </si>
  <si>
    <t xml:space="preserve">      4.기타 부동산</t>
  </si>
  <si>
    <t>　　　      나.발생사고요소</t>
  </si>
  <si>
    <t xml:space="preserve">      5.해외 부동산</t>
  </si>
  <si>
    <t>　　     2.재보험계약부채</t>
  </si>
  <si>
    <t xml:space="preserve">        (2) 건물</t>
  </si>
  <si>
    <t xml:space="preserve">        (3) 구축물 </t>
  </si>
  <si>
    <t xml:space="preserve">        (4) 건설중인자산</t>
  </si>
  <si>
    <t xml:space="preserve">  XI. 무 형 자 산 </t>
  </si>
  <si>
    <t xml:space="preserve">      (손상차손누계액)</t>
  </si>
  <si>
    <t xml:space="preserve">       1.영 업 권 </t>
  </si>
  <si>
    <t>　　     3.투자계약부채</t>
  </si>
  <si>
    <t xml:space="preserve">       2.소프트웨어 </t>
  </si>
  <si>
    <t>　   II.기 타 부 채</t>
  </si>
  <si>
    <t xml:space="preserve">       3.개 발 비 </t>
  </si>
  <si>
    <t>　　     [당기손익-공정가치측정지정 금융부채]</t>
  </si>
  <si>
    <t xml:space="preserve">       4.기타의무형자산 </t>
  </si>
  <si>
    <t>　　      1.미지급금</t>
  </si>
  <si>
    <t xml:space="preserve">       5.기    타</t>
  </si>
  <si>
    <t>　　      2.미지급비용</t>
  </si>
  <si>
    <t xml:space="preserve">         (1) 관리운영권</t>
  </si>
  <si>
    <t>　　      3.미지급법인세</t>
  </si>
  <si>
    <t xml:space="preserve">         (2) 국고보조금 </t>
  </si>
  <si>
    <t>　　      4.당좌차월</t>
  </si>
  <si>
    <t xml:space="preserve">  XII. 당 기 법 인 세 자 산 </t>
  </si>
  <si>
    <t>　　      5.차입금</t>
  </si>
  <si>
    <t xml:space="preserve">  XIII. 이 연 법 인 세 자 산 </t>
  </si>
  <si>
    <t>　　　        가.콜머니</t>
  </si>
  <si>
    <t xml:space="preserve">  XIV.  기 타 자 산 </t>
  </si>
  <si>
    <t>　　　        나.RP매도</t>
  </si>
  <si>
    <t xml:space="preserve">       1.선 급 비 용 </t>
  </si>
  <si>
    <t>　　　        다.후순위차입</t>
  </si>
  <si>
    <t xml:space="preserve">       2.선 급 부 가 세 </t>
  </si>
  <si>
    <t>　　　        라.기업어음의발행</t>
  </si>
  <si>
    <t xml:space="preserve">       3.선 급 금 </t>
  </si>
  <si>
    <t xml:space="preserve">       4.가 지 급 금 </t>
  </si>
  <si>
    <t>　　      6.사  채</t>
  </si>
  <si>
    <t>　　　        가.후순위채권</t>
  </si>
  <si>
    <t xml:space="preserve">        (1) 금융리스채권</t>
  </si>
  <si>
    <t>　　　        나.일반채권</t>
  </si>
  <si>
    <t xml:space="preserve">       6.가지급보험금</t>
  </si>
  <si>
    <t>　　      7.선 수 금</t>
  </si>
  <si>
    <t xml:space="preserve">       7.기타의 비운용자산 </t>
  </si>
  <si>
    <t>　　      8.선수수익</t>
  </si>
  <si>
    <t xml:space="preserve">       8.본지점 계정차 </t>
  </si>
  <si>
    <t>　　      9.예 수 금</t>
  </si>
  <si>
    <t>　　      10.미지급부가세</t>
  </si>
  <si>
    <t xml:space="preserve">  I. 보 험 계 약 부 채 </t>
  </si>
  <si>
    <t>　　      11.가 수 금</t>
  </si>
  <si>
    <t xml:space="preserve">      1.잔여보장부채 </t>
  </si>
  <si>
    <t>　　      12.가수보험료</t>
  </si>
  <si>
    <t xml:space="preserve">      2.발생사고부채 </t>
  </si>
  <si>
    <t>　　      13.본지점계정대</t>
  </si>
  <si>
    <t xml:space="preserve">         (1) 발생사고부채_O/S</t>
  </si>
  <si>
    <t>　　      14.이연법인세부채</t>
  </si>
  <si>
    <t xml:space="preserve">         (2) 발생사고부채_IBNR</t>
  </si>
  <si>
    <t>　　      15.임 대 보 증 금</t>
  </si>
  <si>
    <t xml:space="preserve">  II. 재 보 험 계 약 부 채 </t>
  </si>
  <si>
    <t>　　　         (현재가치할인차금)</t>
  </si>
  <si>
    <t xml:space="preserve">       1. 잔여보장부채 </t>
  </si>
  <si>
    <t>　　      16.순확정급여채무</t>
  </si>
  <si>
    <t xml:space="preserve">       2. 발생사고부채 </t>
  </si>
  <si>
    <t>　　　         가.확정급여채무</t>
  </si>
  <si>
    <t>　　　         나.미인식보험수리적손익</t>
  </si>
  <si>
    <t>　　　         다.미인식과거근무원가</t>
  </si>
  <si>
    <t xml:space="preserve">  III.투 자 계 약 부 채 </t>
  </si>
  <si>
    <t>　　　         라.사외적립자산</t>
  </si>
  <si>
    <t xml:space="preserve">       1. 퇴직보험</t>
  </si>
  <si>
    <t>　　　　          (1) 퇴직연금운용자산</t>
  </si>
  <si>
    <t xml:space="preserve">       2. 퇴직연금</t>
  </si>
  <si>
    <t>　　　　          (2) 기타사외적립자산</t>
  </si>
  <si>
    <t xml:space="preserve">  IV. 당 기 손 익 인 식 금 융 부 채 </t>
  </si>
  <si>
    <t>　　      17.파생상품부채</t>
  </si>
  <si>
    <t xml:space="preserve">      1.매매목적파생상품부채 </t>
  </si>
  <si>
    <t>　　　         [매매목적파생상품]</t>
  </si>
  <si>
    <t xml:space="preserve">        (1) 이자율관련 </t>
  </si>
  <si>
    <t>　　　         [헤지목적파생상품]</t>
  </si>
  <si>
    <t xml:space="preserve">        (2) 통화관련 </t>
  </si>
  <si>
    <t>　　　          가.이자율관련</t>
  </si>
  <si>
    <t xml:space="preserve">        (3) 주식관련 </t>
  </si>
  <si>
    <t>　　　          나.통화관련</t>
  </si>
  <si>
    <t xml:space="preserve">        (4) 신용관련 </t>
  </si>
  <si>
    <t>　　　          다.주식관련</t>
  </si>
  <si>
    <t xml:space="preserve">        (5) 기    타</t>
  </si>
  <si>
    <t>　　　          라.신용관련</t>
  </si>
  <si>
    <t xml:space="preserve">        (6) 평가손실지정 </t>
  </si>
  <si>
    <t>　　　          마.기타</t>
  </si>
  <si>
    <t xml:space="preserve">      2.헤지목적파생상품부채 </t>
  </si>
  <si>
    <t>　　      18.신 탁 계 정 차</t>
  </si>
  <si>
    <t>　　      19.복구충당부채</t>
  </si>
  <si>
    <t>　　      20.채무보증충당부채</t>
  </si>
  <si>
    <t>　　      21.요구불상환지분</t>
  </si>
  <si>
    <t>　　　         가.상환우선주</t>
  </si>
  <si>
    <t>　　　         나.기타</t>
  </si>
  <si>
    <t xml:space="preserve">  V. 차 입 부 채 </t>
  </si>
  <si>
    <t>　　      22.지 급 어 음</t>
  </si>
  <si>
    <t xml:space="preserve">     1.차 입 금 </t>
  </si>
  <si>
    <t>　　      23.자산재평가계약자지분</t>
  </si>
  <si>
    <t xml:space="preserve">       (1) 콜머니 </t>
  </si>
  <si>
    <t>　　　         가.공익사업출연기금</t>
  </si>
  <si>
    <t xml:space="preserve">       (2) RP매도</t>
  </si>
  <si>
    <t>　　　         나.재평가적립금</t>
  </si>
  <si>
    <t xml:space="preserve">       (3) 후순위차입 </t>
  </si>
  <si>
    <t>　　      24.그밖의 기타부채</t>
  </si>
  <si>
    <t xml:space="preserve">       (4) 기업어음의발행 </t>
  </si>
  <si>
    <t>　　　         가.그밖의 기타부채</t>
  </si>
  <si>
    <t xml:space="preserve">       (5) 기  타</t>
  </si>
  <si>
    <t>　　　         나.일반계정미지급금</t>
  </si>
  <si>
    <t xml:space="preserve">     2.사    채 </t>
  </si>
  <si>
    <t>　   III.특 별 계 정 부 채</t>
  </si>
  <si>
    <t xml:space="preserve">       (1) 후순위채권 </t>
  </si>
  <si>
    <t>　　      (특별계정미수금-실적배당형퇴직연금)</t>
  </si>
  <si>
    <t xml:space="preserve">       (2) 일반채권</t>
  </si>
  <si>
    <t>　　      (특별계정미수금-변액보험)</t>
  </si>
  <si>
    <t xml:space="preserve">  VI. 확 정 급 여 채 무 </t>
  </si>
  <si>
    <t>　　      1.실적배당형퇴직연금</t>
  </si>
  <si>
    <t xml:space="preserve">     1.확정급여채무</t>
  </si>
  <si>
    <t>　　      2.변액보험</t>
  </si>
  <si>
    <t xml:space="preserve">     2.국민연금전환금 </t>
  </si>
  <si>
    <t xml:space="preserve">  [자 본 총 계]</t>
  </si>
  <si>
    <t xml:space="preserve">     3.퇴직보험예치금 </t>
  </si>
  <si>
    <t>　   Ⅰ.자 본 금</t>
  </si>
  <si>
    <t xml:space="preserve">     4.단체퇴직급여충당금 </t>
  </si>
  <si>
    <t>　　      [수권주식수]</t>
  </si>
  <si>
    <t xml:space="preserve">     5.미인식보험수리적손익</t>
  </si>
  <si>
    <t>　　      [발행주식수]</t>
  </si>
  <si>
    <t xml:space="preserve">     6.미인식과거근무원가</t>
  </si>
  <si>
    <t>　　       1.보통주자본금</t>
  </si>
  <si>
    <t xml:space="preserve">     7.사외적립자산</t>
  </si>
  <si>
    <t>　　        [발행보통주식수]</t>
  </si>
  <si>
    <t xml:space="preserve">       (1) 퇴직연금운용자산</t>
  </si>
  <si>
    <t>　　       2.우선주자본금</t>
  </si>
  <si>
    <t xml:space="preserve">       (2) 기타사외적립자산</t>
  </si>
  <si>
    <t>　　        [발행우선주식수]</t>
  </si>
  <si>
    <t xml:space="preserve">  VII. 충 당 부 채 </t>
  </si>
  <si>
    <t>　    Ⅱ.자 본 잉 여 금</t>
  </si>
  <si>
    <t xml:space="preserve">     1.복구충당부채 </t>
  </si>
  <si>
    <t>　　       1.주식발행초과금</t>
  </si>
  <si>
    <t xml:space="preserve">     2.채무보증충당부채 </t>
  </si>
  <si>
    <t>　　       2.감 자 차 익</t>
  </si>
  <si>
    <t xml:space="preserve">     3.기타충당부채 </t>
  </si>
  <si>
    <t>　　       3.재평가적립금</t>
  </si>
  <si>
    <t xml:space="preserve">       (1) 미사용약정충당금</t>
  </si>
  <si>
    <t>　　       4.기타자본잉여금</t>
  </si>
  <si>
    <t xml:space="preserve">       (2) 기      타</t>
  </si>
  <si>
    <t>　    III.신 종 자 본 증 권</t>
  </si>
  <si>
    <t xml:space="preserve">  VIII. 이 연 법 인 세 부 채 </t>
  </si>
  <si>
    <t>　　       (할인발행차금)(-)</t>
  </si>
  <si>
    <t xml:space="preserve">  IX.  기 타 부 채 </t>
  </si>
  <si>
    <t>　　       (할증발행차금)(+)</t>
  </si>
  <si>
    <t xml:space="preserve">      1.미 지 급 금 </t>
  </si>
  <si>
    <t xml:space="preserve">      2.미 지 급 비 용 </t>
  </si>
  <si>
    <t>　　       1.기타포괄손익-공정가치측정금융상품평가손익</t>
  </si>
  <si>
    <t xml:space="preserve">      3.선 수 금 </t>
  </si>
  <si>
    <t xml:space="preserve">      4.선 수 수 익 </t>
  </si>
  <si>
    <t xml:space="preserve">      5.예 수 금 </t>
  </si>
  <si>
    <t>　    V.이 익 잉 여 금</t>
  </si>
  <si>
    <t xml:space="preserve">      6.미 지 급 부 가 세 </t>
  </si>
  <si>
    <t>　　       1.이익준비금</t>
  </si>
  <si>
    <t xml:space="preserve">      7.미 지 급 법 인 세 </t>
  </si>
  <si>
    <t>　　       2.기타법정적립금</t>
  </si>
  <si>
    <t xml:space="preserve">      8.가 수 보 험 료 </t>
  </si>
  <si>
    <t>　　　         가.기업합리화적립금</t>
  </si>
  <si>
    <t xml:space="preserve">      9.임 대 보 증 금 </t>
  </si>
  <si>
    <t>　　       3.대손준비금</t>
  </si>
  <si>
    <t xml:space="preserve">        (1) (현재가치할인차금)</t>
  </si>
  <si>
    <t>　　       4.임의적립금</t>
  </si>
  <si>
    <t xml:space="preserve">        (2) 임대보증금 </t>
  </si>
  <si>
    <t>　　       5.처분전이익잉여금(처리전결손금)</t>
  </si>
  <si>
    <t xml:space="preserve">     10.신 탁 계 정 차 </t>
  </si>
  <si>
    <t>　　　          (당기순이익또는당기순손실)</t>
  </si>
  <si>
    <t xml:space="preserve">     11.요 구 불 상 환 지 분 </t>
  </si>
  <si>
    <t>　　       6.비상위험준비금</t>
  </si>
  <si>
    <t xml:space="preserve">        (1) 상환우선주 </t>
  </si>
  <si>
    <t>　　       7.해약환급금준비금</t>
  </si>
  <si>
    <t xml:space="preserve">        (2) 기타</t>
  </si>
  <si>
    <t>　　       8.보증준비금</t>
  </si>
  <si>
    <t xml:space="preserve">     12.그밖의 기타부채 </t>
  </si>
  <si>
    <t>　    VI.자 본 조 정</t>
  </si>
  <si>
    <t xml:space="preserve">        (1) 현재가치할인차금 </t>
  </si>
  <si>
    <t>　　       1.주식할인발행차금</t>
  </si>
  <si>
    <t xml:space="preserve">        (2) 그밖의기타부채 </t>
  </si>
  <si>
    <t>　　       2.자 기 주 식</t>
  </si>
  <si>
    <t xml:space="preserve">     13.당  좌  차  월 </t>
  </si>
  <si>
    <t>　　       3.기 타 자 본 조 정</t>
  </si>
  <si>
    <t xml:space="preserve">     14.본 지 점 계 정 대</t>
  </si>
  <si>
    <t>　    VII.기타포괄손익누계액</t>
  </si>
  <si>
    <t xml:space="preserve">     15.자산재평가계약자지분 </t>
  </si>
  <si>
    <t xml:space="preserve">        (1) 공익사업출연기금</t>
  </si>
  <si>
    <t>　　          [지분상품평가손익]</t>
  </si>
  <si>
    <t xml:space="preserve">        (2) 재평가적립금 </t>
  </si>
  <si>
    <t>　　       2.기타포괄손익-공정가치측정채무상품손실충당금</t>
  </si>
  <si>
    <t>　　       3.관계·종속기업투자주식평가손익</t>
  </si>
  <si>
    <t xml:space="preserve">  I. 자 본 금 </t>
  </si>
  <si>
    <t>　　       4.보험계약자산(부채)순금융손익</t>
  </si>
  <si>
    <t xml:space="preserve">     1.보통주 </t>
  </si>
  <si>
    <t>　　       5.재보험계약자산(부채)순금융손익</t>
  </si>
  <si>
    <t xml:space="preserve">     2.우선주 </t>
  </si>
  <si>
    <t>　　       6.해외사업환산손익</t>
  </si>
  <si>
    <t xml:space="preserve">  II. 자 본 잉 여 금 </t>
  </si>
  <si>
    <t>　　       7.위험회피파생상품평가손익</t>
  </si>
  <si>
    <t xml:space="preserve">     1.주식발행초과금 </t>
  </si>
  <si>
    <t>　　　         가.현금흐름위험회피평가이익</t>
  </si>
  <si>
    <t xml:space="preserve">     2.감 자 차 익 </t>
  </si>
  <si>
    <t>　　　         나.현금흐름위험회피평가손실</t>
  </si>
  <si>
    <t xml:space="preserve">     3.재평가적립금 </t>
  </si>
  <si>
    <t>　　　         다.공정가치위험회피평가이익</t>
  </si>
  <si>
    <t xml:space="preserve">     4.기타자본잉여금 </t>
  </si>
  <si>
    <t>　　　         라.공정가치위험회피평가손실</t>
  </si>
  <si>
    <t xml:space="preserve">  III. 계 약 자 지 분 조 정 </t>
  </si>
  <si>
    <t>　　　         마.공정가치위험회피평가손익_법인세조정</t>
  </si>
  <si>
    <t xml:space="preserve">     1.기타포괄손익-공정가치측정금융자산평가손익</t>
  </si>
  <si>
    <t>　　       8.재 평 가 잉 여 금</t>
  </si>
  <si>
    <t xml:space="preserve">     2.관계·종속기업투자주식평가손익</t>
  </si>
  <si>
    <t>　　       9.보 험 수 리 적 손 익</t>
  </si>
  <si>
    <t xml:space="preserve">     3.재 평 가 잉 여 금 </t>
  </si>
  <si>
    <t>　　       10.기     타</t>
  </si>
  <si>
    <t xml:space="preserve">  IV. 이 익 잉 여 금 </t>
  </si>
  <si>
    <t>* [부채 와 자본 총 계]</t>
  </si>
  <si>
    <t>@0M@</t>
  </si>
  <si>
    <t xml:space="preserve">     1.이익준비금</t>
  </si>
  <si>
    <t xml:space="preserve">     2.기타법정적립금 </t>
  </si>
  <si>
    <t xml:space="preserve">     3.대손준비금</t>
  </si>
  <si>
    <t xml:space="preserve">     4.임의적립금 </t>
  </si>
  <si>
    <t xml:space="preserve">     5.처분전이익잉여금(처리전결손금)</t>
  </si>
  <si>
    <t xml:space="preserve">     6.이익잉여금(보험수리적손익)</t>
  </si>
  <si>
    <t xml:space="preserve">     7.해약환급금준비금</t>
  </si>
  <si>
    <t xml:space="preserve">     8.보증준비금</t>
  </si>
  <si>
    <t xml:space="preserve">  V. 자 본 조 정 </t>
  </si>
  <si>
    <t xml:space="preserve">     1.주식할인발행차금</t>
  </si>
  <si>
    <t xml:space="preserve">     2.자 기 주 식 </t>
  </si>
  <si>
    <t xml:space="preserve">     3.기타자본조정</t>
  </si>
  <si>
    <t xml:space="preserve">  VI. 기 타 포 괄 손 익 누 계 액 </t>
  </si>
  <si>
    <t xml:space="preserve">     2.기타포괄손익-공정가치측정금융자산대손충당금</t>
  </si>
  <si>
    <t xml:space="preserve">     3.기타포괄손익-공정가치측정금융자산환산손익 </t>
  </si>
  <si>
    <t xml:space="preserve">     4.당기손익-공정가치측정지정금융부채평가손익</t>
  </si>
  <si>
    <t xml:space="preserve">     5.보험계약자산(부채) 순금융손익 </t>
  </si>
  <si>
    <t xml:space="preserve">     (1)일반보험금융가정변동기타포괄이익</t>
  </si>
  <si>
    <t xml:space="preserve">      1)일반보험금융가정변동기타포괄이익_잔여보장</t>
  </si>
  <si>
    <t xml:space="preserve">      2)일반보험금융가정변동기타포괄이익_발생사고</t>
  </si>
  <si>
    <t xml:space="preserve">     (2)일반보험금융가정변동기타포괄손실</t>
  </si>
  <si>
    <t xml:space="preserve">      1)일반보험금융가정변동기타포괄손실_잔여보장</t>
  </si>
  <si>
    <t xml:space="preserve">      2)일반보험금융가정변동기타포괄손실_발생사고</t>
  </si>
  <si>
    <t xml:space="preserve">     6.재보험계약자산(부채) 순금융손익 </t>
  </si>
  <si>
    <t xml:space="preserve">     (1)재보험금융가정변동기타포괄이익</t>
  </si>
  <si>
    <t xml:space="preserve">      1)재보험금융가정변동기타포괄이익_잔여보장</t>
  </si>
  <si>
    <t xml:space="preserve">      2)재보험금융가정변동기타포괄이익_발생사고</t>
  </si>
  <si>
    <t xml:space="preserve">     (2)재보험금융가정변동기타포괄손실</t>
  </si>
  <si>
    <t xml:space="preserve">      1)재보험금융가정변동기타포괄손실_잔여보장</t>
  </si>
  <si>
    <t xml:space="preserve">      2)재보험금융가정변동기타포괄손실_발생사고</t>
  </si>
  <si>
    <t xml:space="preserve">     7.관계·종속기업투자주식평가손익</t>
  </si>
  <si>
    <t xml:space="preserve">     8.해외사업환산손익</t>
  </si>
  <si>
    <t xml:space="preserve">     9.현금흐름위험회피파생상품평가손익</t>
  </si>
  <si>
    <t xml:space="preserve">     (1)현금흐름위험회피평가이익</t>
  </si>
  <si>
    <t xml:space="preserve">     (2)현금흐름위험회피평가손실</t>
  </si>
  <si>
    <t xml:space="preserve">     (3)현금흐름위험회피파생상품평가손익_법인세조정 </t>
  </si>
  <si>
    <t xml:space="preserve">     10.재평가잉여금 </t>
  </si>
  <si>
    <t xml:space="preserve">     11.기타</t>
  </si>
  <si>
    <t>* [부 채 와 자 본 총 계]</t>
  </si>
  <si>
    <t>* 전기기타포괄</t>
    <phoneticPr fontId="2" type="noConversion"/>
  </si>
  <si>
    <t>경과조치 전</t>
    <phoneticPr fontId="2" type="noConversion"/>
  </si>
  <si>
    <t>가업결합 등</t>
    <phoneticPr fontId="2" type="noConversion"/>
  </si>
  <si>
    <t>기타 배당(신종자본증권 등)</t>
    <phoneticPr fontId="2" type="noConversion"/>
  </si>
  <si>
    <t>24.3월부터</t>
    <phoneticPr fontId="2" type="noConversion"/>
  </si>
  <si>
    <t>1) 결산배당</t>
    <phoneticPr fontId="2" type="noConversion"/>
  </si>
  <si>
    <t>2) 기타배당</t>
    <phoneticPr fontId="2" type="noConversion"/>
  </si>
  <si>
    <t>배당합계</t>
    <phoneticPr fontId="2" type="noConversion"/>
  </si>
  <si>
    <t xml:space="preserve"> 배당제외 자본증가금액</t>
    <phoneticPr fontId="2" type="noConversion"/>
  </si>
  <si>
    <t>* 전기자기자본</t>
    <phoneticPr fontId="2" type="noConversion"/>
  </si>
  <si>
    <t xml:space="preserve"> - 전기대비 증감</t>
    <phoneticPr fontId="2" type="noConversion"/>
  </si>
  <si>
    <t xml:space="preserve">    - 배당제외 기준 자본증가율</t>
    <phoneticPr fontId="2" type="noConversion"/>
  </si>
  <si>
    <t>CSM조정</t>
    <phoneticPr fontId="2" type="noConversion"/>
  </si>
  <si>
    <t>이자부리 등 
보험금융손익</t>
    <phoneticPr fontId="2" type="noConversion"/>
  </si>
  <si>
    <t>3. 재무건전성(확정치)</t>
    <phoneticPr fontId="2" type="noConversion"/>
  </si>
  <si>
    <t>사업비</t>
    <phoneticPr fontId="2" type="noConversion"/>
  </si>
  <si>
    <t>보험취득현금흐름</t>
    <phoneticPr fontId="2" type="noConversion"/>
  </si>
  <si>
    <t>계약유지비용</t>
    <phoneticPr fontId="2" type="noConversion"/>
  </si>
  <si>
    <t>투자관리비용</t>
    <phoneticPr fontId="2" type="noConversion"/>
  </si>
  <si>
    <t>손해조사비용</t>
    <phoneticPr fontId="2" type="noConversion"/>
  </si>
  <si>
    <t>합계</t>
    <phoneticPr fontId="2" type="noConversion"/>
  </si>
  <si>
    <t>기타사업비</t>
    <phoneticPr fontId="2" type="noConversion"/>
  </si>
  <si>
    <t>신계약비</t>
    <phoneticPr fontId="2" type="noConversion"/>
  </si>
  <si>
    <t>유지비</t>
    <phoneticPr fontId="2" type="noConversion"/>
  </si>
  <si>
    <t>재산관리비</t>
    <phoneticPr fontId="2" type="noConversion"/>
  </si>
  <si>
    <t>사업비 총계</t>
    <phoneticPr fontId="2" type="noConversion"/>
  </si>
  <si>
    <t>취득현금흐름</t>
    <phoneticPr fontId="2" type="noConversion"/>
  </si>
  <si>
    <t>비례수당</t>
    <phoneticPr fontId="2" type="noConversion"/>
  </si>
  <si>
    <t>판촉비</t>
    <phoneticPr fontId="2" type="noConversion"/>
  </si>
  <si>
    <t>기타</t>
    <phoneticPr fontId="2" type="noConversion"/>
  </si>
  <si>
    <t>회수예상액</t>
    <phoneticPr fontId="2" type="noConversion"/>
  </si>
  <si>
    <t>1~2년</t>
    <phoneticPr fontId="2" type="noConversion"/>
  </si>
  <si>
    <t>2~5년</t>
    <phoneticPr fontId="2" type="noConversion"/>
  </si>
  <si>
    <t>해외사업환산손익</t>
    <phoneticPr fontId="2" type="noConversion"/>
  </si>
  <si>
    <t>* 기타포괄손익 부채 변동금액</t>
    <phoneticPr fontId="2" type="noConversion"/>
  </si>
  <si>
    <t>부채변동금액 / (bel+ra+csm)</t>
    <phoneticPr fontId="2" type="noConversion"/>
  </si>
  <si>
    <t>* 기타포괄손익 자산 변동금액</t>
    <phoneticPr fontId="2" type="noConversion"/>
  </si>
  <si>
    <t>* 전기말 이익잉여금</t>
    <phoneticPr fontId="2" type="noConversion"/>
  </si>
  <si>
    <t>예실차</t>
    <phoneticPr fontId="2" type="noConversion"/>
  </si>
  <si>
    <t>공시</t>
  </si>
  <si>
    <t>Conversion</t>
  </si>
  <si>
    <t>변액</t>
  </si>
  <si>
    <t>퇴직(실적)</t>
  </si>
  <si>
    <t>총괄</t>
  </si>
  <si>
    <t>신개인 연금</t>
  </si>
  <si>
    <t>자산연계형</t>
  </si>
  <si>
    <t>퇴직보험</t>
  </si>
  <si>
    <t>퇴직연금(원리)</t>
  </si>
  <si>
    <t>일반</t>
  </si>
  <si>
    <t/>
  </si>
  <si>
    <t xml:space="preserve">    IV.계 약 자 지 분 조 정</t>
  </si>
  <si>
    <t>　       1.기타포괄손익-공정가치측정금융상품평가손익</t>
  </si>
  <si>
    <t>　       2.관계·종속기업투자주식평가손익</t>
  </si>
  <si>
    <t>　       3.재평가잉여금</t>
  </si>
  <si>
    <t>전기말 대비</t>
    <phoneticPr fontId="2" type="noConversion"/>
  </si>
  <si>
    <t>2Q</t>
    <phoneticPr fontId="2" type="noConversion"/>
  </si>
  <si>
    <t>구분</t>
  </si>
  <si>
    <t>당사</t>
  </si>
  <si>
    <t>생보사</t>
  </si>
  <si>
    <t>손보사</t>
  </si>
  <si>
    <t>신한</t>
  </si>
  <si>
    <t>KB</t>
  </si>
  <si>
    <t>현대</t>
  </si>
  <si>
    <t>메리츠</t>
  </si>
  <si>
    <t>DB</t>
  </si>
  <si>
    <t>자기자본</t>
  </si>
  <si>
    <t>전기대비</t>
  </si>
  <si>
    <t>증감율</t>
  </si>
  <si>
    <t>1Q 변동금액</t>
  </si>
  <si>
    <t>2Q 변동금액</t>
  </si>
  <si>
    <t>△3,260</t>
  </si>
  <si>
    <t>3Q 변동금액</t>
  </si>
  <si>
    <t>이익잉여금 전기말대비</t>
  </si>
  <si>
    <t xml:space="preserve">기타포괄손익 전기말 대비 </t>
  </si>
  <si>
    <t>△5,579</t>
  </si>
  <si>
    <t>△37,111</t>
  </si>
  <si>
    <t>△26,759</t>
  </si>
  <si>
    <t>△18,516</t>
  </si>
  <si>
    <t>△12,936</t>
  </si>
  <si>
    <t>△8,063</t>
  </si>
  <si>
    <t>△8,623</t>
  </si>
  <si>
    <t>△592</t>
  </si>
  <si>
    <t>△12,973</t>
  </si>
  <si>
    <t>△5,606</t>
  </si>
  <si>
    <t>△7,603</t>
  </si>
  <si>
    <t>△10,014</t>
  </si>
  <si>
    <t>△9,669</t>
  </si>
  <si>
    <t>△13,153</t>
  </si>
  <si>
    <t>△7,895</t>
  </si>
  <si>
    <t>△7,684</t>
  </si>
  <si>
    <t>△3,825</t>
  </si>
  <si>
    <t>△4,661</t>
  </si>
  <si>
    <t>△6,156</t>
  </si>
  <si>
    <t>△4,791</t>
  </si>
  <si>
    <t>△4,557</t>
  </si>
  <si>
    <t>△5,041</t>
  </si>
  <si>
    <t>△2,319</t>
  </si>
  <si>
    <r>
      <t>△27,442</t>
    </r>
    <r>
      <rPr>
        <sz val="9"/>
        <color theme="1"/>
        <rFont val="Cambria"/>
        <family val="1"/>
      </rPr>
      <t> </t>
    </r>
  </si>
  <si>
    <t>△13,606</t>
  </si>
  <si>
    <t>△10,621</t>
  </si>
  <si>
    <t>△5,252</t>
  </si>
  <si>
    <t>△4,239</t>
  </si>
  <si>
    <t>△3,961</t>
  </si>
  <si>
    <r>
      <t>△1,811</t>
    </r>
    <r>
      <rPr>
        <sz val="9"/>
        <color theme="1"/>
        <rFont val="Cambria"/>
        <family val="1"/>
      </rPr>
      <t> </t>
    </r>
  </si>
  <si>
    <t>△6,817</t>
  </si>
  <si>
    <r>
      <t>△815</t>
    </r>
    <r>
      <rPr>
        <sz val="9"/>
        <color theme="1"/>
        <rFont val="Cambria"/>
        <family val="1"/>
      </rPr>
      <t> </t>
    </r>
  </si>
  <si>
    <t>△3,046</t>
  </si>
  <si>
    <t>△4,973</t>
  </si>
  <si>
    <t>K-ICS비율(E)</t>
  </si>
  <si>
    <t>200~210%</t>
  </si>
  <si>
    <r>
      <t> </t>
    </r>
    <r>
      <rPr>
        <sz val="12"/>
        <color theme="1"/>
        <rFont val="바탕"/>
        <family val="1"/>
        <charset val="129"/>
      </rPr>
      <t>부채할인율</t>
    </r>
    <r>
      <rPr>
        <sz val="12"/>
        <color theme="1"/>
        <rFont val="Cambria"/>
        <family val="1"/>
      </rPr>
      <t xml:space="preserve"> 1Q -6bp / 2Q -27bp</t>
    </r>
  </si>
  <si>
    <r>
      <t>삼성전자</t>
    </r>
    <r>
      <rPr>
        <sz val="12"/>
        <color theme="1"/>
        <rFont val="Cambria"/>
        <family val="1"/>
      </rPr>
      <t xml:space="preserve"> 1</t>
    </r>
    <r>
      <rPr>
        <sz val="12"/>
        <color theme="1"/>
        <rFont val="바탕"/>
        <family val="1"/>
        <charset val="129"/>
      </rPr>
      <t>분기</t>
    </r>
    <r>
      <rPr>
        <sz val="12"/>
        <color theme="1"/>
        <rFont val="Cambria"/>
        <family val="1"/>
      </rPr>
      <t xml:space="preserve"> +9</t>
    </r>
    <r>
      <rPr>
        <sz val="12"/>
        <color theme="1"/>
        <rFont val="바탕"/>
        <family val="1"/>
        <charset val="129"/>
      </rPr>
      <t>천</t>
    </r>
    <r>
      <rPr>
        <sz val="12"/>
        <color theme="1"/>
        <rFont val="Cambria"/>
        <family val="1"/>
      </rPr>
      <t xml:space="preserve"> / 2</t>
    </r>
    <r>
      <rPr>
        <sz val="12"/>
        <color theme="1"/>
        <rFont val="바탕"/>
        <family val="1"/>
        <charset val="129"/>
      </rPr>
      <t>분기</t>
    </r>
    <r>
      <rPr>
        <sz val="12"/>
        <color theme="1"/>
        <rFont val="Cambria"/>
        <family val="1"/>
      </rPr>
      <t xml:space="preserve"> -1</t>
    </r>
    <r>
      <rPr>
        <sz val="12"/>
        <color theme="1"/>
        <rFont val="바탕"/>
        <family val="1"/>
        <charset val="129"/>
      </rPr>
      <t>천억</t>
    </r>
    <r>
      <rPr>
        <sz val="12"/>
        <color theme="1"/>
        <rFont val="Cambria"/>
        <family val="1"/>
      </rPr>
      <t xml:space="preserve">, </t>
    </r>
    <r>
      <rPr>
        <sz val="12"/>
        <color theme="1"/>
        <rFont val="바탕"/>
        <family val="1"/>
        <charset val="129"/>
      </rPr>
      <t>화재</t>
    </r>
    <r>
      <rPr>
        <sz val="12"/>
        <color theme="1"/>
        <rFont val="Cambria"/>
        <family val="1"/>
      </rPr>
      <t xml:space="preserve"> +4</t>
    </r>
    <r>
      <rPr>
        <sz val="12"/>
        <color theme="1"/>
        <rFont val="바탕"/>
        <family val="1"/>
        <charset val="129"/>
      </rPr>
      <t>천억</t>
    </r>
  </si>
  <si>
    <r>
      <t> </t>
    </r>
    <r>
      <rPr>
        <sz val="12"/>
        <color theme="1"/>
        <rFont val="Cambria"/>
        <family val="1"/>
      </rPr>
      <t xml:space="preserve"> </t>
    </r>
    <r>
      <rPr>
        <sz val="12"/>
        <color theme="1"/>
        <rFont val="바탕"/>
        <family val="1"/>
        <charset val="129"/>
      </rPr>
      <t>지분증권</t>
    </r>
    <r>
      <rPr>
        <sz val="12"/>
        <color theme="1"/>
        <rFont val="Cambria"/>
        <family val="1"/>
      </rPr>
      <t xml:space="preserve"> (</t>
    </r>
    <r>
      <rPr>
        <sz val="12"/>
        <color theme="1"/>
        <rFont val="바탕"/>
        <family val="1"/>
        <charset val="129"/>
      </rPr>
      <t>삼성전자등</t>
    </r>
    <r>
      <rPr>
        <sz val="12"/>
        <color theme="1"/>
        <rFont val="Cambria"/>
        <family val="1"/>
      </rPr>
      <t xml:space="preserve">) / </t>
    </r>
    <r>
      <rPr>
        <sz val="12"/>
        <color theme="1"/>
        <rFont val="바탕"/>
        <family val="1"/>
        <charset val="129"/>
      </rPr>
      <t>세전</t>
    </r>
  </si>
  <si>
    <r>
      <t xml:space="preserve">   1Q+3,768</t>
    </r>
    <r>
      <rPr>
        <sz val="12"/>
        <color theme="1"/>
        <rFont val="바탕"/>
        <family val="1"/>
        <charset val="129"/>
      </rPr>
      <t>억</t>
    </r>
    <r>
      <rPr>
        <sz val="12"/>
        <color theme="1"/>
        <rFont val="Cambria"/>
        <family val="1"/>
      </rPr>
      <t xml:space="preserve"> / 2Q -583</t>
    </r>
    <r>
      <rPr>
        <sz val="12"/>
        <color theme="1"/>
        <rFont val="바탕"/>
        <family val="1"/>
        <charset val="129"/>
      </rPr>
      <t>억</t>
    </r>
  </si>
  <si>
    <r>
      <t>채무증권</t>
    </r>
    <r>
      <rPr>
        <sz val="12"/>
        <color theme="1"/>
        <rFont val="Cambria"/>
        <family val="1"/>
      </rPr>
      <t xml:space="preserve"> /</t>
    </r>
    <r>
      <rPr>
        <sz val="12"/>
        <color theme="1"/>
        <rFont val="바탕"/>
        <family val="1"/>
        <charset val="129"/>
      </rPr>
      <t>세전</t>
    </r>
  </si>
  <si>
    <r>
      <t xml:space="preserve"> 1Q -4,280</t>
    </r>
    <r>
      <rPr>
        <sz val="12"/>
        <color theme="1"/>
        <rFont val="바탕"/>
        <family val="1"/>
        <charset val="129"/>
      </rPr>
      <t>억</t>
    </r>
    <r>
      <rPr>
        <sz val="12"/>
        <color theme="1"/>
        <rFont val="Cambria"/>
        <family val="1"/>
      </rPr>
      <t xml:space="preserve"> / 2Q +3,010</t>
    </r>
    <r>
      <rPr>
        <sz val="12"/>
        <color theme="1"/>
        <rFont val="바탕"/>
        <family val="1"/>
        <charset val="129"/>
      </rPr>
      <t>억</t>
    </r>
  </si>
  <si>
    <r>
      <t>부채</t>
    </r>
    <r>
      <rPr>
        <sz val="12"/>
        <color theme="1"/>
        <rFont val="Cambria"/>
        <family val="1"/>
      </rPr>
      <t>(</t>
    </r>
    <r>
      <rPr>
        <sz val="12"/>
        <color theme="1"/>
        <rFont val="바탕"/>
        <family val="1"/>
        <charset val="129"/>
      </rPr>
      <t>할인율</t>
    </r>
    <r>
      <rPr>
        <sz val="12"/>
        <color theme="1"/>
        <rFont val="Cambria"/>
        <family val="1"/>
      </rPr>
      <t xml:space="preserve">)   / </t>
    </r>
    <r>
      <rPr>
        <sz val="12"/>
        <color theme="1"/>
        <rFont val="바탕"/>
        <family val="1"/>
        <charset val="129"/>
      </rPr>
      <t>세전</t>
    </r>
    <r>
      <rPr>
        <sz val="12"/>
        <color theme="1"/>
        <rFont val="Cambria"/>
        <family val="1"/>
      </rPr>
      <t xml:space="preserve">- </t>
    </r>
    <r>
      <rPr>
        <sz val="12"/>
        <color rgb="FFFF0000"/>
        <rFont val="Cambria"/>
        <family val="1"/>
      </rPr>
      <t>1</t>
    </r>
    <r>
      <rPr>
        <sz val="12"/>
        <color rgb="FFFF0000"/>
        <rFont val="바탕"/>
        <family val="1"/>
        <charset val="129"/>
      </rPr>
      <t>분기</t>
    </r>
    <r>
      <rPr>
        <sz val="12"/>
        <color rgb="FFFF0000"/>
        <rFont val="Cambria"/>
        <family val="1"/>
      </rPr>
      <t xml:space="preserve"> </t>
    </r>
    <r>
      <rPr>
        <sz val="12"/>
        <color rgb="FFFF0000"/>
        <rFont val="바탕"/>
        <family val="1"/>
        <charset val="129"/>
      </rPr>
      <t>왜</t>
    </r>
    <r>
      <rPr>
        <sz val="12"/>
        <color rgb="FFFF0000"/>
        <rFont val="Cambria"/>
        <family val="1"/>
      </rPr>
      <t xml:space="preserve"> </t>
    </r>
    <r>
      <rPr>
        <sz val="12"/>
        <color rgb="FFFF0000"/>
        <rFont val="바탕"/>
        <family val="1"/>
        <charset val="129"/>
      </rPr>
      <t>그런지</t>
    </r>
    <r>
      <rPr>
        <sz val="12"/>
        <color rgb="FFFF0000"/>
        <rFont val="Cambria"/>
        <family val="1"/>
      </rPr>
      <t xml:space="preserve"> </t>
    </r>
    <r>
      <rPr>
        <sz val="12"/>
        <color rgb="FFFF0000"/>
        <rFont val="바탕"/>
        <family val="1"/>
        <charset val="129"/>
      </rPr>
      <t>모르겠음</t>
    </r>
  </si>
  <si>
    <r>
      <t>1Q   +2,057</t>
    </r>
    <r>
      <rPr>
        <sz val="12"/>
        <color theme="1"/>
        <rFont val="바탕"/>
        <family val="1"/>
        <charset val="129"/>
      </rPr>
      <t>억</t>
    </r>
    <r>
      <rPr>
        <sz val="12"/>
        <color theme="1"/>
        <rFont val="Cambria"/>
        <family val="1"/>
      </rPr>
      <t xml:space="preserve">   / 2Q -5,259</t>
    </r>
    <r>
      <rPr>
        <sz val="12"/>
        <color theme="1"/>
        <rFont val="바탕"/>
        <family val="1"/>
        <charset val="129"/>
      </rPr>
      <t>억</t>
    </r>
  </si>
  <si>
    <r>
      <t> </t>
    </r>
    <r>
      <rPr>
        <sz val="12"/>
        <color theme="1"/>
        <rFont val="바탕"/>
        <family val="1"/>
        <charset val="129"/>
      </rPr>
      <t>지분증권</t>
    </r>
    <r>
      <rPr>
        <sz val="12"/>
        <color theme="1"/>
        <rFont val="Cambria"/>
        <family val="1"/>
      </rPr>
      <t>(</t>
    </r>
    <r>
      <rPr>
        <sz val="12"/>
        <color theme="1"/>
        <rFont val="바탕"/>
        <family val="1"/>
        <charset val="129"/>
      </rPr>
      <t>세전</t>
    </r>
    <r>
      <rPr>
        <sz val="12"/>
        <color theme="1"/>
        <rFont val="Cambria"/>
        <family val="1"/>
      </rPr>
      <t>)</t>
    </r>
  </si>
  <si>
    <r>
      <t>1Q  +44</t>
    </r>
    <r>
      <rPr>
        <sz val="12"/>
        <color theme="1"/>
        <rFont val="바탕"/>
        <family val="1"/>
        <charset val="129"/>
      </rPr>
      <t>억</t>
    </r>
    <r>
      <rPr>
        <sz val="12"/>
        <color theme="1"/>
        <rFont val="Cambria"/>
        <family val="1"/>
      </rPr>
      <t xml:space="preserve"> / 2Q +141</t>
    </r>
    <r>
      <rPr>
        <sz val="12"/>
        <color theme="1"/>
        <rFont val="바탕"/>
        <family val="1"/>
        <charset val="129"/>
      </rPr>
      <t>억</t>
    </r>
  </si>
  <si>
    <r>
      <t>채무증권</t>
    </r>
    <r>
      <rPr>
        <sz val="12"/>
        <color theme="1"/>
        <rFont val="Cambria"/>
        <family val="1"/>
      </rPr>
      <t>(</t>
    </r>
    <r>
      <rPr>
        <sz val="12"/>
        <color theme="1"/>
        <rFont val="바탕"/>
        <family val="1"/>
        <charset val="129"/>
      </rPr>
      <t>세전</t>
    </r>
    <r>
      <rPr>
        <sz val="12"/>
        <color theme="1"/>
        <rFont val="Cambria"/>
        <family val="1"/>
      </rPr>
      <t>)</t>
    </r>
  </si>
  <si>
    <r>
      <t>1Q -3,259</t>
    </r>
    <r>
      <rPr>
        <sz val="12"/>
        <color theme="1"/>
        <rFont val="바탕"/>
        <family val="1"/>
        <charset val="129"/>
      </rPr>
      <t>억</t>
    </r>
    <r>
      <rPr>
        <sz val="12"/>
        <color theme="1"/>
        <rFont val="Cambria"/>
        <family val="1"/>
      </rPr>
      <t xml:space="preserve"> / 2Q +3,343</t>
    </r>
    <r>
      <rPr>
        <sz val="12"/>
        <color theme="1"/>
        <rFont val="바탕"/>
        <family val="1"/>
        <charset val="129"/>
      </rPr>
      <t>억</t>
    </r>
  </si>
  <si>
    <r>
      <t>투자손익</t>
    </r>
    <r>
      <rPr>
        <sz val="12"/>
        <color theme="1"/>
        <rFont val="Cambria"/>
        <family val="1"/>
      </rPr>
      <t xml:space="preserve"> 1Q -4,287</t>
    </r>
    <r>
      <rPr>
        <sz val="12"/>
        <color theme="1"/>
        <rFont val="바탕"/>
        <family val="1"/>
        <charset val="129"/>
      </rPr>
      <t>억</t>
    </r>
    <r>
      <rPr>
        <sz val="12"/>
        <color theme="1"/>
        <rFont val="Cambria"/>
        <family val="1"/>
      </rPr>
      <t xml:space="preserve"> / 2Q 4,926</t>
    </r>
    <r>
      <rPr>
        <sz val="12"/>
        <color theme="1"/>
        <rFont val="바탕"/>
        <family val="1"/>
        <charset val="129"/>
      </rPr>
      <t>억</t>
    </r>
  </si>
  <si>
    <r>
      <t>부채</t>
    </r>
    <r>
      <rPr>
        <sz val="12"/>
        <color theme="1"/>
        <rFont val="Cambria"/>
        <family val="1"/>
      </rPr>
      <t>(</t>
    </r>
    <r>
      <rPr>
        <sz val="12"/>
        <color theme="1"/>
        <rFont val="바탕"/>
        <family val="1"/>
        <charset val="129"/>
      </rPr>
      <t>세전</t>
    </r>
    <r>
      <rPr>
        <sz val="12"/>
        <color theme="1"/>
        <rFont val="Cambria"/>
        <family val="1"/>
      </rPr>
      <t>)</t>
    </r>
  </si>
  <si>
    <r>
      <t>1Q -2,259</t>
    </r>
    <r>
      <rPr>
        <sz val="12"/>
        <color theme="1"/>
        <rFont val="바탕"/>
        <family val="1"/>
        <charset val="129"/>
      </rPr>
      <t>억</t>
    </r>
    <r>
      <rPr>
        <sz val="12"/>
        <color theme="1"/>
        <rFont val="Cambria"/>
        <family val="1"/>
      </rPr>
      <t xml:space="preserve"> /2Q -7,733</t>
    </r>
    <r>
      <rPr>
        <sz val="12"/>
        <color theme="1"/>
        <rFont val="바탕"/>
        <family val="1"/>
        <charset val="129"/>
      </rPr>
      <t>억</t>
    </r>
  </si>
  <si>
    <r>
      <t>재평가잉여금</t>
    </r>
    <r>
      <rPr>
        <sz val="12"/>
        <color theme="1"/>
        <rFont val="Cambria"/>
        <family val="1"/>
      </rPr>
      <t xml:space="preserve"> +872</t>
    </r>
    <r>
      <rPr>
        <sz val="12"/>
        <color theme="1"/>
        <rFont val="바탕"/>
        <family val="1"/>
        <charset val="129"/>
      </rPr>
      <t>억</t>
    </r>
  </si>
  <si>
    <t>3Q 변동금액</t>
    <phoneticPr fontId="2" type="noConversion"/>
  </si>
  <si>
    <t>CHECK</t>
    <phoneticPr fontId="2" type="noConversion"/>
  </si>
  <si>
    <t>이익잉여금 기시</t>
    <phoneticPr fontId="2" type="noConversion"/>
  </si>
  <si>
    <t>미공시</t>
    <phoneticPr fontId="2" type="noConversion"/>
  </si>
  <si>
    <t>① 보험손익</t>
  </si>
  <si>
    <t>비중</t>
  </si>
  <si>
    <t>② CSM상각액</t>
  </si>
  <si>
    <t>②/①</t>
  </si>
  <si>
    <t>전기대비 증가율</t>
  </si>
  <si>
    <r>
      <t xml:space="preserve">ROE </t>
    </r>
    <r>
      <rPr>
        <vertAlign val="superscript"/>
        <sz val="10.5"/>
        <color theme="1"/>
        <rFont val="KoPub돋움체_Pro Light"/>
        <family val="1"/>
        <charset val="129"/>
      </rPr>
      <t>1)</t>
    </r>
  </si>
  <si>
    <t>1Q</t>
  </si>
  <si>
    <r>
      <t xml:space="preserve">요구자본 대비 CSM </t>
    </r>
    <r>
      <rPr>
        <vertAlign val="superscript"/>
        <sz val="10.5"/>
        <color theme="1"/>
        <rFont val="KoPub돋움체_Pro Light"/>
        <family val="1"/>
        <charset val="129"/>
      </rPr>
      <t>2)</t>
    </r>
  </si>
  <si>
    <t>2Q</t>
    <phoneticPr fontId="2" type="noConversion"/>
  </si>
  <si>
    <t>* kpi 용</t>
    <phoneticPr fontId="2" type="noConversion"/>
  </si>
  <si>
    <t>기타포괄손익누계액</t>
    <phoneticPr fontId="2" type="noConversion"/>
  </si>
  <si>
    <t>합계</t>
    <phoneticPr fontId="2" type="noConversion"/>
  </si>
  <si>
    <t>FVOCI평가손익</t>
    <phoneticPr fontId="2" type="noConversion"/>
  </si>
  <si>
    <t>보험계약자산(부채)순금융손익</t>
    <phoneticPr fontId="2" type="noConversion"/>
  </si>
  <si>
    <t>재보험계약자산(부채)</t>
    <phoneticPr fontId="2" type="noConversion"/>
  </si>
  <si>
    <t>현금흐름위험회피</t>
    <phoneticPr fontId="2" type="noConversion"/>
  </si>
  <si>
    <t>재평가잉여금</t>
    <phoneticPr fontId="2" type="noConversion"/>
  </si>
  <si>
    <t>확정급여부채</t>
    <phoneticPr fontId="2" type="noConversion"/>
  </si>
  <si>
    <t>CHECK</t>
    <phoneticPr fontId="2" type="noConversion"/>
  </si>
  <si>
    <t>부채금액(순부채기준_24.12월부터 수정함)</t>
    <phoneticPr fontId="2" type="noConversion"/>
  </si>
  <si>
    <t>해약환급금준비금</t>
    <phoneticPr fontId="2" type="noConversion"/>
  </si>
  <si>
    <t>당기 예상보험금 ÷ 당기 실제위험보험료</t>
    <phoneticPr fontId="2" type="noConversion"/>
  </si>
  <si>
    <t>(당기 발생보험금 + 당기 발생사고 요소 조정) ÷당기 실제위험보험료</t>
    <phoneticPr fontId="2" type="noConversion"/>
  </si>
  <si>
    <t>보험금예실차비율</t>
    <phoneticPr fontId="2" type="noConversion"/>
  </si>
  <si>
    <t>예상손해율 a</t>
    <phoneticPr fontId="2" type="noConversion"/>
  </si>
  <si>
    <t>실제손해율 b</t>
    <phoneticPr fontId="2" type="noConversion"/>
  </si>
  <si>
    <t>b-a</t>
    <phoneticPr fontId="2" type="noConversion"/>
  </si>
  <si>
    <t>실제보허금/예상보험금</t>
    <phoneticPr fontId="2" type="noConversion"/>
  </si>
  <si>
    <t>삼성</t>
    <phoneticPr fontId="2" type="noConversion"/>
  </si>
  <si>
    <t>한화</t>
    <phoneticPr fontId="2" type="noConversion"/>
  </si>
  <si>
    <t>신한라이프</t>
    <phoneticPr fontId="2" type="noConversion"/>
  </si>
  <si>
    <t>동양</t>
    <phoneticPr fontId="2" type="noConversion"/>
  </si>
  <si>
    <t>삼성화재</t>
    <phoneticPr fontId="2" type="noConversion"/>
  </si>
  <si>
    <t>교보</t>
    <phoneticPr fontId="2" type="noConversion"/>
  </si>
  <si>
    <t>자산운용률</t>
    <phoneticPr fontId="2" type="noConversion"/>
  </si>
  <si>
    <t>총자산</t>
    <phoneticPr fontId="2" type="noConversion"/>
  </si>
  <si>
    <t>운용자산</t>
    <phoneticPr fontId="2" type="noConversion"/>
  </si>
  <si>
    <t>DB손보</t>
    <phoneticPr fontId="2" type="noConversion"/>
  </si>
  <si>
    <t>(전기자본 대비)</t>
    <phoneticPr fontId="2" type="noConversion"/>
  </si>
  <si>
    <t>(자본증감율)</t>
    <phoneticPr fontId="2" type="noConversion"/>
  </si>
  <si>
    <t>(기타포괄손익 증감)</t>
    <phoneticPr fontId="2" type="noConversion"/>
  </si>
  <si>
    <t>(보험계약부채대비 
기타포괄손익 증감율)</t>
    <phoneticPr fontId="2" type="noConversion"/>
  </si>
  <si>
    <t>(자기자본 대비 
기타포괄손익 증감율)</t>
    <phoneticPr fontId="2" type="noConversion"/>
  </si>
  <si>
    <t xml:space="preserve">  bel</t>
    <phoneticPr fontId="2" type="noConversion"/>
  </si>
  <si>
    <t xml:space="preserve">  ra</t>
    <phoneticPr fontId="2" type="noConversion"/>
  </si>
  <si>
    <t xml:space="preserve">  csm</t>
    <phoneticPr fontId="2" type="noConversion"/>
  </si>
  <si>
    <t>* 전기말 bel + ra + csm</t>
    <phoneticPr fontId="2" type="noConversion"/>
  </si>
  <si>
    <t>* 전기 BEL+RA+CSM</t>
    <phoneticPr fontId="2" type="noConversion"/>
  </si>
  <si>
    <t>2. 자본 세부</t>
    <phoneticPr fontId="2" type="noConversion"/>
  </si>
  <si>
    <t>FVOCI평가손익
(현금흐름위험회피파생평가손익 포함)</t>
    <phoneticPr fontId="2" type="noConversion"/>
  </si>
  <si>
    <t>보험부채순금융손익(재보포함)</t>
    <phoneticPr fontId="2" type="noConversion"/>
  </si>
  <si>
    <t>전기대비</t>
    <phoneticPr fontId="2" type="noConversion"/>
  </si>
  <si>
    <t>보험계약자산(부채)순금융손익</t>
  </si>
  <si>
    <t>재보험계약자산(부채)</t>
  </si>
  <si>
    <t>FVOCI평가손익</t>
  </si>
  <si>
    <t>현금흐름위험회피</t>
  </si>
  <si>
    <t>전기 FVOCI평가손익
(현금흐름위험회피파생평가손익 포함)</t>
    <phoneticPr fontId="2" type="noConversion"/>
  </si>
  <si>
    <t>전기 보험부채순금융손익(재보포함)</t>
    <phoneticPr fontId="2" type="noConversion"/>
  </si>
  <si>
    <t>해약환급금준비금</t>
    <phoneticPr fontId="2" type="noConversion"/>
  </si>
  <si>
    <t>(이익잉여금 대비 해약환급금 준비금 비율)</t>
    <phoneticPr fontId="2" type="noConversion"/>
  </si>
  <si>
    <t>(자기자본 대비 해약환급금 준비금 비율)</t>
    <phoneticPr fontId="2" type="noConversion"/>
  </si>
  <si>
    <t>레버리지비율(운용자산/자본)</t>
    <phoneticPr fontId="2" type="noConversion"/>
  </si>
  <si>
    <t>ir 자료 기준</t>
    <phoneticPr fontId="2" type="noConversion"/>
  </si>
  <si>
    <t>ibnr 제외</t>
    <phoneticPr fontId="2" type="noConversion"/>
  </si>
  <si>
    <t>실제보험금/예상보험금</t>
    <phoneticPr fontId="2" type="noConversion"/>
  </si>
  <si>
    <t>킥스</t>
    <phoneticPr fontId="2" type="noConversion"/>
  </si>
  <si>
    <t>전기말</t>
    <phoneticPr fontId="2" type="noConversion"/>
  </si>
  <si>
    <t>운용자산대비 증감율</t>
    <phoneticPr fontId="2" type="noConversion"/>
  </si>
  <si>
    <t>전기운용자산</t>
    <phoneticPr fontId="2" type="noConversion"/>
  </si>
  <si>
    <t>운용자산</t>
    <phoneticPr fontId="2" type="noConversion"/>
  </si>
  <si>
    <t>보험부채대비 증감율</t>
    <phoneticPr fontId="2" type="noConversion"/>
  </si>
  <si>
    <t>전기대비</t>
    <phoneticPr fontId="2" type="noConversion"/>
  </si>
  <si>
    <t>신계약csm</t>
    <phoneticPr fontId="2" type="noConversion"/>
  </si>
  <si>
    <t>상각액</t>
    <phoneticPr fontId="2" type="noConversion"/>
  </si>
  <si>
    <t>csm상각액</t>
    <phoneticPr fontId="2" type="noConversion"/>
  </si>
  <si>
    <t>③ CSM상각액</t>
  </si>
  <si>
    <t>②/③</t>
  </si>
  <si>
    <t>전기</t>
    <phoneticPr fontId="2" type="noConversion"/>
  </si>
  <si>
    <t>신계약</t>
    <phoneticPr fontId="2" type="noConversion"/>
  </si>
  <si>
    <r>
      <t>②</t>
    </r>
    <r>
      <rPr>
        <sz val="7"/>
        <color rgb="FF000000"/>
        <rFont val="Times New Roman"/>
        <family val="1"/>
      </rPr>
      <t xml:space="preserve">  </t>
    </r>
    <r>
      <rPr>
        <sz val="10.5"/>
        <color theme="1"/>
        <rFont val="KoPub돋움체_Pro Light"/>
        <family val="1"/>
        <charset val="129"/>
      </rPr>
      <t>신계약CSM</t>
    </r>
    <phoneticPr fontId="2" type="noConversion"/>
  </si>
  <si>
    <t>②/①</t>
    <phoneticPr fontId="2" type="noConversion"/>
  </si>
  <si>
    <t>①CSM잔액</t>
    <phoneticPr fontId="2" type="noConversion"/>
  </si>
  <si>
    <t>요구자본대비 자기자본</t>
    <phoneticPr fontId="2" type="noConversion"/>
  </si>
  <si>
    <t>보험계약부채</t>
    <phoneticPr fontId="2" type="noConversion"/>
  </si>
  <si>
    <t>*전기보험계약부채</t>
    <phoneticPr fontId="2" type="noConversion"/>
  </si>
  <si>
    <t>자본</t>
    <phoneticPr fontId="2" type="noConversion"/>
  </si>
  <si>
    <t>신종자본증권</t>
    <phoneticPr fontId="2" type="noConversion"/>
  </si>
  <si>
    <t>자본(신종자본증권제외)</t>
    <phoneticPr fontId="2" type="noConversion"/>
  </si>
  <si>
    <t>기시자본</t>
    <phoneticPr fontId="2" type="noConversion"/>
  </si>
  <si>
    <t>기시자본(신종자본증권제외)</t>
    <phoneticPr fontId="2" type="noConversion"/>
  </si>
  <si>
    <t>22년말(ifrs4)</t>
    <phoneticPr fontId="2" type="noConversion"/>
  </si>
  <si>
    <t>22년말 이익잉여금</t>
    <phoneticPr fontId="2" type="noConversion"/>
  </si>
  <si>
    <t>IFRS 4 + IAS 39</t>
    <phoneticPr fontId="2" type="noConversion"/>
  </si>
  <si>
    <t>23년초 이익잉여금</t>
    <phoneticPr fontId="2" type="noConversion"/>
  </si>
  <si>
    <t>IFRS 17+ IFRS 9</t>
    <phoneticPr fontId="2" type="noConversion"/>
  </si>
  <si>
    <t>증가율</t>
    <phoneticPr fontId="2" type="noConversion"/>
  </si>
  <si>
    <t>해약환급금 준비금</t>
    <phoneticPr fontId="2" type="noConversion"/>
  </si>
  <si>
    <t>이익잉여금(2</t>
    <phoneticPr fontId="2" type="noConversion"/>
  </si>
  <si>
    <t>(보험계약부채 대비 해약환급금 준비금 비율)</t>
    <phoneticPr fontId="2" type="noConversion"/>
  </si>
  <si>
    <t>자기자본(신종자본증권 제외)</t>
    <phoneticPr fontId="2" type="noConversion"/>
  </si>
  <si>
    <t>BEL+RA+CSM</t>
    <phoneticPr fontId="2" type="noConversion"/>
  </si>
  <si>
    <t>자기자본</t>
    <phoneticPr fontId="2" type="noConversion"/>
  </si>
  <si>
    <t>미래</t>
    <phoneticPr fontId="2" type="noConversion"/>
  </si>
  <si>
    <t>자기자본_신종자본증권제외</t>
    <phoneticPr fontId="2" type="noConversion"/>
  </si>
  <si>
    <t>삼성</t>
    <phoneticPr fontId="2" type="noConversion"/>
  </si>
  <si>
    <t>교보</t>
    <phoneticPr fontId="2" type="noConversion"/>
  </si>
  <si>
    <t>한화</t>
    <phoneticPr fontId="2" type="noConversion"/>
  </si>
  <si>
    <t>동양</t>
    <phoneticPr fontId="2" type="noConversion"/>
  </si>
  <si>
    <t>÷ (요구자본x130%)</t>
    <phoneticPr fontId="2" type="noConversion"/>
  </si>
  <si>
    <t>미래</t>
    <phoneticPr fontId="2" type="noConversion"/>
  </si>
  <si>
    <t>삼성</t>
    <phoneticPr fontId="2" type="noConversion"/>
  </si>
  <si>
    <t>교보</t>
    <phoneticPr fontId="2" type="noConversion"/>
  </si>
  <si>
    <t>한화</t>
    <phoneticPr fontId="2" type="noConversion"/>
  </si>
  <si>
    <t>동양</t>
    <phoneticPr fontId="2" type="noConversion"/>
  </si>
  <si>
    <t>현대해상</t>
    <phoneticPr fontId="2" type="noConversion"/>
  </si>
  <si>
    <t>메리츠화재</t>
    <phoneticPr fontId="2" type="noConversion"/>
  </si>
  <si>
    <t>사망</t>
    <phoneticPr fontId="2" type="noConversion"/>
  </si>
  <si>
    <t>건강</t>
    <phoneticPr fontId="2" type="noConversion"/>
  </si>
  <si>
    <t>연금</t>
    <phoneticPr fontId="2" type="noConversion"/>
  </si>
  <si>
    <t>저축</t>
    <phoneticPr fontId="2" type="noConversion"/>
  </si>
  <si>
    <t>기타</t>
    <phoneticPr fontId="2" type="noConversion"/>
  </si>
  <si>
    <t>처음인식한</t>
    <phoneticPr fontId="2" type="noConversion"/>
  </si>
  <si>
    <t>합계</t>
    <phoneticPr fontId="2" type="noConversion"/>
  </si>
  <si>
    <t>연금, 저축</t>
    <phoneticPr fontId="2" type="noConversion"/>
  </si>
  <si>
    <t>* ir자료와 기준 맞춤</t>
    <phoneticPr fontId="2" type="noConversion"/>
  </si>
  <si>
    <t>미래</t>
    <phoneticPr fontId="2" type="noConversion"/>
  </si>
  <si>
    <t>삼성</t>
    <phoneticPr fontId="2" type="noConversion"/>
  </si>
  <si>
    <t>한화</t>
    <phoneticPr fontId="2" type="noConversion"/>
  </si>
  <si>
    <t>동양</t>
    <phoneticPr fontId="2" type="noConversion"/>
  </si>
  <si>
    <t>현대해상</t>
    <phoneticPr fontId="2" type="noConversion"/>
  </si>
  <si>
    <t>메리츠화재</t>
    <phoneticPr fontId="2" type="noConversion"/>
  </si>
  <si>
    <t>교보</t>
    <phoneticPr fontId="2" type="noConversion"/>
  </si>
  <si>
    <t>해지율</t>
    <phoneticPr fontId="2" type="noConversion"/>
  </si>
  <si>
    <t>위험률</t>
    <phoneticPr fontId="2" type="noConversion"/>
  </si>
  <si>
    <t>사업비율</t>
    <phoneticPr fontId="2" type="noConversion"/>
  </si>
  <si>
    <t>기타</t>
    <phoneticPr fontId="2" type="noConversion"/>
  </si>
  <si>
    <t>물량, 예실차</t>
    <phoneticPr fontId="2" type="noConversion"/>
  </si>
  <si>
    <t>CSM기준</t>
    <phoneticPr fontId="2" type="noConversion"/>
  </si>
  <si>
    <t>BEL+RA기준</t>
    <phoneticPr fontId="2" type="noConversion"/>
  </si>
  <si>
    <t>손실요소</t>
    <phoneticPr fontId="2" type="noConversion"/>
  </si>
  <si>
    <t>가정변경</t>
    <phoneticPr fontId="2" type="noConversion"/>
  </si>
  <si>
    <t>2024년 대비(%)</t>
  </si>
  <si>
    <t>2023년 대비(%)</t>
  </si>
  <si>
    <t>기타포괄손익</t>
  </si>
  <si>
    <t xml:space="preserve">K-ICS비율 </t>
  </si>
  <si>
    <t>2023년</t>
    <phoneticPr fontId="2" type="noConversion"/>
  </si>
  <si>
    <t>2024년</t>
    <phoneticPr fontId="2" type="noConversion"/>
  </si>
  <si>
    <t>2024년 증감액 / 2024년 자기자본</t>
    <phoneticPr fontId="2" type="noConversion"/>
  </si>
  <si>
    <t>23~25 증감액 / 2023년 자기자본</t>
    <phoneticPr fontId="2" type="noConversion"/>
  </si>
  <si>
    <t>보험부채순금융손익</t>
  </si>
  <si>
    <t>변동분</t>
    <phoneticPr fontId="2" type="noConversion"/>
  </si>
  <si>
    <t>24~25</t>
    <phoneticPr fontId="2" type="noConversion"/>
  </si>
  <si>
    <t>* 증감</t>
    <phoneticPr fontId="2" type="noConversion"/>
  </si>
  <si>
    <t>*  운용자산</t>
    <phoneticPr fontId="2" type="noConversion"/>
  </si>
  <si>
    <t>* 보험부채</t>
    <phoneticPr fontId="2" type="noConversion"/>
  </si>
  <si>
    <t>운용자산 대비 2024년</t>
    <phoneticPr fontId="2" type="noConversion"/>
  </si>
  <si>
    <t>운용자산 대비 2023년</t>
    <phoneticPr fontId="2" type="noConversion"/>
  </si>
  <si>
    <t>부채 대비 2024년</t>
    <phoneticPr fontId="2" type="noConversion"/>
  </si>
  <si>
    <t>부채 대비 23년</t>
    <phoneticPr fontId="2" type="noConversion"/>
  </si>
  <si>
    <t>(2024년 대비)</t>
  </si>
  <si>
    <t>(2023년 대비)</t>
  </si>
  <si>
    <t>2024년 대비</t>
  </si>
  <si>
    <t>2023년 대비</t>
  </si>
  <si>
    <t>ROE</t>
  </si>
  <si>
    <t>2024년 대비 (%p)</t>
  </si>
  <si>
    <t>2023년 대비 (%p)</t>
  </si>
  <si>
    <r>
      <t>①</t>
    </r>
    <r>
      <rPr>
        <sz val="7"/>
        <color rgb="FF000000"/>
        <rFont val="Times New Roman"/>
        <family val="1"/>
      </rPr>
      <t xml:space="preserve">      </t>
    </r>
    <r>
      <rPr>
        <sz val="10.5"/>
        <color theme="1"/>
        <rFont val="KoPub돋움체_Pro Light"/>
        <family val="1"/>
        <charset val="129"/>
      </rPr>
      <t xml:space="preserve">CSM잔액 </t>
    </r>
  </si>
  <si>
    <r>
      <t>②</t>
    </r>
    <r>
      <rPr>
        <sz val="7"/>
        <color rgb="FF000000"/>
        <rFont val="Times New Roman"/>
        <family val="1"/>
      </rPr>
      <t xml:space="preserve">      </t>
    </r>
    <r>
      <rPr>
        <sz val="10.5"/>
        <color theme="1"/>
        <rFont val="KoPub돋움체_Pro Light"/>
        <family val="1"/>
        <charset val="129"/>
      </rPr>
      <t>신계약CSM</t>
    </r>
  </si>
  <si>
    <t>④ CSM조정액</t>
  </si>
  <si>
    <t>④/①</t>
  </si>
  <si>
    <t>해지율</t>
  </si>
  <si>
    <t>위험율</t>
  </si>
  <si>
    <t>사업비율</t>
  </si>
  <si>
    <t>기타가정</t>
  </si>
  <si>
    <t>물량, 예실차 등</t>
  </si>
  <si>
    <t>손실요소</t>
  </si>
  <si>
    <t>CSM조정액</t>
    <phoneticPr fontId="2" type="noConversion"/>
  </si>
  <si>
    <t>해지율</t>
    <phoneticPr fontId="2" type="noConversion"/>
  </si>
  <si>
    <t>위험률</t>
    <phoneticPr fontId="2" type="noConversion"/>
  </si>
  <si>
    <t>사업비율</t>
    <phoneticPr fontId="2" type="noConversion"/>
  </si>
  <si>
    <t>기타가정</t>
    <phoneticPr fontId="2" type="noConversion"/>
  </si>
  <si>
    <t>물량,예실차 등</t>
    <phoneticPr fontId="2" type="noConversion"/>
  </si>
  <si>
    <t>손실요소</t>
    <phoneticPr fontId="2" type="noConversion"/>
  </si>
  <si>
    <t>전년대비 금액</t>
    <phoneticPr fontId="2" type="noConversion"/>
  </si>
  <si>
    <t>2024년말 vfa</t>
    <phoneticPr fontId="2" type="noConversion"/>
  </si>
  <si>
    <t>2023년말 vfa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</si>
</sst>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1" formatCode="_-* #,##0_-;\-* #,##0_-;_-* &quot;-&quot;_-;_-@_-"/>
    <numFmt numFmtId="43" formatCode="_-* #,##0.00_-;\-* #,##0.00_-;_-* &quot;-&quot;??_-;_-@_-"/>
    <numFmt numFmtId="176" formatCode="0.0%"/>
    <numFmt numFmtId="177" formatCode="#,##0_ \ ;&quot;-&quot;#,##0\ \ "/>
    <numFmt numFmtId="178" formatCode="\(#,##0.0%\)\ ;\(\-#,##0.0%\)\ ;\-\ "/>
    <numFmt numFmtId="179" formatCode="#,##0_ \ ;&quot;△&quot;#,##0\ \ "/>
    <numFmt numFmtId="180" formatCode="#,##0;#,##0"/>
    <numFmt numFmtId="181" formatCode="##,##0.0%\ ;&quot;△&quot;#,##0.0%\ \ "/>
    <numFmt numFmtId="182" formatCode="#,##0\ ;\△#,##0\ ;\-"/>
    <numFmt numFmtId="183" formatCode="#,##0.0%\ ;\△#,##0.0%\ ;\-"/>
    <numFmt numFmtId="184" formatCode="_-* #,##0.000000_-;\-* #,##0.000000_-;_-* &quot;-&quot;_-;_-@_-"/>
    <numFmt numFmtId="185" formatCode="#,##0;\△#,##0;\-"/>
    <numFmt numFmtId="186" formatCode="#,##0.0%;\△#,##0.0%;\-"/>
    <numFmt numFmtId="187" formatCode="_-* #,##0.0_-;\-* #,##0.0_-;_-* &quot;-&quot;_-;_-@_-"/>
    <numFmt numFmtId="188" formatCode="#,##0.0%\p\ ;\-#,##0.0%\p\ ;\-\ "/>
    <numFmt numFmtId="189" formatCode="##,##0.0%\p\ ;&quot;△&quot;#,##0.0%\p"/>
    <numFmt numFmtId="190" formatCode="#,##0%\ ;\△#,##0%\ ;\-"/>
  </numFmts>
  <fonts count="4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KoPub돋움체_Pro Light"/>
      <family val="1"/>
      <charset val="129"/>
    </font>
    <font>
      <sz val="11"/>
      <color rgb="FFFF0000"/>
      <name val="KoPub돋움체_Pro Light"/>
      <family val="1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1"/>
      <color theme="1"/>
      <name val="KoPub돋움체_Pro Light"/>
      <family val="1"/>
      <charset val="129"/>
    </font>
    <font>
      <b/>
      <sz val="14"/>
      <color theme="1"/>
      <name val="KoPub돋움체_Pro Light"/>
      <family val="1"/>
      <charset val="129"/>
    </font>
    <font>
      <sz val="11"/>
      <color theme="0"/>
      <name val="KoPub돋움체_Pro Light"/>
      <family val="1"/>
      <charset val="129"/>
    </font>
    <font>
      <b/>
      <sz val="11"/>
      <color theme="0"/>
      <name val="KoPub돋움체_Pro Light"/>
      <family val="1"/>
      <charset val="129"/>
    </font>
    <font>
      <sz val="8"/>
      <color theme="1"/>
      <name val="KoPub돋움체_Pro Light"/>
      <family val="1"/>
      <charset val="129"/>
    </font>
    <font>
      <sz val="10"/>
      <color theme="0" tint="-0.499984740745262"/>
      <name val="KoPub돋움체_Pro Light"/>
      <family val="1"/>
      <charset val="129"/>
    </font>
    <font>
      <sz val="11"/>
      <name val="KoPub돋움체_Pro Light"/>
      <family val="1"/>
      <charset val="129"/>
    </font>
    <font>
      <sz val="12"/>
      <name val="KoPub돋움체_Pro Bold"/>
      <family val="1"/>
      <charset val="129"/>
    </font>
    <font>
      <sz val="11"/>
      <name val="맑은 고딕"/>
      <family val="2"/>
      <charset val="129"/>
      <scheme val="minor"/>
    </font>
    <font>
      <sz val="9"/>
      <name val="KoPub돋움체_Pro Light"/>
      <family val="1"/>
      <charset val="129"/>
    </font>
    <font>
      <sz val="10"/>
      <name val="KoPub돋움체_Pro Light"/>
      <family val="1"/>
      <charset val="129"/>
    </font>
    <font>
      <b/>
      <sz val="11"/>
      <name val="Arial"/>
      <family val="2"/>
    </font>
    <font>
      <b/>
      <sz val="12"/>
      <color theme="1"/>
      <name val="KoPub돋움체_Pro Light"/>
      <family val="1"/>
      <charset val="129"/>
    </font>
    <font>
      <b/>
      <sz val="10"/>
      <name val="Arial"/>
      <family val="2"/>
    </font>
    <font>
      <sz val="11"/>
      <color rgb="FF0070C0"/>
      <name val="KoPub돋움체_Pro Light"/>
      <family val="1"/>
      <charset val="129"/>
    </font>
    <font>
      <sz val="10"/>
      <name val="Arial"/>
      <family val="2"/>
    </font>
    <font>
      <sz val="10"/>
      <color theme="1"/>
      <name val="Cambria"/>
      <family val="1"/>
    </font>
    <font>
      <sz val="12"/>
      <color theme="1"/>
      <name val="Cambria"/>
      <family val="1"/>
    </font>
    <font>
      <sz val="10.5"/>
      <color rgb="FF000000"/>
      <name val="KoPub돋움체_Pro Light"/>
      <family val="1"/>
      <charset val="129"/>
    </font>
    <font>
      <b/>
      <sz val="10.5"/>
      <color rgb="FF000000"/>
      <name val="KoPub돋움체_Pro Light"/>
      <family val="1"/>
      <charset val="129"/>
    </font>
    <font>
      <sz val="10"/>
      <color theme="1"/>
      <name val="Times New Roman"/>
      <family val="1"/>
    </font>
    <font>
      <sz val="11"/>
      <color rgb="FF000000"/>
      <name val="KoPub돋움체_Pro Light"/>
      <family val="1"/>
      <charset val="129"/>
    </font>
    <font>
      <sz val="10.5"/>
      <color rgb="FFFF0000"/>
      <name val="KoPub돋움체_Pro Light"/>
      <family val="1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Cambria"/>
      <family val="1"/>
    </font>
    <font>
      <sz val="9"/>
      <color theme="1"/>
      <name val="Cambria"/>
      <family val="1"/>
    </font>
    <font>
      <sz val="12"/>
      <color theme="1"/>
      <name val="바탕"/>
      <family val="1"/>
      <charset val="129"/>
    </font>
    <font>
      <sz val="12"/>
      <color rgb="FFFF0000"/>
      <name val="Cambria"/>
      <family val="1"/>
    </font>
    <font>
      <sz val="12"/>
      <color rgb="FFFF0000"/>
      <name val="바탕"/>
      <family val="1"/>
      <charset val="129"/>
    </font>
    <font>
      <sz val="10.5"/>
      <color theme="1"/>
      <name val="KoPub돋움체_Pro Light"/>
      <family val="1"/>
      <charset val="129"/>
    </font>
    <font>
      <vertAlign val="superscript"/>
      <sz val="10.5"/>
      <color theme="1"/>
      <name val="KoPub돋움체_Pro Light"/>
      <family val="1"/>
      <charset val="129"/>
    </font>
    <font>
      <sz val="7"/>
      <color rgb="FF000000"/>
      <name val="Times New Roman"/>
      <family val="1"/>
    </font>
    <font>
      <b/>
      <sz val="11"/>
      <color rgb="FFFF0000"/>
      <name val="KoPub돋움체_Pro Light"/>
      <family val="1"/>
      <charset val="129"/>
    </font>
    <font>
      <b/>
      <sz val="11"/>
      <name val="KoPub돋움체_Pro Light"/>
      <family val="1"/>
      <charset val="129"/>
    </font>
    <font>
      <sz val="11"/>
      <color rgb="FF00B050"/>
      <name val="KoPub돋움체_Pro Light"/>
      <family val="1"/>
      <charset val="129"/>
    </font>
    <font>
      <sz val="10.5"/>
      <color rgb="FF4A452A"/>
      <name val="KoPub돋움체_Pro Light"/>
      <family val="1"/>
      <charset val="129"/>
    </font>
    <font>
      <b/>
      <sz val="10.5"/>
      <color theme="1"/>
      <name val="KoPub돋움체_Pro Light"/>
      <family val="1"/>
      <charset val="129"/>
    </font>
    <font>
      <sz val="10"/>
      <color theme="1"/>
      <name val="KoPub돋움체_Pro Light"/>
      <family val="1"/>
      <charset val="129"/>
    </font>
    <font>
      <sz val="10.5"/>
      <color rgb="FF4A442A"/>
      <name val="KoPub돋움체_Pro Light"/>
      <family val="1"/>
      <charset val="129"/>
    </font>
    <font>
      <sz val="11"/>
      <color rgb="FF4A442A"/>
      <name val="KoPub돋움체_Pro Light"/>
      <family val="1"/>
      <charset val="129"/>
    </font>
    <font>
      <sz val="11"/>
      <color theme="9"/>
      <name val="KoPub돋움체_Pro Light"/>
      <family val="1"/>
      <charset val="129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43B72"/>
        <bgColor indexed="64"/>
      </patternFill>
    </fill>
    <fill>
      <patternFill patternType="solid">
        <fgColor rgb="FFF5822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F0B26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100">
    <border>
      <left/>
      <right/>
      <top/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rgb="FF000000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dotted">
        <color indexed="64"/>
      </top>
      <bottom/>
      <diagonal/>
    </border>
    <border>
      <left/>
      <right style="thick">
        <color indexed="64"/>
      </right>
      <top/>
      <bottom style="dotted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/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82">
    <xf numFmtId="0" fontId="0" fillId="0" borderId="0" xfId="0">
      <alignment vertical="center"/>
    </xf>
    <xf numFmtId="41" fontId="3" fillId="0" borderId="0" xfId="1" applyFont="1">
      <alignment vertical="center"/>
    </xf>
    <xf numFmtId="41" fontId="3" fillId="0" borderId="0" xfId="1" applyFont="1" applyFill="1">
      <alignment vertical="center"/>
    </xf>
    <xf numFmtId="41" fontId="4" fillId="0" borderId="0" xfId="1" applyFont="1">
      <alignment vertical="center"/>
    </xf>
    <xf numFmtId="41" fontId="4" fillId="0" borderId="0" xfId="1" applyFont="1" applyFill="1">
      <alignment vertical="center"/>
    </xf>
    <xf numFmtId="0" fontId="3" fillId="0" borderId="0" xfId="0" applyFont="1">
      <alignment vertical="center"/>
    </xf>
    <xf numFmtId="41" fontId="7" fillId="0" borderId="0" xfId="1" applyFont="1">
      <alignment vertical="center"/>
    </xf>
    <xf numFmtId="0" fontId="8" fillId="0" borderId="0" xfId="0" applyFont="1">
      <alignment vertical="center"/>
    </xf>
    <xf numFmtId="176" fontId="3" fillId="0" borderId="0" xfId="2" applyNumberFormat="1" applyFont="1">
      <alignment vertical="center"/>
    </xf>
    <xf numFmtId="41" fontId="3" fillId="0" borderId="0" xfId="1" applyFont="1" applyAlignment="1">
      <alignment horizontal="center" vertical="center"/>
    </xf>
    <xf numFmtId="41" fontId="3" fillId="0" borderId="0" xfId="1" applyFont="1" applyAlignment="1">
      <alignment vertical="center" wrapText="1"/>
    </xf>
    <xf numFmtId="41" fontId="3" fillId="6" borderId="0" xfId="1" applyFont="1" applyFill="1">
      <alignment vertical="center"/>
    </xf>
    <xf numFmtId="41" fontId="4" fillId="6" borderId="0" xfId="1" applyFont="1" applyFill="1">
      <alignment vertical="center"/>
    </xf>
    <xf numFmtId="41" fontId="4" fillId="0" borderId="0" xfId="1" applyFont="1" applyAlignment="1">
      <alignment horizontal="center" vertical="center"/>
    </xf>
    <xf numFmtId="41" fontId="11" fillId="0" borderId="0" xfId="1" applyFont="1" applyAlignment="1">
      <alignment vertical="center" wrapText="1"/>
    </xf>
    <xf numFmtId="41" fontId="12" fillId="0" borderId="0" xfId="1" applyFont="1" applyFill="1" applyAlignment="1">
      <alignment vertical="center" wrapText="1"/>
    </xf>
    <xf numFmtId="176" fontId="3" fillId="7" borderId="0" xfId="2" applyNumberFormat="1" applyFont="1" applyFill="1">
      <alignment vertical="center"/>
    </xf>
    <xf numFmtId="0" fontId="3" fillId="7" borderId="0" xfId="0" applyFont="1" applyFill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41" fontId="3" fillId="0" borderId="0" xfId="0" applyNumberFormat="1" applyFont="1">
      <alignment vertical="center"/>
    </xf>
    <xf numFmtId="0" fontId="3" fillId="0" borderId="0" xfId="0" applyFont="1" applyFill="1" applyBorder="1">
      <alignment vertical="center"/>
    </xf>
    <xf numFmtId="176" fontId="13" fillId="0" borderId="11" xfId="2" applyNumberFormat="1" applyFont="1" applyFill="1" applyBorder="1" applyAlignment="1">
      <alignment horizontal="right" vertical="center"/>
    </xf>
    <xf numFmtId="176" fontId="13" fillId="0" borderId="28" xfId="2" applyNumberFormat="1" applyFont="1" applyFill="1" applyBorder="1" applyAlignment="1">
      <alignment horizontal="right" vertical="center"/>
    </xf>
    <xf numFmtId="177" fontId="13" fillId="3" borderId="20" xfId="1" applyNumberFormat="1" applyFont="1" applyFill="1" applyBorder="1" applyAlignment="1">
      <alignment horizontal="right" vertical="center"/>
    </xf>
    <xf numFmtId="177" fontId="13" fillId="0" borderId="18" xfId="1" applyNumberFormat="1" applyFont="1" applyFill="1" applyBorder="1" applyAlignment="1">
      <alignment horizontal="right" vertical="center"/>
    </xf>
    <xf numFmtId="41" fontId="3" fillId="3" borderId="20" xfId="1" applyFont="1" applyFill="1" applyBorder="1" applyAlignment="1">
      <alignment horizontal="center" vertical="center"/>
    </xf>
    <xf numFmtId="41" fontId="3" fillId="3" borderId="29" xfId="1" applyFont="1" applyFill="1" applyBorder="1" applyAlignment="1">
      <alignment horizontal="center" vertical="center"/>
    </xf>
    <xf numFmtId="41" fontId="3" fillId="0" borderId="24" xfId="1" applyFont="1" applyBorder="1" applyAlignment="1">
      <alignment horizontal="center" vertical="center"/>
    </xf>
    <xf numFmtId="41" fontId="3" fillId="0" borderId="23" xfId="1" applyFont="1" applyBorder="1" applyAlignment="1">
      <alignment horizontal="center" vertical="center"/>
    </xf>
    <xf numFmtId="178" fontId="3" fillId="0" borderId="24" xfId="1" applyNumberFormat="1" applyFont="1" applyBorder="1" applyAlignment="1">
      <alignment horizontal="center" vertical="center"/>
    </xf>
    <xf numFmtId="178" fontId="3" fillId="0" borderId="23" xfId="1" applyNumberFormat="1" applyFont="1" applyBorder="1" applyAlignment="1">
      <alignment horizontal="center" vertical="center"/>
    </xf>
    <xf numFmtId="41" fontId="3" fillId="0" borderId="18" xfId="1" applyFont="1" applyBorder="1" applyAlignment="1">
      <alignment horizontal="center" vertical="center"/>
    </xf>
    <xf numFmtId="41" fontId="3" fillId="0" borderId="17" xfId="1" applyFont="1" applyBorder="1" applyAlignment="1">
      <alignment horizontal="center" vertical="center"/>
    </xf>
    <xf numFmtId="41" fontId="3" fillId="0" borderId="24" xfId="1" applyFont="1" applyFill="1" applyBorder="1" applyAlignment="1">
      <alignment horizontal="center" vertical="center"/>
    </xf>
    <xf numFmtId="41" fontId="3" fillId="0" borderId="23" xfId="1" applyFont="1" applyFill="1" applyBorder="1" applyAlignment="1">
      <alignment horizontal="center" vertical="center"/>
    </xf>
    <xf numFmtId="41" fontId="0" fillId="0" borderId="23" xfId="1" applyFont="1" applyBorder="1">
      <alignment vertical="center"/>
    </xf>
    <xf numFmtId="178" fontId="3" fillId="0" borderId="24" xfId="1" applyNumberFormat="1" applyFont="1" applyFill="1" applyBorder="1" applyAlignment="1">
      <alignment horizontal="center" vertical="center"/>
    </xf>
    <xf numFmtId="41" fontId="3" fillId="0" borderId="18" xfId="1" applyFont="1" applyFill="1" applyBorder="1" applyAlignment="1">
      <alignment horizontal="center" vertical="center"/>
    </xf>
    <xf numFmtId="41" fontId="3" fillId="0" borderId="17" xfId="1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3" fillId="0" borderId="0" xfId="0" applyFont="1">
      <alignment vertical="center"/>
    </xf>
    <xf numFmtId="0" fontId="16" fillId="0" borderId="0" xfId="0" applyFont="1" applyAlignment="1">
      <alignment horizontal="right" vertical="center"/>
    </xf>
    <xf numFmtId="0" fontId="13" fillId="2" borderId="29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176" fontId="13" fillId="3" borderId="20" xfId="1" applyNumberFormat="1" applyFont="1" applyFill="1" applyBorder="1" applyAlignment="1">
      <alignment horizontal="center" vertical="center"/>
    </xf>
    <xf numFmtId="41" fontId="13" fillId="0" borderId="23" xfId="1" applyFont="1" applyBorder="1" applyAlignment="1">
      <alignment horizontal="center" vertical="center"/>
    </xf>
    <xf numFmtId="41" fontId="13" fillId="0" borderId="24" xfId="1" applyFont="1" applyBorder="1" applyAlignment="1">
      <alignment horizontal="center" vertical="center"/>
    </xf>
    <xf numFmtId="41" fontId="13" fillId="0" borderId="17" xfId="1" applyFont="1" applyBorder="1" applyAlignment="1">
      <alignment horizontal="center" vertical="center"/>
    </xf>
    <xf numFmtId="41" fontId="13" fillId="0" borderId="18" xfId="1" applyFont="1" applyBorder="1" applyAlignment="1">
      <alignment horizontal="center" vertical="center"/>
    </xf>
    <xf numFmtId="0" fontId="17" fillId="0" borderId="0" xfId="0" applyFont="1" applyBorder="1">
      <alignment vertical="center"/>
    </xf>
    <xf numFmtId="0" fontId="13" fillId="0" borderId="0" xfId="0" applyFont="1" applyBorder="1" applyAlignment="1">
      <alignment horizontal="center" vertical="center"/>
    </xf>
    <xf numFmtId="178" fontId="13" fillId="0" borderId="0" xfId="1" applyNumberFormat="1" applyFont="1" applyBorder="1">
      <alignment vertical="center"/>
    </xf>
    <xf numFmtId="0" fontId="13" fillId="0" borderId="0" xfId="0" applyFont="1" applyBorder="1">
      <alignment vertical="center"/>
    </xf>
    <xf numFmtId="179" fontId="13" fillId="0" borderId="29" xfId="1" applyNumberFormat="1" applyFont="1" applyFill="1" applyBorder="1" applyAlignment="1">
      <alignment horizontal="right" vertical="center"/>
    </xf>
    <xf numFmtId="179" fontId="13" fillId="0" borderId="4" xfId="1" applyNumberFormat="1" applyFont="1" applyFill="1" applyBorder="1" applyAlignment="1">
      <alignment horizontal="right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77" fontId="13" fillId="0" borderId="7" xfId="1" applyNumberFormat="1" applyFont="1" applyFill="1" applyBorder="1" applyAlignment="1">
      <alignment horizontal="right" vertical="center"/>
    </xf>
    <xf numFmtId="177" fontId="13" fillId="0" borderId="8" xfId="1" applyNumberFormat="1" applyFont="1" applyFill="1" applyBorder="1" applyAlignment="1">
      <alignment horizontal="right" vertical="center"/>
    </xf>
    <xf numFmtId="177" fontId="13" fillId="0" borderId="27" xfId="1" applyNumberFormat="1" applyFont="1" applyFill="1" applyBorder="1" applyAlignment="1">
      <alignment horizontal="right" vertical="center"/>
    </xf>
    <xf numFmtId="177" fontId="13" fillId="0" borderId="28" xfId="1" applyNumberFormat="1" applyFont="1" applyFill="1" applyBorder="1" applyAlignment="1">
      <alignment horizontal="right" vertical="center"/>
    </xf>
    <xf numFmtId="0" fontId="17" fillId="0" borderId="0" xfId="0" applyFont="1" applyBorder="1" applyAlignment="1">
      <alignment horizontal="left" vertical="center"/>
    </xf>
    <xf numFmtId="0" fontId="13" fillId="2" borderId="20" xfId="0" applyFont="1" applyFill="1" applyBorder="1" applyAlignment="1">
      <alignment horizontal="center" vertical="center"/>
    </xf>
    <xf numFmtId="177" fontId="13" fillId="3" borderId="29" xfId="1" applyNumberFormat="1" applyFont="1" applyFill="1" applyBorder="1" applyAlignment="1">
      <alignment horizontal="right" vertical="center"/>
    </xf>
    <xf numFmtId="177" fontId="13" fillId="0" borderId="24" xfId="1" applyNumberFormat="1" applyFont="1" applyBorder="1" applyAlignment="1">
      <alignment horizontal="right" vertical="center"/>
    </xf>
    <xf numFmtId="177" fontId="13" fillId="0" borderId="23" xfId="1" applyNumberFormat="1" applyFont="1" applyBorder="1" applyAlignment="1">
      <alignment horizontal="right" vertical="center"/>
    </xf>
    <xf numFmtId="176" fontId="13" fillId="0" borderId="28" xfId="2" applyNumberFormat="1" applyFont="1" applyFill="1" applyBorder="1" applyAlignment="1">
      <alignment horizontal="center" vertical="center"/>
    </xf>
    <xf numFmtId="176" fontId="13" fillId="0" borderId="27" xfId="2" applyNumberFormat="1" applyFont="1" applyBorder="1" applyAlignment="1">
      <alignment horizontal="center" vertical="center"/>
    </xf>
    <xf numFmtId="176" fontId="13" fillId="0" borderId="18" xfId="2" applyNumberFormat="1" applyFont="1" applyBorder="1" applyAlignment="1">
      <alignment horizontal="center" vertical="center"/>
    </xf>
    <xf numFmtId="177" fontId="13" fillId="0" borderId="24" xfId="1" applyNumberFormat="1" applyFont="1" applyFill="1" applyBorder="1" applyAlignment="1">
      <alignment horizontal="right" vertical="center"/>
    </xf>
    <xf numFmtId="177" fontId="13" fillId="0" borderId="23" xfId="1" applyNumberFormat="1" applyFont="1" applyFill="1" applyBorder="1" applyAlignment="1">
      <alignment horizontal="right" vertical="center"/>
    </xf>
    <xf numFmtId="176" fontId="13" fillId="0" borderId="24" xfId="2" applyNumberFormat="1" applyFont="1" applyFill="1" applyBorder="1" applyAlignment="1">
      <alignment horizontal="center" vertical="center"/>
    </xf>
    <xf numFmtId="176" fontId="15" fillId="0" borderId="23" xfId="2" applyNumberFormat="1" applyFont="1" applyFill="1" applyBorder="1" applyAlignment="1">
      <alignment horizontal="center" vertical="center"/>
    </xf>
    <xf numFmtId="176" fontId="13" fillId="0" borderId="18" xfId="2" applyNumberFormat="1" applyFont="1" applyFill="1" applyBorder="1" applyAlignment="1">
      <alignment horizontal="center" vertical="center"/>
    </xf>
    <xf numFmtId="176" fontId="13" fillId="0" borderId="17" xfId="2" applyNumberFormat="1" applyFont="1" applyFill="1" applyBorder="1" applyAlignment="1">
      <alignment horizontal="center" vertical="center"/>
    </xf>
    <xf numFmtId="177" fontId="13" fillId="0" borderId="20" xfId="1" applyNumberFormat="1" applyFont="1" applyFill="1" applyBorder="1" applyAlignment="1">
      <alignment vertical="center"/>
    </xf>
    <xf numFmtId="177" fontId="13" fillId="0" borderId="29" xfId="1" applyNumberFormat="1" applyFont="1" applyFill="1" applyBorder="1" applyAlignment="1">
      <alignment vertical="center"/>
    </xf>
    <xf numFmtId="177" fontId="13" fillId="0" borderId="24" xfId="1" applyNumberFormat="1" applyFont="1" applyFill="1" applyBorder="1" applyAlignment="1">
      <alignment vertical="center"/>
    </xf>
    <xf numFmtId="177" fontId="13" fillId="0" borderId="23" xfId="1" applyNumberFormat="1" applyFont="1" applyFill="1" applyBorder="1" applyAlignment="1">
      <alignment vertical="center"/>
    </xf>
    <xf numFmtId="177" fontId="13" fillId="0" borderId="18" xfId="1" applyNumberFormat="1" applyFont="1" applyFill="1" applyBorder="1" applyAlignment="1">
      <alignment vertical="center"/>
    </xf>
    <xf numFmtId="0" fontId="17" fillId="0" borderId="0" xfId="0" applyFont="1">
      <alignment vertical="center"/>
    </xf>
    <xf numFmtId="178" fontId="13" fillId="0" borderId="0" xfId="1" applyNumberFormat="1" applyFont="1" applyFill="1" applyBorder="1">
      <alignment vertical="center"/>
    </xf>
    <xf numFmtId="0" fontId="15" fillId="0" borderId="0" xfId="0" applyFont="1" applyFill="1">
      <alignment vertical="center"/>
    </xf>
    <xf numFmtId="41" fontId="13" fillId="0" borderId="0" xfId="1" applyFont="1" applyFill="1" applyBorder="1">
      <alignment vertical="center"/>
    </xf>
    <xf numFmtId="176" fontId="13" fillId="0" borderId="29" xfId="2" applyNumberFormat="1" applyFont="1" applyFill="1" applyBorder="1" applyAlignment="1">
      <alignment horizontal="center" vertical="center"/>
    </xf>
    <xf numFmtId="176" fontId="13" fillId="0" borderId="20" xfId="2" applyNumberFormat="1" applyFont="1" applyFill="1" applyBorder="1" applyAlignment="1">
      <alignment horizontal="center" vertical="center"/>
    </xf>
    <xf numFmtId="176" fontId="13" fillId="0" borderId="23" xfId="2" applyNumberFormat="1" applyFont="1" applyBorder="1" applyAlignment="1">
      <alignment horizontal="center" vertical="center"/>
    </xf>
    <xf numFmtId="176" fontId="13" fillId="0" borderId="4" xfId="2" applyNumberFormat="1" applyFont="1" applyFill="1" applyBorder="1" applyAlignment="1">
      <alignment horizontal="center" vertical="center"/>
    </xf>
    <xf numFmtId="176" fontId="13" fillId="0" borderId="11" xfId="2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shrinkToFit="1"/>
    </xf>
    <xf numFmtId="176" fontId="13" fillId="0" borderId="13" xfId="2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41" fontId="13" fillId="0" borderId="0" xfId="1" applyFont="1" applyBorder="1">
      <alignment vertical="center"/>
    </xf>
    <xf numFmtId="0" fontId="0" fillId="8" borderId="0" xfId="0" applyFill="1">
      <alignment vertical="center"/>
    </xf>
    <xf numFmtId="0" fontId="0" fillId="0" borderId="0" xfId="0" applyFill="1" applyAlignment="1"/>
    <xf numFmtId="3" fontId="0" fillId="0" borderId="0" xfId="0" applyNumberFormat="1">
      <alignment vertical="center"/>
    </xf>
    <xf numFmtId="3" fontId="0" fillId="8" borderId="0" xfId="0" applyNumberFormat="1" applyFill="1">
      <alignment vertical="center"/>
    </xf>
    <xf numFmtId="49" fontId="18" fillId="0" borderId="17" xfId="0" applyNumberFormat="1" applyFont="1" applyFill="1" applyBorder="1" applyAlignment="1">
      <alignment horizontal="left"/>
    </xf>
    <xf numFmtId="49" fontId="18" fillId="0" borderId="17" xfId="0" applyNumberFormat="1" applyFont="1" applyFill="1" applyBorder="1" applyAlignment="1">
      <alignment horizontal="center"/>
    </xf>
    <xf numFmtId="49" fontId="0" fillId="0" borderId="23" xfId="0" applyNumberFormat="1" applyFill="1" applyBorder="1" applyAlignment="1">
      <alignment horizontal="left"/>
    </xf>
    <xf numFmtId="41" fontId="0" fillId="0" borderId="0" xfId="1" applyFont="1">
      <alignment vertical="center"/>
    </xf>
    <xf numFmtId="0" fontId="0" fillId="0" borderId="0" xfId="0" applyAlignment="1">
      <alignment vertical="center" wrapText="1"/>
    </xf>
    <xf numFmtId="0" fontId="19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37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43" fontId="3" fillId="3" borderId="40" xfId="1" applyNumberFormat="1" applyFont="1" applyFill="1" applyBorder="1">
      <alignment vertical="center"/>
    </xf>
    <xf numFmtId="41" fontId="3" fillId="3" borderId="40" xfId="1" applyFont="1" applyFill="1" applyBorder="1">
      <alignment vertical="center"/>
    </xf>
    <xf numFmtId="43" fontId="3" fillId="3" borderId="34" xfId="1" applyNumberFormat="1" applyFont="1" applyFill="1" applyBorder="1">
      <alignment vertical="center"/>
    </xf>
    <xf numFmtId="0" fontId="3" fillId="0" borderId="33" xfId="0" applyFont="1" applyBorder="1">
      <alignment vertical="center"/>
    </xf>
    <xf numFmtId="0" fontId="3" fillId="0" borderId="41" xfId="0" applyFont="1" applyBorder="1" applyAlignment="1">
      <alignment horizontal="center" vertical="center"/>
    </xf>
    <xf numFmtId="41" fontId="3" fillId="0" borderId="41" xfId="1" applyFont="1" applyBorder="1">
      <alignment vertical="center"/>
    </xf>
    <xf numFmtId="41" fontId="3" fillId="0" borderId="30" xfId="1" applyFont="1" applyBorder="1">
      <alignment vertical="center"/>
    </xf>
    <xf numFmtId="180" fontId="0" fillId="0" borderId="0" xfId="0" applyNumberFormat="1">
      <alignment vertical="center"/>
    </xf>
    <xf numFmtId="0" fontId="3" fillId="0" borderId="42" xfId="0" applyFont="1" applyBorder="1" applyAlignment="1">
      <alignment horizontal="center" vertical="center"/>
    </xf>
    <xf numFmtId="178" fontId="3" fillId="0" borderId="42" xfId="1" applyNumberFormat="1" applyFont="1" applyBorder="1">
      <alignment vertical="center"/>
    </xf>
    <xf numFmtId="178" fontId="3" fillId="0" borderId="31" xfId="1" applyNumberFormat="1" applyFont="1" applyBorder="1">
      <alignment vertical="center"/>
    </xf>
    <xf numFmtId="41" fontId="3" fillId="0" borderId="43" xfId="1" applyFont="1" applyFill="1" applyBorder="1">
      <alignment vertical="center"/>
    </xf>
    <xf numFmtId="43" fontId="3" fillId="7" borderId="41" xfId="1" applyNumberFormat="1" applyFont="1" applyFill="1" applyBorder="1">
      <alignment vertical="center"/>
    </xf>
    <xf numFmtId="41" fontId="3" fillId="7" borderId="41" xfId="1" applyFont="1" applyFill="1" applyBorder="1">
      <alignment vertical="center"/>
    </xf>
    <xf numFmtId="43" fontId="3" fillId="7" borderId="30" xfId="1" applyNumberFormat="1" applyFont="1" applyFill="1" applyBorder="1">
      <alignment vertical="center"/>
    </xf>
    <xf numFmtId="0" fontId="3" fillId="0" borderId="35" xfId="0" applyFont="1" applyBorder="1">
      <alignment vertical="center"/>
    </xf>
    <xf numFmtId="0" fontId="3" fillId="0" borderId="44" xfId="0" applyFont="1" applyBorder="1" applyAlignment="1">
      <alignment horizontal="center" vertical="center"/>
    </xf>
    <xf numFmtId="178" fontId="3" fillId="7" borderId="44" xfId="1" applyNumberFormat="1" applyFont="1" applyFill="1" applyBorder="1">
      <alignment vertical="center"/>
    </xf>
    <xf numFmtId="178" fontId="3" fillId="7" borderId="45" xfId="1" applyNumberFormat="1" applyFont="1" applyFill="1" applyBorder="1">
      <alignment vertical="center"/>
    </xf>
    <xf numFmtId="41" fontId="0" fillId="0" borderId="0" xfId="0" applyNumberFormat="1">
      <alignment vertical="center"/>
    </xf>
    <xf numFmtId="10" fontId="0" fillId="0" borderId="0" xfId="2" applyNumberFormat="1" applyFont="1">
      <alignment vertical="center"/>
    </xf>
    <xf numFmtId="49" fontId="20" fillId="0" borderId="23" xfId="0" applyNumberFormat="1" applyFont="1" applyFill="1" applyBorder="1" applyAlignment="1">
      <alignment horizontal="left"/>
    </xf>
    <xf numFmtId="0" fontId="3" fillId="0" borderId="0" xfId="0" quotePrefix="1" applyFont="1" applyAlignment="1">
      <alignment horizontal="left" vertical="center"/>
    </xf>
    <xf numFmtId="181" fontId="3" fillId="0" borderId="0" xfId="2" applyNumberFormat="1" applyFont="1">
      <alignment vertical="center"/>
    </xf>
    <xf numFmtId="0" fontId="13" fillId="0" borderId="0" xfId="0" applyFont="1" applyBorder="1" applyAlignment="1">
      <alignment horizontal="center" vertical="center"/>
    </xf>
    <xf numFmtId="176" fontId="13" fillId="0" borderId="0" xfId="2" applyNumberFormat="1" applyFont="1" applyFill="1" applyBorder="1">
      <alignment vertical="center"/>
    </xf>
    <xf numFmtId="179" fontId="3" fillId="0" borderId="0" xfId="1" applyNumberFormat="1" applyFont="1">
      <alignment vertical="center"/>
    </xf>
    <xf numFmtId="179" fontId="13" fillId="0" borderId="0" xfId="1" applyNumberFormat="1" applyFont="1" applyBorder="1">
      <alignment vertical="center"/>
    </xf>
    <xf numFmtId="0" fontId="13" fillId="0" borderId="0" xfId="0" applyFont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77" fontId="13" fillId="0" borderId="23" xfId="1" applyNumberFormat="1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shrinkToFit="1"/>
    </xf>
    <xf numFmtId="180" fontId="0" fillId="2" borderId="23" xfId="0" applyNumberFormat="1" applyFill="1" applyBorder="1" applyAlignment="1"/>
    <xf numFmtId="180" fontId="0" fillId="9" borderId="23" xfId="0" applyNumberFormat="1" applyFill="1" applyBorder="1" applyAlignment="1"/>
    <xf numFmtId="180" fontId="20" fillId="2" borderId="23" xfId="0" applyNumberFormat="1" applyFont="1" applyFill="1" applyBorder="1" applyAlignment="1"/>
    <xf numFmtId="180" fontId="0" fillId="10" borderId="23" xfId="0" applyNumberFormat="1" applyFill="1" applyBorder="1" applyAlignment="1"/>
    <xf numFmtId="180" fontId="20" fillId="11" borderId="23" xfId="0" applyNumberFormat="1" applyFont="1" applyFill="1" applyBorder="1" applyAlignment="1"/>
    <xf numFmtId="0" fontId="13" fillId="0" borderId="0" xfId="0" applyFont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177" fontId="13" fillId="0" borderId="23" xfId="1" applyNumberFormat="1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 shrinkToFit="1"/>
    </xf>
    <xf numFmtId="41" fontId="3" fillId="0" borderId="0" xfId="1" applyFont="1" applyBorder="1">
      <alignment vertical="center"/>
    </xf>
    <xf numFmtId="0" fontId="22" fillId="0" borderId="0" xfId="0" applyFont="1" applyFill="1" applyBorder="1" applyAlignment="1"/>
    <xf numFmtId="0" fontId="22" fillId="0" borderId="0" xfId="0" applyFont="1" applyAlignment="1"/>
    <xf numFmtId="3" fontId="22" fillId="0" borderId="0" xfId="0" applyNumberFormat="1" applyFont="1" applyAlignment="1"/>
    <xf numFmtId="0" fontId="22" fillId="0" borderId="0" xfId="0" applyNumberFormat="1" applyFont="1" applyAlignment="1"/>
    <xf numFmtId="179" fontId="3" fillId="0" borderId="0" xfId="2" applyNumberFormat="1" applyFont="1">
      <alignment vertical="center"/>
    </xf>
    <xf numFmtId="0" fontId="25" fillId="12" borderId="52" xfId="0" applyFont="1" applyFill="1" applyBorder="1" applyAlignment="1">
      <alignment horizontal="center" vertical="center"/>
    </xf>
    <xf numFmtId="0" fontId="25" fillId="12" borderId="53" xfId="0" applyFont="1" applyFill="1" applyBorder="1" applyAlignment="1">
      <alignment horizontal="center" vertical="center"/>
    </xf>
    <xf numFmtId="0" fontId="25" fillId="12" borderId="54" xfId="0" applyFont="1" applyFill="1" applyBorder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vertical="center" wrapText="1"/>
    </xf>
    <xf numFmtId="3" fontId="25" fillId="0" borderId="55" xfId="0" applyNumberFormat="1" applyFont="1" applyBorder="1" applyAlignment="1">
      <alignment horizontal="right" vertical="center"/>
    </xf>
    <xf numFmtId="3" fontId="25" fillId="0" borderId="56" xfId="0" applyNumberFormat="1" applyFont="1" applyBorder="1" applyAlignment="1">
      <alignment horizontal="right" vertical="center"/>
    </xf>
    <xf numFmtId="3" fontId="25" fillId="0" borderId="57" xfId="0" applyNumberFormat="1" applyFont="1" applyBorder="1" applyAlignment="1">
      <alignment horizontal="right" vertical="center"/>
    </xf>
    <xf numFmtId="3" fontId="25" fillId="0" borderId="0" xfId="0" applyNumberFormat="1" applyFont="1" applyAlignment="1">
      <alignment horizontal="right" vertical="center"/>
    </xf>
    <xf numFmtId="0" fontId="23" fillId="0" borderId="0" xfId="0" applyFont="1">
      <alignment vertical="center"/>
    </xf>
    <xf numFmtId="0" fontId="25" fillId="0" borderId="58" xfId="0" applyFont="1" applyBorder="1" applyAlignment="1">
      <alignment horizontal="center" vertical="center" wrapText="1"/>
    </xf>
    <xf numFmtId="0" fontId="25" fillId="0" borderId="59" xfId="0" applyFont="1" applyBorder="1" applyAlignment="1">
      <alignment horizontal="right" vertical="center"/>
    </xf>
    <xf numFmtId="0" fontId="25" fillId="0" borderId="60" xfId="0" applyFont="1" applyBorder="1" applyAlignment="1">
      <alignment horizontal="right" vertical="center"/>
    </xf>
    <xf numFmtId="0" fontId="25" fillId="0" borderId="61" xfId="0" applyFont="1" applyBorder="1" applyAlignment="1">
      <alignment horizontal="right" vertical="center"/>
    </xf>
    <xf numFmtId="0" fontId="25" fillId="0" borderId="62" xfId="0" applyFont="1" applyBorder="1" applyAlignment="1">
      <alignment horizontal="right" vertical="center"/>
    </xf>
    <xf numFmtId="0" fontId="25" fillId="0" borderId="0" xfId="0" applyFont="1" applyAlignment="1">
      <alignment horizontal="right" vertical="center"/>
    </xf>
    <xf numFmtId="0" fontId="27" fillId="0" borderId="0" xfId="0" applyFont="1">
      <alignment vertical="center"/>
    </xf>
    <xf numFmtId="0" fontId="25" fillId="0" borderId="63" xfId="0" applyFont="1" applyBorder="1" applyAlignment="1">
      <alignment horizontal="center" vertical="center" wrapText="1"/>
    </xf>
    <xf numFmtId="0" fontId="25" fillId="0" borderId="68" xfId="0" applyFont="1" applyBorder="1" applyAlignment="1">
      <alignment horizontal="center" vertical="center" wrapText="1"/>
    </xf>
    <xf numFmtId="0" fontId="25" fillId="0" borderId="55" xfId="0" applyFont="1" applyBorder="1" applyAlignment="1">
      <alignment horizontal="right" vertical="center"/>
    </xf>
    <xf numFmtId="0" fontId="25" fillId="0" borderId="56" xfId="0" applyFont="1" applyBorder="1" applyAlignment="1">
      <alignment horizontal="right" vertical="center"/>
    </xf>
    <xf numFmtId="0" fontId="25" fillId="0" borderId="57" xfId="0" applyFont="1" applyBorder="1" applyAlignment="1">
      <alignment horizontal="right" vertical="center"/>
    </xf>
    <xf numFmtId="0" fontId="25" fillId="0" borderId="69" xfId="0" applyFont="1" applyBorder="1" applyAlignment="1">
      <alignment horizontal="center" vertical="center" wrapText="1"/>
    </xf>
    <xf numFmtId="0" fontId="25" fillId="0" borderId="70" xfId="0" applyFont="1" applyBorder="1" applyAlignment="1">
      <alignment horizontal="right" vertical="center"/>
    </xf>
    <xf numFmtId="0" fontId="25" fillId="0" borderId="52" xfId="0" applyFont="1" applyBorder="1" applyAlignment="1">
      <alignment horizontal="right" vertical="center"/>
    </xf>
    <xf numFmtId="3" fontId="25" fillId="0" borderId="52" xfId="0" applyNumberFormat="1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3" fontId="25" fillId="0" borderId="54" xfId="0" applyNumberFormat="1" applyFont="1" applyBorder="1" applyAlignment="1">
      <alignment horizontal="right" vertical="center"/>
    </xf>
    <xf numFmtId="3" fontId="28" fillId="0" borderId="56" xfId="0" applyNumberFormat="1" applyFont="1" applyBorder="1" applyAlignment="1">
      <alignment horizontal="right" vertical="center"/>
    </xf>
    <xf numFmtId="3" fontId="4" fillId="0" borderId="56" xfId="0" applyNumberFormat="1" applyFont="1" applyBorder="1" applyAlignment="1">
      <alignment horizontal="right" vertical="center"/>
    </xf>
    <xf numFmtId="3" fontId="28" fillId="0" borderId="57" xfId="0" applyNumberFormat="1" applyFont="1" applyBorder="1" applyAlignment="1">
      <alignment horizontal="right" vertical="center"/>
    </xf>
    <xf numFmtId="3" fontId="28" fillId="0" borderId="0" xfId="0" applyNumberFormat="1" applyFont="1" applyAlignment="1">
      <alignment horizontal="right" vertical="center"/>
    </xf>
    <xf numFmtId="3" fontId="29" fillId="0" borderId="60" xfId="0" applyNumberFormat="1" applyFont="1" applyBorder="1" applyAlignment="1">
      <alignment horizontal="right" vertical="center"/>
    </xf>
    <xf numFmtId="3" fontId="25" fillId="0" borderId="60" xfId="0" applyNumberFormat="1" applyFont="1" applyBorder="1" applyAlignment="1">
      <alignment horizontal="right" vertical="center"/>
    </xf>
    <xf numFmtId="3" fontId="25" fillId="0" borderId="62" xfId="0" applyNumberFormat="1" applyFont="1" applyBorder="1" applyAlignment="1">
      <alignment horizontal="right" vertical="center"/>
    </xf>
    <xf numFmtId="3" fontId="29" fillId="0" borderId="56" xfId="0" applyNumberFormat="1" applyFont="1" applyBorder="1" applyAlignment="1">
      <alignment horizontal="right" vertical="center"/>
    </xf>
    <xf numFmtId="3" fontId="28" fillId="0" borderId="52" xfId="0" applyNumberFormat="1" applyFont="1" applyBorder="1" applyAlignment="1">
      <alignment horizontal="right" vertical="center"/>
    </xf>
    <xf numFmtId="3" fontId="4" fillId="0" borderId="52" xfId="0" applyNumberFormat="1" applyFont="1" applyBorder="1" applyAlignment="1">
      <alignment horizontal="right" vertical="center"/>
    </xf>
    <xf numFmtId="0" fontId="28" fillId="0" borderId="52" xfId="0" applyFont="1" applyBorder="1" applyAlignment="1">
      <alignment horizontal="right" vertical="center"/>
    </xf>
    <xf numFmtId="0" fontId="28" fillId="0" borderId="53" xfId="0" applyFont="1" applyBorder="1" applyAlignment="1">
      <alignment horizontal="right" vertical="center"/>
    </xf>
    <xf numFmtId="3" fontId="28" fillId="0" borderId="54" xfId="0" applyNumberFormat="1" applyFont="1" applyBorder="1" applyAlignment="1">
      <alignment horizontal="right" vertical="center"/>
    </xf>
    <xf numFmtId="0" fontId="30" fillId="0" borderId="56" xfId="0" applyFont="1" applyBorder="1" applyAlignment="1">
      <alignment vertical="center" wrapText="1"/>
    </xf>
    <xf numFmtId="0" fontId="30" fillId="0" borderId="62" xfId="0" applyFont="1" applyBorder="1" applyAlignment="1">
      <alignment vertical="center" wrapText="1"/>
    </xf>
    <xf numFmtId="0" fontId="25" fillId="0" borderId="62" xfId="0" applyFont="1" applyBorder="1" applyAlignment="1">
      <alignment horizontal="center" vertical="center" wrapText="1"/>
    </xf>
    <xf numFmtId="0" fontId="31" fillId="0" borderId="56" xfId="0" applyFont="1" applyBorder="1" applyAlignment="1">
      <alignment vertical="center" wrapText="1"/>
    </xf>
    <xf numFmtId="0" fontId="31" fillId="0" borderId="0" xfId="0" applyFont="1" applyAlignment="1">
      <alignment vertical="center" wrapText="1"/>
    </xf>
    <xf numFmtId="0" fontId="30" fillId="0" borderId="52" xfId="0" applyFont="1" applyBorder="1" applyAlignment="1">
      <alignment vertical="center" wrapText="1"/>
    </xf>
    <xf numFmtId="0" fontId="30" fillId="0" borderId="54" xfId="0" applyFont="1" applyBorder="1" applyAlignment="1">
      <alignment vertical="center" wrapText="1"/>
    </xf>
    <xf numFmtId="0" fontId="25" fillId="0" borderId="54" xfId="0" applyFont="1" applyBorder="1" applyAlignment="1">
      <alignment horizontal="right" vertical="center"/>
    </xf>
    <xf numFmtId="10" fontId="25" fillId="0" borderId="55" xfId="0" applyNumberFormat="1" applyFont="1" applyBorder="1" applyAlignment="1">
      <alignment horizontal="right" vertical="center"/>
    </xf>
    <xf numFmtId="10" fontId="25" fillId="0" borderId="56" xfId="0" applyNumberFormat="1" applyFont="1" applyBorder="1" applyAlignment="1">
      <alignment horizontal="right" vertical="center"/>
    </xf>
    <xf numFmtId="10" fontId="25" fillId="0" borderId="57" xfId="0" applyNumberFormat="1" applyFont="1" applyBorder="1" applyAlignment="1">
      <alignment horizontal="right" vertical="center"/>
    </xf>
    <xf numFmtId="10" fontId="25" fillId="0" borderId="0" xfId="0" applyNumberFormat="1" applyFont="1" applyAlignment="1">
      <alignment horizontal="right" vertical="center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41" fontId="25" fillId="0" borderId="64" xfId="1" applyFont="1" applyBorder="1" applyAlignment="1">
      <alignment horizontal="right" vertical="center"/>
    </xf>
    <xf numFmtId="41" fontId="25" fillId="0" borderId="65" xfId="1" applyFont="1" applyBorder="1" applyAlignment="1">
      <alignment horizontal="right" vertical="center"/>
    </xf>
    <xf numFmtId="41" fontId="25" fillId="0" borderId="66" xfId="1" applyFont="1" applyBorder="1" applyAlignment="1">
      <alignment horizontal="right" vertical="center"/>
    </xf>
    <xf numFmtId="41" fontId="25" fillId="0" borderId="67" xfId="1" applyFont="1" applyBorder="1" applyAlignment="1">
      <alignment horizontal="right" vertical="center"/>
    </xf>
    <xf numFmtId="41" fontId="25" fillId="0" borderId="55" xfId="0" applyNumberFormat="1" applyFont="1" applyBorder="1" applyAlignment="1">
      <alignment horizontal="right" vertical="center"/>
    </xf>
    <xf numFmtId="3" fontId="25" fillId="0" borderId="70" xfId="0" applyNumberFormat="1" applyFont="1" applyBorder="1" applyAlignment="1">
      <alignment horizontal="right" vertical="center"/>
    </xf>
    <xf numFmtId="41" fontId="25" fillId="0" borderId="59" xfId="0" applyNumberFormat="1" applyFont="1" applyBorder="1" applyAlignment="1">
      <alignment horizontal="right" vertical="center"/>
    </xf>
    <xf numFmtId="43" fontId="0" fillId="0" borderId="0" xfId="0" applyNumberFormat="1">
      <alignment vertical="center"/>
    </xf>
    <xf numFmtId="41" fontId="28" fillId="0" borderId="55" xfId="0" applyNumberFormat="1" applyFont="1" applyBorder="1" applyAlignment="1">
      <alignment horizontal="right" vertical="center"/>
    </xf>
    <xf numFmtId="41" fontId="28" fillId="0" borderId="70" xfId="0" applyNumberFormat="1" applyFont="1" applyBorder="1" applyAlignment="1">
      <alignment horizontal="right" vertical="center"/>
    </xf>
    <xf numFmtId="182" fontId="25" fillId="0" borderId="55" xfId="1" applyNumberFormat="1" applyFont="1" applyBorder="1" applyAlignment="1">
      <alignment horizontal="right" vertical="center"/>
    </xf>
    <xf numFmtId="182" fontId="25" fillId="0" borderId="56" xfId="1" applyNumberFormat="1" applyFont="1" applyBorder="1" applyAlignment="1">
      <alignment horizontal="right" vertical="center"/>
    </xf>
    <xf numFmtId="182" fontId="25" fillId="0" borderId="57" xfId="1" applyNumberFormat="1" applyFont="1" applyBorder="1" applyAlignment="1">
      <alignment horizontal="right" vertical="center"/>
    </xf>
    <xf numFmtId="182" fontId="25" fillId="0" borderId="0" xfId="1" applyNumberFormat="1" applyFont="1" applyAlignment="1">
      <alignment horizontal="right" vertical="center"/>
    </xf>
    <xf numFmtId="182" fontId="25" fillId="0" borderId="70" xfId="1" applyNumberFormat="1" applyFont="1" applyBorder="1" applyAlignment="1">
      <alignment horizontal="right" vertical="center"/>
    </xf>
    <xf numFmtId="182" fontId="25" fillId="0" borderId="52" xfId="1" applyNumberFormat="1" applyFont="1" applyBorder="1" applyAlignment="1">
      <alignment horizontal="right" vertical="center"/>
    </xf>
    <xf numFmtId="182" fontId="25" fillId="0" borderId="53" xfId="1" applyNumberFormat="1" applyFont="1" applyBorder="1" applyAlignment="1">
      <alignment horizontal="right" vertical="center"/>
    </xf>
    <xf numFmtId="182" fontId="25" fillId="0" borderId="54" xfId="1" applyNumberFormat="1" applyFont="1" applyBorder="1" applyAlignment="1">
      <alignment horizontal="right" vertical="center"/>
    </xf>
    <xf numFmtId="182" fontId="28" fillId="0" borderId="55" xfId="0" applyNumberFormat="1" applyFont="1" applyBorder="1" applyAlignment="1">
      <alignment horizontal="right" vertical="center"/>
    </xf>
    <xf numFmtId="182" fontId="28" fillId="0" borderId="56" xfId="0" applyNumberFormat="1" applyFont="1" applyBorder="1" applyAlignment="1">
      <alignment horizontal="right" vertical="center"/>
    </xf>
    <xf numFmtId="182" fontId="4" fillId="0" borderId="56" xfId="0" applyNumberFormat="1" applyFont="1" applyBorder="1" applyAlignment="1">
      <alignment horizontal="right" vertical="center"/>
    </xf>
    <xf numFmtId="182" fontId="28" fillId="0" borderId="57" xfId="0" applyNumberFormat="1" applyFont="1" applyBorder="1" applyAlignment="1">
      <alignment horizontal="right" vertical="center"/>
    </xf>
    <xf numFmtId="182" fontId="28" fillId="0" borderId="0" xfId="0" applyNumberFormat="1" applyFont="1" applyAlignment="1">
      <alignment horizontal="right" vertical="center"/>
    </xf>
    <xf numFmtId="182" fontId="25" fillId="0" borderId="59" xfId="0" applyNumberFormat="1" applyFont="1" applyBorder="1" applyAlignment="1">
      <alignment horizontal="right" vertical="center"/>
    </xf>
    <xf numFmtId="182" fontId="25" fillId="0" borderId="60" xfId="0" applyNumberFormat="1" applyFont="1" applyBorder="1" applyAlignment="1">
      <alignment horizontal="right" vertical="center"/>
    </xf>
    <xf numFmtId="182" fontId="29" fillId="0" borderId="60" xfId="0" applyNumberFormat="1" applyFont="1" applyBorder="1" applyAlignment="1">
      <alignment horizontal="right" vertical="center"/>
    </xf>
    <xf numFmtId="182" fontId="25" fillId="0" borderId="61" xfId="0" applyNumberFormat="1" applyFont="1" applyBorder="1" applyAlignment="1">
      <alignment horizontal="right" vertical="center"/>
    </xf>
    <xf numFmtId="182" fontId="25" fillId="0" borderId="62" xfId="0" applyNumberFormat="1" applyFont="1" applyBorder="1" applyAlignment="1">
      <alignment horizontal="right" vertical="center"/>
    </xf>
    <xf numFmtId="182" fontId="25" fillId="0" borderId="55" xfId="0" applyNumberFormat="1" applyFont="1" applyBorder="1" applyAlignment="1">
      <alignment horizontal="right" vertical="center"/>
    </xf>
    <xf numFmtId="182" fontId="25" fillId="0" borderId="56" xfId="0" applyNumberFormat="1" applyFont="1" applyBorder="1" applyAlignment="1">
      <alignment horizontal="right" vertical="center"/>
    </xf>
    <xf numFmtId="182" fontId="29" fillId="0" borderId="56" xfId="0" applyNumberFormat="1" applyFont="1" applyBorder="1" applyAlignment="1">
      <alignment horizontal="right" vertical="center"/>
    </xf>
    <xf numFmtId="182" fontId="25" fillId="0" borderId="57" xfId="0" applyNumberFormat="1" applyFont="1" applyBorder="1" applyAlignment="1">
      <alignment horizontal="right" vertical="center"/>
    </xf>
    <xf numFmtId="182" fontId="25" fillId="0" borderId="0" xfId="0" applyNumberFormat="1" applyFont="1" applyAlignment="1">
      <alignment horizontal="right" vertical="center"/>
    </xf>
    <xf numFmtId="182" fontId="28" fillId="0" borderId="70" xfId="0" applyNumberFormat="1" applyFont="1" applyBorder="1" applyAlignment="1">
      <alignment horizontal="right" vertical="center"/>
    </xf>
    <xf numFmtId="182" fontId="28" fillId="0" borderId="52" xfId="0" applyNumberFormat="1" applyFont="1" applyBorder="1" applyAlignment="1">
      <alignment horizontal="right" vertical="center"/>
    </xf>
    <xf numFmtId="182" fontId="4" fillId="0" borderId="52" xfId="0" applyNumberFormat="1" applyFont="1" applyBorder="1" applyAlignment="1">
      <alignment horizontal="right" vertical="center"/>
    </xf>
    <xf numFmtId="182" fontId="28" fillId="0" borderId="53" xfId="0" applyNumberFormat="1" applyFont="1" applyBorder="1" applyAlignment="1">
      <alignment horizontal="right" vertical="center"/>
    </xf>
    <xf numFmtId="182" fontId="28" fillId="0" borderId="54" xfId="0" applyNumberFormat="1" applyFont="1" applyBorder="1" applyAlignment="1">
      <alignment horizontal="right" vertical="center"/>
    </xf>
    <xf numFmtId="182" fontId="25" fillId="0" borderId="59" xfId="1" applyNumberFormat="1" applyFont="1" applyBorder="1" applyAlignment="1">
      <alignment horizontal="right" vertical="center"/>
    </xf>
    <xf numFmtId="182" fontId="25" fillId="0" borderId="60" xfId="1" applyNumberFormat="1" applyFont="1" applyBorder="1" applyAlignment="1">
      <alignment horizontal="right" vertical="center"/>
    </xf>
    <xf numFmtId="182" fontId="25" fillId="0" borderId="61" xfId="1" applyNumberFormat="1" applyFont="1" applyBorder="1" applyAlignment="1">
      <alignment horizontal="right" vertical="center"/>
    </xf>
    <xf numFmtId="182" fontId="25" fillId="0" borderId="62" xfId="1" applyNumberFormat="1" applyFont="1" applyBorder="1" applyAlignment="1">
      <alignment horizontal="right" vertical="center"/>
    </xf>
    <xf numFmtId="183" fontId="25" fillId="0" borderId="64" xfId="2" applyNumberFormat="1" applyFont="1" applyBorder="1" applyAlignment="1">
      <alignment horizontal="right" vertical="center"/>
    </xf>
    <xf numFmtId="183" fontId="25" fillId="0" borderId="65" xfId="2" applyNumberFormat="1" applyFont="1" applyBorder="1" applyAlignment="1">
      <alignment horizontal="right" vertical="center"/>
    </xf>
    <xf numFmtId="183" fontId="25" fillId="0" borderId="66" xfId="2" applyNumberFormat="1" applyFont="1" applyBorder="1" applyAlignment="1">
      <alignment horizontal="right" vertical="center"/>
    </xf>
    <xf numFmtId="183" fontId="25" fillId="0" borderId="67" xfId="2" applyNumberFormat="1" applyFont="1" applyBorder="1" applyAlignment="1">
      <alignment horizontal="right" vertical="center"/>
    </xf>
    <xf numFmtId="176" fontId="25" fillId="0" borderId="55" xfId="0" applyNumberFormat="1" applyFont="1" applyBorder="1" applyAlignment="1">
      <alignment horizontal="right" vertical="center"/>
    </xf>
    <xf numFmtId="176" fontId="25" fillId="0" borderId="56" xfId="0" applyNumberFormat="1" applyFont="1" applyBorder="1" applyAlignment="1">
      <alignment horizontal="right" vertical="center"/>
    </xf>
    <xf numFmtId="176" fontId="25" fillId="0" borderId="57" xfId="0" applyNumberFormat="1" applyFont="1" applyBorder="1" applyAlignment="1">
      <alignment horizontal="right" vertical="center"/>
    </xf>
    <xf numFmtId="176" fontId="25" fillId="0" borderId="0" xfId="0" applyNumberFormat="1" applyFont="1" applyAlignment="1">
      <alignment horizontal="right" vertical="center"/>
    </xf>
    <xf numFmtId="0" fontId="25" fillId="0" borderId="58" xfId="0" applyFont="1" applyBorder="1" applyAlignment="1">
      <alignment horizontal="center" vertical="center"/>
    </xf>
    <xf numFmtId="0" fontId="25" fillId="0" borderId="68" xfId="0" applyFont="1" applyBorder="1" applyAlignment="1">
      <alignment horizontal="center" vertical="center"/>
    </xf>
    <xf numFmtId="0" fontId="30" fillId="0" borderId="68" xfId="0" applyFont="1" applyBorder="1">
      <alignment vertical="center"/>
    </xf>
    <xf numFmtId="182" fontId="0" fillId="0" borderId="0" xfId="0" applyNumberFormat="1">
      <alignment vertical="center"/>
    </xf>
    <xf numFmtId="183" fontId="28" fillId="0" borderId="55" xfId="2" applyNumberFormat="1" applyFont="1" applyBorder="1" applyAlignment="1">
      <alignment horizontal="right" vertical="center"/>
    </xf>
    <xf numFmtId="183" fontId="28" fillId="0" borderId="56" xfId="1" applyNumberFormat="1" applyFont="1" applyBorder="1" applyAlignment="1">
      <alignment horizontal="right" vertical="center"/>
    </xf>
    <xf numFmtId="183" fontId="28" fillId="0" borderId="57" xfId="1" applyNumberFormat="1" applyFont="1" applyBorder="1" applyAlignment="1">
      <alignment horizontal="right" vertical="center"/>
    </xf>
    <xf numFmtId="183" fontId="28" fillId="0" borderId="0" xfId="1" applyNumberFormat="1" applyFont="1" applyAlignment="1">
      <alignment horizontal="right" vertical="center"/>
    </xf>
    <xf numFmtId="183" fontId="0" fillId="0" borderId="0" xfId="0" applyNumberFormat="1">
      <alignment vertical="center"/>
    </xf>
    <xf numFmtId="0" fontId="36" fillId="12" borderId="52" xfId="0" applyFont="1" applyFill="1" applyBorder="1" applyAlignment="1">
      <alignment horizontal="center" vertical="center"/>
    </xf>
    <xf numFmtId="0" fontId="36" fillId="12" borderId="80" xfId="0" applyFont="1" applyFill="1" applyBorder="1" applyAlignment="1">
      <alignment horizontal="center" vertical="center"/>
    </xf>
    <xf numFmtId="0" fontId="36" fillId="12" borderId="81" xfId="0" applyFont="1" applyFill="1" applyBorder="1" applyAlignment="1">
      <alignment horizontal="center" vertical="center"/>
    </xf>
    <xf numFmtId="0" fontId="36" fillId="12" borderId="54" xfId="0" applyFont="1" applyFill="1" applyBorder="1" applyAlignment="1">
      <alignment horizontal="center" vertical="center"/>
    </xf>
    <xf numFmtId="3" fontId="3" fillId="0" borderId="82" xfId="0" applyNumberFormat="1" applyFont="1" applyBorder="1" applyAlignment="1">
      <alignment horizontal="right" vertical="center"/>
    </xf>
    <xf numFmtId="3" fontId="3" fillId="0" borderId="56" xfId="0" applyNumberFormat="1" applyFont="1" applyBorder="1" applyAlignment="1">
      <alignment horizontal="right" vertical="center"/>
    </xf>
    <xf numFmtId="3" fontId="3" fillId="0" borderId="57" xfId="0" applyNumberFormat="1" applyFont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36" fillId="0" borderId="56" xfId="0" applyFont="1" applyBorder="1" applyAlignment="1">
      <alignment horizontal="right" vertical="center"/>
    </xf>
    <xf numFmtId="0" fontId="36" fillId="0" borderId="83" xfId="0" applyFont="1" applyBorder="1" applyAlignment="1">
      <alignment horizontal="center" vertical="center" wrapText="1"/>
    </xf>
    <xf numFmtId="176" fontId="3" fillId="0" borderId="83" xfId="0" applyNumberFormat="1" applyFont="1" applyBorder="1" applyAlignment="1">
      <alignment horizontal="right" vertical="center"/>
    </xf>
    <xf numFmtId="176" fontId="3" fillId="0" borderId="60" xfId="0" applyNumberFormat="1" applyFont="1" applyBorder="1" applyAlignment="1">
      <alignment horizontal="right" vertical="center"/>
    </xf>
    <xf numFmtId="176" fontId="3" fillId="0" borderId="61" xfId="0" applyNumberFormat="1" applyFont="1" applyBorder="1" applyAlignment="1">
      <alignment horizontal="right" vertical="center"/>
    </xf>
    <xf numFmtId="176" fontId="3" fillId="0" borderId="62" xfId="0" applyNumberFormat="1" applyFont="1" applyBorder="1" applyAlignment="1">
      <alignment horizontal="right" vertical="center"/>
    </xf>
    <xf numFmtId="0" fontId="24" fillId="0" borderId="54" xfId="0" applyFont="1" applyBorder="1" applyAlignment="1">
      <alignment vertical="center" wrapText="1"/>
    </xf>
    <xf numFmtId="0" fontId="36" fillId="0" borderId="88" xfId="0" applyFont="1" applyBorder="1" applyAlignment="1">
      <alignment horizontal="center" vertical="center" wrapText="1"/>
    </xf>
    <xf numFmtId="0" fontId="36" fillId="0" borderId="82" xfId="0" applyFont="1" applyBorder="1" applyAlignment="1">
      <alignment horizontal="center" vertical="center" wrapText="1"/>
    </xf>
    <xf numFmtId="176" fontId="3" fillId="0" borderId="82" xfId="0" applyNumberFormat="1" applyFont="1" applyBorder="1" applyAlignment="1">
      <alignment horizontal="right" vertical="center"/>
    </xf>
    <xf numFmtId="176" fontId="3" fillId="0" borderId="56" xfId="0" applyNumberFormat="1" applyFont="1" applyBorder="1" applyAlignment="1">
      <alignment horizontal="right" vertical="center"/>
    </xf>
    <xf numFmtId="176" fontId="3" fillId="0" borderId="57" xfId="0" applyNumberFormat="1" applyFont="1" applyBorder="1" applyAlignment="1">
      <alignment horizontal="right" vertical="center"/>
    </xf>
    <xf numFmtId="176" fontId="3" fillId="0" borderId="0" xfId="0" applyNumberFormat="1" applyFont="1" applyAlignment="1">
      <alignment horizontal="right" vertical="center"/>
    </xf>
    <xf numFmtId="176" fontId="0" fillId="0" borderId="0" xfId="2" applyNumberFormat="1" applyFont="1">
      <alignment vertical="center"/>
    </xf>
    <xf numFmtId="41" fontId="25" fillId="0" borderId="56" xfId="1" applyFont="1" applyBorder="1" applyAlignment="1">
      <alignment horizontal="right" vertical="center"/>
    </xf>
    <xf numFmtId="41" fontId="25" fillId="0" borderId="57" xfId="1" applyFont="1" applyBorder="1" applyAlignment="1">
      <alignment horizontal="right" vertical="center"/>
    </xf>
    <xf numFmtId="0" fontId="13" fillId="0" borderId="0" xfId="0" applyFont="1" applyFill="1" applyBorder="1" applyAlignment="1">
      <alignment horizontal="center" vertical="center" shrinkToFit="1"/>
    </xf>
    <xf numFmtId="176" fontId="3" fillId="0" borderId="0" xfId="0" applyNumberFormat="1" applyFont="1">
      <alignment vertical="center"/>
    </xf>
    <xf numFmtId="0" fontId="3" fillId="0" borderId="0" xfId="0" applyFont="1" applyBorder="1" applyAlignment="1">
      <alignment horizontal="center" vertical="center"/>
    </xf>
    <xf numFmtId="41" fontId="3" fillId="0" borderId="0" xfId="1" applyFont="1" applyBorder="1" applyAlignment="1">
      <alignment horizontal="center" vertical="center"/>
    </xf>
    <xf numFmtId="0" fontId="3" fillId="0" borderId="0" xfId="0" applyFont="1" applyFill="1">
      <alignment vertical="center"/>
    </xf>
    <xf numFmtId="176" fontId="3" fillId="0" borderId="0" xfId="2" applyNumberFormat="1" applyFont="1" applyFill="1">
      <alignment vertical="center"/>
    </xf>
    <xf numFmtId="176" fontId="3" fillId="0" borderId="0" xfId="2" applyNumberFormat="1" applyFont="1" applyFill="1" applyBorder="1">
      <alignment vertical="center"/>
    </xf>
    <xf numFmtId="41" fontId="3" fillId="0" borderId="0" xfId="1" applyFont="1" applyFill="1" applyBorder="1">
      <alignment vertical="center"/>
    </xf>
    <xf numFmtId="0" fontId="3" fillId="13" borderId="0" xfId="0" applyFont="1" applyFill="1">
      <alignment vertical="center"/>
    </xf>
    <xf numFmtId="41" fontId="3" fillId="13" borderId="0" xfId="1" applyFont="1" applyFill="1">
      <alignment vertical="center"/>
    </xf>
    <xf numFmtId="176" fontId="3" fillId="13" borderId="0" xfId="2" applyNumberFormat="1" applyFont="1" applyFill="1">
      <alignment vertical="center"/>
    </xf>
    <xf numFmtId="41" fontId="4" fillId="13" borderId="0" xfId="1" applyFont="1" applyFill="1">
      <alignment vertical="center"/>
    </xf>
    <xf numFmtId="184" fontId="4" fillId="13" borderId="0" xfId="1" applyNumberFormat="1" applyFont="1" applyFill="1">
      <alignment vertical="center"/>
    </xf>
    <xf numFmtId="9" fontId="3" fillId="13" borderId="0" xfId="1" applyNumberFormat="1" applyFont="1" applyFill="1">
      <alignment vertical="center"/>
    </xf>
    <xf numFmtId="9" fontId="3" fillId="13" borderId="0" xfId="2" applyNumberFormat="1" applyFont="1" applyFill="1">
      <alignment vertical="center"/>
    </xf>
    <xf numFmtId="10" fontId="3" fillId="0" borderId="0" xfId="1" applyNumberFormat="1" applyFont="1" applyFill="1">
      <alignment vertical="center"/>
    </xf>
    <xf numFmtId="9" fontId="3" fillId="0" borderId="0" xfId="2" applyNumberFormat="1" applyFont="1" applyFill="1">
      <alignment vertical="center"/>
    </xf>
    <xf numFmtId="9" fontId="3" fillId="0" borderId="0" xfId="1" applyNumberFormat="1" applyFont="1" applyFill="1">
      <alignment vertical="center"/>
    </xf>
    <xf numFmtId="0" fontId="13" fillId="13" borderId="0" xfId="0" applyFont="1" applyFill="1">
      <alignment vertical="center"/>
    </xf>
    <xf numFmtId="41" fontId="13" fillId="13" borderId="0" xfId="1" applyFont="1" applyFill="1">
      <alignment vertical="center"/>
    </xf>
    <xf numFmtId="176" fontId="13" fillId="13" borderId="0" xfId="2" applyNumberFormat="1" applyFont="1" applyFill="1">
      <alignment vertical="center"/>
    </xf>
    <xf numFmtId="176" fontId="13" fillId="13" borderId="0" xfId="2" applyNumberFormat="1" applyFont="1" applyFill="1" applyBorder="1">
      <alignment vertical="center"/>
    </xf>
    <xf numFmtId="41" fontId="13" fillId="13" borderId="0" xfId="1" applyFont="1" applyFill="1" applyBorder="1">
      <alignment vertical="center"/>
    </xf>
    <xf numFmtId="10" fontId="13" fillId="13" borderId="0" xfId="1" applyNumberFormat="1" applyFont="1" applyFill="1">
      <alignment vertical="center"/>
    </xf>
    <xf numFmtId="41" fontId="21" fillId="13" borderId="0" xfId="1" applyFont="1" applyFill="1">
      <alignment vertical="center"/>
    </xf>
    <xf numFmtId="176" fontId="3" fillId="13" borderId="0" xfId="2" applyNumberFormat="1" applyFont="1" applyFill="1" applyBorder="1">
      <alignment vertical="center"/>
    </xf>
    <xf numFmtId="41" fontId="3" fillId="13" borderId="0" xfId="1" applyFont="1" applyFill="1" applyBorder="1">
      <alignment vertical="center"/>
    </xf>
    <xf numFmtId="10" fontId="3" fillId="13" borderId="0" xfId="1" applyNumberFormat="1" applyFont="1" applyFill="1">
      <alignment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41" fontId="13" fillId="0" borderId="0" xfId="1" applyFont="1" applyFill="1">
      <alignment vertical="center"/>
    </xf>
    <xf numFmtId="10" fontId="13" fillId="0" borderId="0" xfId="1" applyNumberFormat="1" applyFont="1" applyFill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85" fontId="3" fillId="3" borderId="24" xfId="1" applyNumberFormat="1" applyFont="1" applyFill="1" applyBorder="1" applyAlignment="1">
      <alignment horizontal="center" vertical="center"/>
    </xf>
    <xf numFmtId="185" fontId="3" fillId="3" borderId="23" xfId="1" applyNumberFormat="1" applyFont="1" applyFill="1" applyBorder="1" applyAlignment="1">
      <alignment horizontal="center" vertical="center"/>
    </xf>
    <xf numFmtId="186" fontId="3" fillId="3" borderId="24" xfId="2" applyNumberFormat="1" applyFont="1" applyFill="1" applyBorder="1" applyAlignment="1">
      <alignment horizontal="center" vertical="center"/>
    </xf>
    <xf numFmtId="186" fontId="3" fillId="3" borderId="23" xfId="2" applyNumberFormat="1" applyFont="1" applyFill="1" applyBorder="1" applyAlignment="1">
      <alignment horizontal="center" vertical="center"/>
    </xf>
    <xf numFmtId="185" fontId="3" fillId="0" borderId="24" xfId="1" applyNumberFormat="1" applyFont="1" applyFill="1" applyBorder="1" applyAlignment="1">
      <alignment horizontal="center" vertical="center"/>
    </xf>
    <xf numFmtId="185" fontId="3" fillId="0" borderId="23" xfId="1" applyNumberFormat="1" applyFont="1" applyFill="1" applyBorder="1" applyAlignment="1">
      <alignment horizontal="center" vertical="center"/>
    </xf>
    <xf numFmtId="186" fontId="3" fillId="0" borderId="24" xfId="2" applyNumberFormat="1" applyFont="1" applyFill="1" applyBorder="1" applyAlignment="1">
      <alignment horizontal="center" vertical="center"/>
    </xf>
    <xf numFmtId="186" fontId="3" fillId="0" borderId="23" xfId="2" applyNumberFormat="1" applyFont="1" applyFill="1" applyBorder="1" applyAlignment="1">
      <alignment horizontal="center" vertical="center"/>
    </xf>
    <xf numFmtId="186" fontId="3" fillId="0" borderId="18" xfId="2" applyNumberFormat="1" applyFont="1" applyFill="1" applyBorder="1" applyAlignment="1">
      <alignment horizontal="center" vertical="center"/>
    </xf>
    <xf numFmtId="186" fontId="3" fillId="0" borderId="17" xfId="2" applyNumberFormat="1" applyFont="1" applyFill="1" applyBorder="1" applyAlignment="1">
      <alignment horizontal="center" vertical="center"/>
    </xf>
    <xf numFmtId="176" fontId="3" fillId="0" borderId="0" xfId="2" applyNumberFormat="1" applyFont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41" fontId="13" fillId="3" borderId="20" xfId="1" applyFont="1" applyFill="1" applyBorder="1" applyAlignment="1">
      <alignment horizontal="center" vertical="center"/>
    </xf>
    <xf numFmtId="41" fontId="13" fillId="3" borderId="29" xfId="1" applyFont="1" applyFill="1" applyBorder="1" applyAlignment="1">
      <alignment horizontal="center" vertical="center"/>
    </xf>
    <xf numFmtId="0" fontId="3" fillId="0" borderId="19" xfId="0" applyFont="1" applyBorder="1">
      <alignment vertical="center"/>
    </xf>
    <xf numFmtId="41" fontId="3" fillId="0" borderId="23" xfId="1" applyFont="1" applyBorder="1">
      <alignment vertical="center"/>
    </xf>
    <xf numFmtId="41" fontId="3" fillId="0" borderId="24" xfId="1" applyFont="1" applyBorder="1">
      <alignment vertical="center"/>
    </xf>
    <xf numFmtId="0" fontId="3" fillId="0" borderId="24" xfId="0" applyFont="1" applyBorder="1" applyAlignment="1">
      <alignment horizontal="center" vertical="center"/>
    </xf>
    <xf numFmtId="41" fontId="13" fillId="0" borderId="29" xfId="1" applyFont="1" applyFill="1" applyBorder="1" applyAlignment="1">
      <alignment horizontal="center" vertical="center"/>
    </xf>
    <xf numFmtId="41" fontId="13" fillId="0" borderId="20" xfId="1" applyFont="1" applyFill="1" applyBorder="1" applyAlignment="1">
      <alignment horizontal="center" vertical="center"/>
    </xf>
    <xf numFmtId="176" fontId="13" fillId="0" borderId="23" xfId="2" applyNumberFormat="1" applyFont="1" applyFill="1" applyBorder="1" applyAlignment="1">
      <alignment horizontal="center" vertical="center"/>
    </xf>
    <xf numFmtId="41" fontId="13" fillId="0" borderId="0" xfId="1" applyFont="1" applyBorder="1" applyAlignment="1">
      <alignment horizontal="center" vertical="center"/>
    </xf>
    <xf numFmtId="187" fontId="13" fillId="3" borderId="29" xfId="1" applyNumberFormat="1" applyFont="1" applyFill="1" applyBorder="1" applyAlignment="1">
      <alignment horizontal="center" vertical="center"/>
    </xf>
    <xf numFmtId="187" fontId="13" fillId="3" borderId="20" xfId="1" applyNumberFormat="1" applyFont="1" applyFill="1" applyBorder="1" applyAlignment="1">
      <alignment horizontal="center" vertical="center"/>
    </xf>
    <xf numFmtId="188" fontId="13" fillId="0" borderId="0" xfId="1" applyNumberFormat="1" applyFont="1" applyBorder="1">
      <alignment vertical="center"/>
    </xf>
    <xf numFmtId="0" fontId="13" fillId="0" borderId="19" xfId="0" applyFont="1" applyBorder="1" applyAlignment="1">
      <alignment vertical="center"/>
    </xf>
    <xf numFmtId="0" fontId="13" fillId="0" borderId="24" xfId="0" applyFont="1" applyBorder="1" applyAlignment="1">
      <alignment horizontal="center" vertical="center"/>
    </xf>
    <xf numFmtId="183" fontId="13" fillId="0" borderId="17" xfId="2" applyNumberFormat="1" applyFont="1" applyFill="1" applyBorder="1" applyAlignment="1">
      <alignment horizontal="right" vertical="center"/>
    </xf>
    <xf numFmtId="0" fontId="26" fillId="0" borderId="0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 vertical="center"/>
    </xf>
    <xf numFmtId="3" fontId="28" fillId="0" borderId="77" xfId="0" applyNumberFormat="1" applyFont="1" applyBorder="1" applyAlignment="1">
      <alignment horizontal="right" vertical="center"/>
    </xf>
    <xf numFmtId="3" fontId="28" fillId="0" borderId="84" xfId="0" applyNumberFormat="1" applyFont="1" applyBorder="1" applyAlignment="1">
      <alignment horizontal="right" vertical="center"/>
    </xf>
    <xf numFmtId="3" fontId="28" fillId="0" borderId="71" xfId="0" applyNumberFormat="1" applyFont="1" applyBorder="1" applyAlignment="1">
      <alignment horizontal="right" vertical="center"/>
    </xf>
    <xf numFmtId="3" fontId="28" fillId="0" borderId="46" xfId="0" applyNumberFormat="1" applyFont="1" applyBorder="1" applyAlignment="1">
      <alignment horizontal="right" vertical="center"/>
    </xf>
    <xf numFmtId="0" fontId="25" fillId="0" borderId="56" xfId="0" applyFont="1" applyBorder="1" applyAlignment="1">
      <alignment horizontal="left" vertical="center" wrapText="1" indent="2"/>
    </xf>
    <xf numFmtId="0" fontId="25" fillId="0" borderId="52" xfId="0" applyFont="1" applyBorder="1" applyAlignment="1">
      <alignment horizontal="left" vertical="center" wrapText="1" indent="2"/>
    </xf>
    <xf numFmtId="3" fontId="3" fillId="0" borderId="89" xfId="0" applyNumberFormat="1" applyFont="1" applyBorder="1" applyAlignment="1">
      <alignment horizontal="right" vertical="center"/>
    </xf>
    <xf numFmtId="3" fontId="3" fillId="0" borderId="65" xfId="0" applyNumberFormat="1" applyFont="1" applyBorder="1" applyAlignment="1">
      <alignment horizontal="right" vertical="center"/>
    </xf>
    <xf numFmtId="3" fontId="3" fillId="0" borderId="66" xfId="0" applyNumberFormat="1" applyFont="1" applyBorder="1" applyAlignment="1">
      <alignment horizontal="right" vertical="center"/>
    </xf>
    <xf numFmtId="3" fontId="3" fillId="0" borderId="67" xfId="0" applyNumberFormat="1" applyFont="1" applyBorder="1" applyAlignment="1">
      <alignment horizontal="right" vertical="center"/>
    </xf>
    <xf numFmtId="0" fontId="36" fillId="0" borderId="83" xfId="0" applyFont="1" applyBorder="1" applyAlignment="1">
      <alignment horizontal="left" vertical="center" wrapText="1" indent="1"/>
    </xf>
    <xf numFmtId="0" fontId="36" fillId="0" borderId="78" xfId="0" applyFont="1" applyBorder="1" applyAlignment="1">
      <alignment horizontal="left" vertical="center" wrapText="1" indent="2"/>
    </xf>
    <xf numFmtId="0" fontId="36" fillId="0" borderId="58" xfId="0" applyFont="1" applyBorder="1" applyAlignment="1">
      <alignment horizontal="left" vertical="center" wrapText="1" indent="1"/>
    </xf>
    <xf numFmtId="0" fontId="36" fillId="0" borderId="69" xfId="0" applyFont="1" applyBorder="1" applyAlignment="1">
      <alignment horizontal="left" vertical="center" wrapText="1" indent="1"/>
    </xf>
    <xf numFmtId="0" fontId="36" fillId="0" borderId="0" xfId="0" applyFont="1" applyBorder="1" applyAlignment="1">
      <alignment horizontal="left" vertical="center" wrapText="1" indent="2"/>
    </xf>
    <xf numFmtId="9" fontId="28" fillId="0" borderId="82" xfId="0" applyNumberFormat="1" applyFont="1" applyBorder="1" applyAlignment="1">
      <alignment horizontal="right" vertical="center"/>
    </xf>
    <xf numFmtId="9" fontId="28" fillId="0" borderId="56" xfId="0" applyNumberFormat="1" applyFont="1" applyBorder="1" applyAlignment="1">
      <alignment horizontal="right" vertical="center"/>
    </xf>
    <xf numFmtId="9" fontId="28" fillId="0" borderId="57" xfId="0" applyNumberFormat="1" applyFont="1" applyBorder="1" applyAlignment="1">
      <alignment horizontal="right" vertical="center"/>
    </xf>
    <xf numFmtId="9" fontId="28" fillId="0" borderId="0" xfId="0" applyNumberFormat="1" applyFont="1" applyBorder="1" applyAlignment="1">
      <alignment horizontal="right" vertical="center"/>
    </xf>
    <xf numFmtId="41" fontId="28" fillId="0" borderId="82" xfId="1" applyFont="1" applyBorder="1" applyAlignment="1">
      <alignment horizontal="right" vertical="center"/>
    </xf>
    <xf numFmtId="41" fontId="28" fillId="0" borderId="56" xfId="1" applyFont="1" applyBorder="1" applyAlignment="1">
      <alignment horizontal="right" vertical="center"/>
    </xf>
    <xf numFmtId="41" fontId="28" fillId="0" borderId="57" xfId="1" applyFont="1" applyBorder="1" applyAlignment="1">
      <alignment horizontal="right" vertical="center"/>
    </xf>
    <xf numFmtId="41" fontId="28" fillId="0" borderId="0" xfId="1" applyFont="1" applyBorder="1" applyAlignment="1">
      <alignment horizontal="right" vertical="center"/>
    </xf>
    <xf numFmtId="41" fontId="3" fillId="0" borderId="83" xfId="1" applyFont="1" applyBorder="1" applyAlignment="1">
      <alignment horizontal="right" vertical="center"/>
    </xf>
    <xf numFmtId="41" fontId="3" fillId="0" borderId="60" xfId="1" applyFont="1" applyBorder="1" applyAlignment="1">
      <alignment horizontal="right" vertical="center"/>
    </xf>
    <xf numFmtId="41" fontId="3" fillId="0" borderId="61" xfId="1" applyFont="1" applyBorder="1" applyAlignment="1">
      <alignment horizontal="right" vertical="center"/>
    </xf>
    <xf numFmtId="41" fontId="3" fillId="0" borderId="62" xfId="1" applyFont="1" applyBorder="1" applyAlignment="1">
      <alignment horizontal="right" vertical="center"/>
    </xf>
    <xf numFmtId="181" fontId="3" fillId="0" borderId="83" xfId="0" applyNumberFormat="1" applyFont="1" applyBorder="1" applyAlignment="1">
      <alignment horizontal="right" vertical="center"/>
    </xf>
    <xf numFmtId="181" fontId="3" fillId="0" borderId="60" xfId="0" applyNumberFormat="1" applyFont="1" applyBorder="1" applyAlignment="1">
      <alignment horizontal="right" vertical="center"/>
    </xf>
    <xf numFmtId="181" fontId="3" fillId="0" borderId="61" xfId="0" applyNumberFormat="1" applyFont="1" applyBorder="1" applyAlignment="1">
      <alignment horizontal="right" vertical="center"/>
    </xf>
    <xf numFmtId="181" fontId="3" fillId="0" borderId="62" xfId="0" applyNumberFormat="1" applyFont="1" applyBorder="1" applyAlignment="1">
      <alignment horizontal="right" vertical="center"/>
    </xf>
    <xf numFmtId="181" fontId="28" fillId="0" borderId="82" xfId="0" applyNumberFormat="1" applyFont="1" applyBorder="1" applyAlignment="1">
      <alignment horizontal="right" vertical="center"/>
    </xf>
    <xf numFmtId="181" fontId="28" fillId="0" borderId="56" xfId="0" applyNumberFormat="1" applyFont="1" applyBorder="1" applyAlignment="1">
      <alignment horizontal="right" vertical="center"/>
    </xf>
    <xf numFmtId="181" fontId="28" fillId="0" borderId="57" xfId="0" applyNumberFormat="1" applyFont="1" applyBorder="1" applyAlignment="1">
      <alignment horizontal="right" vertical="center"/>
    </xf>
    <xf numFmtId="181" fontId="28" fillId="0" borderId="0" xfId="0" applyNumberFormat="1" applyFont="1" applyAlignment="1">
      <alignment horizontal="right" vertical="center"/>
    </xf>
    <xf numFmtId="181" fontId="28" fillId="0" borderId="90" xfId="0" applyNumberFormat="1" applyFont="1" applyBorder="1" applyAlignment="1">
      <alignment horizontal="right" vertical="center"/>
    </xf>
    <xf numFmtId="181" fontId="28" fillId="0" borderId="52" xfId="0" applyNumberFormat="1" applyFont="1" applyBorder="1" applyAlignment="1">
      <alignment horizontal="right" vertical="center"/>
    </xf>
    <xf numFmtId="181" fontId="28" fillId="0" borderId="53" xfId="0" applyNumberFormat="1" applyFont="1" applyBorder="1" applyAlignment="1">
      <alignment horizontal="right" vertical="center"/>
    </xf>
    <xf numFmtId="181" fontId="28" fillId="0" borderId="54" xfId="0" applyNumberFormat="1" applyFont="1" applyBorder="1" applyAlignment="1">
      <alignment horizontal="right" vertical="center"/>
    </xf>
    <xf numFmtId="181" fontId="3" fillId="0" borderId="78" xfId="0" applyNumberFormat="1" applyFont="1" applyBorder="1" applyAlignment="1">
      <alignment horizontal="right" vertical="center"/>
    </xf>
    <xf numFmtId="181" fontId="3" fillId="0" borderId="52" xfId="0" applyNumberFormat="1" applyFont="1" applyBorder="1" applyAlignment="1">
      <alignment horizontal="right" vertical="center"/>
    </xf>
    <xf numFmtId="181" fontId="3" fillId="0" borderId="53" xfId="0" applyNumberFormat="1" applyFont="1" applyBorder="1" applyAlignment="1">
      <alignment horizontal="right" vertical="center"/>
    </xf>
    <xf numFmtId="181" fontId="3" fillId="0" borderId="54" xfId="0" applyNumberFormat="1" applyFont="1" applyBorder="1" applyAlignment="1">
      <alignment horizontal="right" vertical="center"/>
    </xf>
    <xf numFmtId="10" fontId="3" fillId="0" borderId="0" xfId="2" applyNumberFormat="1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177" fontId="13" fillId="0" borderId="23" xfId="1" applyNumberFormat="1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 shrinkToFit="1"/>
    </xf>
    <xf numFmtId="0" fontId="3" fillId="0" borderId="24" xfId="0" applyFont="1" applyBorder="1" applyAlignment="1">
      <alignment horizontal="center" vertical="center"/>
    </xf>
    <xf numFmtId="0" fontId="4" fillId="0" borderId="0" xfId="0" applyFont="1">
      <alignment vertical="center"/>
    </xf>
    <xf numFmtId="41" fontId="4" fillId="0" borderId="0" xfId="1" applyFont="1" applyAlignment="1">
      <alignment vertical="center" wrapText="1"/>
    </xf>
    <xf numFmtId="0" fontId="4" fillId="13" borderId="0" xfId="0" applyFont="1" applyFill="1">
      <alignment vertical="center"/>
    </xf>
    <xf numFmtId="41" fontId="39" fillId="2" borderId="0" xfId="1" applyFont="1" applyFill="1" applyAlignment="1">
      <alignment horizontal="center" vertical="center"/>
    </xf>
    <xf numFmtId="41" fontId="13" fillId="0" borderId="0" xfId="1" applyFont="1">
      <alignment vertical="center"/>
    </xf>
    <xf numFmtId="41" fontId="40" fillId="4" borderId="0" xfId="1" applyFont="1" applyFill="1" applyAlignment="1">
      <alignment horizontal="center" vertical="center"/>
    </xf>
    <xf numFmtId="41" fontId="3" fillId="7" borderId="0" xfId="1" applyFont="1" applyFill="1">
      <alignment vertical="center"/>
    </xf>
    <xf numFmtId="41" fontId="4" fillId="7" borderId="0" xfId="1" applyFont="1" applyFill="1">
      <alignment vertical="center"/>
    </xf>
    <xf numFmtId="41" fontId="13" fillId="7" borderId="0" xfId="1" applyFont="1" applyFill="1">
      <alignment vertical="center"/>
    </xf>
    <xf numFmtId="10" fontId="13" fillId="7" borderId="0" xfId="1" applyNumberFormat="1" applyFont="1" applyFill="1">
      <alignment vertical="center"/>
    </xf>
    <xf numFmtId="176" fontId="3" fillId="7" borderId="0" xfId="2" applyNumberFormat="1" applyFont="1" applyFill="1" applyBorder="1">
      <alignment vertical="center"/>
    </xf>
    <xf numFmtId="41" fontId="3" fillId="7" borderId="0" xfId="1" applyFont="1" applyFill="1" applyBorder="1">
      <alignment vertical="center"/>
    </xf>
    <xf numFmtId="10" fontId="3" fillId="7" borderId="0" xfId="1" applyNumberFormat="1" applyFont="1" applyFill="1">
      <alignment vertical="center"/>
    </xf>
    <xf numFmtId="9" fontId="3" fillId="7" borderId="0" xfId="2" applyNumberFormat="1" applyFont="1" applyFill="1">
      <alignment vertical="center"/>
    </xf>
    <xf numFmtId="0" fontId="3" fillId="14" borderId="0" xfId="0" applyFont="1" applyFill="1">
      <alignment vertical="center"/>
    </xf>
    <xf numFmtId="41" fontId="3" fillId="14" borderId="0" xfId="1" applyFont="1" applyFill="1">
      <alignment vertical="center"/>
    </xf>
    <xf numFmtId="176" fontId="3" fillId="14" borderId="0" xfId="2" applyNumberFormat="1" applyFont="1" applyFill="1">
      <alignment vertical="center"/>
    </xf>
    <xf numFmtId="41" fontId="4" fillId="14" borderId="0" xfId="1" applyFont="1" applyFill="1">
      <alignment vertical="center"/>
    </xf>
    <xf numFmtId="41" fontId="13" fillId="14" borderId="0" xfId="1" applyFont="1" applyFill="1">
      <alignment vertical="center"/>
    </xf>
    <xf numFmtId="10" fontId="13" fillId="14" borderId="0" xfId="1" applyNumberFormat="1" applyFont="1" applyFill="1">
      <alignment vertical="center"/>
    </xf>
    <xf numFmtId="176" fontId="3" fillId="14" borderId="0" xfId="2" applyNumberFormat="1" applyFont="1" applyFill="1" applyBorder="1">
      <alignment vertical="center"/>
    </xf>
    <xf numFmtId="41" fontId="3" fillId="14" borderId="0" xfId="1" applyFont="1" applyFill="1" applyBorder="1">
      <alignment vertical="center"/>
    </xf>
    <xf numFmtId="43" fontId="3" fillId="13" borderId="0" xfId="1" applyNumberFormat="1" applyFont="1" applyFill="1">
      <alignment vertical="center"/>
    </xf>
    <xf numFmtId="43" fontId="0" fillId="0" borderId="0" xfId="1" applyNumberFormat="1" applyFont="1">
      <alignment vertical="center"/>
    </xf>
    <xf numFmtId="10" fontId="13" fillId="0" borderId="0" xfId="1" applyNumberFormat="1" applyFont="1">
      <alignment vertical="center"/>
    </xf>
    <xf numFmtId="41" fontId="21" fillId="0" borderId="0" xfId="1" applyFont="1" applyFill="1">
      <alignment vertical="center"/>
    </xf>
    <xf numFmtId="176" fontId="3" fillId="0" borderId="0" xfId="1" applyNumberFormat="1" applyFont="1" applyFill="1" applyBorder="1">
      <alignment vertical="center"/>
    </xf>
    <xf numFmtId="176" fontId="3" fillId="0" borderId="0" xfId="1" applyNumberFormat="1" applyFont="1" applyBorder="1">
      <alignment vertical="center"/>
    </xf>
    <xf numFmtId="41" fontId="3" fillId="13" borderId="0" xfId="0" applyNumberFormat="1" applyFont="1" applyFill="1">
      <alignment vertical="center"/>
    </xf>
    <xf numFmtId="41" fontId="41" fillId="7" borderId="0" xfId="1" applyFont="1" applyFill="1">
      <alignment vertical="center"/>
    </xf>
    <xf numFmtId="41" fontId="41" fillId="13" borderId="0" xfId="1" applyFont="1" applyFill="1">
      <alignment vertical="center"/>
    </xf>
    <xf numFmtId="41" fontId="41" fillId="0" borderId="0" xfId="1" applyFont="1" applyFill="1">
      <alignment vertical="center"/>
    </xf>
    <xf numFmtId="176" fontId="13" fillId="7" borderId="0" xfId="2" applyNumberFormat="1" applyFont="1" applyFill="1">
      <alignment vertical="center"/>
    </xf>
    <xf numFmtId="41" fontId="3" fillId="0" borderId="0" xfId="0" applyNumberFormat="1" applyFont="1" applyFill="1">
      <alignment vertical="center"/>
    </xf>
    <xf numFmtId="0" fontId="22" fillId="0" borderId="91" xfId="0" applyFont="1" applyFill="1" applyBorder="1" applyAlignment="1"/>
    <xf numFmtId="0" fontId="22" fillId="2" borderId="91" xfId="0" applyFont="1" applyFill="1" applyBorder="1" applyAlignment="1"/>
    <xf numFmtId="3" fontId="22" fillId="2" borderId="0" xfId="0" applyNumberFormat="1" applyFont="1" applyFill="1" applyAlignment="1"/>
    <xf numFmtId="0" fontId="22" fillId="2" borderId="0" xfId="0" applyNumberFormat="1" applyFont="1" applyFill="1" applyAlignment="1"/>
    <xf numFmtId="176" fontId="4" fillId="0" borderId="0" xfId="2" applyNumberFormat="1" applyFont="1" applyFill="1" applyBorder="1">
      <alignment vertical="center"/>
    </xf>
    <xf numFmtId="41" fontId="4" fillId="0" borderId="0" xfId="1" applyFont="1" applyFill="1" applyBorder="1">
      <alignment vertical="center"/>
    </xf>
    <xf numFmtId="176" fontId="4" fillId="13" borderId="0" xfId="2" applyNumberFormat="1" applyFont="1" applyFill="1">
      <alignment vertical="center"/>
    </xf>
    <xf numFmtId="176" fontId="4" fillId="7" borderId="0" xfId="2" applyNumberFormat="1" applyFont="1" applyFill="1">
      <alignment vertical="center"/>
    </xf>
    <xf numFmtId="176" fontId="4" fillId="0" borderId="0" xfId="2" applyNumberFormat="1" applyFont="1" applyFill="1">
      <alignment vertical="center"/>
    </xf>
    <xf numFmtId="176" fontId="4" fillId="13" borderId="0" xfId="2" applyNumberFormat="1" applyFont="1" applyFill="1" applyBorder="1">
      <alignment vertical="center"/>
    </xf>
    <xf numFmtId="41" fontId="4" fillId="13" borderId="0" xfId="1" applyFont="1" applyFill="1" applyBorder="1">
      <alignment vertical="center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shrinkToFit="1"/>
    </xf>
    <xf numFmtId="0" fontId="13" fillId="0" borderId="25" xfId="0" applyFont="1" applyFill="1" applyBorder="1" applyAlignment="1">
      <alignment horizontal="center" vertical="center"/>
    </xf>
    <xf numFmtId="177" fontId="13" fillId="0" borderId="23" xfId="1" applyNumberFormat="1" applyFont="1" applyFill="1" applyBorder="1" applyAlignment="1">
      <alignment vertical="center"/>
    </xf>
    <xf numFmtId="0" fontId="36" fillId="12" borderId="54" xfId="0" applyFont="1" applyFill="1" applyBorder="1" applyAlignment="1">
      <alignment horizontal="center" vertical="center"/>
    </xf>
    <xf numFmtId="3" fontId="26" fillId="0" borderId="57" xfId="0" applyNumberFormat="1" applyFont="1" applyBorder="1" applyAlignment="1">
      <alignment horizontal="right" vertical="center"/>
    </xf>
    <xf numFmtId="3" fontId="26" fillId="0" borderId="56" xfId="0" applyNumberFormat="1" applyFont="1" applyBorder="1" applyAlignment="1">
      <alignment horizontal="right" vertical="center"/>
    </xf>
    <xf numFmtId="3" fontId="26" fillId="0" borderId="0" xfId="0" applyNumberFormat="1" applyFont="1" applyAlignment="1">
      <alignment horizontal="right" vertical="center"/>
    </xf>
    <xf numFmtId="0" fontId="42" fillId="0" borderId="92" xfId="0" applyFont="1" applyBorder="1" applyAlignment="1">
      <alignment horizontal="center" vertical="center" wrapText="1"/>
    </xf>
    <xf numFmtId="0" fontId="27" fillId="0" borderId="54" xfId="0" applyFont="1" applyBorder="1">
      <alignment vertical="center"/>
    </xf>
    <xf numFmtId="0" fontId="42" fillId="0" borderId="93" xfId="0" applyFont="1" applyBorder="1" applyAlignment="1">
      <alignment horizontal="center" vertical="center" wrapText="1"/>
    </xf>
    <xf numFmtId="0" fontId="42" fillId="0" borderId="81" xfId="0" applyFont="1" applyBorder="1" applyAlignment="1">
      <alignment horizontal="center" vertical="center" wrapText="1"/>
    </xf>
    <xf numFmtId="0" fontId="25" fillId="12" borderId="54" xfId="0" applyFont="1" applyFill="1" applyBorder="1" applyAlignment="1">
      <alignment horizontal="center" vertical="center"/>
    </xf>
    <xf numFmtId="41" fontId="26" fillId="0" borderId="57" xfId="1" applyFont="1" applyBorder="1" applyAlignment="1">
      <alignment horizontal="right" vertical="center"/>
    </xf>
    <xf numFmtId="41" fontId="26" fillId="0" borderId="56" xfId="1" applyFont="1" applyBorder="1" applyAlignment="1">
      <alignment horizontal="right" vertical="center"/>
    </xf>
    <xf numFmtId="41" fontId="26" fillId="0" borderId="0" xfId="1" applyFont="1" applyAlignment="1">
      <alignment horizontal="right" vertical="center"/>
    </xf>
    <xf numFmtId="41" fontId="42" fillId="0" borderId="61" xfId="1" applyFont="1" applyBorder="1" applyAlignment="1">
      <alignment horizontal="right" vertical="center"/>
    </xf>
    <xf numFmtId="41" fontId="42" fillId="0" borderId="60" xfId="1" applyFont="1" applyBorder="1" applyAlignment="1">
      <alignment horizontal="right" vertical="center"/>
    </xf>
    <xf numFmtId="41" fontId="42" fillId="0" borderId="62" xfId="1" applyFont="1" applyBorder="1" applyAlignment="1">
      <alignment horizontal="right" vertical="center"/>
    </xf>
    <xf numFmtId="41" fontId="42" fillId="0" borderId="53" xfId="1" applyFont="1" applyBorder="1" applyAlignment="1">
      <alignment horizontal="right" vertical="center"/>
    </xf>
    <xf numFmtId="41" fontId="42" fillId="0" borderId="52" xfId="1" applyFont="1" applyBorder="1" applyAlignment="1">
      <alignment horizontal="right" vertical="center"/>
    </xf>
    <xf numFmtId="41" fontId="42" fillId="0" borderId="54" xfId="1" applyFont="1" applyBorder="1" applyAlignment="1">
      <alignment horizontal="right" vertical="center"/>
    </xf>
    <xf numFmtId="186" fontId="42" fillId="0" borderId="61" xfId="0" applyNumberFormat="1" applyFont="1" applyBorder="1" applyAlignment="1">
      <alignment horizontal="right" vertical="center"/>
    </xf>
    <xf numFmtId="186" fontId="42" fillId="0" borderId="60" xfId="0" applyNumberFormat="1" applyFont="1" applyBorder="1" applyAlignment="1">
      <alignment horizontal="right" vertical="center"/>
    </xf>
    <xf numFmtId="186" fontId="42" fillId="0" borderId="62" xfId="0" applyNumberFormat="1" applyFont="1" applyBorder="1" applyAlignment="1">
      <alignment horizontal="right" vertical="center"/>
    </xf>
    <xf numFmtId="186" fontId="42" fillId="0" borderId="53" xfId="0" applyNumberFormat="1" applyFont="1" applyBorder="1" applyAlignment="1">
      <alignment horizontal="right" vertical="center"/>
    </xf>
    <xf numFmtId="186" fontId="42" fillId="0" borderId="52" xfId="0" applyNumberFormat="1" applyFont="1" applyBorder="1" applyAlignment="1">
      <alignment horizontal="right" vertical="center"/>
    </xf>
    <xf numFmtId="186" fontId="42" fillId="0" borderId="54" xfId="0" applyNumberFormat="1" applyFont="1" applyBorder="1" applyAlignment="1">
      <alignment horizontal="right" vertical="center"/>
    </xf>
    <xf numFmtId="0" fontId="26" fillId="7" borderId="57" xfId="0" applyFont="1" applyFill="1" applyBorder="1" applyAlignment="1">
      <alignment horizontal="right" vertical="center"/>
    </xf>
    <xf numFmtId="3" fontId="26" fillId="7" borderId="56" xfId="0" applyNumberFormat="1" applyFont="1" applyFill="1" applyBorder="1" applyAlignment="1">
      <alignment horizontal="right" vertical="center"/>
    </xf>
    <xf numFmtId="0" fontId="26" fillId="7" borderId="56" xfId="0" applyFont="1" applyFill="1" applyBorder="1" applyAlignment="1">
      <alignment horizontal="right" vertical="center"/>
    </xf>
    <xf numFmtId="3" fontId="26" fillId="7" borderId="57" xfId="0" applyNumberFormat="1" applyFont="1" applyFill="1" applyBorder="1" applyAlignment="1">
      <alignment horizontal="right" vertical="center"/>
    </xf>
    <xf numFmtId="0" fontId="26" fillId="7" borderId="0" xfId="0" applyFont="1" applyFill="1" applyAlignment="1">
      <alignment horizontal="right" vertical="center"/>
    </xf>
    <xf numFmtId="0" fontId="0" fillId="7" borderId="0" xfId="0" applyFill="1">
      <alignment vertical="center"/>
    </xf>
    <xf numFmtId="41" fontId="26" fillId="7" borderId="57" xfId="1" applyFont="1" applyFill="1" applyBorder="1" applyAlignment="1">
      <alignment horizontal="right" vertical="center"/>
    </xf>
    <xf numFmtId="41" fontId="26" fillId="7" borderId="56" xfId="1" applyFont="1" applyFill="1" applyBorder="1" applyAlignment="1">
      <alignment horizontal="right" vertical="center"/>
    </xf>
    <xf numFmtId="41" fontId="26" fillId="7" borderId="0" xfId="1" applyFont="1" applyFill="1" applyAlignment="1">
      <alignment horizontal="right" vertical="center"/>
    </xf>
    <xf numFmtId="0" fontId="25" fillId="7" borderId="0" xfId="0" applyFont="1" applyFill="1" applyAlignment="1">
      <alignment horizontal="right" vertical="center"/>
    </xf>
    <xf numFmtId="0" fontId="42" fillId="7" borderId="92" xfId="0" applyFont="1" applyFill="1" applyBorder="1" applyAlignment="1">
      <alignment horizontal="center" vertical="center" wrapText="1"/>
    </xf>
    <xf numFmtId="186" fontId="42" fillId="7" borderId="61" xfId="0" applyNumberFormat="1" applyFont="1" applyFill="1" applyBorder="1" applyAlignment="1">
      <alignment horizontal="right" vertical="center"/>
    </xf>
    <xf numFmtId="186" fontId="42" fillId="7" borderId="60" xfId="0" applyNumberFormat="1" applyFont="1" applyFill="1" applyBorder="1" applyAlignment="1">
      <alignment horizontal="right" vertical="center"/>
    </xf>
    <xf numFmtId="186" fontId="42" fillId="7" borderId="62" xfId="0" applyNumberFormat="1" applyFont="1" applyFill="1" applyBorder="1" applyAlignment="1">
      <alignment horizontal="right" vertical="center"/>
    </xf>
    <xf numFmtId="41" fontId="42" fillId="7" borderId="61" xfId="1" applyFont="1" applyFill="1" applyBorder="1" applyAlignment="1">
      <alignment horizontal="right" vertical="center"/>
    </xf>
    <xf numFmtId="41" fontId="42" fillId="7" borderId="60" xfId="1" applyFont="1" applyFill="1" applyBorder="1" applyAlignment="1">
      <alignment horizontal="right" vertical="center"/>
    </xf>
    <xf numFmtId="41" fontId="42" fillId="7" borderId="62" xfId="1" applyFont="1" applyFill="1" applyBorder="1" applyAlignment="1">
      <alignment horizontal="right" vertical="center"/>
    </xf>
    <xf numFmtId="0" fontId="25" fillId="7" borderId="54" xfId="0" applyFont="1" applyFill="1" applyBorder="1" applyAlignment="1">
      <alignment horizontal="right" vertical="center"/>
    </xf>
    <xf numFmtId="0" fontId="42" fillId="7" borderId="93" xfId="0" applyFont="1" applyFill="1" applyBorder="1" applyAlignment="1">
      <alignment horizontal="center" vertical="center" wrapText="1"/>
    </xf>
    <xf numFmtId="186" fontId="42" fillId="7" borderId="53" xfId="0" applyNumberFormat="1" applyFont="1" applyFill="1" applyBorder="1" applyAlignment="1">
      <alignment horizontal="right" vertical="center"/>
    </xf>
    <xf numFmtId="186" fontId="42" fillId="7" borderId="52" xfId="0" applyNumberFormat="1" applyFont="1" applyFill="1" applyBorder="1" applyAlignment="1">
      <alignment horizontal="right" vertical="center"/>
    </xf>
    <xf numFmtId="186" fontId="42" fillId="7" borderId="54" xfId="0" applyNumberFormat="1" applyFont="1" applyFill="1" applyBorder="1" applyAlignment="1">
      <alignment horizontal="right" vertical="center"/>
    </xf>
    <xf numFmtId="41" fontId="42" fillId="7" borderId="53" xfId="1" applyFont="1" applyFill="1" applyBorder="1" applyAlignment="1">
      <alignment horizontal="right" vertical="center"/>
    </xf>
    <xf numFmtId="41" fontId="42" fillId="7" borderId="52" xfId="1" applyFont="1" applyFill="1" applyBorder="1" applyAlignment="1">
      <alignment horizontal="right" vertical="center"/>
    </xf>
    <xf numFmtId="41" fontId="42" fillId="7" borderId="54" xfId="1" applyFont="1" applyFill="1" applyBorder="1" applyAlignment="1">
      <alignment horizontal="right" vertical="center"/>
    </xf>
    <xf numFmtId="185" fontId="26" fillId="7" borderId="57" xfId="0" applyNumberFormat="1" applyFont="1" applyFill="1" applyBorder="1" applyAlignment="1">
      <alignment horizontal="right" vertical="center"/>
    </xf>
    <xf numFmtId="185" fontId="26" fillId="7" borderId="56" xfId="0" applyNumberFormat="1" applyFont="1" applyFill="1" applyBorder="1" applyAlignment="1">
      <alignment horizontal="right" vertical="center"/>
    </xf>
    <xf numFmtId="185" fontId="26" fillId="7" borderId="0" xfId="0" applyNumberFormat="1" applyFont="1" applyFill="1" applyAlignment="1">
      <alignment horizontal="right" vertical="center"/>
    </xf>
    <xf numFmtId="176" fontId="43" fillId="0" borderId="57" xfId="2" applyNumberFormat="1" applyFont="1" applyBorder="1" applyAlignment="1">
      <alignment horizontal="right" vertical="center"/>
    </xf>
    <xf numFmtId="176" fontId="43" fillId="0" borderId="56" xfId="2" applyNumberFormat="1" applyFont="1" applyBorder="1" applyAlignment="1">
      <alignment horizontal="right" vertical="center"/>
    </xf>
    <xf numFmtId="176" fontId="43" fillId="0" borderId="0" xfId="2" applyNumberFormat="1" applyFont="1" applyAlignment="1">
      <alignment horizontal="right" vertical="center"/>
    </xf>
    <xf numFmtId="176" fontId="42" fillId="0" borderId="81" xfId="2" applyNumberFormat="1" applyFont="1" applyBorder="1" applyAlignment="1">
      <alignment horizontal="right" vertical="center"/>
    </xf>
    <xf numFmtId="176" fontId="42" fillId="0" borderId="80" xfId="2" applyNumberFormat="1" applyFont="1" applyBorder="1" applyAlignment="1">
      <alignment horizontal="right" vertical="center"/>
    </xf>
    <xf numFmtId="176" fontId="42" fillId="0" borderId="94" xfId="2" applyNumberFormat="1" applyFont="1" applyBorder="1" applyAlignment="1">
      <alignment horizontal="right" vertical="center"/>
    </xf>
    <xf numFmtId="176" fontId="43" fillId="0" borderId="57" xfId="0" applyNumberFormat="1" applyFont="1" applyBorder="1" applyAlignment="1">
      <alignment horizontal="right" vertical="center"/>
    </xf>
    <xf numFmtId="176" fontId="43" fillId="0" borderId="56" xfId="0" applyNumberFormat="1" applyFont="1" applyBorder="1" applyAlignment="1">
      <alignment horizontal="right" vertical="center"/>
    </xf>
    <xf numFmtId="176" fontId="43" fillId="0" borderId="0" xfId="0" applyNumberFormat="1" applyFont="1" applyAlignment="1">
      <alignment horizontal="right" vertical="center"/>
    </xf>
    <xf numFmtId="189" fontId="42" fillId="0" borderId="81" xfId="0" applyNumberFormat="1" applyFont="1" applyBorder="1" applyAlignment="1">
      <alignment horizontal="right" vertical="center"/>
    </xf>
    <xf numFmtId="189" fontId="42" fillId="0" borderId="80" xfId="0" applyNumberFormat="1" applyFont="1" applyBorder="1" applyAlignment="1">
      <alignment horizontal="right" vertical="center"/>
    </xf>
    <xf numFmtId="189" fontId="42" fillId="0" borderId="94" xfId="0" applyNumberFormat="1" applyFont="1" applyBorder="1" applyAlignment="1">
      <alignment horizontal="right" vertical="center"/>
    </xf>
    <xf numFmtId="0" fontId="25" fillId="12" borderId="80" xfId="0" applyFont="1" applyFill="1" applyBorder="1" applyAlignment="1">
      <alignment horizontal="center" vertical="center"/>
    </xf>
    <xf numFmtId="0" fontId="25" fillId="12" borderId="81" xfId="0" applyFont="1" applyFill="1" applyBorder="1" applyAlignment="1">
      <alignment horizontal="center" vertical="center"/>
    </xf>
    <xf numFmtId="0" fontId="26" fillId="12" borderId="46" xfId="0" applyFont="1" applyFill="1" applyBorder="1" applyAlignment="1">
      <alignment vertical="center"/>
    </xf>
    <xf numFmtId="0" fontId="26" fillId="12" borderId="71" xfId="0" applyFont="1" applyFill="1" applyBorder="1" applyAlignment="1">
      <alignment vertical="center"/>
    </xf>
    <xf numFmtId="0" fontId="26" fillId="12" borderId="54" xfId="0" applyFont="1" applyFill="1" applyBorder="1" applyAlignment="1">
      <alignment vertical="center"/>
    </xf>
    <xf numFmtId="0" fontId="26" fillId="12" borderId="53" xfId="0" applyFont="1" applyFill="1" applyBorder="1" applyAlignment="1">
      <alignment vertical="center"/>
    </xf>
    <xf numFmtId="41" fontId="36" fillId="0" borderId="57" xfId="1" applyFont="1" applyBorder="1" applyAlignment="1">
      <alignment horizontal="right" vertical="center"/>
    </xf>
    <xf numFmtId="41" fontId="36" fillId="0" borderId="56" xfId="1" applyFont="1" applyBorder="1" applyAlignment="1">
      <alignment horizontal="right" vertical="center"/>
    </xf>
    <xf numFmtId="41" fontId="36" fillId="0" borderId="0" xfId="1" applyFont="1" applyAlignment="1">
      <alignment horizontal="right" vertical="center"/>
    </xf>
    <xf numFmtId="0" fontId="44" fillId="0" borderId="0" xfId="0" applyFont="1">
      <alignment vertical="center"/>
    </xf>
    <xf numFmtId="0" fontId="44" fillId="0" borderId="54" xfId="0" applyFont="1" applyBorder="1">
      <alignment vertical="center"/>
    </xf>
    <xf numFmtId="0" fontId="42" fillId="0" borderId="95" xfId="0" applyFont="1" applyFill="1" applyBorder="1" applyAlignment="1">
      <alignment horizontal="center" vertical="center" wrapText="1"/>
    </xf>
    <xf numFmtId="179" fontId="26" fillId="0" borderId="57" xfId="1" applyNumberFormat="1" applyFont="1" applyBorder="1" applyAlignment="1">
      <alignment horizontal="right" vertical="center"/>
    </xf>
    <xf numFmtId="179" fontId="26" fillId="0" borderId="56" xfId="1" applyNumberFormat="1" applyFont="1" applyBorder="1" applyAlignment="1">
      <alignment horizontal="right" vertical="center"/>
    </xf>
    <xf numFmtId="179" fontId="26" fillId="0" borderId="0" xfId="1" applyNumberFormat="1" applyFont="1" applyAlignment="1">
      <alignment horizontal="right" vertical="center"/>
    </xf>
    <xf numFmtId="179" fontId="36" fillId="0" borderId="57" xfId="1" applyNumberFormat="1" applyFont="1" applyBorder="1" applyAlignment="1">
      <alignment horizontal="right" vertical="center"/>
    </xf>
    <xf numFmtId="179" fontId="36" fillId="0" borderId="56" xfId="1" applyNumberFormat="1" applyFont="1" applyBorder="1" applyAlignment="1">
      <alignment horizontal="right" vertical="center"/>
    </xf>
    <xf numFmtId="179" fontId="36" fillId="0" borderId="0" xfId="1" applyNumberFormat="1" applyFont="1" applyAlignment="1">
      <alignment horizontal="right" vertical="center"/>
    </xf>
    <xf numFmtId="183" fontId="42" fillId="0" borderId="61" xfId="2" applyNumberFormat="1" applyFont="1" applyBorder="1" applyAlignment="1">
      <alignment horizontal="right" vertical="center"/>
    </xf>
    <xf numFmtId="183" fontId="42" fillId="0" borderId="60" xfId="2" applyNumberFormat="1" applyFont="1" applyBorder="1" applyAlignment="1">
      <alignment horizontal="right" vertical="center"/>
    </xf>
    <xf numFmtId="183" fontId="42" fillId="0" borderId="62" xfId="2" applyNumberFormat="1" applyFont="1" applyBorder="1" applyAlignment="1">
      <alignment horizontal="right" vertical="center"/>
    </xf>
    <xf numFmtId="183" fontId="42" fillId="0" borderId="53" xfId="2" applyNumberFormat="1" applyFont="1" applyBorder="1" applyAlignment="1">
      <alignment horizontal="right" vertical="center"/>
    </xf>
    <xf numFmtId="183" fontId="42" fillId="0" borderId="52" xfId="2" applyNumberFormat="1" applyFont="1" applyBorder="1" applyAlignment="1">
      <alignment horizontal="right" vertical="center"/>
    </xf>
    <xf numFmtId="183" fontId="42" fillId="0" borderId="54" xfId="2" applyNumberFormat="1" applyFont="1" applyBorder="1" applyAlignment="1">
      <alignment horizontal="right" vertical="center"/>
    </xf>
    <xf numFmtId="190" fontId="42" fillId="0" borderId="61" xfId="2" applyNumberFormat="1" applyFont="1" applyBorder="1" applyAlignment="1">
      <alignment horizontal="right" vertical="center"/>
    </xf>
    <xf numFmtId="190" fontId="42" fillId="0" borderId="60" xfId="2" applyNumberFormat="1" applyFont="1" applyBorder="1" applyAlignment="1">
      <alignment horizontal="right" vertical="center"/>
    </xf>
    <xf numFmtId="190" fontId="42" fillId="0" borderId="62" xfId="2" applyNumberFormat="1" applyFont="1" applyBorder="1" applyAlignment="1">
      <alignment horizontal="right" vertical="center"/>
    </xf>
    <xf numFmtId="190" fontId="0" fillId="0" borderId="0" xfId="0" applyNumberFormat="1">
      <alignment vertical="center"/>
    </xf>
    <xf numFmtId="190" fontId="42" fillId="0" borderId="53" xfId="2" applyNumberFormat="1" applyFont="1" applyBorder="1" applyAlignment="1">
      <alignment horizontal="right" vertical="center"/>
    </xf>
    <xf numFmtId="190" fontId="42" fillId="0" borderId="52" xfId="2" applyNumberFormat="1" applyFont="1" applyBorder="1" applyAlignment="1">
      <alignment horizontal="right" vertical="center"/>
    </xf>
    <xf numFmtId="190" fontId="42" fillId="0" borderId="54" xfId="2" applyNumberFormat="1" applyFont="1" applyBorder="1" applyAlignment="1">
      <alignment horizontal="right" vertical="center"/>
    </xf>
    <xf numFmtId="0" fontId="45" fillId="0" borderId="68" xfId="0" applyFont="1" applyBorder="1" applyAlignment="1">
      <alignment horizontal="center" vertical="center"/>
    </xf>
    <xf numFmtId="0" fontId="45" fillId="0" borderId="58" xfId="0" applyFont="1" applyBorder="1" applyAlignment="1">
      <alignment horizontal="center" vertical="center"/>
    </xf>
    <xf numFmtId="0" fontId="45" fillId="0" borderId="63" xfId="0" applyFont="1" applyBorder="1" applyAlignment="1">
      <alignment horizontal="center" vertical="center"/>
    </xf>
    <xf numFmtId="0" fontId="25" fillId="0" borderId="68" xfId="0" applyFont="1" applyBorder="1">
      <alignment vertical="center"/>
    </xf>
    <xf numFmtId="0" fontId="26" fillId="0" borderId="68" xfId="0" applyFont="1" applyBorder="1" applyAlignment="1">
      <alignment horizontal="center" vertical="center" wrapText="1"/>
    </xf>
    <xf numFmtId="0" fontId="45" fillId="0" borderId="63" xfId="0" applyFont="1" applyBorder="1" applyAlignment="1">
      <alignment horizontal="center" vertical="center" wrapText="1"/>
    </xf>
    <xf numFmtId="0" fontId="23" fillId="0" borderId="54" xfId="0" applyFont="1" applyBorder="1">
      <alignment vertical="center"/>
    </xf>
    <xf numFmtId="0" fontId="45" fillId="0" borderId="69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54" xfId="0" applyFont="1" applyBorder="1" applyAlignment="1">
      <alignment horizontal="center" vertical="center"/>
    </xf>
    <xf numFmtId="41" fontId="26" fillId="0" borderId="55" xfId="1" applyFont="1" applyBorder="1" applyAlignment="1">
      <alignment horizontal="right" vertical="center"/>
    </xf>
    <xf numFmtId="41" fontId="45" fillId="0" borderId="55" xfId="1" applyFont="1" applyBorder="1" applyAlignment="1">
      <alignment horizontal="right" vertical="center"/>
    </xf>
    <xf numFmtId="41" fontId="26" fillId="0" borderId="59" xfId="1" applyFont="1" applyBorder="1" applyAlignment="1">
      <alignment horizontal="right" vertical="center"/>
    </xf>
    <xf numFmtId="41" fontId="26" fillId="0" borderId="60" xfId="1" applyFont="1" applyBorder="1" applyAlignment="1">
      <alignment horizontal="right" vertical="center"/>
    </xf>
    <xf numFmtId="41" fontId="26" fillId="0" borderId="61" xfId="1" applyFont="1" applyBorder="1" applyAlignment="1">
      <alignment horizontal="right" vertical="center"/>
    </xf>
    <xf numFmtId="41" fontId="26" fillId="0" borderId="62" xfId="1" applyFont="1" applyBorder="1" applyAlignment="1">
      <alignment horizontal="right" vertical="center"/>
    </xf>
    <xf numFmtId="41" fontId="45" fillId="0" borderId="56" xfId="1" applyFont="1" applyBorder="1" applyAlignment="1">
      <alignment horizontal="right" vertical="center"/>
    </xf>
    <xf numFmtId="41" fontId="45" fillId="0" borderId="57" xfId="1" applyFont="1" applyBorder="1" applyAlignment="1">
      <alignment horizontal="right" vertical="center"/>
    </xf>
    <xf numFmtId="41" fontId="45" fillId="0" borderId="0" xfId="1" applyFont="1" applyAlignment="1">
      <alignment horizontal="right" vertical="center"/>
    </xf>
    <xf numFmtId="41" fontId="45" fillId="0" borderId="59" xfId="1" applyFont="1" applyBorder="1" applyAlignment="1">
      <alignment horizontal="right" vertical="center"/>
    </xf>
    <xf numFmtId="41" fontId="45" fillId="0" borderId="60" xfId="1" applyFont="1" applyBorder="1" applyAlignment="1">
      <alignment horizontal="right" vertical="center"/>
    </xf>
    <xf numFmtId="41" fontId="45" fillId="0" borderId="61" xfId="1" applyFont="1" applyBorder="1" applyAlignment="1">
      <alignment horizontal="right" vertical="center"/>
    </xf>
    <xf numFmtId="41" fontId="45" fillId="0" borderId="62" xfId="1" applyFont="1" applyBorder="1" applyAlignment="1">
      <alignment horizontal="right" vertical="center"/>
    </xf>
    <xf numFmtId="41" fontId="45" fillId="0" borderId="64" xfId="1" applyFont="1" applyBorder="1" applyAlignment="1">
      <alignment horizontal="right" vertical="center"/>
    </xf>
    <xf numFmtId="41" fontId="45" fillId="0" borderId="65" xfId="1" applyFont="1" applyBorder="1" applyAlignment="1">
      <alignment horizontal="right" vertical="center"/>
    </xf>
    <xf numFmtId="41" fontId="45" fillId="0" borderId="66" xfId="1" applyFont="1" applyBorder="1" applyAlignment="1">
      <alignment horizontal="right" vertical="center"/>
    </xf>
    <xf numFmtId="41" fontId="45" fillId="0" borderId="67" xfId="1" applyFont="1" applyBorder="1" applyAlignment="1">
      <alignment horizontal="right" vertical="center"/>
    </xf>
    <xf numFmtId="41" fontId="45" fillId="0" borderId="70" xfId="1" applyFont="1" applyBorder="1" applyAlignment="1">
      <alignment horizontal="right" vertical="center"/>
    </xf>
    <xf numFmtId="41" fontId="45" fillId="0" borderId="52" xfId="1" applyFont="1" applyBorder="1" applyAlignment="1">
      <alignment horizontal="right" vertical="center"/>
    </xf>
    <xf numFmtId="41" fontId="45" fillId="0" borderId="53" xfId="1" applyFont="1" applyBorder="1" applyAlignment="1">
      <alignment horizontal="right" vertical="center"/>
    </xf>
    <xf numFmtId="41" fontId="45" fillId="0" borderId="54" xfId="1" applyFont="1" applyBorder="1" applyAlignment="1">
      <alignment horizontal="right" vertical="center"/>
    </xf>
    <xf numFmtId="185" fontId="26" fillId="0" borderId="55" xfId="1" applyNumberFormat="1" applyFont="1" applyBorder="1" applyAlignment="1">
      <alignment horizontal="right" vertical="center"/>
    </xf>
    <xf numFmtId="185" fontId="26" fillId="0" borderId="56" xfId="1" applyNumberFormat="1" applyFont="1" applyBorder="1" applyAlignment="1">
      <alignment horizontal="right" vertical="center"/>
    </xf>
    <xf numFmtId="185" fontId="26" fillId="0" borderId="57" xfId="1" applyNumberFormat="1" applyFont="1" applyBorder="1" applyAlignment="1">
      <alignment horizontal="right" vertical="center"/>
    </xf>
    <xf numFmtId="185" fontId="26" fillId="0" borderId="0" xfId="1" applyNumberFormat="1" applyFont="1" applyAlignment="1">
      <alignment horizontal="right" vertical="center"/>
    </xf>
    <xf numFmtId="185" fontId="0" fillId="0" borderId="0" xfId="0" applyNumberFormat="1">
      <alignment vertical="center"/>
    </xf>
    <xf numFmtId="185" fontId="45" fillId="0" borderId="55" xfId="1" applyNumberFormat="1" applyFont="1" applyBorder="1" applyAlignment="1">
      <alignment horizontal="right" vertical="center"/>
    </xf>
    <xf numFmtId="185" fontId="45" fillId="0" borderId="56" xfId="1" applyNumberFormat="1" applyFont="1" applyBorder="1" applyAlignment="1">
      <alignment horizontal="right" vertical="center"/>
    </xf>
    <xf numFmtId="185" fontId="45" fillId="0" borderId="57" xfId="1" applyNumberFormat="1" applyFont="1" applyBorder="1" applyAlignment="1">
      <alignment horizontal="right" vertical="center"/>
    </xf>
    <xf numFmtId="185" fontId="45" fillId="0" borderId="0" xfId="1" applyNumberFormat="1" applyFont="1" applyAlignment="1">
      <alignment horizontal="right" vertical="center"/>
    </xf>
    <xf numFmtId="185" fontId="26" fillId="0" borderId="59" xfId="1" applyNumberFormat="1" applyFont="1" applyBorder="1" applyAlignment="1">
      <alignment horizontal="right" vertical="center"/>
    </xf>
    <xf numFmtId="185" fontId="26" fillId="0" borderId="60" xfId="1" applyNumberFormat="1" applyFont="1" applyBorder="1" applyAlignment="1">
      <alignment horizontal="right" vertical="center"/>
    </xf>
    <xf numFmtId="185" fontId="26" fillId="0" borderId="61" xfId="1" applyNumberFormat="1" applyFont="1" applyBorder="1" applyAlignment="1">
      <alignment horizontal="right" vertical="center"/>
    </xf>
    <xf numFmtId="185" fontId="26" fillId="0" borderId="62" xfId="1" applyNumberFormat="1" applyFont="1" applyBorder="1" applyAlignment="1">
      <alignment horizontal="right" vertical="center"/>
    </xf>
    <xf numFmtId="185" fontId="45" fillId="0" borderId="59" xfId="1" applyNumberFormat="1" applyFont="1" applyBorder="1" applyAlignment="1">
      <alignment horizontal="right" vertical="center"/>
    </xf>
    <xf numFmtId="185" fontId="45" fillId="0" borderId="60" xfId="1" applyNumberFormat="1" applyFont="1" applyBorder="1" applyAlignment="1">
      <alignment horizontal="right" vertical="center"/>
    </xf>
    <xf numFmtId="185" fontId="45" fillId="0" borderId="61" xfId="1" applyNumberFormat="1" applyFont="1" applyBorder="1" applyAlignment="1">
      <alignment horizontal="right" vertical="center"/>
    </xf>
    <xf numFmtId="185" fontId="45" fillId="0" borderId="62" xfId="1" applyNumberFormat="1" applyFont="1" applyBorder="1" applyAlignment="1">
      <alignment horizontal="right" vertical="center"/>
    </xf>
    <xf numFmtId="185" fontId="45" fillId="0" borderId="64" xfId="1" applyNumberFormat="1" applyFont="1" applyBorder="1" applyAlignment="1">
      <alignment horizontal="right" vertical="center"/>
    </xf>
    <xf numFmtId="185" fontId="45" fillId="0" borderId="65" xfId="1" applyNumberFormat="1" applyFont="1" applyBorder="1" applyAlignment="1">
      <alignment horizontal="right" vertical="center"/>
    </xf>
    <xf numFmtId="185" fontId="45" fillId="0" borderId="66" xfId="1" applyNumberFormat="1" applyFont="1" applyBorder="1" applyAlignment="1">
      <alignment horizontal="right" vertical="center"/>
    </xf>
    <xf numFmtId="185" fontId="45" fillId="0" borderId="67" xfId="1" applyNumberFormat="1" applyFont="1" applyBorder="1" applyAlignment="1">
      <alignment horizontal="right" vertical="center"/>
    </xf>
    <xf numFmtId="185" fontId="45" fillId="0" borderId="70" xfId="1" applyNumberFormat="1" applyFont="1" applyBorder="1" applyAlignment="1">
      <alignment horizontal="right" vertical="center"/>
    </xf>
    <xf numFmtId="185" fontId="45" fillId="0" borderId="52" xfId="1" applyNumberFormat="1" applyFont="1" applyBorder="1" applyAlignment="1">
      <alignment horizontal="right" vertical="center"/>
    </xf>
    <xf numFmtId="185" fontId="45" fillId="0" borderId="53" xfId="1" applyNumberFormat="1" applyFont="1" applyBorder="1" applyAlignment="1">
      <alignment horizontal="right" vertical="center"/>
    </xf>
    <xf numFmtId="185" fontId="45" fillId="0" borderId="54" xfId="1" applyNumberFormat="1" applyFont="1" applyBorder="1" applyAlignment="1">
      <alignment horizontal="right" vertical="center"/>
    </xf>
    <xf numFmtId="183" fontId="45" fillId="0" borderId="55" xfId="1" applyNumberFormat="1" applyFont="1" applyBorder="1" applyAlignment="1">
      <alignment horizontal="right" vertical="center"/>
    </xf>
    <xf numFmtId="183" fontId="45" fillId="0" borderId="56" xfId="1" applyNumberFormat="1" applyFont="1" applyBorder="1" applyAlignment="1">
      <alignment horizontal="right" vertical="center"/>
    </xf>
    <xf numFmtId="183" fontId="45" fillId="0" borderId="57" xfId="1" applyNumberFormat="1" applyFont="1" applyBorder="1" applyAlignment="1">
      <alignment horizontal="right" vertical="center"/>
    </xf>
    <xf numFmtId="183" fontId="45" fillId="0" borderId="0" xfId="1" applyNumberFormat="1" applyFont="1" applyAlignment="1">
      <alignment horizontal="right" vertical="center"/>
    </xf>
    <xf numFmtId="183" fontId="45" fillId="0" borderId="64" xfId="1" applyNumberFormat="1" applyFont="1" applyBorder="1" applyAlignment="1">
      <alignment horizontal="right" vertical="center"/>
    </xf>
    <xf numFmtId="183" fontId="45" fillId="0" borderId="65" xfId="1" applyNumberFormat="1" applyFont="1" applyBorder="1" applyAlignment="1">
      <alignment horizontal="right" vertical="center"/>
    </xf>
    <xf numFmtId="183" fontId="45" fillId="0" borderId="66" xfId="1" applyNumberFormat="1" applyFont="1" applyBorder="1" applyAlignment="1">
      <alignment horizontal="right" vertical="center"/>
    </xf>
    <xf numFmtId="183" fontId="45" fillId="0" borderId="67" xfId="1" applyNumberFormat="1" applyFont="1" applyBorder="1" applyAlignment="1">
      <alignment horizontal="right" vertical="center"/>
    </xf>
    <xf numFmtId="176" fontId="43" fillId="0" borderId="55" xfId="2" applyNumberFormat="1" applyFont="1" applyBorder="1" applyAlignment="1">
      <alignment horizontal="right" vertical="center"/>
    </xf>
    <xf numFmtId="176" fontId="45" fillId="0" borderId="59" xfId="2" applyNumberFormat="1" applyFont="1" applyBorder="1" applyAlignment="1">
      <alignment horizontal="right" vertical="center"/>
    </xf>
    <xf numFmtId="176" fontId="45" fillId="0" borderId="60" xfId="2" applyNumberFormat="1" applyFont="1" applyBorder="1" applyAlignment="1">
      <alignment horizontal="right" vertical="center"/>
    </xf>
    <xf numFmtId="176" fontId="45" fillId="0" borderId="61" xfId="2" applyNumberFormat="1" applyFont="1" applyBorder="1" applyAlignment="1">
      <alignment horizontal="right" vertical="center"/>
    </xf>
    <xf numFmtId="176" fontId="45" fillId="0" borderId="62" xfId="2" applyNumberFormat="1" applyFont="1" applyBorder="1" applyAlignment="1">
      <alignment horizontal="right" vertical="center"/>
    </xf>
    <xf numFmtId="176" fontId="45" fillId="0" borderId="70" xfId="2" applyNumberFormat="1" applyFont="1" applyBorder="1" applyAlignment="1">
      <alignment horizontal="right" vertical="center"/>
    </xf>
    <xf numFmtId="176" fontId="45" fillId="0" borderId="52" xfId="2" applyNumberFormat="1" applyFont="1" applyBorder="1" applyAlignment="1">
      <alignment horizontal="right" vertical="center"/>
    </xf>
    <xf numFmtId="176" fontId="45" fillId="0" borderId="53" xfId="2" applyNumberFormat="1" applyFont="1" applyBorder="1" applyAlignment="1">
      <alignment horizontal="right" vertical="center"/>
    </xf>
    <xf numFmtId="176" fontId="45" fillId="0" borderId="54" xfId="2" applyNumberFormat="1" applyFont="1" applyBorder="1" applyAlignment="1">
      <alignment horizontal="right" vertical="center"/>
    </xf>
    <xf numFmtId="189" fontId="45" fillId="0" borderId="59" xfId="2" applyNumberFormat="1" applyFont="1" applyBorder="1" applyAlignment="1">
      <alignment horizontal="right" vertical="center"/>
    </xf>
    <xf numFmtId="189" fontId="45" fillId="0" borderId="60" xfId="2" applyNumberFormat="1" applyFont="1" applyBorder="1" applyAlignment="1">
      <alignment horizontal="right" vertical="center"/>
    </xf>
    <xf numFmtId="189" fontId="45" fillId="0" borderId="61" xfId="2" applyNumberFormat="1" applyFont="1" applyBorder="1" applyAlignment="1">
      <alignment horizontal="right" vertical="center"/>
    </xf>
    <xf numFmtId="189" fontId="45" fillId="0" borderId="62" xfId="2" applyNumberFormat="1" applyFont="1" applyBorder="1" applyAlignment="1">
      <alignment horizontal="right" vertical="center"/>
    </xf>
    <xf numFmtId="189" fontId="45" fillId="0" borderId="70" xfId="2" applyNumberFormat="1" applyFont="1" applyBorder="1" applyAlignment="1">
      <alignment horizontal="right" vertical="center"/>
    </xf>
    <xf numFmtId="189" fontId="45" fillId="0" borderId="52" xfId="2" applyNumberFormat="1" applyFont="1" applyBorder="1" applyAlignment="1">
      <alignment horizontal="right" vertical="center"/>
    </xf>
    <xf numFmtId="189" fontId="45" fillId="0" borderId="53" xfId="2" applyNumberFormat="1" applyFont="1" applyBorder="1" applyAlignment="1">
      <alignment horizontal="right" vertical="center"/>
    </xf>
    <xf numFmtId="189" fontId="45" fillId="0" borderId="54" xfId="2" applyNumberFormat="1" applyFont="1" applyBorder="1" applyAlignment="1">
      <alignment horizontal="right" vertical="center"/>
    </xf>
    <xf numFmtId="186" fontId="43" fillId="0" borderId="55" xfId="2" applyNumberFormat="1" applyFont="1" applyBorder="1" applyAlignment="1">
      <alignment horizontal="right" vertical="center"/>
    </xf>
    <xf numFmtId="186" fontId="43" fillId="0" borderId="56" xfId="2" applyNumberFormat="1" applyFont="1" applyBorder="1" applyAlignment="1">
      <alignment horizontal="right" vertical="center"/>
    </xf>
    <xf numFmtId="186" fontId="43" fillId="0" borderId="57" xfId="2" applyNumberFormat="1" applyFont="1" applyBorder="1" applyAlignment="1">
      <alignment horizontal="right" vertical="center"/>
    </xf>
    <xf numFmtId="186" fontId="43" fillId="0" borderId="0" xfId="2" applyNumberFormat="1" applyFont="1" applyAlignment="1">
      <alignment horizontal="right" vertical="center"/>
    </xf>
    <xf numFmtId="0" fontId="36" fillId="12" borderId="53" xfId="0" applyFont="1" applyFill="1" applyBorder="1" applyAlignment="1">
      <alignment horizontal="center" vertical="center"/>
    </xf>
    <xf numFmtId="10" fontId="46" fillId="0" borderId="53" xfId="0" applyNumberFormat="1" applyFont="1" applyBorder="1" applyAlignment="1">
      <alignment horizontal="right" vertical="center"/>
    </xf>
    <xf numFmtId="10" fontId="46" fillId="0" borderId="52" xfId="0" applyNumberFormat="1" applyFont="1" applyBorder="1" applyAlignment="1">
      <alignment horizontal="right" vertical="center"/>
    </xf>
    <xf numFmtId="10" fontId="46" fillId="0" borderId="54" xfId="0" applyNumberFormat="1" applyFont="1" applyBorder="1" applyAlignment="1">
      <alignment horizontal="right" vertical="center"/>
    </xf>
    <xf numFmtId="0" fontId="45" fillId="0" borderId="61" xfId="0" applyFont="1" applyBorder="1" applyAlignment="1">
      <alignment horizontal="left" vertical="center" wrapText="1" indent="1"/>
    </xf>
    <xf numFmtId="0" fontId="45" fillId="0" borderId="53" xfId="0" applyFont="1" applyBorder="1" applyAlignment="1">
      <alignment horizontal="left" vertical="center" wrapText="1" indent="2"/>
    </xf>
    <xf numFmtId="0" fontId="45" fillId="0" borderId="69" xfId="0" applyFont="1" applyBorder="1" applyAlignment="1">
      <alignment vertical="center" wrapText="1"/>
    </xf>
    <xf numFmtId="0" fontId="45" fillId="0" borderId="58" xfId="0" applyFont="1" applyBorder="1" applyAlignment="1">
      <alignment vertical="center" wrapText="1"/>
    </xf>
    <xf numFmtId="0" fontId="25" fillId="0" borderId="0" xfId="0" applyFont="1" applyAlignment="1">
      <alignment vertical="center" wrapText="1"/>
    </xf>
    <xf numFmtId="0" fontId="25" fillId="0" borderId="54" xfId="0" applyFont="1" applyBorder="1" applyAlignment="1">
      <alignment vertical="center" wrapText="1"/>
    </xf>
    <xf numFmtId="0" fontId="25" fillId="0" borderId="46" xfId="0" applyFont="1" applyBorder="1" applyAlignment="1">
      <alignment vertical="center"/>
    </xf>
    <xf numFmtId="0" fontId="36" fillId="0" borderId="0" xfId="0" applyFont="1" applyAlignment="1">
      <alignment vertical="center" wrapText="1"/>
    </xf>
    <xf numFmtId="0" fontId="36" fillId="0" borderId="54" xfId="0" applyFont="1" applyBorder="1" applyAlignment="1">
      <alignment vertical="center" wrapText="1"/>
    </xf>
    <xf numFmtId="0" fontId="36" fillId="12" borderId="46" xfId="0" applyFont="1" applyFill="1" applyBorder="1" applyAlignment="1">
      <alignment vertical="center"/>
    </xf>
    <xf numFmtId="0" fontId="36" fillId="12" borderId="54" xfId="0" applyFont="1" applyFill="1" applyBorder="1" applyAlignment="1">
      <alignment vertical="center"/>
    </xf>
    <xf numFmtId="41" fontId="28" fillId="0" borderId="0" xfId="1" applyFont="1" applyAlignment="1">
      <alignment horizontal="right" vertical="center"/>
    </xf>
    <xf numFmtId="41" fontId="46" fillId="0" borderId="61" xfId="1" applyFont="1" applyBorder="1" applyAlignment="1">
      <alignment horizontal="right" vertical="center"/>
    </xf>
    <xf numFmtId="41" fontId="46" fillId="0" borderId="60" xfId="1" applyFont="1" applyBorder="1" applyAlignment="1">
      <alignment horizontal="right" vertical="center"/>
    </xf>
    <xf numFmtId="41" fontId="46" fillId="0" borderId="62" xfId="1" applyFont="1" applyBorder="1" applyAlignment="1">
      <alignment horizontal="right" vertical="center"/>
    </xf>
    <xf numFmtId="41" fontId="46" fillId="0" borderId="57" xfId="1" applyFont="1" applyBorder="1" applyAlignment="1">
      <alignment horizontal="right" vertical="center"/>
    </xf>
    <xf numFmtId="41" fontId="46" fillId="0" borderId="56" xfId="1" applyFont="1" applyBorder="1" applyAlignment="1">
      <alignment horizontal="right" vertical="center"/>
    </xf>
    <xf numFmtId="41" fontId="46" fillId="0" borderId="0" xfId="1" applyFont="1" applyAlignment="1">
      <alignment horizontal="right" vertical="center"/>
    </xf>
    <xf numFmtId="41" fontId="28" fillId="0" borderId="71" xfId="1" applyFont="1" applyBorder="1" applyAlignment="1">
      <alignment horizontal="right" vertical="center"/>
    </xf>
    <xf numFmtId="41" fontId="28" fillId="0" borderId="84" xfId="1" applyFont="1" applyBorder="1" applyAlignment="1">
      <alignment horizontal="right" vertical="center"/>
    </xf>
    <xf numFmtId="41" fontId="28" fillId="0" borderId="46" xfId="1" applyFont="1" applyBorder="1" applyAlignment="1">
      <alignment horizontal="right" vertical="center"/>
    </xf>
    <xf numFmtId="41" fontId="28" fillId="0" borderId="66" xfId="1" applyFont="1" applyBorder="1" applyAlignment="1">
      <alignment horizontal="right" vertical="center"/>
    </xf>
    <xf numFmtId="41" fontId="28" fillId="0" borderId="65" xfId="1" applyFont="1" applyBorder="1" applyAlignment="1">
      <alignment horizontal="right" vertical="center"/>
    </xf>
    <xf numFmtId="41" fontId="28" fillId="0" borderId="67" xfId="1" applyFont="1" applyBorder="1" applyAlignment="1">
      <alignment horizontal="right" vertical="center"/>
    </xf>
    <xf numFmtId="179" fontId="28" fillId="0" borderId="57" xfId="0" applyNumberFormat="1" applyFont="1" applyBorder="1" applyAlignment="1">
      <alignment horizontal="right" vertical="center"/>
    </xf>
    <xf numFmtId="179" fontId="28" fillId="0" borderId="56" xfId="0" applyNumberFormat="1" applyFont="1" applyBorder="1" applyAlignment="1">
      <alignment horizontal="right" vertical="center"/>
    </xf>
    <xf numFmtId="179" fontId="28" fillId="0" borderId="0" xfId="0" applyNumberFormat="1" applyFont="1" applyAlignment="1">
      <alignment horizontal="right" vertical="center"/>
    </xf>
    <xf numFmtId="179" fontId="46" fillId="0" borderId="56" xfId="0" applyNumberFormat="1" applyFont="1" applyBorder="1" applyAlignment="1">
      <alignment horizontal="right" vertical="center"/>
    </xf>
    <xf numFmtId="179" fontId="46" fillId="0" borderId="57" xfId="0" applyNumberFormat="1" applyFont="1" applyBorder="1" applyAlignment="1">
      <alignment horizontal="right" vertical="center"/>
    </xf>
    <xf numFmtId="179" fontId="46" fillId="0" borderId="0" xfId="0" applyNumberFormat="1" applyFont="1" applyAlignment="1">
      <alignment horizontal="right" vertical="center"/>
    </xf>
    <xf numFmtId="179" fontId="28" fillId="0" borderId="71" xfId="0" applyNumberFormat="1" applyFont="1" applyBorder="1" applyAlignment="1">
      <alignment horizontal="right" vertical="center"/>
    </xf>
    <xf numFmtId="179" fontId="28" fillId="0" borderId="84" xfId="0" applyNumberFormat="1" applyFont="1" applyBorder="1" applyAlignment="1">
      <alignment horizontal="right" vertical="center"/>
    </xf>
    <xf numFmtId="179" fontId="28" fillId="0" borderId="46" xfId="0" applyNumberFormat="1" applyFont="1" applyBorder="1" applyAlignment="1">
      <alignment horizontal="right" vertical="center"/>
    </xf>
    <xf numFmtId="179" fontId="46" fillId="0" borderId="53" xfId="0" applyNumberFormat="1" applyFont="1" applyBorder="1" applyAlignment="1">
      <alignment horizontal="right" vertical="center"/>
    </xf>
    <xf numFmtId="179" fontId="46" fillId="0" borderId="52" xfId="0" applyNumberFormat="1" applyFont="1" applyBorder="1" applyAlignment="1">
      <alignment horizontal="right" vertical="center"/>
    </xf>
    <xf numFmtId="179" fontId="46" fillId="0" borderId="54" xfId="0" applyNumberFormat="1" applyFont="1" applyBorder="1" applyAlignment="1">
      <alignment horizontal="right" vertical="center"/>
    </xf>
    <xf numFmtId="179" fontId="28" fillId="0" borderId="66" xfId="0" applyNumberFormat="1" applyFont="1" applyBorder="1" applyAlignment="1">
      <alignment horizontal="right" vertical="center"/>
    </xf>
    <xf numFmtId="179" fontId="28" fillId="0" borderId="65" xfId="0" applyNumberFormat="1" applyFont="1" applyBorder="1" applyAlignment="1">
      <alignment horizontal="right" vertical="center"/>
    </xf>
    <xf numFmtId="179" fontId="28" fillId="0" borderId="67" xfId="0" applyNumberFormat="1" applyFont="1" applyBorder="1" applyAlignment="1">
      <alignment horizontal="right" vertical="center"/>
    </xf>
    <xf numFmtId="183" fontId="46" fillId="0" borderId="60" xfId="0" applyNumberFormat="1" applyFont="1" applyBorder="1" applyAlignment="1">
      <alignment horizontal="right" vertical="center"/>
    </xf>
    <xf numFmtId="183" fontId="46" fillId="0" borderId="61" xfId="0" applyNumberFormat="1" applyFont="1" applyBorder="1" applyAlignment="1">
      <alignment horizontal="right" vertical="center"/>
    </xf>
    <xf numFmtId="183" fontId="46" fillId="0" borderId="62" xfId="0" applyNumberFormat="1" applyFont="1" applyBorder="1" applyAlignment="1">
      <alignment horizontal="right" vertical="center"/>
    </xf>
    <xf numFmtId="183" fontId="46" fillId="0" borderId="56" xfId="0" applyNumberFormat="1" applyFont="1" applyBorder="1" applyAlignment="1">
      <alignment horizontal="right" vertical="center"/>
    </xf>
    <xf numFmtId="183" fontId="46" fillId="0" borderId="57" xfId="0" applyNumberFormat="1" applyFont="1" applyBorder="1" applyAlignment="1">
      <alignment horizontal="right" vertical="center"/>
    </xf>
    <xf numFmtId="183" fontId="46" fillId="0" borderId="0" xfId="0" applyNumberFormat="1" applyFont="1" applyAlignment="1">
      <alignment horizontal="right" vertical="center"/>
    </xf>
    <xf numFmtId="183" fontId="46" fillId="0" borderId="53" xfId="0" applyNumberFormat="1" applyFont="1" applyBorder="1" applyAlignment="1">
      <alignment horizontal="right" vertical="center"/>
    </xf>
    <xf numFmtId="183" fontId="46" fillId="0" borderId="52" xfId="0" applyNumberFormat="1" applyFont="1" applyBorder="1" applyAlignment="1">
      <alignment horizontal="right" vertical="center"/>
    </xf>
    <xf numFmtId="183" fontId="46" fillId="0" borderId="54" xfId="0" applyNumberFormat="1" applyFont="1" applyBorder="1" applyAlignment="1">
      <alignment horizontal="right" vertical="center"/>
    </xf>
    <xf numFmtId="179" fontId="0" fillId="0" borderId="0" xfId="0" applyNumberFormat="1">
      <alignment vertical="center"/>
    </xf>
    <xf numFmtId="181" fontId="46" fillId="0" borderId="97" xfId="0" applyNumberFormat="1" applyFont="1" applyBorder="1" applyAlignment="1">
      <alignment horizontal="right" vertical="center"/>
    </xf>
    <xf numFmtId="181" fontId="46" fillId="0" borderId="98" xfId="0" applyNumberFormat="1" applyFont="1" applyBorder="1" applyAlignment="1">
      <alignment horizontal="right" vertical="center"/>
    </xf>
    <xf numFmtId="181" fontId="46" fillId="0" borderId="99" xfId="0" applyNumberFormat="1" applyFont="1" applyBorder="1" applyAlignment="1">
      <alignment horizontal="right" vertical="center"/>
    </xf>
    <xf numFmtId="181" fontId="0" fillId="0" borderId="0" xfId="0" applyNumberFormat="1">
      <alignment vertical="center"/>
    </xf>
    <xf numFmtId="186" fontId="46" fillId="0" borderId="56" xfId="0" applyNumberFormat="1" applyFont="1" applyBorder="1" applyAlignment="1">
      <alignment horizontal="right" vertical="center"/>
    </xf>
    <xf numFmtId="186" fontId="46" fillId="0" borderId="57" xfId="0" applyNumberFormat="1" applyFont="1" applyBorder="1" applyAlignment="1">
      <alignment horizontal="right" vertical="center"/>
    </xf>
    <xf numFmtId="186" fontId="46" fillId="0" borderId="0" xfId="0" applyNumberFormat="1" applyFont="1" applyAlignment="1">
      <alignment horizontal="right" vertical="center"/>
    </xf>
    <xf numFmtId="186" fontId="0" fillId="0" borderId="0" xfId="0" applyNumberFormat="1">
      <alignment vertical="center"/>
    </xf>
    <xf numFmtId="186" fontId="46" fillId="0" borderId="52" xfId="0" applyNumberFormat="1" applyFont="1" applyBorder="1" applyAlignment="1">
      <alignment horizontal="right" vertical="center"/>
    </xf>
    <xf numFmtId="186" fontId="46" fillId="0" borderId="53" xfId="0" applyNumberFormat="1" applyFont="1" applyBorder="1" applyAlignment="1">
      <alignment horizontal="right" vertical="center"/>
    </xf>
    <xf numFmtId="186" fontId="46" fillId="0" borderId="54" xfId="0" applyNumberFormat="1" applyFont="1" applyBorder="1" applyAlignment="1">
      <alignment horizontal="right" vertical="center"/>
    </xf>
    <xf numFmtId="9" fontId="3" fillId="13" borderId="0" xfId="2" applyFont="1" applyFill="1">
      <alignment vertical="center"/>
    </xf>
    <xf numFmtId="41" fontId="47" fillId="13" borderId="0" xfId="1" applyFont="1" applyFill="1">
      <alignment vertical="center"/>
    </xf>
    <xf numFmtId="0" fontId="26" fillId="7" borderId="0" xfId="0" applyFont="1" applyFill="1" applyBorder="1" applyAlignment="1">
      <alignment horizontal="center" vertical="center"/>
    </xf>
    <xf numFmtId="0" fontId="26" fillId="7" borderId="57" xfId="0" applyFont="1" applyFill="1" applyBorder="1" applyAlignment="1">
      <alignment horizontal="center" vertical="center"/>
    </xf>
    <xf numFmtId="38" fontId="13" fillId="0" borderId="17" xfId="1" applyNumberFormat="1" applyFont="1" applyBorder="1" applyAlignment="1">
      <alignment horizontal="center" vertical="center"/>
    </xf>
    <xf numFmtId="38" fontId="13" fillId="0" borderId="18" xfId="1" applyNumberFormat="1" applyFont="1" applyBorder="1" applyAlignment="1">
      <alignment horizontal="center" vertical="center"/>
    </xf>
    <xf numFmtId="38" fontId="3" fillId="0" borderId="24" xfId="1" applyNumberFormat="1" applyFont="1" applyFill="1" applyBorder="1" applyAlignment="1">
      <alignment horizontal="center" vertical="center"/>
    </xf>
    <xf numFmtId="38" fontId="0" fillId="0" borderId="23" xfId="1" applyNumberFormat="1" applyFont="1" applyBorder="1">
      <alignment vertical="center"/>
    </xf>
    <xf numFmtId="38" fontId="3" fillId="0" borderId="23" xfId="1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left" vertical="center" shrinkToFit="1"/>
    </xf>
    <xf numFmtId="0" fontId="13" fillId="0" borderId="12" xfId="0" applyFont="1" applyFill="1" applyBorder="1" applyAlignment="1">
      <alignment horizontal="left" vertical="center" shrinkToFit="1"/>
    </xf>
    <xf numFmtId="0" fontId="13" fillId="0" borderId="14" xfId="0" applyFont="1" applyFill="1" applyBorder="1" applyAlignment="1">
      <alignment horizontal="left" vertical="center" shrinkToFit="1"/>
    </xf>
    <xf numFmtId="0" fontId="13" fillId="2" borderId="21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3" fillId="0" borderId="34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9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0" fontId="13" fillId="0" borderId="15" xfId="0" applyFont="1" applyFill="1" applyBorder="1" applyAlignment="1">
      <alignment horizontal="center" vertical="center" wrapText="1"/>
    </xf>
    <xf numFmtId="0" fontId="13" fillId="0" borderId="30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 wrapText="1"/>
    </xf>
    <xf numFmtId="0" fontId="13" fillId="0" borderId="31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13" fillId="0" borderId="31" xfId="0" applyFont="1" applyFill="1" applyBorder="1" applyAlignment="1">
      <alignment horizontal="center" vertical="center" shrinkToFit="1"/>
    </xf>
    <xf numFmtId="0" fontId="13" fillId="0" borderId="25" xfId="0" applyFont="1" applyFill="1" applyBorder="1" applyAlignment="1">
      <alignment horizontal="center" vertical="center" shrinkToFit="1"/>
    </xf>
    <xf numFmtId="0" fontId="13" fillId="0" borderId="26" xfId="0" applyFont="1" applyFill="1" applyBorder="1" applyAlignment="1">
      <alignment horizontal="center" vertical="center" shrinkToFit="1"/>
    </xf>
    <xf numFmtId="177" fontId="13" fillId="0" borderId="23" xfId="1" applyNumberFormat="1" applyFont="1" applyFill="1" applyBorder="1" applyAlignment="1">
      <alignment horizontal="center" vertical="center"/>
    </xf>
    <xf numFmtId="177" fontId="13" fillId="0" borderId="17" xfId="1" applyNumberFormat="1" applyFont="1" applyFill="1" applyBorder="1" applyAlignment="1">
      <alignment horizontal="center" vertical="center"/>
    </xf>
    <xf numFmtId="0" fontId="13" fillId="0" borderId="18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 wrapText="1"/>
    </xf>
    <xf numFmtId="0" fontId="13" fillId="0" borderId="20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 shrinkToFit="1"/>
    </xf>
    <xf numFmtId="0" fontId="13" fillId="0" borderId="19" xfId="0" applyFont="1" applyBorder="1" applyAlignment="1">
      <alignment horizontal="center" vertical="center" shrinkToFit="1"/>
    </xf>
    <xf numFmtId="0" fontId="13" fillId="0" borderId="21" xfId="0" applyFont="1" applyFill="1" applyBorder="1" applyAlignment="1">
      <alignment horizontal="center" vertical="center" shrinkToFit="1"/>
    </xf>
    <xf numFmtId="0" fontId="13" fillId="0" borderId="0" xfId="0" applyFont="1" applyFill="1" applyBorder="1" applyAlignment="1">
      <alignment horizontal="center" vertical="center" shrinkToFit="1"/>
    </xf>
    <xf numFmtId="0" fontId="13" fillId="0" borderId="4" xfId="0" applyFont="1" applyFill="1" applyBorder="1" applyAlignment="1">
      <alignment horizontal="left" vertical="center" shrinkToFit="1"/>
    </xf>
    <xf numFmtId="0" fontId="13" fillId="0" borderId="1" xfId="0" applyFont="1" applyFill="1" applyBorder="1" applyAlignment="1">
      <alignment horizontal="left" vertical="center" shrinkToFit="1"/>
    </xf>
    <xf numFmtId="0" fontId="13" fillId="0" borderId="2" xfId="0" applyFont="1" applyFill="1" applyBorder="1" applyAlignment="1">
      <alignment horizontal="left" vertical="center" shrinkToFit="1"/>
    </xf>
    <xf numFmtId="0" fontId="13" fillId="0" borderId="11" xfId="0" applyFont="1" applyFill="1" applyBorder="1" applyAlignment="1">
      <alignment horizontal="left" vertical="center" shrinkToFit="1"/>
    </xf>
    <xf numFmtId="0" fontId="13" fillId="0" borderId="5" xfId="0" applyFont="1" applyFill="1" applyBorder="1" applyAlignment="1">
      <alignment horizontal="left" vertical="center" shrinkToFit="1"/>
    </xf>
    <xf numFmtId="0" fontId="13" fillId="0" borderId="6" xfId="0" applyFont="1" applyFill="1" applyBorder="1" applyAlignment="1">
      <alignment horizontal="left" vertical="center" shrinkToFit="1"/>
    </xf>
    <xf numFmtId="0" fontId="13" fillId="0" borderId="13" xfId="0" applyFont="1" applyFill="1" applyBorder="1" applyAlignment="1">
      <alignment horizontal="center" vertical="center" shrinkToFit="1"/>
    </xf>
    <xf numFmtId="0" fontId="13" fillId="0" borderId="12" xfId="0" applyFont="1" applyFill="1" applyBorder="1" applyAlignment="1">
      <alignment horizontal="center" vertical="center" shrinkToFit="1"/>
    </xf>
    <xf numFmtId="0" fontId="13" fillId="0" borderId="14" xfId="0" applyFont="1" applyFill="1" applyBorder="1" applyAlignment="1">
      <alignment horizontal="center" vertical="center" shrinkToFit="1"/>
    </xf>
    <xf numFmtId="0" fontId="13" fillId="0" borderId="22" xfId="0" applyFont="1" applyFill="1" applyBorder="1" applyAlignment="1">
      <alignment horizontal="center" vertical="center" wrapText="1"/>
    </xf>
    <xf numFmtId="0" fontId="13" fillId="0" borderId="19" xfId="0" applyFont="1" applyFill="1" applyBorder="1" applyAlignment="1">
      <alignment horizontal="center" vertical="center" wrapText="1"/>
    </xf>
    <xf numFmtId="0" fontId="13" fillId="0" borderId="16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0" fontId="13" fillId="0" borderId="2" xfId="0" applyFont="1" applyFill="1" applyBorder="1" applyAlignment="1">
      <alignment horizontal="left" vertical="center"/>
    </xf>
    <xf numFmtId="177" fontId="13" fillId="0" borderId="23" xfId="1" applyNumberFormat="1" applyFont="1" applyFill="1" applyBorder="1" applyAlignment="1">
      <alignment vertical="center"/>
    </xf>
    <xf numFmtId="177" fontId="13" fillId="0" borderId="17" xfId="1" applyNumberFormat="1" applyFont="1" applyFill="1" applyBorder="1" applyAlignment="1">
      <alignment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25" fillId="12" borderId="46" xfId="0" applyFont="1" applyFill="1" applyBorder="1" applyAlignment="1">
      <alignment horizontal="center" vertical="center"/>
    </xf>
    <xf numFmtId="0" fontId="25" fillId="12" borderId="71" xfId="0" applyFont="1" applyFill="1" applyBorder="1" applyAlignment="1">
      <alignment horizontal="center" vertical="center"/>
    </xf>
    <xf numFmtId="0" fontId="25" fillId="12" borderId="47" xfId="0" applyFont="1" applyFill="1" applyBorder="1" applyAlignment="1">
      <alignment horizontal="center" vertical="center"/>
    </xf>
    <xf numFmtId="0" fontId="25" fillId="12" borderId="72" xfId="0" applyFont="1" applyFill="1" applyBorder="1" applyAlignment="1">
      <alignment horizontal="center" vertical="center"/>
    </xf>
    <xf numFmtId="0" fontId="25" fillId="12" borderId="48" xfId="0" applyFont="1" applyFill="1" applyBorder="1" applyAlignment="1">
      <alignment horizontal="center" vertical="center"/>
    </xf>
    <xf numFmtId="0" fontId="25" fillId="12" borderId="49" xfId="0" applyFont="1" applyFill="1" applyBorder="1" applyAlignment="1">
      <alignment horizontal="center" vertical="center"/>
    </xf>
    <xf numFmtId="0" fontId="25" fillId="12" borderId="73" xfId="0" applyFont="1" applyFill="1" applyBorder="1" applyAlignment="1">
      <alignment horizontal="center" vertical="center"/>
    </xf>
    <xf numFmtId="0" fontId="25" fillId="12" borderId="51" xfId="0" applyFont="1" applyFill="1" applyBorder="1" applyAlignment="1">
      <alignment horizontal="center" vertical="center"/>
    </xf>
    <xf numFmtId="0" fontId="25" fillId="12" borderId="50" xfId="0" applyFont="1" applyFill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6" fillId="0" borderId="76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25" fillId="12" borderId="74" xfId="0" applyFont="1" applyFill="1" applyBorder="1" applyAlignment="1">
      <alignment horizontal="center" vertical="center"/>
    </xf>
    <xf numFmtId="0" fontId="26" fillId="0" borderId="46" xfId="0" applyFont="1" applyBorder="1" applyAlignment="1">
      <alignment horizontal="center" vertical="center" wrapText="1"/>
    </xf>
    <xf numFmtId="0" fontId="36" fillId="12" borderId="73" xfId="0" applyFont="1" applyFill="1" applyBorder="1" applyAlignment="1">
      <alignment horizontal="center" vertical="center"/>
    </xf>
    <xf numFmtId="0" fontId="36" fillId="12" borderId="51" xfId="0" applyFont="1" applyFill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 wrapText="1"/>
    </xf>
    <xf numFmtId="0" fontId="25" fillId="0" borderId="68" xfId="0" applyFont="1" applyBorder="1" applyAlignment="1">
      <alignment horizontal="center" vertical="center"/>
    </xf>
    <xf numFmtId="0" fontId="25" fillId="0" borderId="57" xfId="0" applyFont="1" applyBorder="1" applyAlignment="1">
      <alignment horizontal="center" vertical="center"/>
    </xf>
    <xf numFmtId="0" fontId="25" fillId="0" borderId="58" xfId="0" applyFont="1" applyBorder="1" applyAlignment="1">
      <alignment horizontal="center" vertical="center"/>
    </xf>
    <xf numFmtId="0" fontId="25" fillId="0" borderId="61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6" fillId="0" borderId="77" xfId="0" applyFont="1" applyBorder="1" applyAlignment="1">
      <alignment horizontal="center" vertical="center"/>
    </xf>
    <xf numFmtId="0" fontId="36" fillId="12" borderId="46" xfId="0" applyFont="1" applyFill="1" applyBorder="1" applyAlignment="1">
      <alignment horizontal="center" vertical="center"/>
    </xf>
    <xf numFmtId="0" fontId="36" fillId="12" borderId="77" xfId="0" applyFont="1" applyFill="1" applyBorder="1" applyAlignment="1">
      <alignment horizontal="center" vertical="center"/>
    </xf>
    <xf numFmtId="0" fontId="36" fillId="12" borderId="54" xfId="0" applyFont="1" applyFill="1" applyBorder="1" applyAlignment="1">
      <alignment horizontal="center" vertical="center"/>
    </xf>
    <xf numFmtId="0" fontId="36" fillId="12" borderId="78" xfId="0" applyFont="1" applyFill="1" applyBorder="1" applyAlignment="1">
      <alignment horizontal="center" vertical="center"/>
    </xf>
    <xf numFmtId="0" fontId="36" fillId="12" borderId="85" xfId="0" applyFont="1" applyFill="1" applyBorder="1" applyAlignment="1">
      <alignment horizontal="center" vertical="center"/>
    </xf>
    <xf numFmtId="0" fontId="36" fillId="12" borderId="86" xfId="0" applyFont="1" applyFill="1" applyBorder="1" applyAlignment="1">
      <alignment horizontal="center" vertical="center"/>
    </xf>
    <xf numFmtId="0" fontId="36" fillId="12" borderId="87" xfId="0" applyFont="1" applyFill="1" applyBorder="1" applyAlignment="1">
      <alignment horizontal="center" vertical="center"/>
    </xf>
    <xf numFmtId="0" fontId="36" fillId="12" borderId="79" xfId="0" applyFont="1" applyFill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36" fillId="0" borderId="46" xfId="0" applyFont="1" applyBorder="1" applyAlignment="1">
      <alignment horizontal="left" vertical="center" wrapText="1" indent="1"/>
    </xf>
    <xf numFmtId="0" fontId="36" fillId="0" borderId="54" xfId="0" applyFont="1" applyBorder="1" applyAlignment="1">
      <alignment horizontal="center" vertical="center" wrapText="1"/>
    </xf>
    <xf numFmtId="0" fontId="36" fillId="0" borderId="78" xfId="0" applyFont="1" applyBorder="1" applyAlignment="1">
      <alignment horizontal="center" vertical="center" wrapText="1"/>
    </xf>
    <xf numFmtId="41" fontId="3" fillId="3" borderId="0" xfId="1" applyFont="1" applyFill="1" applyAlignment="1">
      <alignment horizontal="center" vertical="center"/>
    </xf>
    <xf numFmtId="41" fontId="9" fillId="4" borderId="0" xfId="1" applyFont="1" applyFill="1" applyAlignment="1">
      <alignment horizontal="center" vertical="center"/>
    </xf>
    <xf numFmtId="176" fontId="3" fillId="3" borderId="0" xfId="2" applyNumberFormat="1" applyFont="1" applyFill="1" applyAlignment="1">
      <alignment horizontal="center" vertical="center"/>
    </xf>
    <xf numFmtId="41" fontId="10" fillId="4" borderId="0" xfId="1" applyFont="1" applyFill="1" applyAlignment="1">
      <alignment horizontal="center" vertical="center"/>
    </xf>
    <xf numFmtId="41" fontId="3" fillId="5" borderId="0" xfId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5" fillId="12" borderId="70" xfId="0" applyFont="1" applyFill="1" applyBorder="1" applyAlignment="1">
      <alignment horizontal="center" vertical="center"/>
    </xf>
    <xf numFmtId="0" fontId="25" fillId="12" borderId="79" xfId="0" applyFont="1" applyFill="1" applyBorder="1" applyAlignment="1">
      <alignment horizontal="center" vertical="center"/>
    </xf>
    <xf numFmtId="0" fontId="25" fillId="0" borderId="71" xfId="0" applyFont="1" applyBorder="1" applyAlignment="1">
      <alignment horizontal="center" vertical="center"/>
    </xf>
    <xf numFmtId="0" fontId="25" fillId="12" borderId="54" xfId="0" applyFont="1" applyFill="1" applyBorder="1" applyAlignment="1">
      <alignment horizontal="center" vertical="center"/>
    </xf>
    <xf numFmtId="0" fontId="25" fillId="12" borderId="53" xfId="0" applyFont="1" applyFill="1" applyBorder="1" applyAlignment="1">
      <alignment horizontal="center" vertical="center"/>
    </xf>
    <xf numFmtId="0" fontId="26" fillId="7" borderId="46" xfId="0" applyFont="1" applyFill="1" applyBorder="1" applyAlignment="1">
      <alignment horizontal="center" vertical="center"/>
    </xf>
    <xf numFmtId="0" fontId="26" fillId="7" borderId="71" xfId="0" applyFont="1" applyFill="1" applyBorder="1" applyAlignment="1">
      <alignment horizontal="center" vertical="center"/>
    </xf>
    <xf numFmtId="0" fontId="25" fillId="12" borderId="96" xfId="0" applyFont="1" applyFill="1" applyBorder="1" applyAlignment="1">
      <alignment horizontal="center" vertical="center"/>
    </xf>
    <xf numFmtId="0" fontId="26" fillId="0" borderId="58" xfId="0" applyFont="1" applyBorder="1" applyAlignment="1">
      <alignment horizontal="center" vertical="center"/>
    </xf>
    <xf numFmtId="0" fontId="26" fillId="0" borderId="61" xfId="0" applyFont="1" applyBorder="1" applyAlignment="1">
      <alignment horizontal="center" vertical="center"/>
    </xf>
    <xf numFmtId="0" fontId="45" fillId="0" borderId="68" xfId="0" applyFont="1" applyBorder="1" applyAlignment="1">
      <alignment horizontal="center" vertical="center"/>
    </xf>
    <xf numFmtId="0" fontId="45" fillId="0" borderId="57" xfId="0" applyFont="1" applyBorder="1" applyAlignment="1">
      <alignment horizontal="center" vertical="center"/>
    </xf>
    <xf numFmtId="0" fontId="43" fillId="0" borderId="46" xfId="0" applyFont="1" applyBorder="1" applyAlignment="1">
      <alignment horizontal="center" vertical="center"/>
    </xf>
    <xf numFmtId="0" fontId="43" fillId="0" borderId="71" xfId="0" applyFont="1" applyBorder="1" applyAlignment="1">
      <alignment horizontal="center" vertical="center"/>
    </xf>
    <xf numFmtId="0" fontId="26" fillId="12" borderId="46" xfId="0" applyFont="1" applyFill="1" applyBorder="1" applyAlignment="1">
      <alignment horizontal="center" vertical="center"/>
    </xf>
    <xf numFmtId="0" fontId="26" fillId="12" borderId="71" xfId="0" applyFont="1" applyFill="1" applyBorder="1" applyAlignment="1">
      <alignment horizontal="center" vertical="center"/>
    </xf>
    <xf numFmtId="0" fontId="26" fillId="12" borderId="54" xfId="0" applyFont="1" applyFill="1" applyBorder="1" applyAlignment="1">
      <alignment horizontal="center" vertical="center"/>
    </xf>
    <xf numFmtId="0" fontId="26" fillId="12" borderId="53" xfId="0" applyFont="1" applyFill="1" applyBorder="1" applyAlignment="1">
      <alignment horizontal="center" vertical="center"/>
    </xf>
    <xf numFmtId="0" fontId="43" fillId="0" borderId="58" xfId="0" applyFont="1" applyBorder="1" applyAlignment="1">
      <alignment horizontal="left" vertical="center" indent="1"/>
    </xf>
    <xf numFmtId="0" fontId="43" fillId="0" borderId="61" xfId="0" applyFont="1" applyBorder="1" applyAlignment="1">
      <alignment horizontal="left" vertical="center" indent="1"/>
    </xf>
    <xf numFmtId="0" fontId="45" fillId="0" borderId="0" xfId="0" applyFont="1" applyAlignment="1">
      <alignment horizontal="center" vertical="center"/>
    </xf>
    <xf numFmtId="0" fontId="36" fillId="0" borderId="46" xfId="0" applyFont="1" applyBorder="1" applyAlignment="1">
      <alignment horizontal="left" vertical="center" wrapText="1"/>
    </xf>
    <xf numFmtId="0" fontId="36" fillId="0" borderId="46" xfId="0" applyFont="1" applyBorder="1" applyAlignment="1">
      <alignment horizontal="center" vertical="center" wrapText="1"/>
    </xf>
    <xf numFmtId="0" fontId="36" fillId="12" borderId="48" xfId="0" applyFont="1" applyFill="1" applyBorder="1" applyAlignment="1">
      <alignment horizontal="center" vertical="center"/>
    </xf>
    <xf numFmtId="0" fontId="36" fillId="12" borderId="70" xfId="0" applyFont="1" applyFill="1" applyBorder="1" applyAlignment="1">
      <alignment horizontal="center" vertical="center"/>
    </xf>
    <xf numFmtId="0" fontId="36" fillId="12" borderId="96" xfId="0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43B72"/>
      <color rgb="FFF582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4.80.56\&#44221;&#50689;&#44288;&#47532;&#54016;\0012%20&#44221;&#50689;&#44277;&#49884;\00%20&#46041;&#50629;&#49324;\202512\&#49892;&#51201;&#48156;&#54364;\&#48120;&#47000;&#50640;&#49483;%202025+Q4+FactSheet_v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4.80.56\&#44221;&#50689;&#44288;&#47532;&#54016;\0012%20&#44221;&#50689;&#44277;&#49884;\00%20&#46041;&#50629;&#49324;\202506\25%202Q%20&#49892;&#51201;&#48156;&#54364;&#51088;&#47308;\25%202Q%20&#49340;&#49457;&#49373;&#47749;_factshee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4.80.56\&#44221;&#50689;&#44288;&#47532;&#54016;\0012%20&#44221;&#50689;&#44277;&#49884;\00%20&#46041;&#50629;&#49324;\202509\&#49892;&#51201;&#48156;&#54364;\&#49340;&#49457;&#49373;&#47749;%20SLI%203QFY25Factsheet_KO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4.80.56\&#44221;&#50689;&#44288;&#47532;&#54016;\0012%20&#44221;&#50689;&#44277;&#49884;\00%20&#46041;&#50629;&#49324;\202512\&#49892;&#51201;&#48156;&#54364;\&#49340;&#49457;&#49373;&#47749;%20SLI%20FY25Factsheet_KO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4.80.56\&#44221;&#50689;&#44288;&#47532;&#54016;\0012%20&#44221;&#50689;&#44277;&#49884;\00%20&#46041;&#50629;&#49324;\202506\25%202Q%20&#49892;&#51201;&#48156;&#54364;&#51088;&#47308;\25%202Q%20&#54620;&#54868;&#49373;&#47749;_factshee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4.80.56\&#44221;&#50689;&#44288;&#47532;&#54016;\0012%20&#44221;&#50689;&#44277;&#49884;\00%20&#46041;&#50629;&#49324;\202509\&#49892;&#51201;&#48156;&#54364;\&#54620;&#54868;&#49373;&#47749;%203Q25%20HLI%20FactSheet(KOR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4.80.56\&#44221;&#50689;&#44288;&#47532;&#54016;\0012%20&#44221;&#50689;&#44277;&#49884;\00%20&#46041;&#50629;&#49324;\202512\&#49892;&#51201;&#48156;&#54364;\&#54620;&#54868;&#49373;&#47749;%20FY25%20HLI%20FactSheet(KOR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4.80.56\&#44221;&#50689;&#44288;&#47532;&#54016;\0012%20&#44221;&#50689;&#44277;&#49884;\00%20&#46041;&#50629;&#49324;\202506\25%202Q%20&#49892;&#51201;&#48156;&#54364;&#51088;&#47308;\25%202Q%20&#46041;&#50577;&#49373;&#47749;_factshee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4.80.56\&#44221;&#50689;&#44288;&#47532;&#54016;\0012%20&#44221;&#50689;&#44277;&#49884;\00%20&#46041;&#50629;&#49324;\202509\&#49892;&#51201;&#48156;&#54364;\&#46041;&#50577;&#49373;&#47749;%202025.3Q%20Factshe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4.80.56\&#44221;&#50689;&#44288;&#47532;&#54016;\0012%20&#44221;&#50689;&#44277;&#49884;\00%20&#46041;&#50629;&#49324;\202512\&#49892;&#51201;&#48156;&#54364;\&#46041;&#50577;&#49373;&#47749;%20(TYL)+FY2025+Factshe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4.80.56\&#44221;&#50689;&#44288;&#47532;&#54016;\0012%20&#44221;&#50689;&#44277;&#49884;\00%20&#46041;&#50629;&#49324;\202509\&#49892;&#51201;&#48156;&#54364;\&#49340;&#49457;&#54868;&#51116;%2025.3Q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4.80.56\&#44221;&#50689;&#44288;&#47532;&#54016;\0012%20&#44221;&#50689;&#44277;&#49884;\00%20&#46041;&#50629;&#49324;\202512\&#49892;&#51201;&#48156;&#54364;\&#49340;&#49457;&#54868;&#51116;%20(KOR)%20%2025.4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4.80.56\&#44221;&#50689;&#44288;&#47532;&#54016;\0012%20&#44221;&#50689;&#44277;&#49884;\00%20&#46041;&#50629;&#49324;\202506\25%202Q%20&#49892;&#51201;&#48156;&#54364;&#51088;&#47308;\25%202Q%20&#47700;&#47532;&#52768;&#54868;&#51116;_factsheet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4.80.56\&#44221;&#50689;&#44288;&#47532;&#54016;\0012%20&#44221;&#50689;&#44277;&#49884;\00%20&#46041;&#50629;&#49324;\202509\&#49892;&#51201;&#48156;&#54364;\&#47700;&#47532;&#52768;&#54868;&#51116;%202025.3Q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sm0225/Desktop/2025.4Q%20&#49892;&#51201;&#48156;&#54364;/202512%20&#47700;&#47532;&#52768;&#44552;&#50997;&#51648;&#51452;%20Factsheet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sm0225/Desktop/2025.4Q%20&#49892;&#51201;&#48156;&#54364;/202512%20DB&#49552;&#48372;%20Factsheet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4.80.56\&#44221;&#50689;&#44288;&#47532;&#54016;\0018%20&#49552;&#51061;&#48372;&#44256;\&#9655;1.IFRS17%20&#48372;&#54744;&#49552;&#51061;\&#9655;%20&#48372;&#54744;&#48512;&#52292;%20&#52628;&#51060;_&#49548;&#44553;&#549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UMMARY"/>
      <sheetName val="KIFRS-BS"/>
      <sheetName val="KIFRS-IS"/>
      <sheetName val="PROFIT"/>
      <sheetName val="CSM"/>
      <sheetName val="PREMIUM"/>
      <sheetName val="INITIAL"/>
      <sheetName val="FIRSTYR"/>
      <sheetName val="CHINITYR"/>
      <sheetName val="APE"/>
      <sheetName val="FEEBIZ"/>
      <sheetName val="EFF"/>
      <sheetName val="PORT"/>
      <sheetName val="YIELD"/>
      <sheetName val="QUALITY"/>
      <sheetName val="STABLE"/>
      <sheetName val="SAP-BS"/>
      <sheetName val="SAP-IS"/>
      <sheetName val="NB"/>
      <sheetName val="SUB"/>
      <sheetName val="LI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7">
          <cell r="D7">
            <v>464.009136904</v>
          </cell>
        </row>
        <row r="8">
          <cell r="D8">
            <v>508.7636875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Ⅰ-1"/>
      <sheetName val="Ⅰ-2"/>
      <sheetName val="Ⅰ-3"/>
      <sheetName val="Ⅰ-4"/>
      <sheetName val="Ⅰ-5"/>
      <sheetName val="Ⅰ-6"/>
      <sheetName val="Ⅰ-7"/>
      <sheetName val="Ⅱ-1"/>
      <sheetName val="Ⅱ-2"/>
      <sheetName val="Ⅱ-3"/>
      <sheetName val="Ⅱ-4"/>
      <sheetName val="Ⅲ-1"/>
      <sheetName val="Ⅲ-2"/>
      <sheetName val="Ⅲ-3"/>
      <sheetName val="Ⅲ-4"/>
      <sheetName val="Ⅲ-5"/>
      <sheetName val="Ⅳ-1"/>
      <sheetName val="Ⅴ-1"/>
      <sheetName val="Ⅴ-2"/>
      <sheetName val="Ⅴ-3"/>
      <sheetName val="Ⅴ-4"/>
      <sheetName val="Char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1">
          <cell r="R11">
            <v>2378190</v>
          </cell>
        </row>
        <row r="12">
          <cell r="R12">
            <v>954797</v>
          </cell>
        </row>
        <row r="33">
          <cell r="R33">
            <v>2439726</v>
          </cell>
        </row>
        <row r="34">
          <cell r="R34">
            <v>853700</v>
          </cell>
        </row>
      </sheetData>
      <sheetData sheetId="2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Ⅰ-1"/>
      <sheetName val="Ⅰ-2"/>
      <sheetName val="Ⅰ-3"/>
      <sheetName val="Ⅰ-4"/>
      <sheetName val="Ⅰ-5"/>
      <sheetName val="Ⅰ-6"/>
      <sheetName val="Ⅰ-7"/>
      <sheetName val="Ⅱ-1"/>
      <sheetName val="Ⅱ-2"/>
      <sheetName val="Ⅱ-3"/>
      <sheetName val="Ⅱ-4"/>
      <sheetName val="Ⅲ-1"/>
      <sheetName val="Ⅲ-2"/>
      <sheetName val="Ⅲ-3"/>
      <sheetName val="Ⅲ-4"/>
      <sheetName val="Ⅲ-5"/>
      <sheetName val="Ⅳ-1"/>
      <sheetName val="Ⅴ-1"/>
      <sheetName val="Ⅴ-2"/>
      <sheetName val="Ⅴ-3"/>
      <sheetName val="Ⅴ-4"/>
      <sheetName val="Char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1">
          <cell r="R11">
            <v>3594901</v>
          </cell>
        </row>
        <row r="12">
          <cell r="R12">
            <v>1447520</v>
          </cell>
        </row>
        <row r="33">
          <cell r="R33">
            <v>3755602</v>
          </cell>
        </row>
        <row r="34">
          <cell r="R34">
            <v>1301645</v>
          </cell>
        </row>
      </sheetData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Ⅰ-1"/>
      <sheetName val="Ⅰ-2"/>
      <sheetName val="Ⅰ-3"/>
      <sheetName val="Ⅰ-4"/>
      <sheetName val="Ⅰ-5"/>
      <sheetName val="Ⅰ-6"/>
      <sheetName val="Ⅰ-7"/>
      <sheetName val="Ⅱ-1"/>
      <sheetName val="Ⅱ-2"/>
      <sheetName val="Ⅱ-3"/>
      <sheetName val="Ⅱ-4"/>
      <sheetName val="Ⅲ-1"/>
      <sheetName val="Ⅲ-2"/>
      <sheetName val="Ⅲ-3"/>
      <sheetName val="Ⅲ-4"/>
      <sheetName val="Ⅲ-5"/>
      <sheetName val="Ⅳ-1"/>
      <sheetName val="Ⅴ-1"/>
      <sheetName val="Ⅴ-2"/>
      <sheetName val="Ⅴ-3"/>
      <sheetName val="Ⅴ-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1">
          <cell r="R11">
            <v>4816139</v>
          </cell>
        </row>
        <row r="12">
          <cell r="R12">
            <v>1933564</v>
          </cell>
        </row>
        <row r="33">
          <cell r="R33">
            <v>5049960</v>
          </cell>
        </row>
        <row r="34">
          <cell r="R34">
            <v>1860679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요약 재무상태표"/>
      <sheetName val="요약 손익계산서"/>
      <sheetName val="신계약 CSM 및 수익성"/>
      <sheetName val="보험부채 Movement"/>
      <sheetName val="효율지표"/>
      <sheetName val="재무안전성"/>
      <sheetName val="수입보험료 및 월초보험료"/>
      <sheetName val="APE(상품 및 채널별)"/>
      <sheetName val="판매조직 현황"/>
      <sheetName val="운용자산"/>
      <sheetName val="자산건전성"/>
      <sheetName val="배당 및 발행주식수"/>
      <sheetName val="(별도) 재무상태표(GAAP)"/>
      <sheetName val="(별도) 손익계산서(GAAP)"/>
      <sheetName val="(볃도) 재무상태표(SAP)"/>
      <sheetName val="(볃도) 손익계산서(SAP)"/>
    </sheetNames>
    <sheetDataSet>
      <sheetData sheetId="0"/>
      <sheetData sheetId="1"/>
      <sheetData sheetId="2"/>
      <sheetData sheetId="3">
        <row r="12">
          <cell r="O12">
            <v>58.161691756000003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8">
          <cell r="E8">
            <v>1226797667224</v>
          </cell>
        </row>
        <row r="9">
          <cell r="E9">
            <v>29775786639</v>
          </cell>
        </row>
        <row r="10">
          <cell r="E10">
            <v>288116861785</v>
          </cell>
        </row>
        <row r="11">
          <cell r="E11">
            <v>47367083430</v>
          </cell>
        </row>
        <row r="20">
          <cell r="E20">
            <v>1421262940925</v>
          </cell>
        </row>
        <row r="25">
          <cell r="E25">
            <v>-69246927401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요약 재무상태표"/>
      <sheetName val="요약 손익계산서"/>
      <sheetName val="신계약 CSM 및 수익성"/>
      <sheetName val="보험부채 Movement"/>
      <sheetName val="효율지표"/>
      <sheetName val="재무안전성"/>
      <sheetName val="수입보험료 및 월초보험료"/>
      <sheetName val="APE(상품 및 채널별)"/>
      <sheetName val="판매조직 현황"/>
      <sheetName val="운용자산"/>
      <sheetName val="자산건전성"/>
      <sheetName val="배당 및 발행주식수"/>
      <sheetName val="(별도) 재무상태표(GAAP)"/>
      <sheetName val="(별도) 손익계산서(GAAP)"/>
      <sheetName val="(볃도) 재무상태표(SAP)"/>
      <sheetName val="(볃도) 손익계산서(SAP)"/>
    </sheetNames>
    <sheetDataSet>
      <sheetData sheetId="0"/>
      <sheetData sheetId="1"/>
      <sheetData sheetId="2"/>
      <sheetData sheetId="3">
        <row r="12">
          <cell r="O12">
            <v>76.213547743000007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8">
          <cell r="E8">
            <v>1859665237180</v>
          </cell>
        </row>
        <row r="9">
          <cell r="E9">
            <v>45158176665</v>
          </cell>
        </row>
        <row r="10">
          <cell r="E10">
            <v>435746484973</v>
          </cell>
        </row>
        <row r="11">
          <cell r="E11">
            <v>72113472223</v>
          </cell>
        </row>
        <row r="20">
          <cell r="E20">
            <v>2213621678083</v>
          </cell>
        </row>
        <row r="25">
          <cell r="E25">
            <v>-84317044903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요약 재무상태표"/>
      <sheetName val="요약 손익계산서"/>
      <sheetName val="신계약 CSM 및 수익성"/>
      <sheetName val="보험부채 Movement"/>
      <sheetName val="효율지표"/>
      <sheetName val="재무안전성"/>
      <sheetName val="수입보험료 및 월초보험료"/>
      <sheetName val="APE(상품 및 채널별)"/>
      <sheetName val="판매조직 현황"/>
      <sheetName val="운용자산"/>
      <sheetName val="자산건전성"/>
      <sheetName val="배당 및 발행주식수"/>
      <sheetName val="(별도) 재무상태표(GAAP)"/>
      <sheetName val="(별도) 손익계산서(GAAP)"/>
      <sheetName val="(볃도) 재무상태표(SAP)"/>
      <sheetName val="(볃도) 손익계산서(SAP)"/>
    </sheetNames>
    <sheetDataSet>
      <sheetData sheetId="0"/>
      <sheetData sheetId="1"/>
      <sheetData sheetId="2"/>
      <sheetData sheetId="3">
        <row r="12">
          <cell r="O12">
            <v>70.394934800000001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8">
          <cell r="E8">
            <v>2492631560638</v>
          </cell>
        </row>
        <row r="9">
          <cell r="E9">
            <v>60608981677</v>
          </cell>
        </row>
        <row r="10">
          <cell r="E10">
            <v>583992807721</v>
          </cell>
        </row>
        <row r="11">
          <cell r="E11">
            <v>97010497171</v>
          </cell>
        </row>
        <row r="20">
          <cell r="E20">
            <v>2991084406277</v>
          </cell>
        </row>
        <row r="25">
          <cell r="E25">
            <v>-118524369625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FH"/>
      <sheetName val="FS"/>
      <sheetName val="CSM"/>
      <sheetName val="Stability"/>
      <sheetName val="Productivity"/>
      <sheetName val="APE by P.T"/>
      <sheetName val="Premium Income by P.T.(GA+SA)"/>
      <sheetName val="Premium Income by P.T."/>
      <sheetName val="Initial P. by P.T."/>
      <sheetName val="First-year P. by P.T."/>
      <sheetName val="APE by D.C"/>
      <sheetName val="Premium Income by D.C.(GA+SA)"/>
      <sheetName val="Premium Income by D.C."/>
      <sheetName val="First-year P. by D.C"/>
      <sheetName val="Inv"/>
      <sheetName val="&gt;Loan"/>
      <sheetName val="&gt;Bond"/>
      <sheetName val="BS(Insurance Acct.)"/>
      <sheetName val="IS(Insurance Acct.)"/>
      <sheetName val="BS  K-IFRS"/>
      <sheetName val="IS  K-IF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">
          <cell r="B10">
            <v>287500464993</v>
          </cell>
        </row>
        <row r="19">
          <cell r="B19">
            <v>304890459239</v>
          </cell>
        </row>
        <row r="24">
          <cell r="B24">
            <v>11364030250</v>
          </cell>
        </row>
      </sheetData>
      <sheetData sheetId="20"/>
      <sheetData sheetId="21">
        <row r="12">
          <cell r="B12">
            <v>101868148735</v>
          </cell>
        </row>
        <row r="19">
          <cell r="B19">
            <v>95354712504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FH"/>
      <sheetName val="FS"/>
      <sheetName val="CSM"/>
      <sheetName val="Stability"/>
      <sheetName val="Productivity"/>
      <sheetName val="APE by P.T"/>
      <sheetName val="Premium Income by P.T.(GA+SA)"/>
      <sheetName val="Premium Income by P.T."/>
      <sheetName val="Initial P. by P.T."/>
      <sheetName val="First-year P. by P.T."/>
      <sheetName val="APE by D.C"/>
      <sheetName val="Premium Income by D.C.(GA+SA)"/>
      <sheetName val="Premium Income by D.C."/>
      <sheetName val="First-year P. by D.C"/>
      <sheetName val="Inv"/>
      <sheetName val="&gt;Loan"/>
      <sheetName val="&gt;Bond"/>
      <sheetName val="BS(Insurance Acct.)"/>
      <sheetName val="IS(Insurance Acct.)"/>
      <sheetName val="BS  K-IFRS"/>
      <sheetName val="IS  K-IFRS"/>
    </sheetNames>
    <sheetDataSet>
      <sheetData sheetId="0" refreshError="1"/>
      <sheetData sheetId="1" refreshError="1"/>
      <sheetData sheetId="2">
        <row r="37">
          <cell r="T37">
            <v>-65.127082644000112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0">
          <cell r="B10">
            <v>435119303992</v>
          </cell>
        </row>
        <row r="12">
          <cell r="B12">
            <v>122232134934</v>
          </cell>
        </row>
        <row r="19">
          <cell r="B19">
            <v>467791159800</v>
          </cell>
        </row>
        <row r="24">
          <cell r="B24">
            <v>22968948298</v>
          </cell>
        </row>
      </sheetData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FH"/>
      <sheetName val="FS"/>
      <sheetName val="CSM"/>
      <sheetName val="Stability"/>
      <sheetName val="Productivity"/>
      <sheetName val="APE by P.T"/>
      <sheetName val="Premium Income by P.T.(GA+SA)"/>
      <sheetName val="Premium Income by P.T."/>
      <sheetName val="Initial P. by P.T."/>
      <sheetName val="First-year P. by P.T."/>
      <sheetName val="APE by D.C"/>
      <sheetName val="Premium Income by D.C.(GA+SA)"/>
      <sheetName val="Premium Income by D.C."/>
      <sheetName val="First-year P. by D.C"/>
      <sheetName val="&gt;Loan"/>
      <sheetName val="&gt;Bond"/>
      <sheetName val="BS  K-IFRS"/>
      <sheetName val="IS  K-IFRS"/>
    </sheetNames>
    <sheetDataSet>
      <sheetData sheetId="0"/>
      <sheetData sheetId="1"/>
      <sheetData sheetId="2">
        <row r="40">
          <cell r="T40">
            <v>-71.869127857999928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1">
          <cell r="B11">
            <v>583593168293</v>
          </cell>
        </row>
        <row r="12">
          <cell r="B12">
            <v>18814493251</v>
          </cell>
        </row>
        <row r="13">
          <cell r="B13">
            <v>163115578763</v>
          </cell>
        </row>
        <row r="14">
          <cell r="B14">
            <v>24423818821</v>
          </cell>
        </row>
        <row r="22">
          <cell r="B22">
            <v>626575273153</v>
          </cell>
        </row>
        <row r="27">
          <cell r="B27">
            <v>25821121435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Profit &amp; Loss status"/>
      <sheetName val="Profit &amp; Loss Breakdown"/>
      <sheetName val="Premiums &amp; Persistency Ratio"/>
      <sheetName val="CSM"/>
      <sheetName val="Liability structure"/>
      <sheetName val="Capital Ratio"/>
      <sheetName val="Investment yield"/>
      <sheetName val="Asset structure"/>
      <sheetName val="Equity"/>
      <sheetName val="Bond"/>
      <sheetName val="Overseas"/>
      <sheetName val="Loan"/>
      <sheetName val="BS-연결감독 2509"/>
      <sheetName val="PL-연결감독 2509"/>
      <sheetName val="BS-별도감독 2509"/>
      <sheetName val="PL-별도감독 2509"/>
    </sheetNames>
    <sheetDataSet>
      <sheetData sheetId="0" refreshError="1"/>
      <sheetData sheetId="1" refreshError="1"/>
      <sheetData sheetId="2">
        <row r="35">
          <cell r="N35">
            <v>36900.98579549</v>
          </cell>
        </row>
        <row r="38">
          <cell r="N38">
            <v>92.470355655838048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Profit &amp; Loss status"/>
      <sheetName val="Profit &amp; Loss Breakdown"/>
      <sheetName val="Premiums &amp; Persistency Ratio"/>
      <sheetName val="CSM"/>
      <sheetName val="Liability structure"/>
      <sheetName val="Capital Ratio"/>
      <sheetName val="Investment yield"/>
      <sheetName val="Asset structure"/>
      <sheetName val="Equity"/>
      <sheetName val="Bond"/>
      <sheetName val="Overseas"/>
      <sheetName val="Loan"/>
      <sheetName val="BS-연결감독 2512"/>
      <sheetName val="PL-연결감독 2512"/>
      <sheetName val="BS-별도감독 2512"/>
      <sheetName val="PL-별도감독 2512"/>
    </sheetNames>
    <sheetDataSet>
      <sheetData sheetId="0"/>
      <sheetData sheetId="1"/>
      <sheetData sheetId="2">
        <row r="35">
          <cell r="N35">
            <v>49890.562940180003</v>
          </cell>
        </row>
        <row r="38">
          <cell r="N38">
            <v>92.593771512820155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Group highlight"/>
      <sheetName val="Group_PL"/>
      <sheetName val="Group_BS"/>
      <sheetName val="Insurance_Condensed PL"/>
      <sheetName val="CSM"/>
      <sheetName val="Insurance_Condensed BS"/>
      <sheetName val="Insurance_Efficiency"/>
      <sheetName val="Insurance_Asset"/>
      <sheetName val="Insurance_NewP"/>
      <sheetName val="Insurance_ALM"/>
      <sheetName val="Insurance_BS"/>
      <sheetName val="Insurance_PL"/>
      <sheetName val="Securities_Key Figures"/>
      <sheetName val="Securities_Condensesd FS"/>
      <sheetName val="Securities_BS(Consolidated)"/>
      <sheetName val="Securities_BS(Standalone)"/>
      <sheetName val="Securities_PL(Consolidated)"/>
      <sheetName val="Securities_PL(Standalone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8">
          <cell r="O8">
            <v>2334158075326</v>
          </cell>
        </row>
        <row r="9">
          <cell r="O9">
            <v>64727442946</v>
          </cell>
        </row>
        <row r="10">
          <cell r="O10">
            <v>170156979496</v>
          </cell>
        </row>
        <row r="11">
          <cell r="O11">
            <v>12760341515</v>
          </cell>
        </row>
        <row r="20">
          <cell r="O20">
            <v>2324160061948</v>
          </cell>
        </row>
        <row r="21">
          <cell r="O21">
            <v>65793123819</v>
          </cell>
        </row>
        <row r="22">
          <cell r="O22">
            <v>158855601221</v>
          </cell>
        </row>
        <row r="23">
          <cell r="O23">
            <v>4966755806</v>
          </cell>
        </row>
        <row r="25">
          <cell r="O25">
            <v>-50907501846</v>
          </cell>
        </row>
      </sheetData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Group highlight"/>
      <sheetName val="Group_PL"/>
      <sheetName val="Group_BS"/>
      <sheetName val="Insurance_Condensed PL"/>
      <sheetName val="CSM"/>
      <sheetName val="Insurance_Condensed BS"/>
      <sheetName val="Insurance_Efficiency"/>
      <sheetName val="Insurance_Asset"/>
      <sheetName val="Insurance_NewP"/>
      <sheetName val="Insurance_ALM"/>
      <sheetName val="Insurance_BS"/>
      <sheetName val="Insurance_PL"/>
      <sheetName val="Securities_Key Figures"/>
      <sheetName val="Securities_Condensesd FS"/>
      <sheetName val="Securities_BS(Consolidated)"/>
      <sheetName val="Securities_BS(Standalone)"/>
      <sheetName val="Securities_PL(Consolidated)"/>
      <sheetName val="Securities_PL(Standalon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">
          <cell r="P8">
            <v>3530135458946</v>
          </cell>
        </row>
        <row r="9">
          <cell r="P9">
            <v>98123245625</v>
          </cell>
        </row>
        <row r="10">
          <cell r="P10">
            <v>257608530970</v>
          </cell>
        </row>
        <row r="11">
          <cell r="P11">
            <v>19303899391</v>
          </cell>
        </row>
        <row r="20">
          <cell r="P20">
            <v>3617519215923</v>
          </cell>
        </row>
        <row r="21">
          <cell r="P21">
            <v>100584328450</v>
          </cell>
        </row>
        <row r="22">
          <cell r="P22">
            <v>239045953588</v>
          </cell>
        </row>
        <row r="23">
          <cell r="P23">
            <v>8929541296</v>
          </cell>
        </row>
        <row r="25">
          <cell r="P25">
            <v>-115353064696</v>
          </cell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Group highlight"/>
      <sheetName val="Group_PL"/>
      <sheetName val="Group_BS"/>
      <sheetName val="Insurance_Condensed PL"/>
      <sheetName val="CSM"/>
      <sheetName val="Insurance_Condensed BS"/>
      <sheetName val="Insurance_Efficiency"/>
      <sheetName val="Insurance_Asset"/>
      <sheetName val="Insurance_NewP"/>
      <sheetName val="Insurance_ALM"/>
      <sheetName val="Insurance_BS"/>
      <sheetName val="Insurance_PL"/>
      <sheetName val="Securities_Key Figures"/>
      <sheetName val="Securities_Condensesd FS"/>
      <sheetName val="Securities_BS(Consolidated)"/>
      <sheetName val="Securities_BS(Standalone)"/>
      <sheetName val="Securities_PL(Consolidated)"/>
      <sheetName val="Securities_PL(Standalone)"/>
    </sheetNames>
    <sheetDataSet>
      <sheetData sheetId="0"/>
      <sheetData sheetId="1"/>
      <sheetData sheetId="2"/>
      <sheetData sheetId="3"/>
      <sheetData sheetId="4"/>
      <sheetData sheetId="5"/>
      <sheetData sheetId="6">
        <row r="23">
          <cell r="AH23">
            <v>1791.9531999999999</v>
          </cell>
        </row>
        <row r="24">
          <cell r="AH24">
            <v>62729.7347037</v>
          </cell>
        </row>
        <row r="29">
          <cell r="AH29">
            <v>-7592.5761068800002</v>
          </cell>
        </row>
        <row r="30">
          <cell r="AH30">
            <v>58543.187987949997</v>
          </cell>
        </row>
      </sheetData>
      <sheetData sheetId="7"/>
      <sheetData sheetId="8"/>
      <sheetData sheetId="9"/>
      <sheetData sheetId="10"/>
      <sheetData sheetId="11"/>
      <sheetData sheetId="12">
        <row r="8">
          <cell r="Q8">
            <v>4747836280887</v>
          </cell>
        </row>
        <row r="9">
          <cell r="Q9">
            <v>132175812374</v>
          </cell>
        </row>
        <row r="10">
          <cell r="Q10">
            <v>345394987043</v>
          </cell>
        </row>
        <row r="11">
          <cell r="Q11">
            <v>24645644099</v>
          </cell>
        </row>
        <row r="20">
          <cell r="Q20">
            <v>4921631203941</v>
          </cell>
        </row>
        <row r="21">
          <cell r="Q21">
            <v>135442918243</v>
          </cell>
        </row>
        <row r="22">
          <cell r="Q22">
            <v>354983956586</v>
          </cell>
        </row>
        <row r="23">
          <cell r="Q23">
            <v>27839273514</v>
          </cell>
        </row>
        <row r="25">
          <cell r="Q25">
            <v>-174512072194</v>
          </cell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요약대차"/>
      <sheetName val="요약손익"/>
      <sheetName val="보험손익"/>
      <sheetName val="투자손익"/>
      <sheetName val="BEL,CSM변동"/>
      <sheetName val="원수보험료"/>
      <sheetName val="신규월납"/>
      <sheetName val="BS_Dec'25"/>
      <sheetName val="PL_'25.4Q"/>
    </sheetNames>
    <sheetDataSet>
      <sheetData sheetId="0"/>
      <sheetData sheetId="1"/>
      <sheetData sheetId="2"/>
      <sheetData sheetId="3">
        <row r="11">
          <cell r="M11">
            <v>-240803.31634399999</v>
          </cell>
        </row>
        <row r="12">
          <cell r="M12">
            <v>-6650.6352260000003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시장지표_민평4사"/>
      <sheetName val="BEL"/>
      <sheetName val="BEL MOVMENT"/>
      <sheetName val="RA"/>
      <sheetName val="RA MOVMENT"/>
      <sheetName val="CSM"/>
      <sheetName val="CSM MOVMENT"/>
      <sheetName val="LOSS"/>
      <sheetName val="LOSS MOVMENT"/>
      <sheetName val="OCI"/>
      <sheetName val="부담이자"/>
      <sheetName val="시장지표"/>
      <sheetName val="100bp민감도"/>
      <sheetName val="참고사항"/>
      <sheetName val="보고서"/>
      <sheetName val="Sheet1"/>
    </sheetNames>
    <sheetDataSet>
      <sheetData sheetId="0"/>
      <sheetData sheetId="1"/>
      <sheetData sheetId="2">
        <row r="27">
          <cell r="AE27">
            <v>7780.2502904000003</v>
          </cell>
          <cell r="AR27">
            <v>10246.00582914</v>
          </cell>
        </row>
        <row r="28">
          <cell r="AE28">
            <v>35138.187813930002</v>
          </cell>
          <cell r="AR28">
            <v>35172.898794959998</v>
          </cell>
        </row>
        <row r="29">
          <cell r="AE29">
            <v>58099.270819589998</v>
          </cell>
          <cell r="AR29">
            <v>54973.099029340003</v>
          </cell>
        </row>
      </sheetData>
      <sheetData sheetId="3"/>
      <sheetData sheetId="4">
        <row r="27">
          <cell r="AE27">
            <v>477.00574280000001</v>
          </cell>
          <cell r="AR27">
            <v>417.03332425000002</v>
          </cell>
        </row>
        <row r="28">
          <cell r="AE28">
            <v>217.22525067000001</v>
          </cell>
          <cell r="AR28">
            <v>192.12741971</v>
          </cell>
        </row>
        <row r="29">
          <cell r="AE29">
            <v>442.76532868999999</v>
          </cell>
          <cell r="AR29">
            <v>402.77151679999997</v>
          </cell>
        </row>
      </sheetData>
      <sheetData sheetId="5"/>
      <sheetData sheetId="6">
        <row r="27">
          <cell r="AE27">
            <v>2131.1181148000001</v>
          </cell>
          <cell r="AR27">
            <v>1836.79583269</v>
          </cell>
        </row>
        <row r="28">
          <cell r="AE28">
            <v>960.90097795999998</v>
          </cell>
          <cell r="AR28">
            <v>503.76703434000001</v>
          </cell>
        </row>
        <row r="29">
          <cell r="AE29">
            <v>1648.94535498</v>
          </cell>
          <cell r="AR29">
            <v>1531.73667381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0"/>
  <sheetViews>
    <sheetView showGridLines="0" topLeftCell="A4" workbookViewId="0">
      <selection activeCell="I16" sqref="I16:T16"/>
    </sheetView>
  </sheetViews>
  <sheetFormatPr defaultRowHeight="15"/>
  <cols>
    <col min="1" max="2" width="9" style="5"/>
    <col min="3" max="8" width="5.25" style="5" customWidth="1"/>
    <col min="9" max="15" width="16.625" style="5" customWidth="1"/>
    <col min="16" max="20" width="14" style="5" customWidth="1"/>
    <col min="21" max="16384" width="9" style="5"/>
  </cols>
  <sheetData>
    <row r="1" spans="1:20">
      <c r="C1" s="5" t="s">
        <v>102</v>
      </c>
      <c r="I1" s="17">
        <v>2512</v>
      </c>
      <c r="J1" s="5">
        <f>ROUNDUP(RIGHT(I1,2)/3,0)</f>
        <v>4</v>
      </c>
    </row>
    <row r="4" spans="1:20" ht="18.75">
      <c r="C4" s="7" t="s">
        <v>103</v>
      </c>
    </row>
    <row r="7" spans="1:20">
      <c r="O7" s="5" t="s">
        <v>104</v>
      </c>
    </row>
    <row r="8" spans="1:20" ht="16.5" customHeight="1">
      <c r="C8" s="756" t="s">
        <v>105</v>
      </c>
      <c r="D8" s="756"/>
      <c r="E8" s="756"/>
      <c r="F8" s="756"/>
      <c r="G8" s="756"/>
      <c r="H8" s="757"/>
      <c r="I8" s="18" t="s">
        <v>0</v>
      </c>
      <c r="J8" s="18" t="s">
        <v>1</v>
      </c>
      <c r="K8" s="18" t="s">
        <v>2</v>
      </c>
      <c r="L8" s="18" t="s">
        <v>3</v>
      </c>
      <c r="M8" s="18" t="s">
        <v>4</v>
      </c>
      <c r="N8" s="18" t="s">
        <v>5</v>
      </c>
      <c r="O8" s="19" t="s">
        <v>6</v>
      </c>
      <c r="P8" s="18" t="s">
        <v>106</v>
      </c>
      <c r="Q8" s="18" t="s">
        <v>107</v>
      </c>
      <c r="R8" s="18" t="s">
        <v>108</v>
      </c>
      <c r="S8" s="18" t="s">
        <v>109</v>
      </c>
      <c r="T8" s="19" t="s">
        <v>110</v>
      </c>
    </row>
    <row r="9" spans="1:20">
      <c r="A9" s="5">
        <f>DATA!D$1</f>
        <v>4</v>
      </c>
      <c r="C9" s="758" t="s">
        <v>140</v>
      </c>
      <c r="D9" s="758"/>
      <c r="E9" s="758"/>
      <c r="F9" s="758"/>
      <c r="G9" s="758"/>
      <c r="H9" s="759"/>
      <c r="I9" s="27">
        <f>VLOOKUP($I$1&amp;I$8,DATA!$A:$EB,작업!$A9,0)/100</f>
        <v>328551.81935106002</v>
      </c>
      <c r="J9" s="28">
        <f>VLOOKUP($I$1&amp;J$8,DATA!$A:$EB,작업!$A9,0)/100</f>
        <v>3099482.94</v>
      </c>
      <c r="K9" s="28">
        <f>VLOOKUP($I$1&amp;K$8,DATA!$A:$EB,작업!$A9,0)/100</f>
        <v>1281657.9427435801</v>
      </c>
      <c r="L9" s="28">
        <f>VLOOKUP($I$1&amp;L$8,DATA!$A:$EB,작업!$A9,0)/100</f>
        <v>1257765.82</v>
      </c>
      <c r="M9" s="28">
        <f>VLOOKUP($I$1&amp;M$8,DATA!$A:$EB,작업!$A9,0)/100</f>
        <v>594480.31999999995</v>
      </c>
      <c r="N9" s="28">
        <f>VLOOKUP($I$1&amp;N$8,DATA!$A:$EB,작업!$A9,0)/100</f>
        <v>353152.58</v>
      </c>
      <c r="O9" s="28">
        <f>VLOOKUP($I$1&amp;O$8,DATA!$A:$EB,작업!$A9,0)/100</f>
        <v>352289.34</v>
      </c>
      <c r="P9" s="28">
        <f>VLOOKUP($I$1&amp;P$8,DATA!$A:$EB,작업!$A9,0)/100</f>
        <v>938090.44479173003</v>
      </c>
      <c r="Q9" s="28">
        <f>VLOOKUP($I$1&amp;Q$8,DATA!$A:$EB,작업!$A9,0)/100</f>
        <v>496458.74619981</v>
      </c>
      <c r="R9" s="28">
        <f>VLOOKUP($I$1&amp;R$8,DATA!$A:$EB,작업!$A9,0)/100</f>
        <v>442427.92244562996</v>
      </c>
      <c r="S9" s="28">
        <f>VLOOKUP($I$1&amp;S$8,DATA!$A:$EB,작업!$A9,0)/100</f>
        <v>448919.97</v>
      </c>
      <c r="T9" s="27">
        <f>VLOOKUP($I$1&amp;T$8,DATA!$A:$EB,작업!$A9,0)/100</f>
        <v>594088.28</v>
      </c>
    </row>
    <row r="10" spans="1:20">
      <c r="A10" s="21">
        <f>DATA!E1</f>
        <v>5</v>
      </c>
      <c r="C10" s="737" t="s">
        <v>111</v>
      </c>
      <c r="D10" s="737"/>
      <c r="E10" s="737"/>
      <c r="F10" s="737"/>
      <c r="G10" s="737"/>
      <c r="H10" s="738"/>
      <c r="I10" s="29">
        <f>VLOOKUP($I$1&amp;I$8,DATA!$A:$EB,작업!$A10,0)/100</f>
        <v>169444.46771969003</v>
      </c>
      <c r="J10" s="30">
        <f>VLOOKUP($I$1&amp;J$8,DATA!$A:$EB,작업!$A10,0)/100</f>
        <v>382096.35</v>
      </c>
      <c r="K10" s="30">
        <f>VLOOKUP($I$1&amp;K$8,DATA!$A:$EB,작업!$A10,0)/100</f>
        <v>341828.22710133001</v>
      </c>
      <c r="L10" s="30">
        <f>VLOOKUP($I$1&amp;L$8,DATA!$A:$EB,작업!$A10,0)/100</f>
        <v>323201.24</v>
      </c>
      <c r="M10" s="30">
        <f>VLOOKUP($I$1&amp;M$8,DATA!$A:$EB,작업!$A10,0)/100</f>
        <v>132652.76</v>
      </c>
      <c r="N10" s="30">
        <f>VLOOKUP($I$1&amp;N$8,DATA!$A:$EB,작업!$A10,0)/100</f>
        <v>53751.040000000001</v>
      </c>
      <c r="O10" s="30">
        <f>VLOOKUP($I$1&amp;O$8,DATA!$A:$EB,작업!$A10,0)/100</f>
        <v>92426.37</v>
      </c>
      <c r="P10" s="30">
        <f>VLOOKUP($I$1&amp;P$8,DATA!$A:$EB,작업!$A10,0)/100</f>
        <v>127057.76538884001</v>
      </c>
      <c r="Q10" s="30">
        <f>VLOOKUP($I$1&amp;Q$8,DATA!$A:$EB,작업!$A10,0)/100</f>
        <v>90406.57765254</v>
      </c>
      <c r="R10" s="30">
        <f>VLOOKUP($I$1&amp;R$8,DATA!$A:$EB,작업!$A10,0)/100</f>
        <v>75699.261375269998</v>
      </c>
      <c r="S10" s="30">
        <f>VLOOKUP($I$1&amp;S$8,DATA!$A:$EB,작업!$A10,0)/100</f>
        <v>94447.43</v>
      </c>
      <c r="T10" s="29">
        <f>VLOOKUP($I$1&amp;T$8,DATA!$A:$EB,작업!$A10,0)/100</f>
        <v>177224.66</v>
      </c>
    </row>
    <row r="11" spans="1:20">
      <c r="C11" s="737" t="s">
        <v>116</v>
      </c>
      <c r="D11" s="737"/>
      <c r="E11" s="737"/>
      <c r="F11" s="737"/>
      <c r="G11" s="737"/>
      <c r="H11" s="738"/>
      <c r="I11" s="31">
        <f>I10/I9</f>
        <v>0.51573133289710194</v>
      </c>
      <c r="J11" s="32">
        <f t="shared" ref="J11:T11" si="0">J10/J9</f>
        <v>0.12327744897992567</v>
      </c>
      <c r="K11" s="32">
        <f t="shared" si="0"/>
        <v>0.26670784434854411</v>
      </c>
      <c r="L11" s="32">
        <f t="shared" si="0"/>
        <v>0.25696455958709385</v>
      </c>
      <c r="M11" s="32">
        <f t="shared" si="0"/>
        <v>0.22314070884634166</v>
      </c>
      <c r="N11" s="32">
        <f t="shared" si="0"/>
        <v>0.15220344701998212</v>
      </c>
      <c r="O11" s="32">
        <f t="shared" si="0"/>
        <v>0.26235925844364177</v>
      </c>
      <c r="P11" s="32">
        <f t="shared" si="0"/>
        <v>0.13544298003914612</v>
      </c>
      <c r="Q11" s="32">
        <f t="shared" si="0"/>
        <v>0.18210290048179353</v>
      </c>
      <c r="R11" s="32">
        <f t="shared" si="0"/>
        <v>0.17109964704945288</v>
      </c>
      <c r="S11" s="32">
        <f t="shared" si="0"/>
        <v>0.21038812329957163</v>
      </c>
      <c r="T11" s="31">
        <f t="shared" si="0"/>
        <v>0.29831367822977417</v>
      </c>
    </row>
    <row r="12" spans="1:20">
      <c r="A12" s="5">
        <f>DATA!F1</f>
        <v>6</v>
      </c>
      <c r="C12" s="737" t="s">
        <v>112</v>
      </c>
      <c r="D12" s="737"/>
      <c r="E12" s="737"/>
      <c r="F12" s="737"/>
      <c r="G12" s="737"/>
      <c r="H12" s="738"/>
      <c r="I12" s="29">
        <f>VLOOKUP($I$1&amp;I$8,DATA!$A:$EB,작업!$A12,0)/100</f>
        <v>116635.57366015</v>
      </c>
      <c r="J12" s="30">
        <f>VLOOKUP($I$1&amp;J$8,DATA!$A:$EB,작업!$A12,0)/100</f>
        <v>1968888.32</v>
      </c>
      <c r="K12" s="30">
        <f>VLOOKUP($I$1&amp;K$8,DATA!$A:$EB,작업!$A12,0)/100</f>
        <v>608298.87653638003</v>
      </c>
      <c r="L12" s="30">
        <f>VLOOKUP($I$1&amp;L$8,DATA!$A:$EB,작업!$A12,0)/100</f>
        <v>482181.33</v>
      </c>
      <c r="M12" s="30">
        <f>VLOOKUP($I$1&amp;M$8,DATA!$A:$EB,작업!$A12,0)/100</f>
        <v>352884.58</v>
      </c>
      <c r="N12" s="30">
        <f>VLOOKUP($I$1&amp;N$8,DATA!$A:$EB,작업!$A12,0)/100</f>
        <v>228378.35</v>
      </c>
      <c r="O12" s="30">
        <f>VLOOKUP($I$1&amp;O$8,DATA!$A:$EB,작업!$A12,0)/100</f>
        <v>221531.57</v>
      </c>
      <c r="P12" s="30">
        <f>VLOOKUP($I$1&amp;P$8,DATA!$A:$EB,작업!$A12,0)/100</f>
        <v>434306.81364228</v>
      </c>
      <c r="Q12" s="30">
        <f>VLOOKUP($I$1&amp;Q$8,DATA!$A:$EB,작업!$A12,0)/100</f>
        <v>253410.92240272</v>
      </c>
      <c r="R12" s="30">
        <f>VLOOKUP($I$1&amp;R$8,DATA!$A:$EB,작업!$A12,0)/100</f>
        <v>315607.38837674999</v>
      </c>
      <c r="S12" s="30">
        <f>VLOOKUP($I$1&amp;S$8,DATA!$A:$EB,작업!$A12,0)/100</f>
        <v>219068.85</v>
      </c>
      <c r="T12" s="29">
        <f>VLOOKUP($I$1&amp;T$8,DATA!$A:$EB,작업!$A12,0)/100</f>
        <v>201214.38</v>
      </c>
    </row>
    <row r="13" spans="1:20" ht="15" customHeight="1">
      <c r="A13" s="5">
        <f>DATA!G1</f>
        <v>7</v>
      </c>
      <c r="C13" s="760" t="s">
        <v>113</v>
      </c>
      <c r="D13" s="760"/>
      <c r="E13" s="760"/>
      <c r="F13" s="760"/>
      <c r="G13" s="760"/>
      <c r="H13" s="761"/>
      <c r="I13" s="33">
        <f>VLOOKUP($I$1&amp;I$8,DATA!$A:$EB,작업!$A13,0)/100</f>
        <v>28014.503997920001</v>
      </c>
      <c r="J13" s="34">
        <f>VLOOKUP($I$1&amp;J$8,DATA!$A:$EB,작업!$A13,0)/100</f>
        <v>411156.26</v>
      </c>
      <c r="K13" s="34">
        <f>VLOOKUP($I$1&amp;K$8,DATA!$A:$EB,작업!$A13,0)/100</f>
        <v>215464.74040616001</v>
      </c>
      <c r="L13" s="34">
        <f>VLOOKUP($I$1&amp;L$8,DATA!$A:$EB,작업!$A13,0)/100</f>
        <v>280714.2</v>
      </c>
      <c r="M13" s="34">
        <f>VLOOKUP($I$1&amp;M$8,DATA!$A:$EB,작업!$A13,0)/100</f>
        <v>39503.440000000002</v>
      </c>
      <c r="N13" s="34">
        <f>VLOOKUP($I$1&amp;N$8,DATA!$A:$EB,작업!$A13,0)/100</f>
        <v>56226.03</v>
      </c>
      <c r="O13" s="34">
        <f>VLOOKUP($I$1&amp;O$8,DATA!$A:$EB,작업!$A13,0)/100</f>
        <v>16958.849999999999</v>
      </c>
      <c r="P13" s="34">
        <f>VLOOKUP($I$1&amp;P$8,DATA!$A:$EB,작업!$A13,0)/100</f>
        <v>300857.42664899002</v>
      </c>
      <c r="Q13" s="34">
        <f>VLOOKUP($I$1&amp;Q$8,DATA!$A:$EB,작업!$A13,0)/100</f>
        <v>104015.82761755999</v>
      </c>
      <c r="R13" s="34">
        <f>VLOOKUP($I$1&amp;R$8,DATA!$A:$EB,작업!$A13,0)/100</f>
        <v>9721.0364995500004</v>
      </c>
      <c r="S13" s="34">
        <f>VLOOKUP($I$1&amp;S$8,DATA!$A:$EB,작업!$A13,0)/100</f>
        <v>82395.38</v>
      </c>
      <c r="T13" s="33">
        <f>VLOOKUP($I$1&amp;T$8,DATA!$A:$EB,작업!$A13,0)/100</f>
        <v>157633.73000000001</v>
      </c>
    </row>
    <row r="14" spans="1:20">
      <c r="A14" s="5">
        <f>DATA!L1</f>
        <v>12</v>
      </c>
      <c r="C14" s="758" t="s">
        <v>115</v>
      </c>
      <c r="D14" s="758"/>
      <c r="E14" s="758"/>
      <c r="F14" s="758"/>
      <c r="G14" s="758"/>
      <c r="H14" s="759"/>
      <c r="I14" s="27">
        <f>VLOOKUP($I$1&amp;I$8,DATA!$A:$EB,작업!$A14,0)/100</f>
        <v>304186.80379436997</v>
      </c>
      <c r="J14" s="28">
        <f>VLOOKUP($I$1&amp;J$8,DATA!$A:$EB,작업!$A14,0)/100</f>
        <v>2535314.79</v>
      </c>
      <c r="K14" s="28">
        <f>VLOOKUP($I$1&amp;K$8,DATA!$A:$EB,작업!$A14,0)/100</f>
        <v>1205110.3510642201</v>
      </c>
      <c r="L14" s="28">
        <f>VLOOKUP($I$1&amp;L$8,DATA!$A:$EB,작업!$A14,0)/100</f>
        <v>1133078.06</v>
      </c>
      <c r="M14" s="28">
        <f>VLOOKUP($I$1&amp;M$8,DATA!$A:$EB,작업!$A14,0)/100</f>
        <v>532087.38</v>
      </c>
      <c r="N14" s="28">
        <f>VLOOKUP($I$1&amp;N$8,DATA!$A:$EB,작업!$A14,0)/100</f>
        <v>337812.87</v>
      </c>
      <c r="O14" s="28">
        <f>VLOOKUP($I$1&amp;O$8,DATA!$A:$EB,작업!$A14,0)/100</f>
        <v>310103.46000000002</v>
      </c>
      <c r="P14" s="28">
        <f>VLOOKUP($I$1&amp;P$8,DATA!$A:$EB,작업!$A14,0)/100</f>
        <v>731812.67241129989</v>
      </c>
      <c r="Q14" s="28">
        <f>VLOOKUP($I$1&amp;Q$8,DATA!$A:$EB,작업!$A14,0)/100</f>
        <v>447623.87153458997</v>
      </c>
      <c r="R14" s="28">
        <f>VLOOKUP($I$1&amp;R$8,DATA!$A:$EB,작업!$A14,0)/100</f>
        <v>383884.73445767997</v>
      </c>
      <c r="S14" s="28">
        <f>VLOOKUP($I$1&amp;S$8,DATA!$A:$EB,작업!$A14,0)/100</f>
        <v>391747.63</v>
      </c>
      <c r="T14" s="27">
        <f>VLOOKUP($I$1&amp;T$8,DATA!$A:$EB,작업!$A14,0)/100</f>
        <v>495539.27</v>
      </c>
    </row>
    <row r="15" spans="1:20">
      <c r="A15" s="5">
        <f>DATA!BU1</f>
        <v>73</v>
      </c>
      <c r="C15" s="762" t="s">
        <v>51</v>
      </c>
      <c r="D15" s="762"/>
      <c r="E15" s="762"/>
      <c r="F15" s="762"/>
      <c r="G15" s="762"/>
      <c r="H15" s="763"/>
      <c r="I15" s="35">
        <f>VLOOKUP($I$1&amp;I$8,DATA!$A:$EB,작업!$A15,0)/100</f>
        <v>245312.28634232003</v>
      </c>
      <c r="J15" s="36">
        <f>VLOOKUP($I$1&amp;J$8,DATA!$A:$EB,작업!$A15,0)/100</f>
        <v>1844632.62</v>
      </c>
      <c r="K15" s="36">
        <f>VLOOKUP($I$1&amp;K$8,DATA!$A:$EB,작업!$A15,0)/100</f>
        <v>889399.68</v>
      </c>
      <c r="L15" s="36">
        <f>VLOOKUP($I$1&amp;L$8,DATA!$A:$EB,작업!$A15,0)/100</f>
        <v>862224.89</v>
      </c>
      <c r="M15" s="36">
        <f>VLOOKUP($I$1&amp;M$8,DATA!$A:$EB,작업!$A15,0)/100</f>
        <v>389601.52</v>
      </c>
      <c r="N15" s="36">
        <f>VLOOKUP($I$1&amp;N$8,DATA!$A:$EB,작업!$A15,0)/100</f>
        <v>252112.7</v>
      </c>
      <c r="O15" s="36">
        <f>VLOOKUP($I$1&amp;O$8,DATA!$A:$EB,작업!$A15,0)/100</f>
        <v>246632.98</v>
      </c>
      <c r="P15" s="36">
        <f>VLOOKUP($I$1&amp;P$8,DATA!$A:$EB,작업!$A15,0)/100</f>
        <v>250474.79</v>
      </c>
      <c r="Q15" s="36">
        <f>VLOOKUP($I$1&amp;Q$8,DATA!$A:$EB,작업!$A15,0)/100</f>
        <v>182144.47403509999</v>
      </c>
      <c r="R15" s="36">
        <f>VLOOKUP($I$1&amp;R$8,DATA!$A:$EB,작업!$A15,0)/100</f>
        <v>95737.21</v>
      </c>
      <c r="S15" s="36">
        <f>VLOOKUP($I$1&amp;S$8,DATA!$A:$EB,작업!$A15,0)/100</f>
        <v>114191.72</v>
      </c>
      <c r="T15" s="35">
        <f>VLOOKUP($I$1&amp;T$8,DATA!$A:$EB,작업!$A15,0)/100</f>
        <v>120958.09</v>
      </c>
    </row>
    <row r="16" spans="1:20" ht="16.5">
      <c r="A16" s="5">
        <f>DATA!BW1</f>
        <v>75</v>
      </c>
      <c r="C16" s="762" t="s">
        <v>53</v>
      </c>
      <c r="D16" s="762"/>
      <c r="E16" s="762"/>
      <c r="F16" s="762"/>
      <c r="G16" s="762"/>
      <c r="H16" s="763"/>
      <c r="I16" s="723">
        <f>VLOOKUP($I$1&amp;I$8,DATA!$A:$EB,작업!$A16,0)/100</f>
        <v>20584.23120047</v>
      </c>
      <c r="J16" s="724">
        <f>VLOOKUP($I$1&amp;J$8,DATA!$A:$EB,작업!$A16,0)/100</f>
        <v>132178.74</v>
      </c>
      <c r="K16" s="725">
        <f>VLOOKUP($I$1&amp;K$8,DATA!$A:$EB,작업!$A16,0)/100</f>
        <v>65109.61</v>
      </c>
      <c r="L16" s="725">
        <f>VLOOKUP($I$1&amp;L$8,DATA!$A:$EB,작업!$A16,0)/100</f>
        <v>87136.52</v>
      </c>
      <c r="M16" s="725">
        <f>VLOOKUP($I$1&amp;M$8,DATA!$A:$EB,작업!$A16,0)/100</f>
        <v>75537.34</v>
      </c>
      <c r="N16" s="725">
        <f>VLOOKUP($I$1&amp;N$8,DATA!$A:$EB,작업!$A16,0)/100</f>
        <v>24570.95</v>
      </c>
      <c r="O16" s="725">
        <f>VLOOKUP($I$1&amp;O$8,DATA!$A:$EB,작업!$A16,0)/100</f>
        <v>32637.75</v>
      </c>
      <c r="P16" s="725">
        <f>VLOOKUP($I$1&amp;P$8,DATA!$A:$EB,작업!$A16,0)/100</f>
        <v>141676.64000000001</v>
      </c>
      <c r="Q16" s="725">
        <f>VLOOKUP($I$1&amp;Q$8,DATA!$A:$EB,작업!$A16,0)/100</f>
        <v>89778.420693220018</v>
      </c>
      <c r="R16" s="725">
        <f>VLOOKUP($I$1&amp;R$8,DATA!$A:$EB,작업!$A16,0)/100</f>
        <v>111036.96</v>
      </c>
      <c r="S16" s="725">
        <f>VLOOKUP($I$1&amp;S$8,DATA!$A:$EB,작업!$A16,0)/100</f>
        <v>92850.33</v>
      </c>
      <c r="T16" s="723">
        <f>VLOOKUP($I$1&amp;T$8,DATA!$A:$EB,작업!$A16,0)/100</f>
        <v>122053.43</v>
      </c>
    </row>
    <row r="17" spans="1:20">
      <c r="C17" s="762" t="s">
        <v>116</v>
      </c>
      <c r="D17" s="762"/>
      <c r="E17" s="762"/>
      <c r="F17" s="762"/>
      <c r="G17" s="762"/>
      <c r="H17" s="763"/>
      <c r="I17" s="38">
        <f>I16/I14</f>
        <v>6.7669704746248366E-2</v>
      </c>
      <c r="J17" s="38">
        <f t="shared" ref="J17:T17" si="1">J16/J14</f>
        <v>5.2135040793100093E-2</v>
      </c>
      <c r="K17" s="38">
        <f t="shared" si="1"/>
        <v>5.4027923619195867E-2</v>
      </c>
      <c r="L17" s="38">
        <f t="shared" si="1"/>
        <v>7.690248631237287E-2</v>
      </c>
      <c r="M17" s="38">
        <f t="shared" si="1"/>
        <v>0.1419641638559441</v>
      </c>
      <c r="N17" s="38">
        <f t="shared" si="1"/>
        <v>7.2735387494265683E-2</v>
      </c>
      <c r="O17" s="38">
        <f t="shared" si="1"/>
        <v>0.10524793886530642</v>
      </c>
      <c r="P17" s="38">
        <f t="shared" si="1"/>
        <v>0.19359686616682917</v>
      </c>
      <c r="Q17" s="38">
        <f t="shared" si="1"/>
        <v>0.20056665071376209</v>
      </c>
      <c r="R17" s="38">
        <f t="shared" si="1"/>
        <v>0.2892455730412507</v>
      </c>
      <c r="S17" s="38">
        <f t="shared" si="1"/>
        <v>0.23701567766983045</v>
      </c>
      <c r="T17" s="38">
        <f t="shared" si="1"/>
        <v>0.24630425354583904</v>
      </c>
    </row>
    <row r="18" spans="1:20">
      <c r="A18" s="5">
        <f>DATA!BV1</f>
        <v>74</v>
      </c>
      <c r="C18" s="764" t="s">
        <v>52</v>
      </c>
      <c r="D18" s="764"/>
      <c r="E18" s="764"/>
      <c r="F18" s="764"/>
      <c r="G18" s="764"/>
      <c r="H18" s="765"/>
      <c r="I18" s="39">
        <f>VLOOKUP($I$1&amp;I$8,DATA!$A:$EB,작업!$A18,0)/100</f>
        <v>4060.4450104400003</v>
      </c>
      <c r="J18" s="40">
        <f>VLOOKUP($I$1&amp;J$8,DATA!$A:$EB,작업!$A18,0)/100</f>
        <v>31652.09</v>
      </c>
      <c r="K18" s="40">
        <f>VLOOKUP($I$1&amp;K$8,DATA!$A:$EB,작업!$A18,0)/100</f>
        <v>13818.29</v>
      </c>
      <c r="L18" s="40">
        <f>VLOOKUP($I$1&amp;L$8,DATA!$A:$EB,작업!$A18,0)/100</f>
        <v>19939.03</v>
      </c>
      <c r="M18" s="40">
        <f>VLOOKUP($I$1&amp;M$8,DATA!$A:$EB,작업!$A18,0)/100</f>
        <v>13975.85</v>
      </c>
      <c r="N18" s="40">
        <f>VLOOKUP($I$1&amp;N$8,DATA!$A:$EB,작업!$A18,0)/100</f>
        <v>4767.1400000000003</v>
      </c>
      <c r="O18" s="40">
        <f>VLOOKUP($I$1&amp;O$8,DATA!$A:$EB,작업!$A18,0)/100</f>
        <v>5502.97</v>
      </c>
      <c r="P18" s="40">
        <f>VLOOKUP($I$1&amp;P$8,DATA!$A:$EB,작업!$A18,0)/100</f>
        <v>18956.91</v>
      </c>
      <c r="Q18" s="40">
        <f>VLOOKUP($I$1&amp;Q$8,DATA!$A:$EB,작업!$A18,0)/100</f>
        <v>19345.483154489997</v>
      </c>
      <c r="R18" s="40">
        <f>VLOOKUP($I$1&amp;R$8,DATA!$A:$EB,작업!$A18,0)/100</f>
        <v>14680.02</v>
      </c>
      <c r="S18" s="40">
        <f>VLOOKUP($I$1&amp;S$8,DATA!$A:$EB,작업!$A18,0)/100</f>
        <v>14885.03</v>
      </c>
      <c r="T18" s="39">
        <f>VLOOKUP($I$1&amp;T$8,DATA!$A:$EB,작업!$A18,0)/100</f>
        <v>18367.53</v>
      </c>
    </row>
    <row r="19" spans="1:20">
      <c r="A19" s="5">
        <f>DATA!N1</f>
        <v>14</v>
      </c>
      <c r="C19" s="758" t="s">
        <v>1107</v>
      </c>
      <c r="D19" s="758"/>
      <c r="E19" s="758"/>
      <c r="F19" s="758"/>
      <c r="G19" s="758"/>
      <c r="H19" s="759"/>
      <c r="I19" s="27">
        <f>VLOOKUP($I$1&amp;I$8,DATA!$A:$EB,작업!$A19,0)/100</f>
        <v>24365.015556689999</v>
      </c>
      <c r="J19" s="28">
        <f>VLOOKUP($I$1&amp;J$8,DATA!$A:$EB,작업!$A19,0)/100</f>
        <v>564168.15</v>
      </c>
      <c r="K19" s="28">
        <f>VLOOKUP($I$1&amp;K$8,DATA!$A:$EB,작업!$A19,0)/100</f>
        <v>54490.329597030002</v>
      </c>
      <c r="L19" s="28">
        <f>VLOOKUP($I$1&amp;L$8,DATA!$A:$EB,작업!$A19,0)/100</f>
        <v>94003.23</v>
      </c>
      <c r="M19" s="28">
        <f>VLOOKUP($I$1&amp;M$8,DATA!$A:$EB,작업!$A19,0)/100</f>
        <v>62392.94</v>
      </c>
      <c r="N19" s="28">
        <f>VLOOKUP($I$1&amp;N$8,DATA!$A:$EB,작업!$A19,0)/100</f>
        <v>15339.71</v>
      </c>
      <c r="O19" s="28">
        <f>VLOOKUP($I$1&amp;O$8,DATA!$A:$EB,작업!$A19,0)/100</f>
        <v>41687.879999999997</v>
      </c>
      <c r="P19" s="28">
        <f>VLOOKUP($I$1&amp;P$8,DATA!$A:$EB,작업!$A19,0)/100</f>
        <v>206277.77238042999</v>
      </c>
      <c r="Q19" s="28">
        <f>VLOOKUP($I$1&amp;Q$8,DATA!$A:$EB,작업!$A19,0)/100</f>
        <v>48834.874665219999</v>
      </c>
      <c r="R19" s="28">
        <f>VLOOKUP($I$1&amp;R$8,DATA!$A:$EB,작업!$A19,0)/100</f>
        <v>56751.234787949994</v>
      </c>
      <c r="S19" s="28">
        <f>VLOOKUP($I$1&amp;S$8,DATA!$A:$EB,작업!$A19,0)/100</f>
        <v>57172.34</v>
      </c>
      <c r="T19" s="27">
        <f>VLOOKUP($I$1&amp;T$8,DATA!$A:$EB,작업!$A19,0)/100</f>
        <v>89898.95</v>
      </c>
    </row>
    <row r="20" spans="1:20">
      <c r="C20" s="766" t="s">
        <v>1042</v>
      </c>
      <c r="D20" s="766"/>
      <c r="E20" s="766"/>
      <c r="F20" s="766"/>
      <c r="G20" s="766"/>
      <c r="H20" s="767"/>
      <c r="I20" s="335">
        <f>+I37</f>
        <v>-1167.3639409899988</v>
      </c>
      <c r="J20" s="336">
        <f t="shared" ref="J20:T20" si="2">+J37</f>
        <v>259283.18000000005</v>
      </c>
      <c r="K20" s="336">
        <f t="shared" si="2"/>
        <v>3485.3844448400123</v>
      </c>
      <c r="L20" s="336">
        <f t="shared" si="2"/>
        <v>1487.8300000000017</v>
      </c>
      <c r="M20" s="336">
        <f t="shared" si="2"/>
        <v>-5235.5599999999977</v>
      </c>
      <c r="N20" s="336">
        <f t="shared" si="2"/>
        <v>-1344.1963925300006</v>
      </c>
      <c r="O20" s="336">
        <f t="shared" si="2"/>
        <v>-3185.7000000000044</v>
      </c>
      <c r="P20" s="336">
        <f t="shared" si="2"/>
        <v>53319.396905659989</v>
      </c>
      <c r="Q20" s="336">
        <f t="shared" si="2"/>
        <v>-436.61586888000602</v>
      </c>
      <c r="R20" s="336">
        <f t="shared" si="2"/>
        <v>2187.6685374799927</v>
      </c>
      <c r="S20" s="336">
        <f t="shared" si="2"/>
        <v>-1392.070000000007</v>
      </c>
      <c r="T20" s="335">
        <f t="shared" si="2"/>
        <v>5738.9633369999938</v>
      </c>
    </row>
    <row r="21" spans="1:20">
      <c r="C21" s="766" t="s">
        <v>1043</v>
      </c>
      <c r="D21" s="766"/>
      <c r="E21" s="766"/>
      <c r="F21" s="766"/>
      <c r="G21" s="766"/>
      <c r="H21" s="767"/>
      <c r="I21" s="337">
        <f t="shared" ref="I21:T21" si="3">+I20/(I19-I20)</f>
        <v>-4.5720922372161646E-2</v>
      </c>
      <c r="J21" s="338">
        <f t="shared" si="3"/>
        <v>0.85042952428911167</v>
      </c>
      <c r="K21" s="338">
        <f t="shared" si="3"/>
        <v>6.8334245521492559E-2</v>
      </c>
      <c r="L21" s="338">
        <f t="shared" si="3"/>
        <v>1.6081971217764845E-2</v>
      </c>
      <c r="M21" s="338">
        <f t="shared" si="3"/>
        <v>-7.7416473823905568E-2</v>
      </c>
      <c r="N21" s="338">
        <f t="shared" si="3"/>
        <v>-8.0568444877624518E-2</v>
      </c>
      <c r="O21" s="338">
        <f t="shared" si="3"/>
        <v>-7.0992775704546068E-2</v>
      </c>
      <c r="P21" s="338">
        <f t="shared" si="3"/>
        <v>0.34858762549066724</v>
      </c>
      <c r="Q21" s="338">
        <f t="shared" si="3"/>
        <v>-8.8614300916638848E-3</v>
      </c>
      <c r="R21" s="338">
        <f t="shared" si="3"/>
        <v>4.0093943409740901E-2</v>
      </c>
      <c r="S21" s="338">
        <f t="shared" si="3"/>
        <v>-2.3769897109865989E-2</v>
      </c>
      <c r="T21" s="337">
        <f t="shared" si="3"/>
        <v>6.8191115095828134E-2</v>
      </c>
    </row>
    <row r="22" spans="1:20">
      <c r="A22" s="5">
        <f>DATA!R1</f>
        <v>18</v>
      </c>
      <c r="C22" s="737" t="s">
        <v>38</v>
      </c>
      <c r="D22" s="737"/>
      <c r="E22" s="737"/>
      <c r="F22" s="737"/>
      <c r="G22" s="737"/>
      <c r="H22" s="738"/>
      <c r="I22" s="29">
        <f>VLOOKUP($I$1&amp;I$8,DATA!$A:$EB,작업!$A22,0)/100</f>
        <v>20678.244682199998</v>
      </c>
      <c r="J22" s="30">
        <f>VLOOKUP($I$1&amp;J$8,DATA!$A:$EB,작업!$A22,0)/100</f>
        <v>150629.44</v>
      </c>
      <c r="K22" s="30">
        <f>VLOOKUP($I$1&amp;K$8,DATA!$A:$EB,작업!$A22,0)/100</f>
        <v>75757.824339589992</v>
      </c>
      <c r="L22" s="30">
        <f>VLOOKUP($I$1&amp;L$8,DATA!$A:$EB,작업!$A22,0)/100</f>
        <v>70853.36</v>
      </c>
      <c r="M22" s="30">
        <f>VLOOKUP($I$1&amp;M$8,DATA!$A:$EB,작업!$A22,0)/100</f>
        <v>69683.97</v>
      </c>
      <c r="N22" s="30">
        <f>VLOOKUP($I$1&amp;N$8,DATA!$A:$EB,작업!$A22,0)/100</f>
        <v>16044.17</v>
      </c>
      <c r="O22" s="30">
        <f>VLOOKUP($I$1&amp;O$8,DATA!$A:$EB,작업!$A22,0)/100</f>
        <v>31590.18</v>
      </c>
      <c r="P22" s="30">
        <f>VLOOKUP($I$1&amp;P$8,DATA!$A:$EB,작업!$A22,0)/100</f>
        <v>140898.61430091001</v>
      </c>
      <c r="Q22" s="30">
        <f>VLOOKUP($I$1&amp;Q$8,DATA!$A:$EB,작업!$A22,0)/100</f>
        <v>79526.518553810005</v>
      </c>
      <c r="R22" s="30">
        <f>VLOOKUP($I$1&amp;R$8,DATA!$A:$EB,작업!$A22,0)/100</f>
        <v>62729.7347037</v>
      </c>
      <c r="S22" s="30">
        <f>VLOOKUP($I$1&amp;S$8,DATA!$A:$EB,작업!$A22,0)/100</f>
        <v>69589.56</v>
      </c>
      <c r="T22" s="29">
        <f>VLOOKUP($I$1&amp;T$8,DATA!$A:$EB,작업!$A22,0)/100</f>
        <v>112011.39</v>
      </c>
    </row>
    <row r="23" spans="1:20">
      <c r="A23" s="5">
        <f>DATA!Q1</f>
        <v>17</v>
      </c>
      <c r="C23" s="760" t="s">
        <v>141</v>
      </c>
      <c r="D23" s="760"/>
      <c r="E23" s="760"/>
      <c r="F23" s="760"/>
      <c r="G23" s="760"/>
      <c r="H23" s="761"/>
      <c r="I23" s="33">
        <f>VLOOKUP($I$1&amp;I$8,DATA!$A:$EB,작업!$A23,0)/100</f>
        <v>-4322.4669249600001</v>
      </c>
      <c r="J23" s="34">
        <f>VLOOKUP($I$1&amp;J$8,DATA!$A:$EB,작업!$A23,0)/100</f>
        <v>433581.09</v>
      </c>
      <c r="K23" s="34">
        <f>VLOOKUP($I$1&amp;K$8,DATA!$A:$EB,작업!$A23,0)/100</f>
        <v>-23979.810223659999</v>
      </c>
      <c r="L23" s="34">
        <f>VLOOKUP($I$1&amp;L$8,DATA!$A:$EB,작업!$A23,0)/100</f>
        <v>-14061.35</v>
      </c>
      <c r="M23" s="34">
        <f>VLOOKUP($I$1&amp;M$8,DATA!$A:$EB,작업!$A23,0)/100</f>
        <v>-21282.91</v>
      </c>
      <c r="N23" s="34">
        <f>VLOOKUP($I$1&amp;N$8,DATA!$A:$EB,작업!$A23,0)/100</f>
        <v>-12240.13</v>
      </c>
      <c r="O23" s="34">
        <f>VLOOKUP($I$1&amp;O$8,DATA!$A:$EB,작업!$A23,0)/100</f>
        <v>314.67</v>
      </c>
      <c r="P23" s="34">
        <f>VLOOKUP($I$1&amp;P$8,DATA!$A:$EB,작업!$A23,0)/100</f>
        <v>67876.289229889997</v>
      </c>
      <c r="Q23" s="34">
        <f>VLOOKUP($I$1&amp;Q$8,DATA!$A:$EB,작업!$A23,0)/100</f>
        <v>-31593.30002857</v>
      </c>
      <c r="R23" s="34">
        <f>VLOOKUP($I$1&amp;R$8,DATA!$A:$EB,작업!$A23,0)/100</f>
        <v>-7592.5761068800002</v>
      </c>
      <c r="S23" s="34">
        <f>VLOOKUP($I$1&amp;S$8,DATA!$A:$EB,작업!$A23,0)/100</f>
        <v>-13082.22</v>
      </c>
      <c r="T23" s="33">
        <f>VLOOKUP($I$1&amp;T$8,DATA!$A:$EB,작업!$A23,0)/100</f>
        <v>-22293</v>
      </c>
    </row>
    <row r="24" spans="1:20">
      <c r="C24" s="750" t="s">
        <v>1044</v>
      </c>
      <c r="D24" s="750"/>
      <c r="E24" s="750"/>
      <c r="F24" s="750"/>
      <c r="G24" s="750"/>
      <c r="H24" s="751"/>
      <c r="I24" s="339">
        <f>I23-I38</f>
        <v>-2416.3678332</v>
      </c>
      <c r="J24" s="340">
        <f t="shared" ref="J24:T24" si="4">J23-J38</f>
        <v>248659.60000000003</v>
      </c>
      <c r="K24" s="340">
        <f t="shared" si="4"/>
        <v>-1934.5181768299954</v>
      </c>
      <c r="L24" s="340">
        <f t="shared" si="4"/>
        <v>-568.55999999999949</v>
      </c>
      <c r="M24" s="340">
        <f t="shared" si="4"/>
        <v>-6539.6299999999992</v>
      </c>
      <c r="N24" s="340">
        <f t="shared" si="4"/>
        <v>-1206.9299999999985</v>
      </c>
      <c r="O24" s="340">
        <f t="shared" si="4"/>
        <v>-3316.58</v>
      </c>
      <c r="P24" s="340">
        <f t="shared" si="4"/>
        <v>44191.651042999998</v>
      </c>
      <c r="Q24" s="340">
        <f t="shared" si="4"/>
        <v>-6049.3651553599993</v>
      </c>
      <c r="R24" s="340">
        <f t="shared" si="4"/>
        <v>-5878.7981388300004</v>
      </c>
      <c r="S24" s="340">
        <f t="shared" si="4"/>
        <v>-6241.98</v>
      </c>
      <c r="T24" s="339">
        <f t="shared" si="4"/>
        <v>-6198.4500000000007</v>
      </c>
    </row>
    <row r="25" spans="1:20" ht="33.75" customHeight="1">
      <c r="C25" s="768" t="s">
        <v>1046</v>
      </c>
      <c r="D25" s="750"/>
      <c r="E25" s="750"/>
      <c r="F25" s="750"/>
      <c r="G25" s="750"/>
      <c r="H25" s="751"/>
      <c r="I25" s="341">
        <f>I24/I36</f>
        <v>-9.4639351315437062E-2</v>
      </c>
      <c r="J25" s="342">
        <f t="shared" ref="J25:T25" si="5">J24/J36</f>
        <v>0.81558497291617904</v>
      </c>
      <c r="K25" s="342">
        <f t="shared" si="5"/>
        <v>-3.7928051310666559E-2</v>
      </c>
      <c r="L25" s="342">
        <f t="shared" si="5"/>
        <v>-6.1455714399980925E-3</v>
      </c>
      <c r="M25" s="342">
        <f t="shared" si="5"/>
        <v>-9.6699320552725537E-2</v>
      </c>
      <c r="N25" s="342">
        <f t="shared" si="5"/>
        <v>-7.2340971688763828E-2</v>
      </c>
      <c r="O25" s="342">
        <f t="shared" si="5"/>
        <v>-7.390941395805728E-2</v>
      </c>
      <c r="P25" s="342">
        <f t="shared" si="5"/>
        <v>0.28891292095534366</v>
      </c>
      <c r="Q25" s="342">
        <f t="shared" si="5"/>
        <v>-0.12277617522395291</v>
      </c>
      <c r="R25" s="342">
        <f t="shared" si="5"/>
        <v>-0.10774219030779282</v>
      </c>
      <c r="S25" s="342">
        <f t="shared" si="5"/>
        <v>-0.10658316202622035</v>
      </c>
      <c r="T25" s="341">
        <f t="shared" si="5"/>
        <v>-7.3650795892118176E-2</v>
      </c>
    </row>
    <row r="26" spans="1:20" ht="31.5" customHeight="1">
      <c r="C26" s="769" t="s">
        <v>1045</v>
      </c>
      <c r="D26" s="752"/>
      <c r="E26" s="752"/>
      <c r="F26" s="752"/>
      <c r="G26" s="752"/>
      <c r="H26" s="753"/>
      <c r="I26" s="343">
        <f>I24/I45</f>
        <v>-9.2057676982516129E-3</v>
      </c>
      <c r="J26" s="344">
        <f t="shared" ref="J26:T26" si="6">J24/J45</f>
        <v>0.12300363812065673</v>
      </c>
      <c r="K26" s="344">
        <f t="shared" si="6"/>
        <v>-2.0483819097906327E-3</v>
      </c>
      <c r="L26" s="344">
        <f t="shared" si="6"/>
        <v>-5.8525045334881871E-4</v>
      </c>
      <c r="M26" s="344">
        <f t="shared" si="6"/>
        <v>-1.3506265723220591E-2</v>
      </c>
      <c r="N26" s="344">
        <f t="shared" si="6"/>
        <v>-4.2766398826708206E-3</v>
      </c>
      <c r="O26" s="344">
        <f t="shared" si="6"/>
        <v>-1.2188945001969514E-2</v>
      </c>
      <c r="P26" s="344">
        <f t="shared" si="6"/>
        <v>0.10029729477503753</v>
      </c>
      <c r="Q26" s="344">
        <f t="shared" si="6"/>
        <v>-2.0743968598908688E-2</v>
      </c>
      <c r="R26" s="344">
        <f t="shared" si="6"/>
        <v>-2.5681052388917883E-2</v>
      </c>
      <c r="S26" s="344">
        <f t="shared" si="6"/>
        <v>-2.7647446359042878E-2</v>
      </c>
      <c r="T26" s="343">
        <f t="shared" si="6"/>
        <v>-2.4445728998736906E-2</v>
      </c>
    </row>
    <row r="27" spans="1:20">
      <c r="C27" s="299"/>
      <c r="D27" s="299"/>
      <c r="E27" s="299"/>
      <c r="F27" s="299"/>
      <c r="G27" s="299"/>
      <c r="H27" s="299"/>
      <c r="I27" s="300"/>
      <c r="J27" s="300"/>
      <c r="K27" s="300"/>
      <c r="L27" s="300"/>
      <c r="M27" s="300"/>
      <c r="N27" s="300"/>
      <c r="O27" s="300"/>
      <c r="P27" s="300"/>
      <c r="Q27" s="300"/>
      <c r="R27" s="300"/>
      <c r="S27" s="300"/>
      <c r="T27" s="300"/>
    </row>
    <row r="28" spans="1:20">
      <c r="C28" s="299"/>
      <c r="D28" s="299"/>
      <c r="E28" s="299"/>
      <c r="F28" s="299"/>
      <c r="G28" s="299"/>
      <c r="H28" s="299"/>
      <c r="I28" s="345"/>
      <c r="J28" s="345"/>
      <c r="K28" s="345"/>
      <c r="L28" s="345"/>
      <c r="M28" s="345"/>
      <c r="N28" s="345"/>
      <c r="O28" s="345"/>
      <c r="P28" s="345"/>
      <c r="Q28" s="345"/>
      <c r="R28" s="345"/>
      <c r="S28" s="345"/>
      <c r="T28" s="345"/>
    </row>
    <row r="29" spans="1:20">
      <c r="A29" s="5">
        <f>DATA!O1</f>
        <v>15</v>
      </c>
      <c r="C29" s="758" t="s">
        <v>133</v>
      </c>
      <c r="D29" s="758"/>
      <c r="E29" s="758"/>
      <c r="F29" s="758"/>
      <c r="G29" s="758"/>
      <c r="H29" s="759"/>
      <c r="I29" s="27">
        <f>VLOOKUP($I$1&amp;I$8,DATA!$A:$EB,작업!$A29,0)/100</f>
        <v>24365.015556689999</v>
      </c>
      <c r="J29" s="28">
        <f>VLOOKUP($I$1&amp;J$8,DATA!$A:$EB,작업!$A29,0)/100</f>
        <v>564168.15</v>
      </c>
      <c r="K29" s="28">
        <f>VLOOKUP($I$1&amp;K$8,DATA!$A:$EB,작업!$A29,0)/100</f>
        <v>76547.591679160003</v>
      </c>
      <c r="L29" s="28">
        <f>VLOOKUP($I$1&amp;L$8,DATA!$A:$EB,작업!$A29,0)/100</f>
        <v>124687.76</v>
      </c>
      <c r="M29" s="28">
        <f>VLOOKUP($I$1&amp;M$8,DATA!$A:$EB,작업!$A29,0)/100</f>
        <v>62392.94</v>
      </c>
      <c r="N29" s="28">
        <f>VLOOKUP($I$1&amp;N$8,DATA!$A:$EB,작업!$A29,0)/100</f>
        <v>15339.71</v>
      </c>
      <c r="O29" s="28">
        <f>VLOOKUP($I$1&amp;O$8,DATA!$A:$EB,작업!$A29,0)/100</f>
        <v>42185.88</v>
      </c>
      <c r="P29" s="28">
        <f>VLOOKUP($I$1&amp;P$8,DATA!$A:$EB,작업!$A29,0)/100</f>
        <v>206277.77238042999</v>
      </c>
      <c r="Q29" s="28">
        <f>VLOOKUP($I$1&amp;Q$8,DATA!$A:$EB,작업!$A29,0)/100</f>
        <v>48834.874665219999</v>
      </c>
      <c r="R29" s="28">
        <f>VLOOKUP($I$1&amp;R$8,DATA!$A:$EB,작업!$A29,0)/100</f>
        <v>58543.187987949997</v>
      </c>
      <c r="S29" s="28">
        <f>VLOOKUP($I$1&amp;S$8,DATA!$A:$EB,작업!$A29,0)/100</f>
        <v>57172.34</v>
      </c>
      <c r="T29" s="27">
        <f>VLOOKUP($I$1&amp;T$8,DATA!$A:$EB,작업!$A29,0)/100</f>
        <v>98549.01</v>
      </c>
    </row>
    <row r="30" spans="1:20">
      <c r="C30" s="299"/>
      <c r="D30" s="299"/>
      <c r="E30" s="299"/>
      <c r="F30" s="299"/>
      <c r="G30" s="299"/>
      <c r="H30" s="299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0"/>
    </row>
    <row r="31" spans="1:20">
      <c r="C31" s="299"/>
      <c r="D31" s="299"/>
      <c r="E31" s="299"/>
      <c r="F31" s="299"/>
      <c r="G31" s="299"/>
      <c r="H31" s="299"/>
      <c r="I31" s="300"/>
      <c r="J31" s="300"/>
      <c r="K31" s="300"/>
      <c r="L31" s="300"/>
      <c r="M31" s="300"/>
      <c r="N31" s="300"/>
      <c r="O31" s="300"/>
      <c r="P31" s="300"/>
      <c r="Q31" s="300"/>
      <c r="R31" s="300"/>
      <c r="S31" s="300"/>
      <c r="T31" s="300"/>
    </row>
    <row r="32" spans="1:20">
      <c r="C32" s="299"/>
      <c r="D32" s="299"/>
      <c r="E32" s="299"/>
      <c r="F32" s="299"/>
      <c r="G32" s="299"/>
      <c r="H32" s="299"/>
      <c r="I32" s="300"/>
      <c r="J32" s="300"/>
      <c r="K32" s="300"/>
      <c r="L32" s="300"/>
      <c r="M32" s="300"/>
      <c r="N32" s="300"/>
      <c r="O32" s="300"/>
      <c r="P32" s="300"/>
      <c r="Q32" s="300"/>
      <c r="R32" s="300"/>
      <c r="S32" s="300"/>
      <c r="T32" s="300"/>
    </row>
    <row r="33" spans="1:24">
      <c r="C33" s="20" t="s">
        <v>114</v>
      </c>
      <c r="D33" s="20"/>
      <c r="E33" s="20"/>
      <c r="F33" s="20"/>
      <c r="G33" s="20"/>
      <c r="H33" s="20"/>
      <c r="I33" s="8">
        <f t="shared" ref="I33:T33" si="7">+I22/I9</f>
        <v>6.2937544290707886E-2</v>
      </c>
      <c r="J33" s="8">
        <f t="shared" si="7"/>
        <v>4.8598247809681444E-2</v>
      </c>
      <c r="K33" s="8">
        <f t="shared" si="7"/>
        <v>5.9109237974540277E-2</v>
      </c>
      <c r="L33" s="8">
        <f t="shared" si="7"/>
        <v>5.6332712237322523E-2</v>
      </c>
      <c r="M33" s="8">
        <f t="shared" si="7"/>
        <v>0.11721829580498141</v>
      </c>
      <c r="N33" s="8">
        <f t="shared" si="7"/>
        <v>4.5431269396361197E-2</v>
      </c>
      <c r="O33" s="8">
        <f t="shared" si="7"/>
        <v>8.9671120903062229E-2</v>
      </c>
      <c r="P33" s="8">
        <f t="shared" si="7"/>
        <v>0.15019725985183827</v>
      </c>
      <c r="Q33" s="8">
        <f t="shared" si="7"/>
        <v>0.16018756676673176</v>
      </c>
      <c r="R33" s="8">
        <f t="shared" si="7"/>
        <v>0.14178520731003108</v>
      </c>
      <c r="S33" s="8">
        <f t="shared" si="7"/>
        <v>0.15501551423519877</v>
      </c>
      <c r="T33" s="8">
        <f t="shared" si="7"/>
        <v>0.18854334241368975</v>
      </c>
    </row>
    <row r="34" spans="1:24">
      <c r="C34" s="20"/>
      <c r="D34" s="20"/>
      <c r="E34" s="20"/>
      <c r="F34" s="20"/>
      <c r="G34" s="20"/>
      <c r="H34" s="20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4">
      <c r="C35" s="20"/>
      <c r="D35" s="20"/>
      <c r="E35" s="20"/>
      <c r="F35" s="20"/>
      <c r="G35" s="20"/>
      <c r="H35" s="20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4" ht="16.5">
      <c r="A36" s="5">
        <f>DATA!T1</f>
        <v>20</v>
      </c>
      <c r="C36" s="20" t="s">
        <v>883</v>
      </c>
      <c r="D36" s="42"/>
      <c r="F36" s="42"/>
      <c r="G36" s="42"/>
      <c r="H36" s="42"/>
      <c r="I36" s="1">
        <f>VLOOKUP($I$1&amp;I$8,DATA!$A:$EB,작업!$A36,0)/100</f>
        <v>25532.379497679998</v>
      </c>
      <c r="J36" s="1">
        <f>VLOOKUP($I$1&amp;J$8,DATA!$A:$EB,작업!$A36,0)/100</f>
        <v>304884.96999999997</v>
      </c>
      <c r="K36" s="95">
        <f>VLOOKUP($I$1&amp;K$8,DATA!$A:$EB,작업!$A36,0)/100</f>
        <v>51004.94515218999</v>
      </c>
      <c r="L36" s="95">
        <f>VLOOKUP($I$1&amp;L$8,DATA!$A:$EB,작업!$A36,0)/100</f>
        <v>92515.4</v>
      </c>
      <c r="M36" s="95">
        <f>VLOOKUP($I$1&amp;M$8,DATA!$A:$EB,작업!$A36,0)/100</f>
        <v>67628.5</v>
      </c>
      <c r="N36" s="95">
        <f>VLOOKUP($I$1&amp;N$8,DATA!$A:$EB,작업!$A36,0)/100</f>
        <v>16683.90639253</v>
      </c>
      <c r="O36" s="95">
        <f>VLOOKUP($I$1&amp;O$8,DATA!$A:$EB,작업!$A36,0)/100</f>
        <v>44873.58</v>
      </c>
      <c r="P36" s="95">
        <f>VLOOKUP($I$1&amp;P$8,DATA!$A:$EB,작업!$A36,0)/100</f>
        <v>152958.37547477</v>
      </c>
      <c r="Q36" s="95">
        <f>VLOOKUP($I$1&amp;Q$8,DATA!$A:$EB,작업!$A36,0)/100</f>
        <v>49271.490534100005</v>
      </c>
      <c r="R36" s="95">
        <f>VLOOKUP($I$1&amp;R$8,DATA!$A:$EB,작업!$A36,0)/100</f>
        <v>54563.566250470001</v>
      </c>
      <c r="S36" s="95">
        <f>VLOOKUP($I$1&amp;S$8,DATA!$A:$EB,작업!$A36,0)/100</f>
        <v>58564.41</v>
      </c>
      <c r="T36" s="95">
        <f>VLOOKUP($I$1&amp;T$8,DATA!$A:$EB,작업!$A36,0)/100</f>
        <v>84159.986663000003</v>
      </c>
      <c r="X36" s="8">
        <f>58000*(1-25%)/P36</f>
        <v>0.28439109571463245</v>
      </c>
    </row>
    <row r="37" spans="1:24" ht="16.5">
      <c r="C37" s="20" t="s">
        <v>884</v>
      </c>
      <c r="D37" s="42"/>
      <c r="F37" s="42"/>
      <c r="G37" s="42"/>
      <c r="H37" s="42"/>
      <c r="I37" s="1">
        <f t="shared" ref="I37:T37" si="8">I19-I36</f>
        <v>-1167.3639409899988</v>
      </c>
      <c r="J37" s="1">
        <f t="shared" si="8"/>
        <v>259283.18000000005</v>
      </c>
      <c r="K37" s="1">
        <f t="shared" si="8"/>
        <v>3485.3844448400123</v>
      </c>
      <c r="L37" s="1">
        <f t="shared" si="8"/>
        <v>1487.8300000000017</v>
      </c>
      <c r="M37" s="1">
        <f t="shared" si="8"/>
        <v>-5235.5599999999977</v>
      </c>
      <c r="N37" s="1">
        <f t="shared" si="8"/>
        <v>-1344.1963925300006</v>
      </c>
      <c r="O37" s="1">
        <f t="shared" si="8"/>
        <v>-3185.7000000000044</v>
      </c>
      <c r="P37" s="1">
        <f t="shared" si="8"/>
        <v>53319.396905659989</v>
      </c>
      <c r="Q37" s="1">
        <f t="shared" si="8"/>
        <v>-436.61586888000602</v>
      </c>
      <c r="R37" s="1">
        <f t="shared" si="8"/>
        <v>2187.6685374799927</v>
      </c>
      <c r="S37" s="1">
        <f t="shared" si="8"/>
        <v>-1392.070000000007</v>
      </c>
      <c r="T37" s="1">
        <f t="shared" si="8"/>
        <v>5738.9633369999938</v>
      </c>
    </row>
    <row r="38" spans="1:24">
      <c r="A38" s="5">
        <f>DATA!BC1</f>
        <v>55</v>
      </c>
      <c r="C38" s="20" t="s">
        <v>874</v>
      </c>
      <c r="I38" s="1">
        <f>VLOOKUP($I$1&amp;I$8,DATA!$A:$EB,작업!$A38,0)/100</f>
        <v>-1906.09909176</v>
      </c>
      <c r="J38" s="1">
        <f>VLOOKUP($I$1&amp;J$8,DATA!$A:$EB,작업!$A38,0)/100</f>
        <v>184921.49</v>
      </c>
      <c r="K38" s="1">
        <f>VLOOKUP($I$1&amp;K$8,DATA!$A:$EB,작업!$A38,0)/100</f>
        <v>-22045.292046830004</v>
      </c>
      <c r="L38" s="1">
        <f>VLOOKUP($I$1&amp;L$8,DATA!$A:$EB,작업!$A38,0)/100</f>
        <v>-13492.79</v>
      </c>
      <c r="M38" s="1">
        <f>VLOOKUP($I$1&amp;M$8,DATA!$A:$EB,작업!$A38,0)/100</f>
        <v>-14743.28</v>
      </c>
      <c r="N38" s="1">
        <f>VLOOKUP($I$1&amp;N$8,DATA!$A:$EB,작업!$A38,0)/100</f>
        <v>-11033.2</v>
      </c>
      <c r="O38" s="1">
        <f>VLOOKUP($I$1&amp;O$8,DATA!$A:$EB,작업!$A38,0)/100</f>
        <v>3631.25</v>
      </c>
      <c r="P38" s="1">
        <f>VLOOKUP($I$1&amp;P$8,DATA!$A:$EB,작업!$A38,0)/100</f>
        <v>23684.638186889999</v>
      </c>
      <c r="Q38" s="1">
        <f>VLOOKUP($I$1&amp;Q$8,DATA!$A:$EB,작업!$A38,0)/100</f>
        <v>-25543.934873210001</v>
      </c>
      <c r="R38" s="1">
        <f>VLOOKUP($I$1&amp;R$8,DATA!$A:$EB,작업!$A38,0)/100</f>
        <v>-1713.7779680499998</v>
      </c>
      <c r="S38" s="1">
        <f>VLOOKUP($I$1&amp;S$8,DATA!$A:$EB,작업!$A38,0)/100</f>
        <v>-6840.24</v>
      </c>
      <c r="T38" s="1">
        <f>VLOOKUP($I$1&amp;T$8,DATA!$A:$EB,작업!$A38,0)/100</f>
        <v>-16094.55</v>
      </c>
    </row>
    <row r="39" spans="1:24">
      <c r="A39" s="5">
        <f>DATA!BN1</f>
        <v>66</v>
      </c>
      <c r="C39" s="20" t="s">
        <v>879</v>
      </c>
      <c r="I39" s="1">
        <f>VLOOKUP($I$1&amp;I$8,DATA!$A:$EB,작업!$A39,0)/100</f>
        <v>0</v>
      </c>
      <c r="J39" s="1">
        <f>VLOOKUP($I$1&amp;J$8,DATA!$A:$EB,작업!$A39,0)/100</f>
        <v>-8080.86</v>
      </c>
      <c r="K39" s="1">
        <f>VLOOKUP($I$1&amp;K$8,DATA!$A:$EB,작업!$A39,0)/100</f>
        <v>-1204.8730680000001</v>
      </c>
      <c r="L39" s="1">
        <f>VLOOKUP($I$1&amp;L$8,DATA!$A:$EB,작업!$A39,0)/100</f>
        <v>0</v>
      </c>
      <c r="M39" s="1">
        <f>VLOOKUP($I$1&amp;M$8,DATA!$A:$EB,작업!$A39,0)/100</f>
        <v>-3783.07</v>
      </c>
      <c r="N39" s="1">
        <f>VLOOKUP($I$1&amp;N$8,DATA!$A:$EB,작업!$A39,0)/100</f>
        <v>0</v>
      </c>
      <c r="O39" s="1">
        <f>VLOOKUP($I$1&amp;O$8,DATA!$A:$EB,작업!$A39,0)/100</f>
        <v>-2500</v>
      </c>
      <c r="P39" s="1">
        <f>VLOOKUP($I$1&amp;P$8,DATA!$A:$EB,작업!$A39,0)/100</f>
        <v>-8076.9421010000005</v>
      </c>
      <c r="Q39" s="1">
        <f>VLOOKUP($I$1&amp;Q$8,DATA!$A:$EB,작업!$A39,0)/100</f>
        <v>0</v>
      </c>
      <c r="R39" s="1">
        <f>VLOOKUP($I$1&amp;R$8,DATA!$A:$EB,작업!$A39,0)/100</f>
        <v>-8552.7000000000007</v>
      </c>
      <c r="S39" s="1">
        <f>VLOOKUP($I$1&amp;S$8,DATA!$A:$EB,작업!$A39,0)/100</f>
        <v>-2999.81</v>
      </c>
      <c r="T39" s="1">
        <f>VLOOKUP($I$1&amp;T$8,DATA!$A:$EB,작업!$A39,0)/100</f>
        <v>-4082.96</v>
      </c>
    </row>
    <row r="40" spans="1:24">
      <c r="A40" s="5">
        <f>DATA!BR1</f>
        <v>70</v>
      </c>
      <c r="C40" s="20" t="s">
        <v>880</v>
      </c>
      <c r="I40" s="1">
        <f>VLOOKUP($I$1&amp;I$8,DATA!$A:$EB,작업!$A40,0)/100</f>
        <v>0</v>
      </c>
      <c r="J40" s="1">
        <f>VLOOKUP($I$1&amp;J$8,DATA!$A:$EB,작업!$A40,0)/100</f>
        <v>0</v>
      </c>
      <c r="K40" s="1">
        <f>VLOOKUP($I$1&amp;K$8,DATA!$A:$EB,작업!$A40,0)/100</f>
        <v>-1159.16106255</v>
      </c>
      <c r="L40" s="1">
        <f>VLOOKUP($I$1&amp;L$8,DATA!$A:$EB,작업!$A40,0)/100</f>
        <v>-1144.5999999999999</v>
      </c>
      <c r="M40" s="1">
        <f>VLOOKUP($I$1&amp;M$8,DATA!$A:$EB,작업!$A40,0)/100</f>
        <v>-66.319999999999993</v>
      </c>
      <c r="N40" s="1">
        <f>VLOOKUP($I$1&amp;N$8,DATA!$A:$EB,작업!$A40,0)/100</f>
        <v>-224.66</v>
      </c>
      <c r="O40" s="1">
        <f>VLOOKUP($I$1&amp;O$8,DATA!$A:$EB,작업!$A40,0)/100</f>
        <v>-28</v>
      </c>
      <c r="P40" s="1">
        <f>VLOOKUP($I$1&amp;P$8,DATA!$A:$EB,작업!$A40,0)/100</f>
        <v>0</v>
      </c>
      <c r="Q40" s="1">
        <f>VLOOKUP($I$1&amp;Q$8,DATA!$A:$EB,작업!$A40,0)/100</f>
        <v>1.68521141</v>
      </c>
      <c r="R40" s="1">
        <f>VLOOKUP($I$1&amp;R$8,DATA!$A:$EB,작업!$A40,0)/100</f>
        <v>-98.430966579999989</v>
      </c>
      <c r="S40" s="1">
        <f>VLOOKUP($I$1&amp;S$8,DATA!$A:$EB,작업!$A40,0)/100</f>
        <v>0</v>
      </c>
      <c r="T40" s="1">
        <f>VLOOKUP($I$1&amp;T$8,DATA!$A:$EB,작업!$A40,0)/100</f>
        <v>-106.45</v>
      </c>
    </row>
    <row r="41" spans="1:24">
      <c r="C41" s="20" t="s">
        <v>881</v>
      </c>
      <c r="I41" s="1">
        <f>I39+I40</f>
        <v>0</v>
      </c>
      <c r="J41" s="1">
        <f t="shared" ref="J41:T41" si="9">J39+J40</f>
        <v>-8080.86</v>
      </c>
      <c r="K41" s="1">
        <f t="shared" si="9"/>
        <v>-2364.0341305500001</v>
      </c>
      <c r="L41" s="1">
        <f t="shared" si="9"/>
        <v>-1144.5999999999999</v>
      </c>
      <c r="M41" s="1">
        <f t="shared" si="9"/>
        <v>-3849.3900000000003</v>
      </c>
      <c r="N41" s="1">
        <f t="shared" si="9"/>
        <v>-224.66</v>
      </c>
      <c r="O41" s="1">
        <f t="shared" si="9"/>
        <v>-2528</v>
      </c>
      <c r="P41" s="1">
        <f t="shared" si="9"/>
        <v>-8076.9421010000005</v>
      </c>
      <c r="Q41" s="1">
        <f t="shared" si="9"/>
        <v>1.68521141</v>
      </c>
      <c r="R41" s="1">
        <f t="shared" si="9"/>
        <v>-8651.1309665799999</v>
      </c>
      <c r="S41" s="1">
        <f t="shared" si="9"/>
        <v>-2999.81</v>
      </c>
      <c r="T41" s="1">
        <f t="shared" si="9"/>
        <v>-4189.41</v>
      </c>
    </row>
    <row r="42" spans="1:24">
      <c r="C42" s="132" t="s">
        <v>882</v>
      </c>
      <c r="I42" s="1">
        <f>I37-I41</f>
        <v>-1167.3639409899988</v>
      </c>
      <c r="J42" s="1">
        <f t="shared" ref="J42:T42" si="10">J37-J41</f>
        <v>267364.04000000004</v>
      </c>
      <c r="K42" s="1">
        <f t="shared" si="10"/>
        <v>5849.4185753900128</v>
      </c>
      <c r="L42" s="1">
        <f t="shared" si="10"/>
        <v>2632.4300000000017</v>
      </c>
      <c r="M42" s="1">
        <f t="shared" si="10"/>
        <v>-1386.1699999999973</v>
      </c>
      <c r="N42" s="1">
        <f t="shared" si="10"/>
        <v>-1119.5363925300005</v>
      </c>
      <c r="O42" s="1">
        <f t="shared" si="10"/>
        <v>-657.70000000000437</v>
      </c>
      <c r="P42" s="1">
        <f t="shared" si="10"/>
        <v>61396.33900665999</v>
      </c>
      <c r="Q42" s="1">
        <f t="shared" si="10"/>
        <v>-438.30108029000604</v>
      </c>
      <c r="R42" s="1">
        <f t="shared" si="10"/>
        <v>10838.799504059993</v>
      </c>
      <c r="S42" s="1">
        <f t="shared" si="10"/>
        <v>1607.739999999993</v>
      </c>
      <c r="T42" s="1">
        <f t="shared" si="10"/>
        <v>9928.3733369999936</v>
      </c>
    </row>
    <row r="43" spans="1:24">
      <c r="C43" s="5" t="s">
        <v>885</v>
      </c>
      <c r="I43" s="133">
        <f>I42/I36</f>
        <v>-4.5720922372161646E-2</v>
      </c>
      <c r="J43" s="133">
        <f t="shared" ref="J43:T43" si="11">J42/J36</f>
        <v>0.87693414339185061</v>
      </c>
      <c r="K43" s="133">
        <f t="shared" si="11"/>
        <v>0.11468336173946179</v>
      </c>
      <c r="L43" s="133">
        <f t="shared" si="11"/>
        <v>2.8453965501959694E-2</v>
      </c>
      <c r="M43" s="133">
        <f t="shared" si="11"/>
        <v>-2.049683195694119E-2</v>
      </c>
      <c r="N43" s="133">
        <f t="shared" si="11"/>
        <v>-6.7102773546563313E-2</v>
      </c>
      <c r="O43" s="133">
        <f t="shared" si="11"/>
        <v>-1.4656731199070908E-2</v>
      </c>
      <c r="P43" s="133">
        <f t="shared" si="11"/>
        <v>0.40139246259703587</v>
      </c>
      <c r="Q43" s="133">
        <f t="shared" si="11"/>
        <v>-8.8956326577265803E-3</v>
      </c>
      <c r="R43" s="133">
        <f t="shared" si="11"/>
        <v>0.19864536445996378</v>
      </c>
      <c r="S43" s="133">
        <f t="shared" si="11"/>
        <v>2.7452509126276399E-2</v>
      </c>
      <c r="T43" s="133">
        <f t="shared" si="11"/>
        <v>0.11797023420115264</v>
      </c>
    </row>
    <row r="44" spans="1:24"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</row>
    <row r="45" spans="1:24">
      <c r="C45" s="5" t="s">
        <v>1051</v>
      </c>
      <c r="I45" s="21">
        <f>전기말!I6</f>
        <v>262484.12</v>
      </c>
      <c r="J45" s="21">
        <f>전기말!J6</f>
        <v>2021562.97</v>
      </c>
      <c r="K45" s="21">
        <f>전기말!K6</f>
        <v>944412.84</v>
      </c>
      <c r="L45" s="21">
        <f>전기말!L6</f>
        <v>971481.52</v>
      </c>
      <c r="M45" s="21">
        <f>전기말!M6</f>
        <v>484192.31000000006</v>
      </c>
      <c r="N45" s="21">
        <f>전기말!N6</f>
        <v>282214.55</v>
      </c>
      <c r="O45" s="21">
        <f>전기말!O6</f>
        <v>272097.38</v>
      </c>
      <c r="P45" s="21">
        <f>전기말!P6</f>
        <v>440606.61</v>
      </c>
      <c r="Q45" s="21">
        <f>전기말!Q6</f>
        <v>291620.43543000001</v>
      </c>
      <c r="R45" s="21">
        <f>전기말!R6</f>
        <v>228915.78</v>
      </c>
      <c r="S45" s="21">
        <f>전기말!S6</f>
        <v>225770.58000000002</v>
      </c>
      <c r="T45" s="21">
        <f>전기말!T6</f>
        <v>253559.63</v>
      </c>
    </row>
    <row r="46" spans="1:24">
      <c r="A46" s="5">
        <f>DATA!M1</f>
        <v>13</v>
      </c>
      <c r="C46" s="5" t="s">
        <v>1087</v>
      </c>
      <c r="I46" s="1">
        <f>VLOOKUP($I$1&amp;I$8,DATA!$A:$EB,작업!$A46,0)/100</f>
        <v>269966.98255522997</v>
      </c>
      <c r="J46" s="1">
        <f>VLOOKUP($I$1&amp;J$8,DATA!$A:$EB,작업!$A46,0)/100</f>
        <v>2008463.47</v>
      </c>
      <c r="K46" s="1">
        <f>VLOOKUP($I$1&amp;K$8,DATA!$A:$EB,작업!$A46,0)/100</f>
        <v>968327.58625911002</v>
      </c>
      <c r="L46" s="1">
        <f>VLOOKUP($I$1&amp;L$8,DATA!$A:$EB,작업!$A46,0)/100</f>
        <v>969358.3</v>
      </c>
      <c r="M46" s="1">
        <f>VLOOKUP($I$1&amp;M$8,DATA!$A:$EB,작업!$A46,0)/100</f>
        <v>479126.23</v>
      </c>
      <c r="N46" s="1">
        <f>VLOOKUP($I$1&amp;N$8,DATA!$A:$EB,작업!$A46,0)/100</f>
        <v>281450.78999999998</v>
      </c>
      <c r="O46" s="1">
        <f>VLOOKUP($I$1&amp;O$8,DATA!$A:$EB,작업!$A46,0)/100</f>
        <v>284773.7</v>
      </c>
      <c r="P46" s="1">
        <f>VLOOKUP($I$1&amp;P$8,DATA!$A:$EB,작업!$A46,0)/100</f>
        <v>487348.12310826004</v>
      </c>
      <c r="Q46" s="1">
        <f>VLOOKUP($I$1&amp;Q$8,DATA!$A:$EB,작업!$A46,0)/100</f>
        <v>348529.24404988997</v>
      </c>
      <c r="R46" s="1">
        <f>VLOOKUP($I$1&amp;R$8,DATA!$A:$EB,작업!$A46,0)/100</f>
        <v>237157.10921184</v>
      </c>
      <c r="S46" s="1">
        <f>VLOOKUP($I$1&amp;S$8,DATA!$A:$EB,작업!$A46,0)/100</f>
        <v>262197.01</v>
      </c>
      <c r="T46" s="1">
        <f>VLOOKUP($I$1&amp;T$8,DATA!$A:$EB,작업!$A46,0)/100</f>
        <v>315801.03999999998</v>
      </c>
    </row>
    <row r="47" spans="1:24">
      <c r="I47" s="409">
        <f>I23/I46</f>
        <v>-1.6011094705167168E-2</v>
      </c>
      <c r="J47" s="409">
        <f t="shared" ref="J47:T47" si="12">J23/J46</f>
        <v>0.21587701069813334</v>
      </c>
      <c r="K47" s="409">
        <f t="shared" si="12"/>
        <v>-2.4764150648955444E-2</v>
      </c>
      <c r="L47" s="409">
        <f t="shared" si="12"/>
        <v>-1.4505833395143983E-2</v>
      </c>
      <c r="M47" s="409">
        <f t="shared" si="12"/>
        <v>-4.4420256432214117E-2</v>
      </c>
      <c r="N47" s="409">
        <f t="shared" si="12"/>
        <v>-4.348941425959401E-2</v>
      </c>
      <c r="O47" s="409">
        <f t="shared" si="12"/>
        <v>1.1049826581597949E-3</v>
      </c>
      <c r="P47" s="409">
        <f t="shared" si="12"/>
        <v>0.13927680442674423</v>
      </c>
      <c r="Q47" s="409">
        <f t="shared" si="12"/>
        <v>-9.0647486740158878E-2</v>
      </c>
      <c r="R47" s="409">
        <f t="shared" si="12"/>
        <v>-3.2014963127662138E-2</v>
      </c>
      <c r="S47" s="409">
        <f t="shared" si="12"/>
        <v>-4.9894619316978479E-2</v>
      </c>
      <c r="T47" s="409">
        <f t="shared" si="12"/>
        <v>-7.0591914453479954E-2</v>
      </c>
    </row>
    <row r="48" spans="1:24">
      <c r="I48" s="8">
        <f>I72/I46</f>
        <v>1.3740040981719452E-2</v>
      </c>
      <c r="J48" s="8">
        <f t="shared" ref="J48:T48" si="13">J72/J46</f>
        <v>2.4390386348425844E-2</v>
      </c>
      <c r="K48" s="8">
        <f t="shared" si="13"/>
        <v>2.2515562201659713E-2</v>
      </c>
      <c r="L48" s="8">
        <f t="shared" si="13"/>
        <v>2.7774178030971625E-2</v>
      </c>
      <c r="M48" s="8">
        <f t="shared" si="13"/>
        <v>2.3484437493643377E-2</v>
      </c>
      <c r="N48" s="8">
        <f t="shared" si="13"/>
        <v>2.4662321963992356E-2</v>
      </c>
      <c r="O48" s="8">
        <f t="shared" si="13"/>
        <v>2.511629409597867E-2</v>
      </c>
      <c r="P48" s="8">
        <f t="shared" si="13"/>
        <v>1.4651313222383845E-2</v>
      </c>
      <c r="Q48" s="8">
        <f t="shared" si="13"/>
        <v>2.1184766549469498E-2</v>
      </c>
      <c r="R48" s="8">
        <f t="shared" si="13"/>
        <v>2.88267976562884E-2</v>
      </c>
      <c r="S48" s="8">
        <f t="shared" si="13"/>
        <v>2.0227271089018142E-2</v>
      </c>
      <c r="T48" s="8">
        <f t="shared" si="13"/>
        <v>1.8705733204678492E-2</v>
      </c>
    </row>
    <row r="49" spans="1:20">
      <c r="C49" s="5" t="s">
        <v>1088</v>
      </c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</row>
    <row r="50" spans="1:20"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</row>
    <row r="52" spans="1:20"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</row>
    <row r="54" spans="1:20"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</row>
    <row r="55" spans="1:20">
      <c r="A55" s="5">
        <f>DATA!BM1</f>
        <v>65</v>
      </c>
      <c r="C55" s="5" t="s">
        <v>911</v>
      </c>
      <c r="I55" s="1">
        <f>VLOOKUP($I$1&amp;I$8,DATA!$A:$EB,작업!$A55,0)/100</f>
        <v>19429.240789989999</v>
      </c>
      <c r="J55" s="1">
        <f>VLOOKUP($I$1&amp;J$8,DATA!$A:$EB,작업!$A55,0)/100</f>
        <v>140005.85999999999</v>
      </c>
      <c r="K55" s="1">
        <f>VLOOKUP($I$1&amp;K$8,DATA!$A:$EB,작업!$A55,0)/100</f>
        <v>70340.021165919999</v>
      </c>
      <c r="L55" s="1">
        <f>VLOOKUP($I$1&amp;L$8,DATA!$A:$EB,작업!$A55,0)/100</f>
        <v>68864.759999999995</v>
      </c>
      <c r="M55" s="1">
        <f>VLOOKUP($I$1&amp;M$8,DATA!$A:$EB,작업!$A55,0)/100</f>
        <v>68374.2</v>
      </c>
      <c r="N55" s="1">
        <f>VLOOKUP($I$1&amp;N$8,DATA!$A:$EB,작업!$A55,0)/100</f>
        <v>15614.98</v>
      </c>
      <c r="O55" s="1">
        <f>VLOOKUP($I$1&amp;O$8,DATA!$A:$EB,작업!$A55,0)/100</f>
        <v>31459.3</v>
      </c>
      <c r="P55" s="1">
        <f>VLOOKUP($I$1&amp;P$8,DATA!$A:$EB,작업!$A55,0)/100</f>
        <v>134451.70648237001</v>
      </c>
      <c r="Q55" s="1">
        <f>VLOOKUP($I$1&amp;Q$8,DATA!$A:$EB,작업!$A55,0)/100</f>
        <v>73913.76929733</v>
      </c>
      <c r="R55" s="1">
        <f>VLOOKUP($I$1&amp;R$8,DATA!$A:$EB,작업!$A55,0)/100</f>
        <v>54570.501611390006</v>
      </c>
      <c r="S55" s="1">
        <f>VLOOKUP($I$1&amp;S$8,DATA!$A:$EB,작업!$A55,0)/100</f>
        <v>61587.61</v>
      </c>
      <c r="T55" s="1">
        <f>VLOOKUP($I$1&amp;T$8,DATA!$A:$EB,작업!$A55,0)/100</f>
        <v>101046.33</v>
      </c>
    </row>
    <row r="56" spans="1:20">
      <c r="D56" s="5" t="s">
        <v>928</v>
      </c>
      <c r="I56" s="158">
        <f>+I22-I55</f>
        <v>1249.0038922099993</v>
      </c>
      <c r="J56" s="158">
        <f t="shared" ref="J56:T56" si="14">+J22-J55</f>
        <v>10623.580000000016</v>
      </c>
      <c r="K56" s="158">
        <f t="shared" si="14"/>
        <v>5417.8031736699922</v>
      </c>
      <c r="L56" s="158">
        <f t="shared" si="14"/>
        <v>1988.6000000000058</v>
      </c>
      <c r="M56" s="158">
        <f t="shared" si="14"/>
        <v>1309.7700000000041</v>
      </c>
      <c r="N56" s="158">
        <f t="shared" si="14"/>
        <v>429.19000000000051</v>
      </c>
      <c r="O56" s="158">
        <f t="shared" si="14"/>
        <v>130.88000000000102</v>
      </c>
      <c r="P56" s="158">
        <f t="shared" si="14"/>
        <v>6446.9078185399994</v>
      </c>
      <c r="Q56" s="158">
        <f t="shared" si="14"/>
        <v>5612.749256480005</v>
      </c>
      <c r="R56" s="158">
        <f t="shared" si="14"/>
        <v>8159.2330923099944</v>
      </c>
      <c r="S56" s="158">
        <f t="shared" si="14"/>
        <v>8001.9499999999971</v>
      </c>
      <c r="T56" s="158">
        <f t="shared" si="14"/>
        <v>10965.059999999998</v>
      </c>
    </row>
    <row r="57" spans="1:20"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</row>
    <row r="59" spans="1:20"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</row>
    <row r="60" spans="1:20" ht="16.5">
      <c r="C60" s="41" t="s">
        <v>1052</v>
      </c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</row>
    <row r="61" spans="1:20" ht="16.5"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2"/>
      <c r="P61" s="43"/>
      <c r="Q61" s="43"/>
      <c r="R61" s="42"/>
      <c r="S61" s="42"/>
      <c r="T61" s="44" t="s">
        <v>104</v>
      </c>
    </row>
    <row r="62" spans="1:20" ht="21.75" customHeight="1">
      <c r="C62" s="729" t="s">
        <v>105</v>
      </c>
      <c r="D62" s="729"/>
      <c r="E62" s="729"/>
      <c r="F62" s="729"/>
      <c r="G62" s="729"/>
      <c r="H62" s="730"/>
      <c r="I62" s="45" t="s">
        <v>124</v>
      </c>
      <c r="J62" s="45" t="s">
        <v>136</v>
      </c>
      <c r="K62" s="45" t="s">
        <v>137</v>
      </c>
      <c r="L62" s="45" t="s">
        <v>138</v>
      </c>
      <c r="M62" s="45" t="s">
        <v>4</v>
      </c>
      <c r="N62" s="45" t="s">
        <v>139</v>
      </c>
      <c r="O62" s="46" t="s">
        <v>6</v>
      </c>
      <c r="P62" s="46" t="s">
        <v>106</v>
      </c>
      <c r="Q62" s="46" t="s">
        <v>107</v>
      </c>
      <c r="R62" s="46" t="s">
        <v>108</v>
      </c>
      <c r="S62" s="46" t="s">
        <v>109</v>
      </c>
      <c r="T62" s="46" t="s">
        <v>110</v>
      </c>
    </row>
    <row r="63" spans="1:20" ht="21.75" customHeight="1">
      <c r="C63" s="740" t="s">
        <v>38</v>
      </c>
      <c r="D63" s="741"/>
      <c r="E63" s="741"/>
      <c r="F63" s="741"/>
      <c r="G63" s="741"/>
      <c r="H63" s="741"/>
      <c r="I63" s="349">
        <f>I22</f>
        <v>20678.244682199998</v>
      </c>
      <c r="J63" s="349">
        <f t="shared" ref="J63:T63" si="15">J22</f>
        <v>150629.44</v>
      </c>
      <c r="K63" s="349">
        <f t="shared" si="15"/>
        <v>75757.824339589992</v>
      </c>
      <c r="L63" s="349">
        <f t="shared" si="15"/>
        <v>70853.36</v>
      </c>
      <c r="M63" s="349">
        <f t="shared" si="15"/>
        <v>69683.97</v>
      </c>
      <c r="N63" s="349">
        <f t="shared" si="15"/>
        <v>16044.17</v>
      </c>
      <c r="O63" s="349">
        <f t="shared" si="15"/>
        <v>31590.18</v>
      </c>
      <c r="P63" s="349">
        <f t="shared" si="15"/>
        <v>140898.61430091001</v>
      </c>
      <c r="Q63" s="349">
        <f t="shared" si="15"/>
        <v>79526.518553810005</v>
      </c>
      <c r="R63" s="349">
        <f t="shared" si="15"/>
        <v>62729.7347037</v>
      </c>
      <c r="S63" s="349">
        <f t="shared" si="15"/>
        <v>69589.56</v>
      </c>
      <c r="T63" s="348">
        <f t="shared" si="15"/>
        <v>112011.39</v>
      </c>
    </row>
    <row r="64" spans="1:20" ht="21.75" customHeight="1">
      <c r="A64" s="5">
        <f>DATA!CU1</f>
        <v>99</v>
      </c>
      <c r="C64" s="748" t="s">
        <v>1062</v>
      </c>
      <c r="D64" s="748"/>
      <c r="E64" s="748"/>
      <c r="F64" s="748"/>
      <c r="G64" s="748"/>
      <c r="H64" s="749"/>
      <c r="I64" s="354">
        <f>VLOOKUP($I$1&amp;I$8,DATA!$A:$EB,작업!$A64,0)/100</f>
        <v>12199.681906920001</v>
      </c>
      <c r="J64" s="354">
        <f>VLOOKUP($I$1&amp;J$8,DATA!$A:$EB,작업!$A64,0)/100</f>
        <v>0</v>
      </c>
      <c r="K64" s="354">
        <f>VLOOKUP($I$1&amp;K$8,DATA!$A:$EB,작업!$A64,0)/100</f>
        <v>0</v>
      </c>
      <c r="L64" s="354">
        <f>VLOOKUP($I$1&amp;L$8,DATA!$A:$EB,작업!$A64,0)/100</f>
        <v>65077.896025990005</v>
      </c>
      <c r="M64" s="354">
        <f>VLOOKUP($I$1&amp;M$8,DATA!$A:$EB,작업!$A64,0)/100</f>
        <v>49183.55</v>
      </c>
      <c r="N64" s="354">
        <f>VLOOKUP($I$1&amp;N$8,DATA!$A:$EB,작업!$A64,0)/100</f>
        <v>11066.14</v>
      </c>
      <c r="O64" s="355">
        <f>VLOOKUP($I$1&amp;O$8,DATA!$A:$EB,작업!$A64,0)/100</f>
        <v>13611.55</v>
      </c>
      <c r="P64" s="355">
        <f>VLOOKUP($I$1&amp;P$8,DATA!$A:$EB,작업!$A64,0)/100</f>
        <v>41300.699695299998</v>
      </c>
      <c r="Q64" s="355">
        <f>VLOOKUP($I$1&amp;Q$8,DATA!$A:$EB,작업!$A64,0)/100</f>
        <v>39166.1458891</v>
      </c>
      <c r="R64" s="355">
        <f>VLOOKUP($I$1&amp;R$8,DATA!$A:$EB,작업!$A64,0)/100</f>
        <v>29765.66</v>
      </c>
      <c r="S64" s="355">
        <f>VLOOKUP($I$1&amp;S$8,DATA!$A:$EB,작업!$A64,0)/100</f>
        <v>36462.36</v>
      </c>
      <c r="T64" s="355">
        <f>VLOOKUP($I$1&amp;T$8,DATA!$A:$EB,작업!$A64,0)/100</f>
        <v>45412.873570520002</v>
      </c>
    </row>
    <row r="65" spans="1:20" ht="21.75" customHeight="1">
      <c r="C65" s="750" t="s">
        <v>1063</v>
      </c>
      <c r="D65" s="750"/>
      <c r="E65" s="750"/>
      <c r="F65" s="750"/>
      <c r="G65" s="750"/>
      <c r="H65" s="751"/>
      <c r="I65" s="356">
        <f>I64/I63</f>
        <v>0.58997666844621421</v>
      </c>
      <c r="J65" s="356">
        <f t="shared" ref="J65:T65" si="16">J64/J63</f>
        <v>0</v>
      </c>
      <c r="K65" s="356">
        <f t="shared" si="16"/>
        <v>0</v>
      </c>
      <c r="L65" s="356">
        <f t="shared" si="16"/>
        <v>0.91848708411273661</v>
      </c>
      <c r="M65" s="356">
        <f t="shared" si="16"/>
        <v>0.70580866733052094</v>
      </c>
      <c r="N65" s="356">
        <f t="shared" si="16"/>
        <v>0.68972966504343947</v>
      </c>
      <c r="O65" s="74">
        <f t="shared" si="16"/>
        <v>0.43087915295196161</v>
      </c>
      <c r="P65" s="74">
        <f t="shared" si="16"/>
        <v>0.2931235335437451</v>
      </c>
      <c r="Q65" s="74">
        <f t="shared" si="16"/>
        <v>0.492491644313576</v>
      </c>
      <c r="R65" s="74">
        <f t="shared" si="16"/>
        <v>0.4745063906390844</v>
      </c>
      <c r="S65" s="74">
        <f t="shared" si="16"/>
        <v>0.52396307722020374</v>
      </c>
      <c r="T65" s="74">
        <f t="shared" si="16"/>
        <v>0.40543085458112788</v>
      </c>
    </row>
    <row r="66" spans="1:20" ht="21.75" customHeight="1">
      <c r="C66" s="752" t="s">
        <v>1064</v>
      </c>
      <c r="D66" s="752"/>
      <c r="E66" s="752"/>
      <c r="F66" s="752"/>
      <c r="G66" s="752"/>
      <c r="H66" s="753"/>
      <c r="I66" s="77">
        <f>I64/I19</f>
        <v>0.50070486836074624</v>
      </c>
      <c r="J66" s="77">
        <f t="shared" ref="J66:T66" si="17">J64/J19</f>
        <v>0</v>
      </c>
      <c r="K66" s="77">
        <f t="shared" si="17"/>
        <v>0</v>
      </c>
      <c r="L66" s="77">
        <f t="shared" si="17"/>
        <v>0.69229425442072579</v>
      </c>
      <c r="M66" s="77">
        <f t="shared" si="17"/>
        <v>0.7882871042781443</v>
      </c>
      <c r="N66" s="77">
        <f t="shared" si="17"/>
        <v>0.72140477231968536</v>
      </c>
      <c r="O66" s="76">
        <f t="shared" si="17"/>
        <v>0.32651096673661506</v>
      </c>
      <c r="P66" s="76">
        <f t="shared" si="17"/>
        <v>0.20021885644145285</v>
      </c>
      <c r="Q66" s="76">
        <f t="shared" si="17"/>
        <v>0.80201180319592325</v>
      </c>
      <c r="R66" s="76">
        <f t="shared" si="17"/>
        <v>0.52449360989622296</v>
      </c>
      <c r="S66" s="76">
        <f t="shared" si="17"/>
        <v>0.63776224656888281</v>
      </c>
      <c r="T66" s="76">
        <f t="shared" si="17"/>
        <v>0.50515466054408875</v>
      </c>
    </row>
    <row r="67" spans="1:20" ht="21.75" customHeight="1">
      <c r="A67" s="5">
        <f>DATA!X1</f>
        <v>24</v>
      </c>
      <c r="C67" s="740" t="s">
        <v>37</v>
      </c>
      <c r="D67" s="741"/>
      <c r="E67" s="741"/>
      <c r="F67" s="741"/>
      <c r="G67" s="741"/>
      <c r="H67" s="741"/>
      <c r="I67" s="349">
        <f>VLOOKUP($I$1&amp;I$8,DATA!$A:$EB,작업!$A67,0)/100</f>
        <v>-4322.4669249600001</v>
      </c>
      <c r="J67" s="349">
        <f>VLOOKUP($I$1&amp;J$8,DATA!$A:$EB,작업!$A67,0)/100</f>
        <v>433581.09</v>
      </c>
      <c r="K67" s="349">
        <f>VLOOKUP($I$1&amp;K$8,DATA!$A:$EB,작업!$A67,0)/100</f>
        <v>-23979.810223659999</v>
      </c>
      <c r="L67" s="349">
        <f>VLOOKUP($I$1&amp;L$8,DATA!$A:$EB,작업!$A67,0)/100</f>
        <v>-14061.35</v>
      </c>
      <c r="M67" s="349">
        <f>VLOOKUP($I$1&amp;M$8,DATA!$A:$EB,작업!$A67,0)/100</f>
        <v>-21282.91</v>
      </c>
      <c r="N67" s="349">
        <f>VLOOKUP($I$1&amp;N$8,DATA!$A:$EB,작업!$A67,0)/100</f>
        <v>-12240.13</v>
      </c>
      <c r="O67" s="349">
        <f>VLOOKUP($I$1&amp;O$8,DATA!$A:$EB,작업!$A67,0)/100</f>
        <v>314.67</v>
      </c>
      <c r="P67" s="349">
        <f>VLOOKUP($I$1&amp;P$8,DATA!$A:$EB,작업!$A67,0)/100</f>
        <v>67876.289229889997</v>
      </c>
      <c r="Q67" s="349">
        <f>VLOOKUP($I$1&amp;Q$8,DATA!$A:$EB,작업!$A67,0)/100</f>
        <v>-31593.30002857</v>
      </c>
      <c r="R67" s="349">
        <f>VLOOKUP($I$1&amp;R$8,DATA!$A:$EB,작업!$A67,0)/100</f>
        <v>-7592.58</v>
      </c>
      <c r="S67" s="349">
        <f>VLOOKUP($I$1&amp;S$8,DATA!$A:$EB,작업!$A67,0)/100</f>
        <v>-13082.22</v>
      </c>
      <c r="T67" s="348">
        <f>VLOOKUP($I$1&amp;T$8,DATA!$A:$EB,작업!$A67,0)/100</f>
        <v>-22293</v>
      </c>
    </row>
    <row r="68" spans="1:20" ht="36.75" customHeight="1">
      <c r="C68" s="754" t="s">
        <v>1053</v>
      </c>
      <c r="D68" s="755"/>
      <c r="E68" s="755"/>
      <c r="F68" s="755"/>
      <c r="G68" s="755"/>
      <c r="H68" s="755"/>
      <c r="I68" s="48">
        <f>I79+I80</f>
        <v>-10667.856269989999</v>
      </c>
      <c r="J68" s="48">
        <f t="shared" ref="J68:T68" si="18">J79+J80</f>
        <v>353864.95</v>
      </c>
      <c r="K68" s="48">
        <f t="shared" si="18"/>
        <v>-54687.86</v>
      </c>
      <c r="L68" s="48">
        <f t="shared" si="18"/>
        <v>-48833.68</v>
      </c>
      <c r="M68" s="48">
        <f t="shared" si="18"/>
        <v>-34536.83</v>
      </c>
      <c r="N68" s="48">
        <f t="shared" si="18"/>
        <v>-17978.560000000001</v>
      </c>
      <c r="O68" s="48">
        <f t="shared" si="18"/>
        <v>-11128.16</v>
      </c>
      <c r="P68" s="48">
        <f t="shared" si="18"/>
        <v>62437.88</v>
      </c>
      <c r="Q68" s="48">
        <f t="shared" si="18"/>
        <v>-40182.620992799995</v>
      </c>
      <c r="R68" s="48">
        <f t="shared" si="18"/>
        <v>-19989.990000000002</v>
      </c>
      <c r="S68" s="48">
        <f t="shared" si="18"/>
        <v>-20957.179999999997</v>
      </c>
      <c r="T68" s="49">
        <f t="shared" si="18"/>
        <v>-32018.6</v>
      </c>
    </row>
    <row r="69" spans="1:20" ht="21.75" customHeight="1">
      <c r="C69" s="350"/>
      <c r="D69" s="736" t="s">
        <v>1055</v>
      </c>
      <c r="E69" s="737"/>
      <c r="F69" s="737"/>
      <c r="G69" s="737"/>
      <c r="H69" s="738"/>
      <c r="I69" s="351">
        <f>+I68-I84</f>
        <v>-6186.4262699899991</v>
      </c>
      <c r="J69" s="351">
        <f t="shared" ref="J69:T69" si="19">+J68-J84</f>
        <v>199872.86000000002</v>
      </c>
      <c r="K69" s="351">
        <f t="shared" si="19"/>
        <v>-23731.72</v>
      </c>
      <c r="L69" s="351">
        <f t="shared" si="19"/>
        <v>-27446.83</v>
      </c>
      <c r="M69" s="351">
        <f t="shared" si="19"/>
        <v>-17779.470000000005</v>
      </c>
      <c r="N69" s="351">
        <f t="shared" si="19"/>
        <v>-8206.3100000000013</v>
      </c>
      <c r="O69" s="351">
        <f t="shared" si="19"/>
        <v>-10497.18</v>
      </c>
      <c r="P69" s="351">
        <f t="shared" si="19"/>
        <v>37212.39</v>
      </c>
      <c r="Q69" s="351">
        <f t="shared" si="19"/>
        <v>-13435.485952799994</v>
      </c>
      <c r="R69" s="351">
        <f t="shared" si="19"/>
        <v>-12652.94</v>
      </c>
      <c r="S69" s="351">
        <f t="shared" si="19"/>
        <v>-11704.709999999995</v>
      </c>
      <c r="T69" s="352">
        <f t="shared" si="19"/>
        <v>-12076.349999999999</v>
      </c>
    </row>
    <row r="70" spans="1:20" ht="21.75" customHeight="1">
      <c r="C70" s="350"/>
      <c r="D70" s="353"/>
      <c r="E70" s="333" t="s">
        <v>1071</v>
      </c>
      <c r="F70" s="333"/>
      <c r="G70" s="333"/>
      <c r="H70" s="334"/>
      <c r="I70" s="363">
        <f>I69/I77</f>
        <v>-0.20491456816308823</v>
      </c>
      <c r="J70" s="363">
        <f t="shared" ref="J70:T70" si="20">J69/J77</f>
        <v>0.53260052401258007</v>
      </c>
      <c r="K70" s="363">
        <f t="shared" si="20"/>
        <v>-0.2378939653620934</v>
      </c>
      <c r="L70" s="363">
        <f t="shared" si="20"/>
        <v>-0.24103403782262334</v>
      </c>
      <c r="M70" s="363">
        <f t="shared" si="20"/>
        <v>-0.21049389519909259</v>
      </c>
      <c r="N70" s="363">
        <f t="shared" si="20"/>
        <v>-0.27801537552684707</v>
      </c>
      <c r="O70" s="363">
        <f t="shared" si="20"/>
        <v>-0.1957148924602676</v>
      </c>
      <c r="P70" s="363">
        <f t="shared" si="20"/>
        <v>0.23396403313680933</v>
      </c>
      <c r="Q70" s="363">
        <f t="shared" si="20"/>
        <v>-0.21963835736361534</v>
      </c>
      <c r="R70" s="363">
        <f t="shared" si="20"/>
        <v>-0.23120639030784199</v>
      </c>
      <c r="S70" s="363">
        <f t="shared" si="20"/>
        <v>-0.18585347682434664</v>
      </c>
      <c r="T70" s="363">
        <f t="shared" si="20"/>
        <v>-0.13919981988234281</v>
      </c>
    </row>
    <row r="71" spans="1:20" ht="21.75" customHeight="1">
      <c r="C71" s="744" t="s">
        <v>1054</v>
      </c>
      <c r="D71" s="755"/>
      <c r="E71" s="755"/>
      <c r="F71" s="755"/>
      <c r="G71" s="755"/>
      <c r="H71" s="755"/>
      <c r="I71" s="48">
        <f>+I81+I82</f>
        <v>6300.6274040200005</v>
      </c>
      <c r="J71" s="48">
        <f t="shared" ref="J71:T71" si="21">+J81+J82</f>
        <v>81594.599999999991</v>
      </c>
      <c r="K71" s="48">
        <f t="shared" si="21"/>
        <v>24147.08</v>
      </c>
      <c r="L71" s="48">
        <f t="shared" si="21"/>
        <v>32318.18</v>
      </c>
      <c r="M71" s="48">
        <f t="shared" si="21"/>
        <v>13555.93</v>
      </c>
      <c r="N71" s="48">
        <f t="shared" si="21"/>
        <v>5711.96</v>
      </c>
      <c r="O71" s="48">
        <f t="shared" si="21"/>
        <v>11511.210000000001</v>
      </c>
      <c r="P71" s="48">
        <f t="shared" si="21"/>
        <v>6894.83</v>
      </c>
      <c r="Q71" s="48">
        <f t="shared" si="21"/>
        <v>6031.8777708600001</v>
      </c>
      <c r="R71" s="48">
        <f t="shared" si="21"/>
        <v>7987.5000000000009</v>
      </c>
      <c r="S71" s="48">
        <f t="shared" si="21"/>
        <v>7609.47</v>
      </c>
      <c r="T71" s="49">
        <f t="shared" si="21"/>
        <v>7636.21</v>
      </c>
    </row>
    <row r="72" spans="1:20" ht="21.75" customHeight="1">
      <c r="C72" s="347"/>
      <c r="D72" s="739" t="s">
        <v>1055</v>
      </c>
      <c r="E72" s="734"/>
      <c r="F72" s="734"/>
      <c r="G72" s="734"/>
      <c r="H72" s="735"/>
      <c r="I72" s="50">
        <f>I71-I85</f>
        <v>3709.3574040200006</v>
      </c>
      <c r="J72" s="50">
        <f t="shared" ref="J72:T72" si="22">J71-J85</f>
        <v>48987.199999999997</v>
      </c>
      <c r="K72" s="50">
        <f t="shared" si="22"/>
        <v>21802.440000000002</v>
      </c>
      <c r="L72" s="50">
        <f t="shared" si="22"/>
        <v>26923.13</v>
      </c>
      <c r="M72" s="50">
        <f t="shared" si="22"/>
        <v>11252.01</v>
      </c>
      <c r="N72" s="50">
        <f t="shared" si="22"/>
        <v>6941.23</v>
      </c>
      <c r="O72" s="50">
        <f t="shared" si="22"/>
        <v>7152.4600000000009</v>
      </c>
      <c r="P72" s="50">
        <f t="shared" si="22"/>
        <v>7140.29</v>
      </c>
      <c r="Q72" s="50">
        <f t="shared" si="22"/>
        <v>7383.5106708599997</v>
      </c>
      <c r="R72" s="50">
        <f t="shared" si="22"/>
        <v>6836.4800000000014</v>
      </c>
      <c r="S72" s="50">
        <f t="shared" si="22"/>
        <v>5303.5300000000007</v>
      </c>
      <c r="T72" s="51">
        <f t="shared" si="22"/>
        <v>5907.29</v>
      </c>
    </row>
    <row r="73" spans="1:20" ht="21.75" customHeight="1">
      <c r="C73" s="361"/>
      <c r="D73" s="362" t="s">
        <v>1074</v>
      </c>
      <c r="E73" s="330"/>
      <c r="F73" s="330"/>
      <c r="G73" s="330"/>
      <c r="H73" s="331"/>
      <c r="I73" s="363">
        <f>I72/I45</f>
        <v>1.4131740251638844E-2</v>
      </c>
      <c r="J73" s="363">
        <f t="shared" ref="J73:T73" si="23">J72/J45</f>
        <v>2.4232339396284053E-2</v>
      </c>
      <c r="K73" s="363">
        <f t="shared" si="23"/>
        <v>2.3085708999890348E-2</v>
      </c>
      <c r="L73" s="363">
        <f t="shared" si="23"/>
        <v>2.7713476217231595E-2</v>
      </c>
      <c r="M73" s="363">
        <f t="shared" si="23"/>
        <v>2.3238720994969951E-2</v>
      </c>
      <c r="N73" s="363">
        <f t="shared" si="23"/>
        <v>2.4595578080577347E-2</v>
      </c>
      <c r="O73" s="363">
        <f t="shared" si="23"/>
        <v>2.6286397906514207E-2</v>
      </c>
      <c r="P73" s="363">
        <f t="shared" si="23"/>
        <v>1.6205589834433032E-2</v>
      </c>
      <c r="Q73" s="363">
        <f t="shared" si="23"/>
        <v>2.5318906955107138E-2</v>
      </c>
      <c r="R73" s="363">
        <f t="shared" si="23"/>
        <v>2.9864607848353666E-2</v>
      </c>
      <c r="S73" s="363">
        <f t="shared" si="23"/>
        <v>2.3490793175975366E-2</v>
      </c>
      <c r="T73" s="363">
        <f t="shared" si="23"/>
        <v>2.32974389495678E-2</v>
      </c>
    </row>
    <row r="74" spans="1:20" ht="21.75" customHeight="1">
      <c r="A74" s="5">
        <f>DATA!V1</f>
        <v>22</v>
      </c>
      <c r="C74" s="740" t="s">
        <v>1040</v>
      </c>
      <c r="D74" s="741"/>
      <c r="E74" s="741"/>
      <c r="F74" s="741"/>
      <c r="G74" s="741"/>
      <c r="H74" s="741"/>
      <c r="I74" s="349">
        <f>VLOOKUP($I$1&amp;I$8,DATA!$A:$EB,작업!$A74,0)/100</f>
        <v>185410</v>
      </c>
      <c r="J74" s="349">
        <f>VLOOKUP($I$1&amp;J$8,DATA!$A:$EB,작업!$A74,0)/100</f>
        <v>2753258</v>
      </c>
      <c r="K74" s="349">
        <f>VLOOKUP($I$1&amp;K$8,DATA!$A:$EB,작업!$A74,0)/100</f>
        <v>1072542.6299999999</v>
      </c>
      <c r="L74" s="349">
        <f>VLOOKUP($I$1&amp;L$8,DATA!$A:$EB,작업!$A74,0)/100</f>
        <v>1229821.97</v>
      </c>
      <c r="M74" s="349">
        <f>VLOOKUP($I$1&amp;M$8,DATA!$A:$EB,작업!$A74,0)/100</f>
        <v>511751</v>
      </c>
      <c r="N74" s="349">
        <f>VLOOKUP($I$1&amp;N$8,DATA!$A:$EB,작업!$A74,0)/100</f>
        <v>326955.93</v>
      </c>
      <c r="O74" s="349">
        <f>VLOOKUP($I$1&amp;O$8,DATA!$A:$EB,작업!$A74,0)/100</f>
        <v>0</v>
      </c>
      <c r="P74" s="349">
        <f>VLOOKUP($I$1&amp;P$8,DATA!$A:$EB,작업!$A74,0)/100</f>
        <v>901521.63</v>
      </c>
      <c r="Q74" s="349">
        <f>VLOOKUP($I$1&amp;Q$8,DATA!$A:$EB,작업!$A74,0)/100</f>
        <v>470157.57</v>
      </c>
      <c r="R74" s="349">
        <f>VLOOKUP($I$1&amp;R$8,DATA!$A:$EB,작업!$A74,0)/100</f>
        <v>425150.95</v>
      </c>
      <c r="S74" s="349">
        <f>VLOOKUP($I$1&amp;S$8,DATA!$A:$EB,작업!$A74,0)/100</f>
        <v>422039</v>
      </c>
      <c r="T74" s="348">
        <f>VLOOKUP($I$1&amp;T$8,DATA!$A:$EB,작업!$A74,0)/100</f>
        <v>560935.65</v>
      </c>
    </row>
    <row r="75" spans="1:20" ht="21.75" customHeight="1">
      <c r="C75" s="740" t="s">
        <v>1065</v>
      </c>
      <c r="D75" s="741"/>
      <c r="E75" s="741"/>
      <c r="F75" s="741"/>
      <c r="G75" s="741"/>
      <c r="H75" s="741"/>
      <c r="I75" s="358">
        <f>I74/I29</f>
        <v>7.6096811663677038</v>
      </c>
      <c r="J75" s="358">
        <f t="shared" ref="J75:T75" si="24">J74/J29</f>
        <v>4.8802081436181748</v>
      </c>
      <c r="K75" s="358">
        <f t="shared" si="24"/>
        <v>14.011448387500327</v>
      </c>
      <c r="L75" s="358">
        <f t="shared" si="24"/>
        <v>9.8632132777106598</v>
      </c>
      <c r="M75" s="358">
        <f t="shared" si="24"/>
        <v>8.2020658106510123</v>
      </c>
      <c r="N75" s="358">
        <f t="shared" si="24"/>
        <v>21.314348837103179</v>
      </c>
      <c r="O75" s="358">
        <f t="shared" si="24"/>
        <v>0</v>
      </c>
      <c r="P75" s="358">
        <f t="shared" si="24"/>
        <v>4.3704254685151396</v>
      </c>
      <c r="Q75" s="358">
        <f t="shared" si="24"/>
        <v>9.6274961945350164</v>
      </c>
      <c r="R75" s="358">
        <f t="shared" si="24"/>
        <v>7.2621762601570188</v>
      </c>
      <c r="S75" s="358">
        <f t="shared" si="24"/>
        <v>7.3818738222014355</v>
      </c>
      <c r="T75" s="359">
        <f t="shared" si="24"/>
        <v>5.6919460682557848</v>
      </c>
    </row>
    <row r="76" spans="1:20" ht="21.75" customHeight="1">
      <c r="C76" s="346"/>
      <c r="D76" s="325"/>
      <c r="E76" s="325"/>
      <c r="F76" s="325"/>
      <c r="G76" s="325"/>
      <c r="H76" s="325"/>
      <c r="I76" s="357"/>
      <c r="J76" s="357"/>
      <c r="K76" s="357"/>
      <c r="L76" s="357"/>
      <c r="M76" s="357"/>
      <c r="N76" s="357"/>
      <c r="O76" s="357"/>
      <c r="P76" s="357"/>
      <c r="Q76" s="357"/>
      <c r="R76" s="357"/>
      <c r="S76" s="357"/>
      <c r="T76" s="357"/>
    </row>
    <row r="77" spans="1:20" ht="21.75" customHeight="1">
      <c r="C77" s="346"/>
      <c r="D77" s="325" t="s">
        <v>1072</v>
      </c>
      <c r="E77" s="325"/>
      <c r="F77" s="325"/>
      <c r="G77" s="325"/>
      <c r="H77" s="325"/>
      <c r="I77" s="357">
        <f>전기말!I18</f>
        <v>30190.270635449997</v>
      </c>
      <c r="J77" s="357">
        <f>전기말!J18</f>
        <v>375277.25</v>
      </c>
      <c r="K77" s="357">
        <f>전기말!K18</f>
        <v>99757.553596950005</v>
      </c>
      <c r="L77" s="357">
        <f>전기말!L18</f>
        <v>113871.17872621</v>
      </c>
      <c r="M77" s="357">
        <f>전기말!M18</f>
        <v>84465.49</v>
      </c>
      <c r="N77" s="357">
        <f>전기말!N18</f>
        <v>29517.468177609997</v>
      </c>
      <c r="O77" s="357">
        <f>전기말!O18</f>
        <v>53635.06</v>
      </c>
      <c r="P77" s="357">
        <f>전기말!P18</f>
        <v>159051.75466966</v>
      </c>
      <c r="Q77" s="357">
        <f>전기말!Q18</f>
        <v>61170.945339739999</v>
      </c>
      <c r="R77" s="357">
        <f>전기말!R18</f>
        <v>54725.736529829999</v>
      </c>
      <c r="S77" s="357">
        <f>전기말!S18</f>
        <v>62978.16</v>
      </c>
      <c r="T77" s="357">
        <f>전기말!T18</f>
        <v>86755.500188200007</v>
      </c>
    </row>
    <row r="78" spans="1:20"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5">
        <f>DATA!Y1</f>
        <v>25</v>
      </c>
      <c r="C79" s="5" t="s">
        <v>1058</v>
      </c>
      <c r="I79" s="1">
        <f>VLOOKUP($I$1&amp;I$8,DATA!$A:$EB,작업!$A79,0)/100</f>
        <v>-10462.47890303</v>
      </c>
      <c r="J79" s="1">
        <f>VLOOKUP($I$1&amp;J$8,DATA!$A:$EB,작업!$A79,0)/100</f>
        <v>362604.95</v>
      </c>
      <c r="K79" s="1">
        <f>VLOOKUP($I$1&amp;K$8,DATA!$A:$EB,작업!$A79,0)/100</f>
        <v>-52697.06</v>
      </c>
      <c r="L79" s="1">
        <f>VLOOKUP($I$1&amp;L$8,DATA!$A:$EB,작업!$A79,0)/100</f>
        <v>-40008.15</v>
      </c>
      <c r="M79" s="1">
        <f>VLOOKUP($I$1&amp;M$8,DATA!$A:$EB,작업!$A79,0)/100</f>
        <v>-32442.9</v>
      </c>
      <c r="N79" s="1">
        <f>VLOOKUP($I$1&amp;N$8,DATA!$A:$EB,작업!$A79,0)/100</f>
        <v>-16996.080000000002</v>
      </c>
      <c r="O79" s="1">
        <f>VLOOKUP($I$1&amp;O$8,DATA!$A:$EB,작업!$A79,0)/100</f>
        <v>-10639.57</v>
      </c>
      <c r="P79" s="1">
        <f>VLOOKUP($I$1&amp;P$8,DATA!$A:$EB,작업!$A79,0)/100</f>
        <v>63166.61</v>
      </c>
      <c r="Q79" s="1">
        <f>VLOOKUP($I$1&amp;Q$8,DATA!$A:$EB,작업!$A79,0)/100</f>
        <v>-38028.089962049999</v>
      </c>
      <c r="R79" s="1">
        <f>VLOOKUP($I$1&amp;R$8,DATA!$A:$EB,작업!$A79,0)/100</f>
        <v>-19160.18</v>
      </c>
      <c r="S79" s="1">
        <f>VLOOKUP($I$1&amp;S$8,DATA!$A:$EB,작업!$A79,0)/100</f>
        <v>-19028.669999999998</v>
      </c>
      <c r="T79" s="1">
        <f>VLOOKUP($I$1&amp;T$8,DATA!$A:$EB,작업!$A79,0)/100</f>
        <v>-25076.52</v>
      </c>
    </row>
    <row r="80" spans="1:20">
      <c r="A80" s="5">
        <f>DATA!AB1</f>
        <v>28</v>
      </c>
      <c r="C80" s="5" t="s">
        <v>1059</v>
      </c>
      <c r="I80" s="1">
        <f>VLOOKUP($I$1&amp;I$8,DATA!$A:$EB,작업!$A80,0)/100</f>
        <v>-205.37736695999999</v>
      </c>
      <c r="J80" s="1">
        <f>VLOOKUP($I$1&amp;J$8,DATA!$A:$EB,작업!$A80,0)/100</f>
        <v>-8740</v>
      </c>
      <c r="K80" s="1">
        <f>VLOOKUP($I$1&amp;K$8,DATA!$A:$EB,작업!$A80,0)/100</f>
        <v>-1990.8</v>
      </c>
      <c r="L80" s="1">
        <f>VLOOKUP($I$1&amp;L$8,DATA!$A:$EB,작업!$A80,0)/100</f>
        <v>-8825.5300000000007</v>
      </c>
      <c r="M80" s="1">
        <f>VLOOKUP($I$1&amp;M$8,DATA!$A:$EB,작업!$A80,0)/100</f>
        <v>-2093.9299999999998</v>
      </c>
      <c r="N80" s="1">
        <f>VLOOKUP($I$1&amp;N$8,DATA!$A:$EB,작업!$A80,0)/100</f>
        <v>-982.48</v>
      </c>
      <c r="O80" s="1">
        <f>VLOOKUP($I$1&amp;O$8,DATA!$A:$EB,작업!$A80,0)/100</f>
        <v>-488.59</v>
      </c>
      <c r="P80" s="1">
        <f>VLOOKUP($I$1&amp;P$8,DATA!$A:$EB,작업!$A80,0)/100</f>
        <v>-728.73</v>
      </c>
      <c r="Q80" s="1">
        <f>VLOOKUP($I$1&amp;Q$8,DATA!$A:$EB,작업!$A80,0)/100</f>
        <v>-2154.5310307499999</v>
      </c>
      <c r="R80" s="1">
        <f>VLOOKUP($I$1&amp;R$8,DATA!$A:$EB,작업!$A80,0)/100</f>
        <v>-829.81</v>
      </c>
      <c r="S80" s="1">
        <f>VLOOKUP($I$1&amp;S$8,DATA!$A:$EB,작업!$A80,0)/100</f>
        <v>-1928.51</v>
      </c>
      <c r="T80" s="1">
        <f>VLOOKUP($I$1&amp;T$8,DATA!$A:$EB,작업!$A80,0)/100</f>
        <v>-6942.08</v>
      </c>
    </row>
    <row r="81" spans="1:21">
      <c r="A81" s="5">
        <f>+DATA!Z1</f>
        <v>26</v>
      </c>
      <c r="C81" s="5" t="s">
        <v>1056</v>
      </c>
      <c r="I81" s="1">
        <f>VLOOKUP($I$1&amp;I$8,DATA!$A:$EB,작업!$A81,0)/100</f>
        <v>6328.1151359600008</v>
      </c>
      <c r="J81" s="1">
        <f>VLOOKUP($I$1&amp;J$8,DATA!$A:$EB,작업!$A81,0)/100</f>
        <v>78910.899999999994</v>
      </c>
      <c r="K81" s="1">
        <f>VLOOKUP($I$1&amp;K$8,DATA!$A:$EB,작업!$A81,0)/100</f>
        <v>24122.61</v>
      </c>
      <c r="L81" s="1">
        <f>VLOOKUP($I$1&amp;L$8,DATA!$A:$EB,작업!$A81,0)/100</f>
        <v>32213.81</v>
      </c>
      <c r="M81" s="1">
        <f>VLOOKUP($I$1&amp;M$8,DATA!$A:$EB,작업!$A81,0)/100</f>
        <v>14975.28</v>
      </c>
      <c r="N81" s="1">
        <f>VLOOKUP($I$1&amp;N$8,DATA!$A:$EB,작업!$A81,0)/100</f>
        <v>5759.01</v>
      </c>
      <c r="O81" s="1">
        <f>VLOOKUP($I$1&amp;O$8,DATA!$A:$EB,작업!$A81,0)/100</f>
        <v>11417.93</v>
      </c>
      <c r="P81" s="1">
        <f>VLOOKUP($I$1&amp;P$8,DATA!$A:$EB,작업!$A81,0)/100</f>
        <v>6972.32</v>
      </c>
      <c r="Q81" s="1">
        <f>VLOOKUP($I$1&amp;Q$8,DATA!$A:$EB,작업!$A81,0)/100</f>
        <v>6195.0223276200004</v>
      </c>
      <c r="R81" s="1">
        <f>VLOOKUP($I$1&amp;R$8,DATA!$A:$EB,작업!$A81,0)/100</f>
        <v>8622.0400000000009</v>
      </c>
      <c r="S81" s="1">
        <f>VLOOKUP($I$1&amp;S$8,DATA!$A:$EB,작업!$A81,0)/100</f>
        <v>7739.26</v>
      </c>
      <c r="T81" s="1">
        <f>VLOOKUP($I$1&amp;T$8,DATA!$A:$EB,작업!$A81,0)/100</f>
        <v>7650.24</v>
      </c>
    </row>
    <row r="82" spans="1:21">
      <c r="A82" s="5">
        <f>+DATA!AA1</f>
        <v>27</v>
      </c>
      <c r="C82" s="5" t="s">
        <v>1057</v>
      </c>
      <c r="I82" s="1">
        <f>VLOOKUP($I$1&amp;I$8,DATA!$A:$EB,작업!$A82,0)/100</f>
        <v>-27.48773194</v>
      </c>
      <c r="J82" s="1">
        <f>VLOOKUP($I$1&amp;J$8,DATA!$A:$EB,작업!$A82,0)/100</f>
        <v>2683.7</v>
      </c>
      <c r="K82" s="1">
        <f>VLOOKUP($I$1&amp;K$8,DATA!$A:$EB,작업!$A82,0)/100</f>
        <v>24.47</v>
      </c>
      <c r="L82" s="1">
        <f>VLOOKUP($I$1&amp;L$8,DATA!$A:$EB,작업!$A82,0)/100</f>
        <v>104.37</v>
      </c>
      <c r="M82" s="1">
        <f>VLOOKUP($I$1&amp;M$8,DATA!$A:$EB,작업!$A82,0)/100</f>
        <v>-1419.35</v>
      </c>
      <c r="N82" s="1">
        <f>VLOOKUP($I$1&amp;N$8,DATA!$A:$EB,작업!$A82,0)/100</f>
        <v>-47.05</v>
      </c>
      <c r="O82" s="1">
        <f>VLOOKUP($I$1&amp;O$8,DATA!$A:$EB,작업!$A82,0)/100</f>
        <v>93.28</v>
      </c>
      <c r="P82" s="1">
        <f>VLOOKUP($I$1&amp;P$8,DATA!$A:$EB,작업!$A82,0)/100</f>
        <v>-77.489999999999995</v>
      </c>
      <c r="Q82" s="1">
        <f>VLOOKUP($I$1&amp;Q$8,DATA!$A:$EB,작업!$A82,0)/100</f>
        <v>-163.14455676</v>
      </c>
      <c r="R82" s="1">
        <f>VLOOKUP($I$1&amp;R$8,DATA!$A:$EB,작업!$A82,0)/100</f>
        <v>-634.54</v>
      </c>
      <c r="S82" s="1">
        <f>VLOOKUP($I$1&amp;S$8,DATA!$A:$EB,작업!$A82,0)/100</f>
        <v>-129.79</v>
      </c>
      <c r="T82" s="1">
        <f>VLOOKUP($I$1&amp;T$8,DATA!$A:$EB,작업!$A82,0)/100</f>
        <v>-14.03</v>
      </c>
    </row>
    <row r="83" spans="1:21">
      <c r="I83" s="1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</row>
    <row r="84" spans="1:21" ht="31.5" customHeight="1">
      <c r="C84" s="742" t="s">
        <v>1060</v>
      </c>
      <c r="D84" s="743"/>
      <c r="E84" s="743"/>
      <c r="F84" s="743"/>
      <c r="G84" s="743"/>
      <c r="H84" s="744"/>
      <c r="I84" s="1">
        <f>전기말!I11+전기말!I12</f>
        <v>-4481.43</v>
      </c>
      <c r="J84" s="1">
        <f>전기말!J11+전기말!J12</f>
        <v>153992.09</v>
      </c>
      <c r="K84" s="1">
        <f>전기말!K11+전기말!K12</f>
        <v>-30956.14</v>
      </c>
      <c r="L84" s="1">
        <f>전기말!L11+전기말!L12</f>
        <v>-21386.85</v>
      </c>
      <c r="M84" s="1">
        <f>전기말!M11+전기말!M12</f>
        <v>-16757.359999999997</v>
      </c>
      <c r="N84" s="1">
        <f>전기말!N11+전기말!N12</f>
        <v>-9772.25</v>
      </c>
      <c r="O84" s="1">
        <f>전기말!O11+전기말!O12</f>
        <v>-630.9799999999999</v>
      </c>
      <c r="P84" s="1">
        <f>전기말!P11+전기말!P12</f>
        <v>25225.489999999998</v>
      </c>
      <c r="Q84" s="1">
        <f>전기말!Q11+전기말!Q12</f>
        <v>-26747.135040000001</v>
      </c>
      <c r="R84" s="1">
        <f>전기말!R11+전기말!R12</f>
        <v>-7337.0500000000011</v>
      </c>
      <c r="S84" s="1">
        <f>전기말!S11+전기말!S12</f>
        <v>-9252.4700000000012</v>
      </c>
      <c r="T84" s="1">
        <f>전기말!T11+전기말!T12</f>
        <v>-19942.25</v>
      </c>
    </row>
    <row r="85" spans="1:21">
      <c r="C85" s="734" t="s">
        <v>1061</v>
      </c>
      <c r="D85" s="734"/>
      <c r="E85" s="734"/>
      <c r="F85" s="734"/>
      <c r="G85" s="734"/>
      <c r="H85" s="735"/>
      <c r="I85" s="1">
        <f>+전기말!I13+전기말!I14</f>
        <v>2591.27</v>
      </c>
      <c r="J85" s="1">
        <f>+전기말!J13+전기말!J14</f>
        <v>32607.399999999998</v>
      </c>
      <c r="K85" s="1">
        <f>+전기말!K13+전기말!K14</f>
        <v>2344.6400000000003</v>
      </c>
      <c r="L85" s="1">
        <f>+전기말!L13+전기말!L14</f>
        <v>5395.0499999999993</v>
      </c>
      <c r="M85" s="1">
        <f>+전기말!M13+전기말!M14</f>
        <v>2303.92</v>
      </c>
      <c r="N85" s="1">
        <f>+전기말!N13+전기말!N14</f>
        <v>-1229.27</v>
      </c>
      <c r="O85" s="1">
        <f>+전기말!O13+전기말!O14</f>
        <v>4358.75</v>
      </c>
      <c r="P85" s="1">
        <f>+전기말!P13+전기말!P14</f>
        <v>-245.46</v>
      </c>
      <c r="Q85" s="1">
        <f>+전기말!Q13+전기말!Q14</f>
        <v>-1351.6329000000001</v>
      </c>
      <c r="R85" s="1">
        <f>+전기말!R13+전기말!R14</f>
        <v>1151.02</v>
      </c>
      <c r="S85" s="1">
        <f>+전기말!S13+전기말!S14</f>
        <v>2305.9399999999996</v>
      </c>
      <c r="T85" s="1">
        <f>+전기말!T13+전기말!T14</f>
        <v>1728.9199999999998</v>
      </c>
    </row>
    <row r="86" spans="1:21">
      <c r="I86" s="1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</row>
    <row r="87" spans="1:21"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</row>
    <row r="88" spans="1:21"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</row>
    <row r="89" spans="1:21" ht="16.5">
      <c r="C89" s="41" t="s">
        <v>142</v>
      </c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</row>
    <row r="90" spans="1:21" ht="16.5"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2"/>
      <c r="P90" s="43"/>
      <c r="Q90" s="43"/>
      <c r="R90" s="42"/>
      <c r="S90" s="42"/>
      <c r="T90" s="44" t="s">
        <v>104</v>
      </c>
      <c r="U90" s="42"/>
    </row>
    <row r="91" spans="1:21" ht="16.5">
      <c r="C91" s="729" t="s">
        <v>105</v>
      </c>
      <c r="D91" s="729"/>
      <c r="E91" s="729"/>
      <c r="F91" s="729"/>
      <c r="G91" s="729"/>
      <c r="H91" s="730"/>
      <c r="I91" s="45" t="s">
        <v>124</v>
      </c>
      <c r="J91" s="45" t="s">
        <v>136</v>
      </c>
      <c r="K91" s="45" t="s">
        <v>137</v>
      </c>
      <c r="L91" s="45" t="s">
        <v>138</v>
      </c>
      <c r="M91" s="45" t="s">
        <v>4</v>
      </c>
      <c r="N91" s="45" t="s">
        <v>139</v>
      </c>
      <c r="O91" s="46" t="s">
        <v>6</v>
      </c>
      <c r="P91" s="46" t="s">
        <v>106</v>
      </c>
      <c r="Q91" s="46" t="s">
        <v>107</v>
      </c>
      <c r="R91" s="46" t="s">
        <v>108</v>
      </c>
      <c r="S91" s="46" t="s">
        <v>109</v>
      </c>
      <c r="T91" s="46" t="s">
        <v>110</v>
      </c>
      <c r="U91" s="42"/>
    </row>
    <row r="92" spans="1:21" ht="16.5">
      <c r="A92" s="5">
        <f>DATA!$CN$1</f>
        <v>92</v>
      </c>
      <c r="C92" s="745" t="s">
        <v>65</v>
      </c>
      <c r="D92" s="745"/>
      <c r="E92" s="745"/>
      <c r="F92" s="745"/>
      <c r="G92" s="745"/>
      <c r="H92" s="740"/>
      <c r="I92" s="47">
        <f>VLOOKUP($I$1&amp;I$8,DATA!$A:$EB,작업!$A92,0)</f>
        <v>0</v>
      </c>
      <c r="J92" s="47">
        <f>VLOOKUP($I$1&amp;J$8,DATA!$A:$EB,작업!$A92,0)</f>
        <v>1.98</v>
      </c>
      <c r="K92" s="47">
        <f>VLOOKUP($I$1&amp;K$8,DATA!$A:$EB,작업!$A92,0)</f>
        <v>0</v>
      </c>
      <c r="L92" s="47">
        <f>VLOOKUP($I$1&amp;L$8,DATA!$A:$EB,작업!$A92,0)</f>
        <v>0</v>
      </c>
      <c r="M92" s="47">
        <f>VLOOKUP($I$1&amp;M$8,DATA!$A:$EB,작업!$A92,0)</f>
        <v>2.06</v>
      </c>
      <c r="N92" s="47">
        <f>VLOOKUP($I$1&amp;N$8,DATA!$A:$EB,작업!$A92,0)</f>
        <v>1.7729999999999999</v>
      </c>
      <c r="O92" s="47">
        <f>VLOOKUP($I$1&amp;O$8,DATA!$A:$EB,작업!$A92,0)</f>
        <v>2.7206000000000001</v>
      </c>
      <c r="P92" s="47">
        <f>VLOOKUP($I$1&amp;P$8,DATA!$A:$EB,작업!$A92,0)</f>
        <v>2.6286999999999998</v>
      </c>
      <c r="Q92" s="47">
        <f>VLOOKUP($I$1&amp;Q$8,DATA!$A:$EB,작업!$A92,0)</f>
        <v>1.901</v>
      </c>
      <c r="R92" s="47">
        <f>VLOOKUP($I$1&amp;R$8,DATA!$A:$EB,작업!$A92,0)</f>
        <v>2.3740000000000001</v>
      </c>
      <c r="S92" s="47">
        <f>VLOOKUP($I$1&amp;S$8,DATA!$A:$EB,작업!$A92,0)</f>
        <v>1.9241999999999999</v>
      </c>
      <c r="T92" s="47">
        <f>VLOOKUP($I$1&amp;T$8,DATA!$A:$EB,작업!$A92,0)</f>
        <v>2.1779999999999999</v>
      </c>
      <c r="U92" s="42"/>
    </row>
    <row r="93" spans="1:21" ht="16.5">
      <c r="A93" s="5">
        <f>DATA!$CO$1</f>
        <v>93</v>
      </c>
      <c r="C93" s="743" t="s">
        <v>66</v>
      </c>
      <c r="D93" s="743"/>
      <c r="E93" s="743"/>
      <c r="F93" s="743"/>
      <c r="G93" s="743"/>
      <c r="H93" s="744"/>
      <c r="I93" s="48">
        <f>VLOOKUP($I$1&amp;I$8,DATA!$A:$EB,작업!$A93,0)/100</f>
        <v>0</v>
      </c>
      <c r="J93" s="48">
        <f>VLOOKUP($I$1&amp;J$8,DATA!$A:$EB,작업!$A93,0)/100</f>
        <v>657397.18999999994</v>
      </c>
      <c r="K93" s="48">
        <f>VLOOKUP($I$1&amp;K$8,DATA!$A:$EB,작업!$A93,0)/100</f>
        <v>0</v>
      </c>
      <c r="L93" s="48">
        <f>VLOOKUP($I$1&amp;L$8,DATA!$A:$EB,작업!$A93,0)/100</f>
        <v>0</v>
      </c>
      <c r="M93" s="48">
        <f>VLOOKUP($I$1&amp;M$8,DATA!$A:$EB,작업!$A93,0)/100</f>
        <v>98765</v>
      </c>
      <c r="N93" s="48">
        <f>VLOOKUP($I$1&amp;N$8,DATA!$A:$EB,작업!$A93,0)/100</f>
        <v>40151.660000000003</v>
      </c>
      <c r="O93" s="49">
        <f>VLOOKUP($I$1&amp;O$8,DATA!$A:$EB,작업!$A93,0)/100</f>
        <v>58714.44</v>
      </c>
      <c r="P93" s="49">
        <f>VLOOKUP($I$1&amp;P$8,DATA!$A:$EB,작업!$A93,0)/100</f>
        <v>293000</v>
      </c>
      <c r="Q93" s="49">
        <f>VLOOKUP($I$1&amp;Q$8,DATA!$A:$EB,작업!$A93,0)/100</f>
        <v>139584.76</v>
      </c>
      <c r="R93" s="49">
        <f>VLOOKUP($I$1&amp;R$8,DATA!$A:$EB,작업!$A93,0)/100</f>
        <v>133466</v>
      </c>
      <c r="S93" s="49">
        <f>VLOOKUP($I$1&amp;S$8,DATA!$A:$EB,작업!$A93,0)/100</f>
        <v>121908.38</v>
      </c>
      <c r="T93" s="49">
        <f>VLOOKUP($I$1&amp;T$8,DATA!$A:$EB,작업!$A93,0)/100</f>
        <v>215551.74</v>
      </c>
      <c r="U93" s="42"/>
    </row>
    <row r="94" spans="1:21" ht="16.5">
      <c r="A94" s="5">
        <f>DATA!$CP$1</f>
        <v>94</v>
      </c>
      <c r="C94" s="734" t="s">
        <v>67</v>
      </c>
      <c r="D94" s="734"/>
      <c r="E94" s="734"/>
      <c r="F94" s="734"/>
      <c r="G94" s="734"/>
      <c r="H94" s="735"/>
      <c r="I94" s="50">
        <f>VLOOKUP($I$1&amp;I$8,DATA!$A:$EB,작업!$A94,0)/100</f>
        <v>0</v>
      </c>
      <c r="J94" s="50">
        <f>VLOOKUP($I$1&amp;J$8,DATA!$A:$EB,작업!$A94,0)/100</f>
        <v>332051.92</v>
      </c>
      <c r="K94" s="50">
        <f>VLOOKUP($I$1&amp;K$8,DATA!$A:$EB,작업!$A94,0)/100</f>
        <v>0</v>
      </c>
      <c r="L94" s="50">
        <f>VLOOKUP($I$1&amp;L$8,DATA!$A:$EB,작업!$A94,0)/100</f>
        <v>0</v>
      </c>
      <c r="M94" s="50">
        <f>VLOOKUP($I$1&amp;M$8,DATA!$A:$EB,작업!$A94,0)/100</f>
        <v>47934</v>
      </c>
      <c r="N94" s="50">
        <f>VLOOKUP($I$1&amp;N$8,DATA!$A:$EB,작업!$A94,0)/100</f>
        <v>22647.45</v>
      </c>
      <c r="O94" s="51">
        <f>VLOOKUP($I$1&amp;O$8,DATA!$A:$EB,작업!$A94,0)/100</f>
        <v>21581.14</v>
      </c>
      <c r="P94" s="51">
        <f>VLOOKUP($I$1&amp;P$8,DATA!$A:$EB,작업!$A94,0)/100</f>
        <v>111463</v>
      </c>
      <c r="Q94" s="51">
        <f>VLOOKUP($I$1&amp;Q$8,DATA!$A:$EB,작업!$A94,0)/100</f>
        <v>73408.179999999993</v>
      </c>
      <c r="R94" s="51">
        <f>VLOOKUP($I$1&amp;R$8,DATA!$A:$EB,작업!$A94,0)/100</f>
        <v>56218</v>
      </c>
      <c r="S94" s="51">
        <f>VLOOKUP($I$1&amp;S$8,DATA!$A:$EB,작업!$A94,0)/100</f>
        <v>63686.33</v>
      </c>
      <c r="T94" s="51">
        <f>VLOOKUP($I$1&amp;T$8,DATA!$A:$EB,작업!$A94,0)/100</f>
        <v>98954.49</v>
      </c>
      <c r="U94" s="42"/>
    </row>
    <row r="95" spans="1:21" ht="16.5">
      <c r="C95" s="52" t="s">
        <v>143</v>
      </c>
      <c r="D95" s="53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42"/>
      <c r="U95" s="42"/>
    </row>
    <row r="96" spans="1:21" ht="16.5">
      <c r="C96" s="55"/>
      <c r="D96" s="53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42"/>
      <c r="U96" s="42"/>
    </row>
    <row r="97" spans="1:21" ht="16.5">
      <c r="C97" s="41" t="s">
        <v>888</v>
      </c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</row>
    <row r="98" spans="1:21" ht="16.5"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2"/>
      <c r="P98" s="43"/>
      <c r="Q98" s="43"/>
      <c r="R98" s="42"/>
      <c r="S98" s="42"/>
      <c r="T98" s="44" t="s">
        <v>104</v>
      </c>
      <c r="U98" s="42"/>
    </row>
    <row r="99" spans="1:21" ht="16.5">
      <c r="C99" s="729" t="s">
        <v>105</v>
      </c>
      <c r="D99" s="729"/>
      <c r="E99" s="729"/>
      <c r="F99" s="729"/>
      <c r="G99" s="729"/>
      <c r="H99" s="730"/>
      <c r="I99" s="45" t="s">
        <v>124</v>
      </c>
      <c r="J99" s="45" t="s">
        <v>136</v>
      </c>
      <c r="K99" s="45" t="s">
        <v>137</v>
      </c>
      <c r="L99" s="45" t="s">
        <v>138</v>
      </c>
      <c r="M99" s="45" t="s">
        <v>4</v>
      </c>
      <c r="N99" s="45" t="s">
        <v>139</v>
      </c>
      <c r="O99" s="46" t="s">
        <v>6</v>
      </c>
      <c r="P99" s="46" t="s">
        <v>106</v>
      </c>
      <c r="Q99" s="46" t="s">
        <v>107</v>
      </c>
      <c r="R99" s="46" t="s">
        <v>108</v>
      </c>
      <c r="S99" s="46" t="s">
        <v>109</v>
      </c>
      <c r="T99" s="46" t="s">
        <v>110</v>
      </c>
      <c r="U99" s="42"/>
    </row>
    <row r="100" spans="1:21" ht="16.5">
      <c r="A100" s="5">
        <f>DATA!$CQ$1</f>
        <v>95</v>
      </c>
      <c r="C100" s="745" t="s">
        <v>65</v>
      </c>
      <c r="D100" s="745"/>
      <c r="E100" s="745"/>
      <c r="F100" s="745"/>
      <c r="G100" s="745"/>
      <c r="H100" s="740"/>
      <c r="I100" s="47">
        <f>VLOOKUP($I$1&amp;I$8,DATA!$A:$EB,작업!$A100,0)</f>
        <v>1.7669999999999999</v>
      </c>
      <c r="J100" s="47">
        <f>VLOOKUP($I$1&amp;J$8,DATA!$A:$EB,작업!$A100,0)</f>
        <v>1.98</v>
      </c>
      <c r="K100" s="47">
        <f>VLOOKUP($I$1&amp;K$8,DATA!$A:$EB,작업!$A100,0)</f>
        <v>1.6566000000000001</v>
      </c>
      <c r="L100" s="47">
        <f>VLOOKUP($I$1&amp;L$8,DATA!$A:$EB,작업!$A100,0)</f>
        <v>1.575</v>
      </c>
      <c r="M100" s="47">
        <f>VLOOKUP($I$1&amp;M$8,DATA!$A:$EB,작업!$A100,0)</f>
        <v>2.06</v>
      </c>
      <c r="N100" s="47">
        <f>VLOOKUP($I$1&amp;N$8,DATA!$A:$EB,작업!$A100,0)</f>
        <v>1.798</v>
      </c>
      <c r="O100" s="47">
        <f>VLOOKUP($I$1&amp;O$8,DATA!$A:$EB,작업!$A100,0)</f>
        <v>2.7219000000000002</v>
      </c>
      <c r="P100" s="47">
        <f>VLOOKUP($I$1&amp;P$8,DATA!$A:$EB,작업!$A100,0)</f>
        <v>2.6286999999999998</v>
      </c>
      <c r="Q100" s="47">
        <f>VLOOKUP($I$1&amp;Q$8,DATA!$A:$EB,작업!$A100,0)</f>
        <v>1.901</v>
      </c>
      <c r="R100" s="47">
        <f>VLOOKUP($I$1&amp;R$8,DATA!$A:$EB,작업!$A100,0)</f>
        <v>2.4129999999999998</v>
      </c>
      <c r="S100" s="47">
        <f>VLOOKUP($I$1&amp;S$8,DATA!$A:$EB,작업!$A100,0)</f>
        <v>1.9154</v>
      </c>
      <c r="T100" s="47">
        <f>VLOOKUP($I$1&amp;T$8,DATA!$A:$EB,작업!$A100,0)</f>
        <v>2.1819999999999999</v>
      </c>
      <c r="U100" s="42"/>
    </row>
    <row r="101" spans="1:21" ht="16.5">
      <c r="A101" s="5">
        <f>DATA!$CR$1</f>
        <v>96</v>
      </c>
      <c r="C101" s="743" t="s">
        <v>66</v>
      </c>
      <c r="D101" s="743"/>
      <c r="E101" s="743"/>
      <c r="F101" s="743"/>
      <c r="G101" s="743"/>
      <c r="H101" s="744"/>
      <c r="I101" s="48">
        <f>VLOOKUP($I$1&amp;I$8,DATA!$A:$EB,작업!$A101,0)/100</f>
        <v>37022.39</v>
      </c>
      <c r="J101" s="48">
        <f>VLOOKUP($I$1&amp;J$8,DATA!$A:$EB,작업!$A101,0)/100</f>
        <v>657397.18999999994</v>
      </c>
      <c r="K101" s="48">
        <f>VLOOKUP($I$1&amp;K$8,DATA!$A:$EB,작업!$A101,0)/100</f>
        <v>142181.31</v>
      </c>
      <c r="L101" s="48">
        <f>VLOOKUP($I$1&amp;L$8,DATA!$A:$EB,작업!$A101,0)/100</f>
        <v>229010.84</v>
      </c>
      <c r="M101" s="48">
        <f>VLOOKUP($I$1&amp;M$8,DATA!$A:$EB,작업!$A101,0)/100</f>
        <v>98738</v>
      </c>
      <c r="N101" s="48">
        <f>VLOOKUP($I$1&amp;N$8,DATA!$A:$EB,작업!$A101,0)/100</f>
        <v>40594.959999999999</v>
      </c>
      <c r="O101" s="49">
        <f>VLOOKUP($I$1&amp;O$8,DATA!$A:$EB,작업!$A101,0)/100</f>
        <v>58716.62</v>
      </c>
      <c r="P101" s="49">
        <f>VLOOKUP($I$1&amp;P$8,DATA!$A:$EB,작업!$A101,0)/100</f>
        <v>293000</v>
      </c>
      <c r="Q101" s="49">
        <f>VLOOKUP($I$1&amp;Q$8,DATA!$A:$EB,작업!$A101,0)/100</f>
        <v>139584.76</v>
      </c>
      <c r="R101" s="49">
        <f>VLOOKUP($I$1&amp;R$8,DATA!$A:$EB,작업!$A101,0)/100</f>
        <v>133506.22</v>
      </c>
      <c r="S101" s="49">
        <f>VLOOKUP($I$1&amp;S$8,DATA!$A:$EB,작업!$A101,0)/100</f>
        <v>121908.66</v>
      </c>
      <c r="T101" s="49">
        <f>VLOOKUP($I$1&amp;T$8,DATA!$A:$EB,작업!$A101,0)/100</f>
        <v>215522.35</v>
      </c>
      <c r="U101" s="42"/>
    </row>
    <row r="102" spans="1:21" ht="16.5">
      <c r="A102" s="5">
        <f>DATA!$CS$1</f>
        <v>97</v>
      </c>
      <c r="C102" s="734" t="s">
        <v>67</v>
      </c>
      <c r="D102" s="734"/>
      <c r="E102" s="734"/>
      <c r="F102" s="734"/>
      <c r="G102" s="734"/>
      <c r="H102" s="735"/>
      <c r="I102" s="721">
        <f>VLOOKUP($I$1&amp;I$8,DATA!$A:$EB,작업!$A102,0)/100</f>
        <v>20953.93</v>
      </c>
      <c r="J102" s="721">
        <f>VLOOKUP($I$1&amp;J$8,DATA!$A:$EB,작업!$A102,0)/100</f>
        <v>332051.92</v>
      </c>
      <c r="K102" s="721">
        <f>VLOOKUP($I$1&amp;K$8,DATA!$A:$EB,작업!$A102,0)/100</f>
        <v>85824.88</v>
      </c>
      <c r="L102" s="721">
        <f>VLOOKUP($I$1&amp;L$8,DATA!$A:$EB,작업!$A102,0)/100</f>
        <v>145388.34</v>
      </c>
      <c r="M102" s="721">
        <f>VLOOKUP($I$1&amp;M$8,DATA!$A:$EB,작업!$A102,0)/100</f>
        <v>47935</v>
      </c>
      <c r="N102" s="721">
        <f>VLOOKUP($I$1&amp;N$8,DATA!$A:$EB,작업!$A102,0)/100</f>
        <v>22572.98</v>
      </c>
      <c r="O102" s="722">
        <f>VLOOKUP($I$1&amp;O$8,DATA!$A:$EB,작업!$A102,0)/100</f>
        <v>21571.59</v>
      </c>
      <c r="P102" s="722">
        <f>VLOOKUP($I$1&amp;P$8,DATA!$A:$EB,작업!$A102,0)/100</f>
        <v>111463</v>
      </c>
      <c r="Q102" s="722">
        <f>VLOOKUP($I$1&amp;Q$8,DATA!$A:$EB,작업!$A102,0)/100</f>
        <v>73408.179999999993</v>
      </c>
      <c r="R102" s="722">
        <f>VLOOKUP($I$1&amp;R$8,DATA!$A:$EB,작업!$A102,0)/100</f>
        <v>55321.86</v>
      </c>
      <c r="S102" s="722">
        <f>VLOOKUP($I$1&amp;S$8,DATA!$A:$EB,작업!$A102,0)/100</f>
        <v>63646.32</v>
      </c>
      <c r="T102" s="722">
        <f>VLOOKUP($I$1&amp;T$8,DATA!$A:$EB,작업!$A102,0)/100</f>
        <v>98763.53</v>
      </c>
      <c r="U102" s="42"/>
    </row>
    <row r="103" spans="1:21" ht="16.5">
      <c r="C103" s="52" t="s">
        <v>143</v>
      </c>
      <c r="D103" s="13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42"/>
      <c r="U103" s="42"/>
    </row>
    <row r="104" spans="1:21" ht="16.5">
      <c r="C104" s="55" t="s">
        <v>1070</v>
      </c>
      <c r="D104" s="53"/>
      <c r="E104" s="54"/>
      <c r="F104" s="54"/>
      <c r="G104" s="54"/>
      <c r="H104" s="54"/>
      <c r="I104" s="54">
        <f>전기말!I16</f>
        <v>1.9239999999999999</v>
      </c>
      <c r="J104" s="54">
        <f>전기말!J16</f>
        <v>1.849</v>
      </c>
      <c r="K104" s="54">
        <f>전기말!K16</f>
        <v>1.6415999999999999</v>
      </c>
      <c r="L104" s="54">
        <f>전기말!L16</f>
        <v>1.637</v>
      </c>
      <c r="M104" s="54">
        <f>전기말!M16</f>
        <v>2.0569999999999999</v>
      </c>
      <c r="N104" s="54">
        <f>전기말!N16</f>
        <v>1.5549999999999999</v>
      </c>
      <c r="O104" s="54">
        <f>전기말!O16</f>
        <v>2.6314000000000002</v>
      </c>
      <c r="P104" s="54">
        <f>전기말!P16</f>
        <v>2.6446000000000001</v>
      </c>
      <c r="Q104" s="54">
        <f>전기말!Q16</f>
        <v>1.57</v>
      </c>
      <c r="R104" s="54">
        <f>전기말!R16</f>
        <v>2.4820000000000002</v>
      </c>
      <c r="S104" s="54">
        <f>전기말!S16</f>
        <v>1.8642000000000001</v>
      </c>
      <c r="T104" s="54">
        <f>전기말!T16</f>
        <v>2.0310000000000001</v>
      </c>
      <c r="U104" s="42"/>
    </row>
    <row r="105" spans="1:21" ht="16.5">
      <c r="C105" s="55"/>
      <c r="D105" s="330"/>
      <c r="E105" s="54"/>
      <c r="F105" s="54"/>
      <c r="G105" s="54"/>
      <c r="H105" s="54"/>
      <c r="I105" s="360">
        <f>+I100-I104</f>
        <v>-0.15700000000000003</v>
      </c>
      <c r="J105" s="360">
        <f t="shared" ref="J105:T105" si="25">+J100-J104</f>
        <v>0.13100000000000001</v>
      </c>
      <c r="K105" s="360">
        <f t="shared" si="25"/>
        <v>1.5000000000000124E-2</v>
      </c>
      <c r="L105" s="360">
        <f t="shared" si="25"/>
        <v>-6.2000000000000055E-2</v>
      </c>
      <c r="M105" s="360">
        <f t="shared" si="25"/>
        <v>3.0000000000001137E-3</v>
      </c>
      <c r="N105" s="360">
        <f t="shared" si="25"/>
        <v>0.2430000000000001</v>
      </c>
      <c r="O105" s="360">
        <f t="shared" si="25"/>
        <v>9.0500000000000025E-2</v>
      </c>
      <c r="P105" s="360">
        <f t="shared" si="25"/>
        <v>-1.5900000000000247E-2</v>
      </c>
      <c r="Q105" s="360">
        <f t="shared" si="25"/>
        <v>0.33099999999999996</v>
      </c>
      <c r="R105" s="360">
        <f t="shared" si="25"/>
        <v>-6.9000000000000394E-2</v>
      </c>
      <c r="S105" s="360">
        <f t="shared" si="25"/>
        <v>5.1199999999999912E-2</v>
      </c>
      <c r="T105" s="360">
        <f t="shared" si="25"/>
        <v>0.1509999999999998</v>
      </c>
      <c r="U105" s="42"/>
    </row>
    <row r="106" spans="1:21" ht="16.5">
      <c r="C106" s="41" t="s">
        <v>123</v>
      </c>
      <c r="D106" s="42"/>
      <c r="E106" s="42"/>
      <c r="F106" s="42"/>
      <c r="G106" s="42"/>
      <c r="H106" s="42"/>
      <c r="I106" s="42"/>
      <c r="J106" s="54"/>
      <c r="K106" s="54"/>
      <c r="L106" s="54"/>
      <c r="M106" s="54"/>
      <c r="N106" s="54"/>
      <c r="O106" s="54"/>
      <c r="P106" s="54"/>
      <c r="Q106" s="54"/>
      <c r="R106" s="42"/>
      <c r="S106" s="42"/>
      <c r="T106" s="42"/>
      <c r="U106" s="42"/>
    </row>
    <row r="107" spans="1:21" ht="16.5"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2"/>
      <c r="P107" s="43"/>
      <c r="Q107" s="43"/>
      <c r="R107" s="42"/>
      <c r="S107" s="42"/>
      <c r="T107" s="44" t="s">
        <v>104</v>
      </c>
      <c r="U107" s="42"/>
    </row>
    <row r="108" spans="1:21" ht="16.5">
      <c r="C108" s="729" t="s">
        <v>105</v>
      </c>
      <c r="D108" s="729"/>
      <c r="E108" s="729"/>
      <c r="F108" s="729"/>
      <c r="G108" s="729"/>
      <c r="H108" s="730"/>
      <c r="I108" s="45" t="s">
        <v>124</v>
      </c>
      <c r="J108" s="45" t="s">
        <v>136</v>
      </c>
      <c r="K108" s="45" t="s">
        <v>137</v>
      </c>
      <c r="L108" s="45" t="s">
        <v>138</v>
      </c>
      <c r="M108" s="45" t="s">
        <v>4</v>
      </c>
      <c r="N108" s="45" t="s">
        <v>139</v>
      </c>
      <c r="O108" s="46" t="s">
        <v>6</v>
      </c>
      <c r="P108" s="46" t="s">
        <v>106</v>
      </c>
      <c r="Q108" s="46" t="s">
        <v>107</v>
      </c>
      <c r="R108" s="46" t="s">
        <v>108</v>
      </c>
      <c r="S108" s="46" t="s">
        <v>109</v>
      </c>
      <c r="T108" s="46" t="s">
        <v>110</v>
      </c>
      <c r="U108" s="42"/>
    </row>
    <row r="109" spans="1:21" ht="16.5">
      <c r="A109" s="5">
        <f>DATA!AV1</f>
        <v>48</v>
      </c>
      <c r="C109" s="748" t="s">
        <v>32</v>
      </c>
      <c r="D109" s="748"/>
      <c r="E109" s="748"/>
      <c r="F109" s="748"/>
      <c r="G109" s="748"/>
      <c r="H109" s="749"/>
      <c r="I109" s="56">
        <f>VLOOKUP($I$1&amp;I$8,DATA!$A:$EB,작업!$A109,0)/100</f>
        <v>1119.9010958400002</v>
      </c>
      <c r="J109" s="56">
        <f>VLOOKUP($I$1&amp;J$8,DATA!$A:$EB,작업!$A109,0)/100</f>
        <v>9747.16</v>
      </c>
      <c r="K109" s="56">
        <f>VLOOKUP($I$1&amp;K$8,DATA!$A:$EB,작업!$A109,0)/100</f>
        <v>3915.9032983800003</v>
      </c>
      <c r="L109" s="56">
        <f>VLOOKUP($I$1&amp;L$8,DATA!$A:$EB,작업!$A109,0)/100</f>
        <v>3444.19</v>
      </c>
      <c r="M109" s="56">
        <f>VLOOKUP($I$1&amp;M$8,DATA!$A:$EB,작업!$A109,0)/100</f>
        <v>7041.53</v>
      </c>
      <c r="N109" s="56">
        <f>VLOOKUP($I$1&amp;N$8,DATA!$A:$EB,작업!$A109,0)/100</f>
        <v>1137.71</v>
      </c>
      <c r="O109" s="57">
        <f>VLOOKUP($I$1&amp;O$8,DATA!$A:$EB,작업!$A109,0)/100</f>
        <v>2618.85</v>
      </c>
      <c r="P109" s="57">
        <f>VLOOKUP($I$1&amp;P$8,DATA!$A:$EB,작업!$A109,0)/100</f>
        <v>14466.962512849999</v>
      </c>
      <c r="Q109" s="57">
        <f>VLOOKUP($I$1&amp;Q$8,DATA!$A:$EB,작업!$A109,0)/100</f>
        <v>3961.1130419400001</v>
      </c>
      <c r="R109" s="57">
        <f>VLOOKUP($I$1&amp;R$8,DATA!$A:$EB,작업!$A109,0)/100</f>
        <v>14254.1127889</v>
      </c>
      <c r="S109" s="57">
        <f>VLOOKUP($I$1&amp;S$8,DATA!$A:$EB,작업!$A109,0)/100</f>
        <v>6266.95</v>
      </c>
      <c r="T109" s="57">
        <f>VLOOKUP($I$1&amp;T$8,DATA!$A:$EB,작업!$A109,0)/100</f>
        <v>10359.5</v>
      </c>
      <c r="U109" s="42"/>
    </row>
    <row r="110" spans="1:21" ht="16.5">
      <c r="A110" s="5">
        <f>DATA!DC1</f>
        <v>107</v>
      </c>
      <c r="C110" s="58"/>
      <c r="D110" s="770" t="s">
        <v>98</v>
      </c>
      <c r="E110" s="771"/>
      <c r="F110" s="771"/>
      <c r="G110" s="771"/>
      <c r="H110" s="772"/>
      <c r="I110" s="23">
        <f>VLOOKUP($I$1&amp;I$8,DATA!$A:$EB,작업!$A110,0)</f>
        <v>0.91200000000000003</v>
      </c>
      <c r="J110" s="23">
        <f>VLOOKUP($I$1&amp;J$8,DATA!$A:$EB,작업!$A110,0)</f>
        <v>0.83261359437729099</v>
      </c>
      <c r="K110" s="23">
        <f>VLOOKUP($I$1&amp;K$8,DATA!$A:$EB,작업!$A110,0)</f>
        <v>0</v>
      </c>
      <c r="L110" s="23">
        <f>VLOOKUP($I$1&amp;L$8,DATA!$A:$EB,작업!$A110,0)</f>
        <v>0.86948582110486305</v>
      </c>
      <c r="M110" s="23">
        <f>VLOOKUP($I$1&amp;M$8,DATA!$A:$EB,작업!$A110,0)</f>
        <v>0</v>
      </c>
      <c r="N110" s="23">
        <f>VLOOKUP($I$1&amp;N$8,DATA!$A:$EB,작업!$A110,0)</f>
        <v>0.91321555626753914</v>
      </c>
      <c r="O110" s="23">
        <f>VLOOKUP($I$1&amp;O$8,DATA!$A:$EB,작업!$A110,0)</f>
        <v>0</v>
      </c>
      <c r="P110" s="23">
        <f>VLOOKUP($I$1&amp;P$8,DATA!$A:$EB,작업!$A110,0)</f>
        <v>0.92593771512820156</v>
      </c>
      <c r="Q110" s="23">
        <f>VLOOKUP($I$1&amp;Q$8,DATA!$A:$EB,작업!$A110,0)</f>
        <v>0</v>
      </c>
      <c r="R110" s="23">
        <f>VLOOKUP($I$1&amp;R$8,DATA!$A:$EB,작업!$A110,0)</f>
        <v>0.93</v>
      </c>
      <c r="S110" s="23">
        <f>VLOOKUP($I$1&amp;S$8,DATA!$A:$EB,작업!$A110,0)</f>
        <v>0</v>
      </c>
      <c r="T110" s="23">
        <f>VLOOKUP($I$1&amp;T$8,DATA!$A:$EB,작업!$A110,0)</f>
        <v>0</v>
      </c>
      <c r="U110" s="42"/>
    </row>
    <row r="111" spans="1:21" ht="16.5">
      <c r="A111" s="5">
        <f>DATA!CZ1</f>
        <v>104</v>
      </c>
      <c r="C111" s="326"/>
      <c r="D111" s="731" t="s">
        <v>1068</v>
      </c>
      <c r="E111" s="732"/>
      <c r="F111" s="732"/>
      <c r="G111" s="732"/>
      <c r="H111" s="733"/>
      <c r="I111" s="23">
        <f>VLOOKUP($I$1&amp;I$8,DATA!$A:$EB,작업!$A111,0)</f>
        <v>1.0520833333333335</v>
      </c>
      <c r="J111" s="23">
        <f>VLOOKUP($I$1&amp;J$8,DATA!$A:$EB,작업!$A111,0)</f>
        <v>1.0760043431053203</v>
      </c>
      <c r="K111" s="23">
        <f>VLOOKUP($I$1&amp;K$8,DATA!$A:$EB,작업!$A111,0)</f>
        <v>0.96674876847290636</v>
      </c>
      <c r="L111" s="23">
        <f>VLOOKUP($I$1&amp;L$8,DATA!$A:$EB,작업!$A111,0)</f>
        <v>1.1627906976744187</v>
      </c>
      <c r="M111" s="23">
        <f>VLOOKUP($I$1&amp;M$8,DATA!$A:$EB,작업!$A111,0)</f>
        <v>1.067332474226804</v>
      </c>
      <c r="N111" s="23">
        <f>VLOOKUP($I$1&amp;N$8,DATA!$A:$EB,작업!$A111,0)</f>
        <v>1.134684147794994</v>
      </c>
      <c r="O111" s="23">
        <f>VLOOKUP($I$1&amp;O$8,DATA!$A:$EB,작업!$A111,0)</f>
        <v>1.0978886756238002</v>
      </c>
      <c r="P111" s="23">
        <f>VLOOKUP($I$1&amp;P$8,DATA!$A:$EB,작업!$A111,0)</f>
        <v>1.0248581634797227</v>
      </c>
      <c r="Q111" s="23">
        <f>VLOOKUP($I$1&amp;Q$8,DATA!$A:$EB,작업!$A111,0)</f>
        <v>1.0678314491264131</v>
      </c>
      <c r="R111" s="23">
        <f>VLOOKUP($I$1&amp;R$8,DATA!$A:$EB,작업!$A111,0)</f>
        <v>0.99979298209295109</v>
      </c>
      <c r="S111" s="23">
        <f>VLOOKUP($I$1&amp;S$8,DATA!$A:$EB,작업!$A111,0)</f>
        <v>1.0253968253968255</v>
      </c>
      <c r="T111" s="23">
        <f>VLOOKUP($I$1&amp;T$8,DATA!$A:$EB,작업!$A111,0)</f>
        <v>1.0402611534276387</v>
      </c>
      <c r="U111" s="42"/>
    </row>
    <row r="112" spans="1:21" ht="16.5">
      <c r="C112" s="58"/>
      <c r="D112" s="773" t="s">
        <v>125</v>
      </c>
      <c r="E112" s="771"/>
      <c r="F112" s="770" t="s">
        <v>126</v>
      </c>
      <c r="G112" s="771"/>
      <c r="H112" s="772"/>
      <c r="I112" s="23">
        <f>I123/I125</f>
        <v>0.14721929670129238</v>
      </c>
      <c r="J112" s="23">
        <f t="shared" ref="J112:T112" si="26">J123/J125</f>
        <v>3.7694640570469867E-2</v>
      </c>
      <c r="K112" s="23" t="e">
        <f t="shared" si="26"/>
        <v>#DIV/0!</v>
      </c>
      <c r="L112" s="23">
        <f t="shared" si="26"/>
        <v>9.4921478614756485E-2</v>
      </c>
      <c r="M112" s="23" t="e">
        <f t="shared" si="26"/>
        <v>#DIV/0!</v>
      </c>
      <c r="N112" s="23">
        <f t="shared" si="26"/>
        <v>-1.4857493360526759E-2</v>
      </c>
      <c r="O112" s="23" t="e">
        <f t="shared" si="26"/>
        <v>#DIV/0!</v>
      </c>
      <c r="P112" s="23">
        <f t="shared" si="26"/>
        <v>-4.5151832714023232E-2</v>
      </c>
      <c r="Q112" s="23">
        <f t="shared" si="26"/>
        <v>6.4512805150434976E-2</v>
      </c>
      <c r="R112" s="23">
        <f t="shared" si="26"/>
        <v>-3.1957744582468368E-2</v>
      </c>
      <c r="S112" s="23" t="e">
        <f t="shared" si="26"/>
        <v>#DIV/0!</v>
      </c>
      <c r="T112" s="23" t="e">
        <f t="shared" si="26"/>
        <v>#DIV/0!</v>
      </c>
      <c r="U112" s="42"/>
    </row>
    <row r="113" spans="1:21" ht="16.5">
      <c r="C113" s="59"/>
      <c r="D113" s="774"/>
      <c r="E113" s="775"/>
      <c r="F113" s="776" t="s">
        <v>127</v>
      </c>
      <c r="G113" s="777"/>
      <c r="H113" s="778"/>
      <c r="I113" s="24">
        <f>I123/I126</f>
        <v>0.1372973992660175</v>
      </c>
      <c r="J113" s="24">
        <f t="shared" ref="J113:T113" si="27">J123/J126</f>
        <v>4.9259968410359838E-2</v>
      </c>
      <c r="K113" s="24">
        <f t="shared" si="27"/>
        <v>0</v>
      </c>
      <c r="L113" s="24">
        <f t="shared" si="27"/>
        <v>8.9414237193410309E-2</v>
      </c>
      <c r="M113" s="24">
        <f t="shared" si="27"/>
        <v>0</v>
      </c>
      <c r="N113" s="24">
        <f t="shared" si="27"/>
        <v>-1.2425082625804457E-2</v>
      </c>
      <c r="O113" s="24">
        <f t="shared" si="27"/>
        <v>0</v>
      </c>
      <c r="P113" s="24">
        <f t="shared" si="27"/>
        <v>-2.7373628377923977E-2</v>
      </c>
      <c r="Q113" s="24">
        <f t="shared" si="27"/>
        <v>4.5333404093304427E-2</v>
      </c>
      <c r="R113" s="24">
        <f t="shared" si="27"/>
        <v>-1.3749849928550851E-2</v>
      </c>
      <c r="S113" s="24">
        <f t="shared" si="27"/>
        <v>0</v>
      </c>
      <c r="T113" s="24">
        <f t="shared" si="27"/>
        <v>-5.1752774742077909E-3</v>
      </c>
      <c r="U113" s="42"/>
    </row>
    <row r="114" spans="1:21" ht="16.5">
      <c r="A114" s="5">
        <f>DATA!AW1</f>
        <v>49</v>
      </c>
      <c r="C114" s="746" t="s">
        <v>33</v>
      </c>
      <c r="D114" s="746"/>
      <c r="E114" s="746"/>
      <c r="F114" s="746"/>
      <c r="G114" s="746"/>
      <c r="H114" s="747"/>
      <c r="I114" s="60">
        <f>VLOOKUP($I$1&amp;I$8,DATA!$A:$EB,작업!$A114,0)/100</f>
        <v>738.66156524000007</v>
      </c>
      <c r="J114" s="60">
        <f>VLOOKUP($I$1&amp;J$8,DATA!$A:$EB,작업!$A114,0)/100</f>
        <v>6917.45</v>
      </c>
      <c r="K114" s="60">
        <f>VLOOKUP($I$1&amp;K$8,DATA!$A:$EB,작업!$A114,0)/100</f>
        <v>6700.35101553</v>
      </c>
      <c r="L114" s="60">
        <f>VLOOKUP($I$1&amp;L$8,DATA!$A:$EB,작업!$A114,0)/100</f>
        <v>570.17999999999995</v>
      </c>
      <c r="M114" s="60">
        <f>VLOOKUP($I$1&amp;M$8,DATA!$A:$EB,작업!$A114,0)/100</f>
        <v>925.33</v>
      </c>
      <c r="N114" s="60">
        <f>VLOOKUP($I$1&amp;N$8,DATA!$A:$EB,작업!$A114,0)/100</f>
        <v>911.64</v>
      </c>
      <c r="O114" s="61">
        <f>VLOOKUP($I$1&amp;O$8,DATA!$A:$EB,작업!$A114,0)/100</f>
        <v>1518.29</v>
      </c>
      <c r="P114" s="61">
        <f>VLOOKUP($I$1&amp;P$8,DATA!$A:$EB,작업!$A114,0)/100</f>
        <v>8839.8644576300012</v>
      </c>
      <c r="Q114" s="61">
        <f>VLOOKUP($I$1&amp;Q$8,DATA!$A:$EB,작업!$A114,0)/100</f>
        <v>3307.5128531800001</v>
      </c>
      <c r="R114" s="61">
        <f>VLOOKUP($I$1&amp;R$8,DATA!$A:$EB,작업!$A114,0)/100</f>
        <v>8623.5169854799988</v>
      </c>
      <c r="S114" s="61">
        <f>VLOOKUP($I$1&amp;S$8,DATA!$A:$EB,작업!$A114,0)/100</f>
        <v>5282.81</v>
      </c>
      <c r="T114" s="61">
        <f>VLOOKUP($I$1&amp;T$8,DATA!$A:$EB,작업!$A114,0)/100</f>
        <v>10518.3</v>
      </c>
      <c r="U114" s="42"/>
    </row>
    <row r="115" spans="1:21" ht="16.5">
      <c r="C115" s="746" t="s">
        <v>128</v>
      </c>
      <c r="D115" s="746"/>
      <c r="E115" s="746"/>
      <c r="F115" s="746"/>
      <c r="G115" s="746"/>
      <c r="H115" s="747"/>
      <c r="I115" s="62">
        <f>I109+I114</f>
        <v>1858.5626610800002</v>
      </c>
      <c r="J115" s="62">
        <f t="shared" ref="J115:T115" si="28">J109+J114</f>
        <v>16664.61</v>
      </c>
      <c r="K115" s="62">
        <f t="shared" si="28"/>
        <v>10616.25431391</v>
      </c>
      <c r="L115" s="62">
        <f t="shared" si="28"/>
        <v>4014.37</v>
      </c>
      <c r="M115" s="62">
        <f t="shared" si="28"/>
        <v>7966.86</v>
      </c>
      <c r="N115" s="62">
        <f t="shared" si="28"/>
        <v>2049.35</v>
      </c>
      <c r="O115" s="63">
        <f t="shared" si="28"/>
        <v>4137.1399999999994</v>
      </c>
      <c r="P115" s="63">
        <f t="shared" si="28"/>
        <v>23306.82697048</v>
      </c>
      <c r="Q115" s="63">
        <f t="shared" si="28"/>
        <v>7268.6258951199998</v>
      </c>
      <c r="R115" s="63">
        <f t="shared" si="28"/>
        <v>22877.629774379999</v>
      </c>
      <c r="S115" s="63">
        <f t="shared" si="28"/>
        <v>11549.76</v>
      </c>
      <c r="T115" s="63">
        <f t="shared" si="28"/>
        <v>20877.8</v>
      </c>
      <c r="U115" s="42"/>
    </row>
    <row r="116" spans="1:21" ht="16.5">
      <c r="A116" s="5">
        <f>DATA!AX1</f>
        <v>50</v>
      </c>
      <c r="C116" s="782" t="s">
        <v>34</v>
      </c>
      <c r="D116" s="782"/>
      <c r="E116" s="782"/>
      <c r="F116" s="782"/>
      <c r="G116" s="782"/>
      <c r="H116" s="783"/>
      <c r="I116" s="60">
        <f>VLOOKUP($I$1&amp;I$8,DATA!$A:$EB,작업!$A116,0)/100</f>
        <v>34.005107729999999</v>
      </c>
      <c r="J116" s="60">
        <f>VLOOKUP($I$1&amp;J$8,DATA!$A:$EB,작업!$A116,0)/100</f>
        <v>3405.45</v>
      </c>
      <c r="K116" s="60">
        <f>VLOOKUP($I$1&amp;K$8,DATA!$A:$EB,작업!$A116,0)/100</f>
        <v>-995.27295975999994</v>
      </c>
      <c r="L116" s="60">
        <f>VLOOKUP($I$1&amp;L$8,DATA!$A:$EB,작업!$A116,0)/100</f>
        <v>112.13</v>
      </c>
      <c r="M116" s="60">
        <f>VLOOKUP($I$1&amp;M$8,DATA!$A:$EB,작업!$A116,0)/100</f>
        <v>-1.48</v>
      </c>
      <c r="N116" s="60">
        <f>VLOOKUP($I$1&amp;N$8,DATA!$A:$EB,작업!$A116,0)/100</f>
        <v>-935.47</v>
      </c>
      <c r="O116" s="61">
        <f>VLOOKUP($I$1&amp;O$8,DATA!$A:$EB,작업!$A116,0)/100</f>
        <v>44.78</v>
      </c>
      <c r="P116" s="61">
        <f>VLOOKUP($I$1&amp;P$8,DATA!$A:$EB,작업!$A116,0)/100</f>
        <v>27.967082709999996</v>
      </c>
      <c r="Q116" s="61">
        <f>VLOOKUP($I$1&amp;Q$8,DATA!$A:$EB,작업!$A116,0)/100</f>
        <v>-325.84869918999999</v>
      </c>
      <c r="R116" s="61">
        <f>VLOOKUP($I$1&amp;R$8,DATA!$A:$EB,작업!$A116,0)/100</f>
        <v>62.644791839999996</v>
      </c>
      <c r="S116" s="61">
        <f>VLOOKUP($I$1&amp;S$8,DATA!$A:$EB,작업!$A116,0)/100</f>
        <v>-142.16999999999999</v>
      </c>
      <c r="T116" s="61">
        <f>VLOOKUP($I$1&amp;T$8,DATA!$A:$EB,작업!$A116,0)/100</f>
        <v>201.74</v>
      </c>
      <c r="U116" s="42"/>
    </row>
    <row r="117" spans="1:21" ht="16.5">
      <c r="A117" s="5">
        <f>DATA!AY1</f>
        <v>51</v>
      </c>
      <c r="C117" s="745" t="s">
        <v>129</v>
      </c>
      <c r="D117" s="745"/>
      <c r="E117" s="745"/>
      <c r="F117" s="745"/>
      <c r="G117" s="745"/>
      <c r="H117" s="740"/>
      <c r="I117" s="25">
        <f>VLOOKUP($I$1&amp;I$8,DATA!$A:$EB,작업!$A117,0)/100</f>
        <v>1892.56776881</v>
      </c>
      <c r="J117" s="25">
        <f>VLOOKUP($I$1&amp;J$8,DATA!$A:$EB,작업!$A117,0)/100</f>
        <v>20070.060000000001</v>
      </c>
      <c r="K117" s="25">
        <f>VLOOKUP($I$1&amp;K$8,DATA!$A:$EB,작업!$A117,0)/100</f>
        <v>9620.9813541500007</v>
      </c>
      <c r="L117" s="25">
        <f>VLOOKUP($I$1&amp;L$8,DATA!$A:$EB,작업!$A117,0)/100</f>
        <v>4126.5</v>
      </c>
      <c r="M117" s="25">
        <f>VLOOKUP($I$1&amp;M$8,DATA!$A:$EB,작업!$A117,0)/100</f>
        <v>7965.38</v>
      </c>
      <c r="N117" s="25">
        <f>VLOOKUP($I$1&amp;N$8,DATA!$A:$EB,작업!$A117,0)/100</f>
        <v>1113.8800000000001</v>
      </c>
      <c r="O117" s="25">
        <f>VLOOKUP($I$1&amp;O$8,DATA!$A:$EB,작업!$A117,0)/100</f>
        <v>4181.92</v>
      </c>
      <c r="P117" s="25">
        <f>VLOOKUP($I$1&amp;P$8,DATA!$A:$EB,작업!$A117,0)/100</f>
        <v>23334.794053190002</v>
      </c>
      <c r="Q117" s="25">
        <f>VLOOKUP($I$1&amp;Q$8,DATA!$A:$EB,작업!$A117,0)/100</f>
        <v>6942.7771959300017</v>
      </c>
      <c r="R117" s="25">
        <f>VLOOKUP($I$1&amp;R$8,DATA!$A:$EB,작업!$A117,0)/100</f>
        <v>22940.27456622</v>
      </c>
      <c r="S117" s="25">
        <f>VLOOKUP($I$1&amp;S$8,DATA!$A:$EB,작업!$A117,0)/100</f>
        <v>11407.59</v>
      </c>
      <c r="T117" s="25">
        <f>VLOOKUP($I$1&amp;T$8,DATA!$A:$EB,작업!$A117,0)/100</f>
        <v>21079.54</v>
      </c>
      <c r="U117" s="42"/>
    </row>
    <row r="118" spans="1:21" ht="16.5">
      <c r="A118" s="5">
        <f>DATA!AR1</f>
        <v>44</v>
      </c>
      <c r="C118" s="752" t="s">
        <v>130</v>
      </c>
      <c r="D118" s="752"/>
      <c r="E118" s="752"/>
      <c r="F118" s="752"/>
      <c r="G118" s="752"/>
      <c r="H118" s="753"/>
      <c r="I118" s="26">
        <f>VLOOKUP($I$1&amp;I$8,DATA!$A:$EB,작업!$A118,0)/100</f>
        <v>1249.00389221</v>
      </c>
      <c r="J118" s="26">
        <f>VLOOKUP($I$1&amp;J$8,DATA!$A:$EB,작업!$A118,0)/100</f>
        <v>16997.62</v>
      </c>
      <c r="K118" s="26">
        <f>VLOOKUP($I$1&amp;K$8,DATA!$A:$EB,작업!$A118,0)/100</f>
        <v>7632.1047759899993</v>
      </c>
      <c r="L118" s="26">
        <f>VLOOKUP($I$1&amp;L$8,DATA!$A:$EB,작업!$A118,0)/100</f>
        <v>3133.2</v>
      </c>
      <c r="M118" s="26">
        <f>VLOOKUP($I$1&amp;M$8,DATA!$A:$EB,작업!$A118,0)/100</f>
        <v>5159.16</v>
      </c>
      <c r="N118" s="26">
        <f>VLOOKUP($I$1&amp;N$8,DATA!$A:$EB,작업!$A118,0)/100</f>
        <v>658.37</v>
      </c>
      <c r="O118" s="26">
        <f>VLOOKUP($I$1&amp;O$8,DATA!$A:$EB,작업!$A118,0)/100</f>
        <v>2658.88</v>
      </c>
      <c r="P118" s="26">
        <f>VLOOKUP($I$1&amp;P$8,DATA!$A:$EB,작업!$A118,0)/100</f>
        <v>16908.782142579999</v>
      </c>
      <c r="Q118" s="26">
        <f>VLOOKUP($I$1&amp;Q$8,DATA!$A:$EB,작업!$A118,0)/100</f>
        <v>5611.0640750700004</v>
      </c>
      <c r="R118" s="26">
        <f>VLOOKUP($I$1&amp;R$8,DATA!$A:$EB,작업!$A118,0)/100</f>
        <v>16810.24330229</v>
      </c>
      <c r="S118" s="26">
        <f>VLOOKUP($I$1&amp;S$8,DATA!$A:$EB,작업!$A118,0)/100</f>
        <v>7810.77</v>
      </c>
      <c r="T118" s="26">
        <f>VLOOKUP($I$1&amp;T$8,DATA!$A:$EB,작업!$A118,0)/100</f>
        <v>15348.8</v>
      </c>
      <c r="U118" s="42"/>
    </row>
    <row r="119" spans="1:21" ht="16.5">
      <c r="A119" s="22"/>
      <c r="C119" s="64" t="s">
        <v>144</v>
      </c>
      <c r="D119" s="53"/>
      <c r="E119" s="54"/>
      <c r="F119" s="54"/>
      <c r="G119" s="54"/>
      <c r="H119" s="54"/>
      <c r="I119" s="54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</row>
    <row r="120" spans="1:21" ht="16.5">
      <c r="C120" s="52"/>
      <c r="D120" s="53"/>
      <c r="E120" s="54"/>
      <c r="F120" s="54"/>
      <c r="G120" s="54"/>
      <c r="H120" s="54"/>
      <c r="I120" s="54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</row>
    <row r="121" spans="1:21" ht="16.5">
      <c r="C121" s="55"/>
      <c r="D121" s="53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42"/>
    </row>
    <row r="122" spans="1:21" ht="16.5">
      <c r="C122" s="55" t="s">
        <v>161</v>
      </c>
      <c r="D122" s="53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42"/>
    </row>
    <row r="123" spans="1:21" ht="16.5">
      <c r="A123" s="5">
        <f>DATA!DK1</f>
        <v>115</v>
      </c>
      <c r="C123" s="55"/>
      <c r="D123" s="53"/>
      <c r="E123" s="5" t="s">
        <v>71</v>
      </c>
      <c r="I123" s="1">
        <f>VLOOKUP($I$1&amp;I$8,DATA!$A:$EB,작업!$A123,0)/100</f>
        <v>282.60127408000005</v>
      </c>
      <c r="J123" s="1">
        <f>VLOOKUP($I$1&amp;J$8,DATA!$A:$EB,작업!$A123,0)/100</f>
        <v>728.85</v>
      </c>
      <c r="K123" s="95">
        <f>VLOOKUP($I$1&amp;K$8,DATA!$A:$EB,작업!$A123,0)/100</f>
        <v>0</v>
      </c>
      <c r="L123" s="95">
        <f>VLOOKUP($I$1&amp;L$8,DATA!$A:$EB,작업!$A123,0)/100</f>
        <v>703.94934799999999</v>
      </c>
      <c r="M123" s="95">
        <f>VLOOKUP($I$1&amp;M$8,DATA!$A:$EB,작업!$A123,0)/100</f>
        <v>0</v>
      </c>
      <c r="N123" s="95">
        <f>VLOOKUP($I$1&amp;N$8,DATA!$A:$EB,작업!$A123,0)/100</f>
        <v>-30.659015629998759</v>
      </c>
      <c r="O123" s="95">
        <f>VLOOKUP($I$1&amp;O$8,DATA!$A:$EB,작업!$A123,0)/100</f>
        <v>0</v>
      </c>
      <c r="P123" s="95">
        <f>VLOOKUP($I$1&amp;P$8,DATA!$A:$EB,작업!$A123,0)/100</f>
        <v>-443.66656776000002</v>
      </c>
      <c r="Q123" s="95">
        <f>VLOOKUP($I$1&amp;Q$8,DATA!$A:$EB,작업!$A123,0)/100</f>
        <v>436.96929676000082</v>
      </c>
      <c r="R123" s="95">
        <f>VLOOKUP($I$1&amp;R$8,DATA!$A:$EB,작업!$A123,0)/100</f>
        <v>-160.49704826999979</v>
      </c>
      <c r="S123" s="95">
        <f>VLOOKUP($I$1&amp;S$8,DATA!$A:$EB,작업!$A123,0)/100</f>
        <v>0</v>
      </c>
      <c r="T123" s="95">
        <f>VLOOKUP($I$1&amp;T$8,DATA!$A:$EB,작업!$A123,0)/100</f>
        <v>-66.50635226</v>
      </c>
      <c r="U123" s="42"/>
    </row>
    <row r="124" spans="1:21" ht="16.5">
      <c r="A124" s="5">
        <f>DATA!DI1</f>
        <v>113</v>
      </c>
      <c r="C124" s="55"/>
      <c r="D124" s="53"/>
      <c r="E124" s="5" t="s">
        <v>72</v>
      </c>
      <c r="I124" s="1">
        <f>VLOOKUP($I$1&amp;I$8,DATA!$A:$EB,작업!$A124,0)/100</f>
        <v>4859.7816151300003</v>
      </c>
      <c r="J124" s="1">
        <f>VLOOKUP($I$1&amp;J$8,DATA!$A:$EB,작업!$A124,0)/100</f>
        <v>48161.39</v>
      </c>
      <c r="K124" s="95">
        <f>VLOOKUP($I$1&amp;K$8,DATA!$A:$EB,작업!$A124,0)/100</f>
        <v>0</v>
      </c>
      <c r="L124" s="95">
        <f>VLOOKUP($I$1&amp;L$8,DATA!$A:$EB,작업!$A124,0)/100</f>
        <v>24926.315606379998</v>
      </c>
      <c r="M124" s="95">
        <f>VLOOKUP($I$1&amp;M$8,DATA!$A:$EB,작업!$A124,0)/100</f>
        <v>0</v>
      </c>
      <c r="N124" s="95">
        <f>VLOOKUP($I$1&amp;N$8,DATA!$A:$EB,작업!$A124,0)/100</f>
        <v>5835.9316829299996</v>
      </c>
      <c r="O124" s="95">
        <f>VLOOKUP($I$1&amp;O$8,DATA!$A:$EB,작업!$A124,0)/100</f>
        <v>0</v>
      </c>
      <c r="P124" s="95">
        <f>VLOOKUP($I$1&amp;P$8,DATA!$A:$EB,작업!$A124,0)/100</f>
        <v>56380.05853658</v>
      </c>
      <c r="Q124" s="95">
        <f>VLOOKUP($I$1&amp;Q$8,DATA!$A:$EB,작업!$A124,0)/100</f>
        <v>54786.738742070003</v>
      </c>
      <c r="R124" s="95">
        <f>VLOOKUP($I$1&amp;R$8,DATA!$A:$EB,작업!$A124,0)/100</f>
        <v>47478.362808870006</v>
      </c>
      <c r="S124" s="95">
        <f>VLOOKUP($I$1&amp;S$8,DATA!$A:$EB,작업!$A124,0)/100</f>
        <v>0</v>
      </c>
      <c r="T124" s="95">
        <f>VLOOKUP($I$1&amp;T$8,DATA!$A:$EB,작업!$A124,0)/100</f>
        <v>0</v>
      </c>
      <c r="U124" s="42"/>
    </row>
    <row r="125" spans="1:21" ht="16.5">
      <c r="A125" s="5">
        <f>DATA!DL1</f>
        <v>116</v>
      </c>
      <c r="C125" s="55"/>
      <c r="D125" s="53"/>
      <c r="E125" s="5" t="s">
        <v>74</v>
      </c>
      <c r="I125" s="1">
        <f>VLOOKUP($I$1&amp;I$8,DATA!$A:$EB,작업!$A125,0)/100</f>
        <v>1919.5939690800003</v>
      </c>
      <c r="J125" s="1">
        <f>VLOOKUP($I$1&amp;J$8,DATA!$A:$EB,작업!$A125,0)/100</f>
        <v>19335.64</v>
      </c>
      <c r="K125" s="95">
        <f>VLOOKUP($I$1&amp;K$8,DATA!$A:$EB,작업!$A125,0)/100</f>
        <v>0</v>
      </c>
      <c r="L125" s="95">
        <f>VLOOKUP($I$1&amp;L$8,DATA!$A:$EB,작업!$A125,0)/100</f>
        <v>7416.1228656900003</v>
      </c>
      <c r="M125" s="95">
        <f>VLOOKUP($I$1&amp;M$8,DATA!$A:$EB,작업!$A125,0)/100</f>
        <v>0</v>
      </c>
      <c r="N125" s="95">
        <f>VLOOKUP($I$1&amp;N$8,DATA!$A:$EB,작업!$A125,0)/100</f>
        <v>2063.5389083499999</v>
      </c>
      <c r="O125" s="95">
        <f>VLOOKUP($I$1&amp;O$8,DATA!$A:$EB,작업!$A125,0)/100</f>
        <v>0</v>
      </c>
      <c r="P125" s="95">
        <f>VLOOKUP($I$1&amp;P$8,DATA!$A:$EB,작업!$A125,0)/100</f>
        <v>9826.10319652</v>
      </c>
      <c r="Q125" s="95">
        <f>VLOOKUP($I$1&amp;Q$8,DATA!$A:$EB,작업!$A125,0)/100</f>
        <v>6773.3730651000005</v>
      </c>
      <c r="R125" s="95">
        <f>VLOOKUP($I$1&amp;R$8,DATA!$A:$EB,작업!$A125,0)/100</f>
        <v>5022.1644351599998</v>
      </c>
      <c r="S125" s="95">
        <f>VLOOKUP($I$1&amp;S$8,DATA!$A:$EB,작업!$A125,0)/100</f>
        <v>0</v>
      </c>
      <c r="T125" s="95">
        <f>VLOOKUP($I$1&amp;T$8,DATA!$A:$EB,작업!$A125,0)/100</f>
        <v>0</v>
      </c>
      <c r="U125" s="42"/>
    </row>
    <row r="126" spans="1:21" ht="16.5">
      <c r="A126" s="5">
        <f>DATA!BY1</f>
        <v>77</v>
      </c>
      <c r="C126" s="55"/>
      <c r="D126" s="53"/>
      <c r="E126" s="54" t="s">
        <v>134</v>
      </c>
      <c r="F126" s="54"/>
      <c r="G126" s="54"/>
      <c r="H126" s="54"/>
      <c r="I126" s="1">
        <f>VLOOKUP($I$1&amp;I$8,DATA!$A:$EB,작업!$A126,0)/100</f>
        <v>2058.3148376500003</v>
      </c>
      <c r="J126" s="1">
        <f>VLOOKUP($I$1&amp;J$8,DATA!$A:$EB,작업!$A126,0)/100</f>
        <v>14795.99</v>
      </c>
      <c r="K126" s="95">
        <f>VLOOKUP($I$1&amp;K$8,DATA!$A:$EB,작업!$A126,0)/100</f>
        <v>5879.96</v>
      </c>
      <c r="L126" s="95">
        <f>VLOOKUP($I$1&amp;L$8,DATA!$A:$EB,작업!$A126,0)/100</f>
        <v>7872.9</v>
      </c>
      <c r="M126" s="95">
        <f>VLOOKUP($I$1&amp;M$8,DATA!$A:$EB,작업!$A126,0)/100</f>
        <v>7352.29</v>
      </c>
      <c r="N126" s="95">
        <f>VLOOKUP($I$1&amp;N$8,DATA!$A:$EB,작업!$A126,0)/100</f>
        <v>2467.5100000000002</v>
      </c>
      <c r="O126" s="95">
        <f>VLOOKUP($I$1&amp;O$8,DATA!$A:$EB,작업!$A126,0)/100</f>
        <v>2976.06</v>
      </c>
      <c r="P126" s="95">
        <f>VLOOKUP($I$1&amp;P$8,DATA!$A:$EB,작업!$A126,0)/100</f>
        <v>16207.81</v>
      </c>
      <c r="Q126" s="95">
        <f>VLOOKUP($I$1&amp;Q$8,DATA!$A:$EB,작업!$A126,0)/100</f>
        <v>9639.0135596399996</v>
      </c>
      <c r="R126" s="95">
        <f>VLOOKUP($I$1&amp;R$8,DATA!$A:$EB,작업!$A126,0)/100</f>
        <v>11672.64</v>
      </c>
      <c r="S126" s="95">
        <f>VLOOKUP($I$1&amp;S$8,DATA!$A:$EB,작업!$A126,0)/100</f>
        <v>8534.36</v>
      </c>
      <c r="T126" s="95">
        <f>VLOOKUP($I$1&amp;T$8,DATA!$A:$EB,작업!$A126,0)/100</f>
        <v>12850.78</v>
      </c>
      <c r="U126" s="42"/>
    </row>
    <row r="127" spans="1:21" ht="16.5">
      <c r="A127" s="5">
        <f>DATA!DG1</f>
        <v>111</v>
      </c>
      <c r="C127" s="55"/>
      <c r="D127" s="53"/>
      <c r="E127" s="54" t="s">
        <v>912</v>
      </c>
      <c r="F127" s="54"/>
      <c r="G127" s="54"/>
      <c r="H127" s="54"/>
      <c r="I127" s="1">
        <f>VLOOKUP($I$1&amp;I$8,DATA!$A:$EB,작업!$A127,0)/100</f>
        <v>-4.4798281499999959</v>
      </c>
      <c r="J127" s="1">
        <f>VLOOKUP($I$1&amp;J$8,DATA!$A:$EB,작업!$A127,0)/100</f>
        <v>-1609.36</v>
      </c>
      <c r="K127" s="95">
        <f>VLOOKUP($I$1&amp;K$8,DATA!$A:$EB,작업!$A127,0)/100</f>
        <v>0</v>
      </c>
      <c r="L127" s="95">
        <f>VLOOKUP($I$1&amp;L$8,DATA!$A:$EB,작업!$A127,0)/100</f>
        <v>-3095.3354121400039</v>
      </c>
      <c r="M127" s="95">
        <f>VLOOKUP($I$1&amp;M$8,DATA!$A:$EB,작업!$A127,0)/100</f>
        <v>0</v>
      </c>
      <c r="N127" s="95">
        <f>VLOOKUP($I$1&amp;N$8,DATA!$A:$EB,작업!$A127,0)/100</f>
        <v>-718.69127857999933</v>
      </c>
      <c r="O127" s="95">
        <f>VLOOKUP($I$1&amp;O$8,DATA!$A:$EB,작업!$A127,0)/100</f>
        <v>0</v>
      </c>
      <c r="P127" s="95">
        <f>VLOOKUP($I$1&amp;P$8,DATA!$A:$EB,작업!$A127,0)/100</f>
        <v>-1690.9594646399999</v>
      </c>
      <c r="Q127" s="95">
        <f>VLOOKUP($I$1&amp;Q$8,DATA!$A:$EB,작업!$A127,0)/100</f>
        <v>-3061.1409923999931</v>
      </c>
      <c r="R127" s="95">
        <f>VLOOKUP($I$1&amp;R$8,DATA!$A:$EB,작업!$A127,0)/100</f>
        <v>-153.32555686999638</v>
      </c>
      <c r="S127" s="95">
        <f>VLOOKUP($I$1&amp;S$8,DATA!$A:$EB,작업!$A127,0)/100</f>
        <v>0</v>
      </c>
      <c r="T127" s="95">
        <f>VLOOKUP($I$1&amp;T$8,DATA!$A:$EB,작업!$A127,0)/100</f>
        <v>-2474.5395157000003</v>
      </c>
      <c r="U127" s="42"/>
    </row>
    <row r="128" spans="1:21" ht="16.5">
      <c r="C128" s="55"/>
      <c r="D128" s="53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42"/>
    </row>
    <row r="129" spans="1:21" ht="16.5">
      <c r="C129" s="55"/>
      <c r="D129" s="53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42"/>
    </row>
    <row r="130" spans="1:21" ht="16.5">
      <c r="C130" s="41" t="s">
        <v>145</v>
      </c>
      <c r="D130" s="53"/>
      <c r="E130" s="54"/>
      <c r="F130" s="54"/>
      <c r="G130" s="54"/>
      <c r="H130" s="54"/>
      <c r="I130" s="54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</row>
    <row r="131" spans="1:21" ht="16.5"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2"/>
      <c r="P131" s="43"/>
      <c r="Q131" s="43"/>
      <c r="R131" s="42"/>
      <c r="S131" s="42"/>
      <c r="T131" s="44" t="s">
        <v>104</v>
      </c>
      <c r="U131" s="42"/>
    </row>
    <row r="132" spans="1:21" ht="16.5">
      <c r="C132" s="729" t="s">
        <v>105</v>
      </c>
      <c r="D132" s="729"/>
      <c r="E132" s="729"/>
      <c r="F132" s="729"/>
      <c r="G132" s="729"/>
      <c r="H132" s="730"/>
      <c r="I132" s="65" t="s">
        <v>124</v>
      </c>
      <c r="J132" s="45" t="s">
        <v>136</v>
      </c>
      <c r="K132" s="45" t="s">
        <v>137</v>
      </c>
      <c r="L132" s="45" t="s">
        <v>138</v>
      </c>
      <c r="M132" s="45" t="s">
        <v>4</v>
      </c>
      <c r="N132" s="45" t="s">
        <v>139</v>
      </c>
      <c r="O132" s="46" t="s">
        <v>6</v>
      </c>
      <c r="P132" s="46" t="s">
        <v>106</v>
      </c>
      <c r="Q132" s="46" t="s">
        <v>107</v>
      </c>
      <c r="R132" s="46" t="s">
        <v>108</v>
      </c>
      <c r="S132" s="46" t="s">
        <v>109</v>
      </c>
      <c r="T132" s="46" t="s">
        <v>110</v>
      </c>
      <c r="U132" s="42"/>
    </row>
    <row r="133" spans="1:21" ht="16.5">
      <c r="A133" s="5">
        <f>DATA!BW1</f>
        <v>75</v>
      </c>
      <c r="C133" s="745" t="s">
        <v>53</v>
      </c>
      <c r="D133" s="745"/>
      <c r="E133" s="745"/>
      <c r="F133" s="745"/>
      <c r="G133" s="745"/>
      <c r="H133" s="740"/>
      <c r="I133" s="25">
        <f>VLOOKUP($I$1&amp;I$8,DATA!$A:$EB,작업!$A133,0)/100</f>
        <v>20584.23120047</v>
      </c>
      <c r="J133" s="66">
        <f>VLOOKUP($I$1&amp;J$8,DATA!$A:$EB,작업!$A133,0)/100</f>
        <v>132178.74</v>
      </c>
      <c r="K133" s="66">
        <f>VLOOKUP($I$1&amp;K$8,DATA!$A:$EB,작업!$A133,0)/100</f>
        <v>65109.61</v>
      </c>
      <c r="L133" s="66">
        <f>VLOOKUP($I$1&amp;L$8,DATA!$A:$EB,작업!$A133,0)/100</f>
        <v>87136.52</v>
      </c>
      <c r="M133" s="66">
        <f>VLOOKUP($I$1&amp;M$8,DATA!$A:$EB,작업!$A133,0)/100</f>
        <v>75537.34</v>
      </c>
      <c r="N133" s="66">
        <f>VLOOKUP($I$1&amp;N$8,DATA!$A:$EB,작업!$A133,0)/100</f>
        <v>24570.95</v>
      </c>
      <c r="O133" s="25">
        <f>VLOOKUP($I$1&amp;O$8,DATA!$A:$EB,작업!$A133,0)/100</f>
        <v>32637.75</v>
      </c>
      <c r="P133" s="25">
        <f>VLOOKUP($I$1&amp;P$8,DATA!$A:$EB,작업!$A133,0)/100</f>
        <v>141676.64000000001</v>
      </c>
      <c r="Q133" s="25">
        <f>VLOOKUP($I$1&amp;Q$8,DATA!$A:$EB,작업!$A133,0)/100</f>
        <v>89778.420693220018</v>
      </c>
      <c r="R133" s="25">
        <f>VLOOKUP($I$1&amp;R$8,DATA!$A:$EB,작업!$A133,0)/100</f>
        <v>111036.96</v>
      </c>
      <c r="S133" s="25">
        <f>VLOOKUP($I$1&amp;S$8,DATA!$A:$EB,작업!$A133,0)/100</f>
        <v>92850.33</v>
      </c>
      <c r="T133" s="25">
        <f>VLOOKUP($I$1&amp;T$8,DATA!$A:$EB,작업!$A133,0)/100</f>
        <v>122053.43</v>
      </c>
      <c r="U133" s="42"/>
    </row>
    <row r="134" spans="1:21" ht="16.5">
      <c r="C134" s="743" t="s">
        <v>117</v>
      </c>
      <c r="D134" s="743"/>
      <c r="E134" s="743"/>
      <c r="F134" s="743"/>
      <c r="G134" s="743"/>
      <c r="H134" s="744"/>
      <c r="I134" s="67">
        <f>+I133-I147</f>
        <v>-197.88879952999923</v>
      </c>
      <c r="J134" s="68">
        <f t="shared" ref="J134:T134" si="29">+J133-J147</f>
        <v>3158.5099999999948</v>
      </c>
      <c r="K134" s="68">
        <f t="shared" si="29"/>
        <v>729.02999999999884</v>
      </c>
      <c r="L134" s="68">
        <f t="shared" si="29"/>
        <v>-3954.8899999999994</v>
      </c>
      <c r="M134" s="68">
        <f t="shared" si="29"/>
        <v>3296.1999999999971</v>
      </c>
      <c r="N134" s="68">
        <f t="shared" si="29"/>
        <v>-2139.9300000000003</v>
      </c>
      <c r="O134" s="67">
        <f t="shared" si="29"/>
        <v>2532.66</v>
      </c>
      <c r="P134" s="67">
        <f t="shared" si="29"/>
        <v>937.55000000001746</v>
      </c>
      <c r="Q134" s="67">
        <f t="shared" si="29"/>
        <v>6723.5480753400188</v>
      </c>
      <c r="R134" s="67">
        <f t="shared" si="29"/>
        <v>-841.92999999999302</v>
      </c>
      <c r="S134" s="67">
        <f t="shared" si="29"/>
        <v>4645.5099999999948</v>
      </c>
      <c r="T134" s="67">
        <f t="shared" si="29"/>
        <v>-264.15000000000873</v>
      </c>
      <c r="U134" s="42"/>
    </row>
    <row r="135" spans="1:21" ht="16.5">
      <c r="C135" s="784" t="s">
        <v>118</v>
      </c>
      <c r="D135" s="784"/>
      <c r="E135" s="784"/>
      <c r="F135" s="784"/>
      <c r="G135" s="784"/>
      <c r="H135" s="785"/>
      <c r="I135" s="69">
        <f>I134/(I133-I134)</f>
        <v>-9.5220699105769396E-3</v>
      </c>
      <c r="J135" s="70">
        <f t="shared" ref="J135:T135" si="30">J134/(J133-J134)</f>
        <v>2.4480734532871279E-2</v>
      </c>
      <c r="K135" s="70">
        <f t="shared" si="30"/>
        <v>1.1323756325276952E-2</v>
      </c>
      <c r="L135" s="70">
        <f t="shared" si="30"/>
        <v>-4.3416717339209036E-2</v>
      </c>
      <c r="M135" s="70">
        <f t="shared" si="30"/>
        <v>4.5627740647503585E-2</v>
      </c>
      <c r="N135" s="70">
        <f t="shared" si="30"/>
        <v>-8.0114545084250324E-2</v>
      </c>
      <c r="O135" s="71">
        <f t="shared" si="30"/>
        <v>8.4127302060880732E-2</v>
      </c>
      <c r="P135" s="71">
        <f t="shared" si="30"/>
        <v>6.6616176074466415E-3</v>
      </c>
      <c r="Q135" s="71">
        <f t="shared" si="30"/>
        <v>8.0953083948172563E-2</v>
      </c>
      <c r="R135" s="71">
        <f t="shared" si="30"/>
        <v>-7.5253696206674294E-3</v>
      </c>
      <c r="S135" s="71">
        <f t="shared" si="30"/>
        <v>5.2667303215402451E-2</v>
      </c>
      <c r="T135" s="71">
        <f t="shared" si="30"/>
        <v>-2.1595423977486205E-3</v>
      </c>
      <c r="U135" s="42"/>
    </row>
    <row r="136" spans="1:21" ht="16.5">
      <c r="A136" s="5">
        <f>DATA!BX1</f>
        <v>76</v>
      </c>
      <c r="C136" s="745" t="s">
        <v>119</v>
      </c>
      <c r="D136" s="745"/>
      <c r="E136" s="745"/>
      <c r="F136" s="745"/>
      <c r="G136" s="745"/>
      <c r="H136" s="740"/>
      <c r="I136" s="25">
        <f>VLOOKUP($I$1&amp;I$8,DATA!$A:$EB,작업!$A136,0)/100</f>
        <v>5398.7811534300008</v>
      </c>
      <c r="J136" s="66">
        <f>VLOOKUP($I$1&amp;J$8,DATA!$A:$EB,작업!$A136,0)/100</f>
        <v>30594.720000000001</v>
      </c>
      <c r="K136" s="25">
        <f>VLOOKUP($I$1&amp;K$8,DATA!$A:$EB,작업!$A136,0)/100</f>
        <v>12781.34</v>
      </c>
      <c r="L136" s="25">
        <f>VLOOKUP($I$1&amp;L$8,DATA!$A:$EB,작업!$A136,0)/100</f>
        <v>20662.580000000002</v>
      </c>
      <c r="M136" s="25">
        <f>VLOOKUP($I$1&amp;M$8,DATA!$A:$EB,작업!$A136,0)/100</f>
        <v>16459.98</v>
      </c>
      <c r="N136" s="25">
        <f>VLOOKUP($I$1&amp;N$8,DATA!$A:$EB,작업!$A136,0)/100</f>
        <v>5291.32</v>
      </c>
      <c r="O136" s="25">
        <f>VLOOKUP($I$1&amp;O$8,DATA!$A:$EB,작업!$A136,0)/100</f>
        <v>5047.29</v>
      </c>
      <c r="P136" s="25">
        <f>VLOOKUP($I$1&amp;P$8,DATA!$A:$EB,작업!$A136,0)/100</f>
        <v>28983.67</v>
      </c>
      <c r="Q136" s="25">
        <f>VLOOKUP($I$1&amp;Q$8,DATA!$A:$EB,작업!$A136,0)/100</f>
        <v>20375.612719799999</v>
      </c>
      <c r="R136" s="25">
        <f>VLOOKUP($I$1&amp;R$8,DATA!$A:$EB,작업!$A136,0)/100</f>
        <v>15881.72</v>
      </c>
      <c r="S136" s="25">
        <f>VLOOKUP($I$1&amp;S$8,DATA!$A:$EB,작업!$A136,0)/100</f>
        <v>17418.560000000001</v>
      </c>
      <c r="T136" s="25">
        <f>VLOOKUP($I$1&amp;T$8,DATA!$A:$EB,작업!$A136,0)/100</f>
        <v>29326.93</v>
      </c>
      <c r="U136" s="42"/>
    </row>
    <row r="137" spans="1:21" ht="16.5">
      <c r="A137" s="5">
        <f>DATA!BY1</f>
        <v>77</v>
      </c>
      <c r="C137" s="750" t="s">
        <v>120</v>
      </c>
      <c r="D137" s="750"/>
      <c r="E137" s="750"/>
      <c r="F137" s="750"/>
      <c r="G137" s="750"/>
      <c r="H137" s="751"/>
      <c r="I137" s="72">
        <f>VLOOKUP($I$1&amp;I$8,DATA!$A:$EB,작업!$A137,0)/100</f>
        <v>2058.3148376500003</v>
      </c>
      <c r="J137" s="73">
        <f>VLOOKUP($I$1&amp;J$8,DATA!$A:$EB,작업!$A137,0)/100</f>
        <v>14795.99</v>
      </c>
      <c r="K137" s="72">
        <f>VLOOKUP($I$1&amp;K$8,DATA!$A:$EB,작업!$A137,0)/100</f>
        <v>5879.96</v>
      </c>
      <c r="L137" s="72">
        <f>VLOOKUP($I$1&amp;L$8,DATA!$A:$EB,작업!$A137,0)/100</f>
        <v>7872.9</v>
      </c>
      <c r="M137" s="72">
        <f>VLOOKUP($I$1&amp;M$8,DATA!$A:$EB,작업!$A137,0)/100</f>
        <v>7352.29</v>
      </c>
      <c r="N137" s="72">
        <f>VLOOKUP($I$1&amp;N$8,DATA!$A:$EB,작업!$A137,0)/100</f>
        <v>2467.5100000000002</v>
      </c>
      <c r="O137" s="72">
        <f>VLOOKUP($I$1&amp;O$8,DATA!$A:$EB,작업!$A137,0)/100</f>
        <v>2976.06</v>
      </c>
      <c r="P137" s="72">
        <f>VLOOKUP($I$1&amp;P$8,DATA!$A:$EB,작업!$A137,0)/100</f>
        <v>16207.81</v>
      </c>
      <c r="Q137" s="72">
        <f>VLOOKUP($I$1&amp;Q$8,DATA!$A:$EB,작업!$A137,0)/100</f>
        <v>9639.0135596399996</v>
      </c>
      <c r="R137" s="72">
        <f>VLOOKUP($I$1&amp;R$8,DATA!$A:$EB,작업!$A137,0)/100</f>
        <v>11672.64</v>
      </c>
      <c r="S137" s="72">
        <f>VLOOKUP($I$1&amp;S$8,DATA!$A:$EB,작업!$A137,0)/100</f>
        <v>8534.36</v>
      </c>
      <c r="T137" s="72">
        <f>VLOOKUP($I$1&amp;T$8,DATA!$A:$EB,작업!$A137,0)/100</f>
        <v>12850.78</v>
      </c>
      <c r="U137" s="42"/>
    </row>
    <row r="138" spans="1:21" ht="16.5">
      <c r="A138" s="22"/>
      <c r="B138" s="22"/>
      <c r="C138" s="750" t="s">
        <v>146</v>
      </c>
      <c r="D138" s="750"/>
      <c r="E138" s="750"/>
      <c r="F138" s="750"/>
      <c r="G138" s="750"/>
      <c r="H138" s="751"/>
      <c r="I138" s="74">
        <f>+I137/(I133+I137)*(4/$J$1)</f>
        <v>9.0904743405830407E-2</v>
      </c>
      <c r="J138" s="75">
        <f t="shared" ref="J138:T138" si="31">+J137/(J133+J137)*(4/$J$1)</f>
        <v>0.10067029890104238</v>
      </c>
      <c r="K138" s="74">
        <f t="shared" si="31"/>
        <v>8.2828505652309203E-2</v>
      </c>
      <c r="L138" s="74">
        <f t="shared" si="31"/>
        <v>8.2864414918015494E-2</v>
      </c>
      <c r="M138" s="74">
        <f t="shared" si="31"/>
        <v>8.8699756531667479E-2</v>
      </c>
      <c r="N138" s="74">
        <f t="shared" si="31"/>
        <v>9.1259265505505865E-2</v>
      </c>
      <c r="O138" s="74">
        <f t="shared" si="31"/>
        <v>8.3564774451259219E-2</v>
      </c>
      <c r="P138" s="74">
        <f t="shared" si="31"/>
        <v>0.10265615138159584</v>
      </c>
      <c r="Q138" s="74">
        <f t="shared" si="31"/>
        <v>9.6954961995136243E-2</v>
      </c>
      <c r="R138" s="74">
        <f t="shared" si="31"/>
        <v>9.512409787009328E-2</v>
      </c>
      <c r="S138" s="74">
        <f t="shared" si="31"/>
        <v>8.4177995711186768E-2</v>
      </c>
      <c r="T138" s="74">
        <f t="shared" si="31"/>
        <v>9.5258554199309287E-2</v>
      </c>
      <c r="U138" s="42"/>
    </row>
    <row r="139" spans="1:21" ht="16.5">
      <c r="B139" s="22"/>
      <c r="C139" s="752" t="s">
        <v>121</v>
      </c>
      <c r="D139" s="752"/>
      <c r="E139" s="752"/>
      <c r="F139" s="752"/>
      <c r="G139" s="752"/>
      <c r="H139" s="753"/>
      <c r="I139" s="76">
        <f>+I136/I137</f>
        <v>2.6229131980576139</v>
      </c>
      <c r="J139" s="77">
        <f t="shared" ref="J139:T139" si="32">+J136/J137</f>
        <v>2.0677710649980163</v>
      </c>
      <c r="K139" s="76">
        <f t="shared" si="32"/>
        <v>2.1737120660684766</v>
      </c>
      <c r="L139" s="76">
        <f t="shared" si="32"/>
        <v>2.6245195544208619</v>
      </c>
      <c r="M139" s="76">
        <f t="shared" si="32"/>
        <v>2.2387555441909934</v>
      </c>
      <c r="N139" s="76">
        <f t="shared" si="32"/>
        <v>2.1443965779267358</v>
      </c>
      <c r="O139" s="76">
        <f t="shared" si="32"/>
        <v>1.6959637910525998</v>
      </c>
      <c r="P139" s="76">
        <f t="shared" si="32"/>
        <v>1.7882533173821755</v>
      </c>
      <c r="Q139" s="76">
        <f t="shared" si="32"/>
        <v>2.1138690794165655</v>
      </c>
      <c r="R139" s="76">
        <f t="shared" si="32"/>
        <v>1.3605936617594649</v>
      </c>
      <c r="S139" s="76">
        <f t="shared" si="32"/>
        <v>2.0409919431568389</v>
      </c>
      <c r="T139" s="76">
        <f t="shared" si="32"/>
        <v>2.282112836730533</v>
      </c>
      <c r="U139" s="42"/>
    </row>
    <row r="140" spans="1:21" ht="16.5">
      <c r="A140" s="5">
        <f>DATA!CE1</f>
        <v>83</v>
      </c>
      <c r="C140" s="786" t="s">
        <v>147</v>
      </c>
      <c r="D140" s="748"/>
      <c r="E140" s="749"/>
      <c r="F140" s="787" t="s">
        <v>148</v>
      </c>
      <c r="G140" s="748"/>
      <c r="H140" s="749"/>
      <c r="I140" s="78">
        <f>VLOOKUP($I$1&amp;I$8,DATA!$A:$EB,작업!$A140,0)/100</f>
        <v>2014.1523565595216</v>
      </c>
      <c r="J140" s="79">
        <f>VLOOKUP($I$1&amp;J$8,DATA!$A:$EB,작업!$A140,0)/100</f>
        <v>8491.89</v>
      </c>
      <c r="K140" s="78">
        <f>VLOOKUP($I$1&amp;K$8,DATA!$A:$EB,작업!$A140,0)/100</f>
        <v>5707.66</v>
      </c>
      <c r="L140" s="78">
        <f>VLOOKUP($I$1&amp;L$8,DATA!$A:$EB,작업!$A140,0)/100</f>
        <v>4244.1099999999997</v>
      </c>
      <c r="M140" s="78">
        <f>VLOOKUP($I$1&amp;M$8,DATA!$A:$EB,작업!$A140,0)/100</f>
        <v>4415.2299999999996</v>
      </c>
      <c r="N140" s="78">
        <f>VLOOKUP($I$1&amp;N$8,DATA!$A:$EB,작업!$A140,0)/100</f>
        <v>0</v>
      </c>
      <c r="O140" s="78">
        <f>VLOOKUP($I$1&amp;O$8,DATA!$A:$EB,작업!$A140,0)/100</f>
        <v>2049.54</v>
      </c>
      <c r="P140" s="78">
        <f>VLOOKUP($I$1&amp;P$8,DATA!$A:$EB,작업!$A140,0)/100</f>
        <v>10479.49</v>
      </c>
      <c r="Q140" s="78">
        <f>VLOOKUP($I$1&amp;Q$8,DATA!$A:$EB,작업!$A140,0)/100</f>
        <v>6227.1686113400001</v>
      </c>
      <c r="R140" s="78">
        <f>VLOOKUP($I$1&amp;R$8,DATA!$A:$EB,작업!$A140,0)/100</f>
        <v>7868.48</v>
      </c>
      <c r="S140" s="78">
        <f>VLOOKUP($I$1&amp;S$8,DATA!$A:$EB,작업!$A140,0)/100</f>
        <v>5019.47</v>
      </c>
      <c r="T140" s="78">
        <f>VLOOKUP($I$1&amp;T$8,DATA!$A:$EB,작업!$A140,0)/100</f>
        <v>7951.82</v>
      </c>
      <c r="U140" s="42"/>
    </row>
    <row r="141" spans="1:21" ht="16.5">
      <c r="A141" s="5">
        <f>DATA!CF1</f>
        <v>84</v>
      </c>
      <c r="C141" s="750"/>
      <c r="D141" s="750"/>
      <c r="E141" s="751"/>
      <c r="F141" s="788" t="s">
        <v>149</v>
      </c>
      <c r="G141" s="750"/>
      <c r="H141" s="751"/>
      <c r="I141" s="80">
        <f>VLOOKUP($I$1&amp;I$8,DATA!$A:$EB,작업!$A141,0)/100+VLOOKUP($I$1&amp;I$8,DATA!$A:$EB,작업!$A141+1,0)/100</f>
        <v>5894.1802860295493</v>
      </c>
      <c r="J141" s="81">
        <f>VLOOKUP($I$1&amp;J$8,DATA!$A:$EB,작업!$A141,0)/100+VLOOKUP($I$1&amp;J$8,DATA!$A:$EB,작업!$A141+1,0)/100</f>
        <v>25062.27</v>
      </c>
      <c r="K141" s="80">
        <f>VLOOKUP($I$1&amp;K$8,DATA!$A:$EB,작업!$A141,0)/100+VLOOKUP($I$1&amp;K$8,DATA!$A:$EB,작업!$A141+1,0)/100</f>
        <v>16940.669999999998</v>
      </c>
      <c r="L141" s="80">
        <f>VLOOKUP($I$1&amp;L$8,DATA!$A:$EB,작업!$A141,0)/100+VLOOKUP($I$1&amp;L$8,DATA!$A:$EB,작업!$A141+1,0)/100</f>
        <v>13332.5</v>
      </c>
      <c r="M141" s="80">
        <f>VLOOKUP($I$1&amp;M$8,DATA!$A:$EB,작업!$A141,0)/100+VLOOKUP($I$1&amp;M$8,DATA!$A:$EB,작업!$A141+1,0)/100</f>
        <v>13462.849999999999</v>
      </c>
      <c r="N141" s="80">
        <f>VLOOKUP($I$1&amp;N$8,DATA!$A:$EB,작업!$A141,0)/100+VLOOKUP($I$1&amp;N$8,DATA!$A:$EB,작업!$A141+1,0)/100</f>
        <v>0</v>
      </c>
      <c r="O141" s="80">
        <f>VLOOKUP($I$1&amp;O$8,DATA!$A:$EB,작업!$A141,0)/100+VLOOKUP($I$1&amp;O$8,DATA!$A:$EB,작업!$A141+1,0)/100</f>
        <v>6548.89</v>
      </c>
      <c r="P141" s="80">
        <f>VLOOKUP($I$1&amp;P$8,DATA!$A:$EB,작업!$A141,0)/100+VLOOKUP($I$1&amp;P$8,DATA!$A:$EB,작업!$A141+1,0)/100</f>
        <v>28575.15</v>
      </c>
      <c r="Q141" s="80">
        <f>VLOOKUP($I$1&amp;Q$8,DATA!$A:$EB,작업!$A141,0)/100+VLOOKUP($I$1&amp;Q$8,DATA!$A:$EB,작업!$A141+1,0)/100</f>
        <v>17764.542066820002</v>
      </c>
      <c r="R141" s="80">
        <f>VLOOKUP($I$1&amp;R$8,DATA!$A:$EB,작업!$A141,0)/100+VLOOKUP($I$1&amp;R$8,DATA!$A:$EB,작업!$A141+1,0)/100</f>
        <v>23413.519999999997</v>
      </c>
      <c r="S141" s="80">
        <f>VLOOKUP($I$1&amp;S$8,DATA!$A:$EB,작업!$A141,0)/100+VLOOKUP($I$1&amp;S$8,DATA!$A:$EB,작업!$A141+1,0)/100</f>
        <v>14733.51</v>
      </c>
      <c r="T141" s="80">
        <f>VLOOKUP($I$1&amp;T$8,DATA!$A:$EB,작업!$A141,0)/100+VLOOKUP($I$1&amp;T$8,DATA!$A:$EB,작업!$A141+1,0)/100</f>
        <v>22226.690000000002</v>
      </c>
      <c r="U141" s="42"/>
    </row>
    <row r="142" spans="1:21" ht="16.5">
      <c r="A142" s="5">
        <f>DATA!CH1</f>
        <v>86</v>
      </c>
      <c r="C142" s="750"/>
      <c r="D142" s="750"/>
      <c r="E142" s="751"/>
      <c r="F142" s="788" t="s">
        <v>58</v>
      </c>
      <c r="G142" s="750"/>
      <c r="H142" s="751"/>
      <c r="I142" s="80">
        <f>VLOOKUP($I$1&amp;I$8,DATA!$A:$EB,작업!$A142,0)/100</f>
        <v>4570.827977227661</v>
      </c>
      <c r="J142" s="779">
        <f>VLOOKUP($I$1&amp;J$8,DATA!$A:$EB,작업!$A142,0)/100</f>
        <v>98624.58</v>
      </c>
      <c r="K142" s="80">
        <f>VLOOKUP($I$1&amp;K$8,DATA!$A:$EB,작업!$A142,0)/100</f>
        <v>14113.19</v>
      </c>
      <c r="L142" s="80">
        <f>VLOOKUP($I$1&amp;L$8,DATA!$A:$EB,작업!$A142,0)/100</f>
        <v>12640.98</v>
      </c>
      <c r="M142" s="80">
        <f>VLOOKUP($I$1&amp;M$8,DATA!$A:$EB,작업!$A142,0)/100</f>
        <v>11534.76</v>
      </c>
      <c r="N142" s="80">
        <f>VLOOKUP($I$1&amp;N$8,DATA!$A:$EB,작업!$A142,0)/100</f>
        <v>0</v>
      </c>
      <c r="O142" s="80">
        <f>VLOOKUP($I$1&amp;O$8,DATA!$A:$EB,작업!$A142,0)/100</f>
        <v>5928.71</v>
      </c>
      <c r="P142" s="779">
        <f>VLOOKUP($I$1&amp;P$8,DATA!$A:$EB,작업!$A142,0)/100</f>
        <v>102622</v>
      </c>
      <c r="Q142" s="80">
        <f>VLOOKUP($I$1&amp;Q$8,DATA!$A:$EB,작업!$A142,0)/100</f>
        <v>15232.88857716</v>
      </c>
      <c r="R142" s="80">
        <f>VLOOKUP($I$1&amp;R$8,DATA!$A:$EB,작업!$A142,0)/100</f>
        <v>20193.72</v>
      </c>
      <c r="S142" s="80">
        <f>VLOOKUP($I$1&amp;S$8,DATA!$A:$EB,작업!$A142,0)/100</f>
        <v>12499.1</v>
      </c>
      <c r="T142" s="80">
        <f>VLOOKUP($I$1&amp;T$8,DATA!$A:$EB,작업!$A142,0)/100</f>
        <v>18874.78</v>
      </c>
      <c r="U142" s="42"/>
    </row>
    <row r="143" spans="1:21" ht="16.5">
      <c r="A143" s="5">
        <f>DATA!CI1</f>
        <v>87</v>
      </c>
      <c r="C143" s="752"/>
      <c r="D143" s="752"/>
      <c r="E143" s="753"/>
      <c r="F143" s="781" t="s">
        <v>150</v>
      </c>
      <c r="G143" s="752"/>
      <c r="H143" s="753"/>
      <c r="I143" s="82">
        <f>VLOOKUP($I$1&amp;I$8,DATA!$A:$EB,작업!$A143,0)/100</f>
        <v>8105.0705806532696</v>
      </c>
      <c r="J143" s="780"/>
      <c r="K143" s="82">
        <f>VLOOKUP($I$1&amp;K$8,DATA!$A:$EB,작업!$A143,0)/100</f>
        <v>28348.09</v>
      </c>
      <c r="L143" s="82">
        <f>VLOOKUP($I$1&amp;L$8,DATA!$A:$EB,작업!$A143,0)/100</f>
        <v>56918.93</v>
      </c>
      <c r="M143" s="82">
        <f>VLOOKUP($I$1&amp;M$8,DATA!$A:$EB,작업!$A143,0)/100</f>
        <v>46124.52</v>
      </c>
      <c r="N143" s="82">
        <f>VLOOKUP($I$1&amp;N$8,DATA!$A:$EB,작업!$A143,0)/100</f>
        <v>0</v>
      </c>
      <c r="O143" s="82">
        <f>VLOOKUP($I$1&amp;O$8,DATA!$A:$EB,작업!$A143,0)/100</f>
        <v>18110.61</v>
      </c>
      <c r="P143" s="780"/>
      <c r="Q143" s="82">
        <f>VLOOKUP($I$1&amp;Q$8,DATA!$A:$EB,작업!$A143,0)/100</f>
        <v>50553.821437910003</v>
      </c>
      <c r="R143" s="82">
        <f>VLOOKUP($I$1&amp;R$8,DATA!$A:$EB,작업!$A143,0)/100</f>
        <v>59561.27</v>
      </c>
      <c r="S143" s="82">
        <f>VLOOKUP($I$1&amp;S$8,DATA!$A:$EB,작업!$A143,0)/100</f>
        <v>60598.25</v>
      </c>
      <c r="T143" s="82">
        <f>VLOOKUP($I$1&amp;T$8,DATA!$A:$EB,작업!$A143,0)/100</f>
        <v>73000.14</v>
      </c>
      <c r="U143" s="42"/>
    </row>
    <row r="144" spans="1:21" ht="16.5">
      <c r="C144" s="83" t="s">
        <v>151</v>
      </c>
      <c r="D144" s="53"/>
      <c r="E144" s="54"/>
      <c r="F144" s="54"/>
      <c r="G144" s="54"/>
      <c r="H144" s="54"/>
      <c r="I144" s="84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42"/>
    </row>
    <row r="145" spans="1:21" ht="16.5">
      <c r="C145" s="52" t="s">
        <v>152</v>
      </c>
      <c r="D145" s="53"/>
      <c r="E145" s="54"/>
      <c r="F145" s="54"/>
      <c r="G145" s="54"/>
      <c r="H145" s="54"/>
      <c r="I145" s="84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42"/>
    </row>
    <row r="146" spans="1:21" ht="16.5">
      <c r="C146" s="55"/>
      <c r="D146" s="53"/>
      <c r="E146" s="54"/>
      <c r="F146" s="54"/>
      <c r="G146" s="54"/>
      <c r="H146" s="54"/>
      <c r="I146" s="135">
        <f>+I136/I133</f>
        <v>0.26227752209209204</v>
      </c>
      <c r="J146" s="135">
        <f t="shared" ref="J146:T146" si="33">+J136/J133</f>
        <v>0.23146475749428391</v>
      </c>
      <c r="K146" s="135">
        <f t="shared" si="33"/>
        <v>0.19630496942002879</v>
      </c>
      <c r="L146" s="135">
        <f t="shared" si="33"/>
        <v>0.23712881808913186</v>
      </c>
      <c r="M146" s="135">
        <f t="shared" si="33"/>
        <v>0.21790521085333425</v>
      </c>
      <c r="N146" s="135">
        <f t="shared" si="33"/>
        <v>0.21534861289449531</v>
      </c>
      <c r="O146" s="135">
        <f t="shared" si="33"/>
        <v>0.15464577061837903</v>
      </c>
      <c r="P146" s="135">
        <f t="shared" si="33"/>
        <v>0.20457620959955003</v>
      </c>
      <c r="Q146" s="135">
        <f t="shared" si="33"/>
        <v>0.2269544570117254</v>
      </c>
      <c r="R146" s="135">
        <f t="shared" si="33"/>
        <v>0.1430309331235293</v>
      </c>
      <c r="S146" s="135">
        <f t="shared" si="33"/>
        <v>0.18759825624744683</v>
      </c>
      <c r="T146" s="135">
        <f t="shared" si="33"/>
        <v>0.24027944155276915</v>
      </c>
      <c r="U146" s="42"/>
    </row>
    <row r="147" spans="1:21" ht="16.5">
      <c r="A147" s="5">
        <f>DATA!CB1</f>
        <v>80</v>
      </c>
      <c r="C147" s="55"/>
      <c r="D147" s="53"/>
      <c r="E147" s="54" t="s">
        <v>122</v>
      </c>
      <c r="F147" s="54"/>
      <c r="G147" s="54"/>
      <c r="H147" s="54"/>
      <c r="I147" s="1">
        <f>VLOOKUP($I$1&amp;I$8,DATA!$A:$EB,작업!$A147,0)/100</f>
        <v>20782.12</v>
      </c>
      <c r="J147" s="1">
        <f>VLOOKUP($I$1&amp;J$8,DATA!$A:$EB,작업!$A147,0)/100</f>
        <v>129020.23</v>
      </c>
      <c r="K147" s="95">
        <f>VLOOKUP($I$1&amp;K$8,DATA!$A:$EB,작업!$A147,0)/100</f>
        <v>64380.58</v>
      </c>
      <c r="L147" s="95">
        <f>VLOOKUP($I$1&amp;L$8,DATA!$A:$EB,작업!$A147,0)/100</f>
        <v>91091.41</v>
      </c>
      <c r="M147" s="95">
        <f>VLOOKUP($I$1&amp;M$8,DATA!$A:$EB,작업!$A147,0)/100</f>
        <v>72241.14</v>
      </c>
      <c r="N147" s="95">
        <f>VLOOKUP($I$1&amp;N$8,DATA!$A:$EB,작업!$A147,0)/100</f>
        <v>26710.880000000001</v>
      </c>
      <c r="O147" s="95">
        <f>VLOOKUP($I$1&amp;O$8,DATA!$A:$EB,작업!$A147,0)/100</f>
        <v>30105.09</v>
      </c>
      <c r="P147" s="95">
        <f>VLOOKUP($I$1&amp;P$8,DATA!$A:$EB,작업!$A147,0)/100</f>
        <v>140739.09</v>
      </c>
      <c r="Q147" s="95">
        <f>VLOOKUP($I$1&amp;Q$8,DATA!$A:$EB,작업!$A147,0)/100</f>
        <v>83054.872617879999</v>
      </c>
      <c r="R147" s="95">
        <f>VLOOKUP($I$1&amp;R$8,DATA!$A:$EB,작업!$A147,0)/100</f>
        <v>111878.89</v>
      </c>
      <c r="S147" s="95">
        <f>VLOOKUP($I$1&amp;S$8,DATA!$A:$EB,작업!$A147,0)/100</f>
        <v>88204.82</v>
      </c>
      <c r="T147" s="95">
        <f>VLOOKUP($I$1&amp;T$8,DATA!$A:$EB,작업!$A147,0)/100</f>
        <v>122317.58</v>
      </c>
      <c r="U147" s="42"/>
    </row>
    <row r="148" spans="1:21" ht="16.5">
      <c r="C148" s="55"/>
      <c r="D148" s="53"/>
      <c r="E148" s="54"/>
      <c r="F148" s="54"/>
      <c r="G148" s="54"/>
      <c r="H148" s="54"/>
      <c r="I148" s="86">
        <f>I133-SUM(I140:I143)</f>
        <v>0</v>
      </c>
      <c r="J148" s="86">
        <f t="shared" ref="J148:T148" si="34">J133-SUM(J140:J143)</f>
        <v>0</v>
      </c>
      <c r="K148" s="86">
        <f t="shared" si="34"/>
        <v>0</v>
      </c>
      <c r="L148" s="86">
        <f t="shared" si="34"/>
        <v>0</v>
      </c>
      <c r="M148" s="86">
        <f t="shared" si="34"/>
        <v>-1.9999999989522621E-2</v>
      </c>
      <c r="N148" s="86">
        <f t="shared" si="34"/>
        <v>24570.95</v>
      </c>
      <c r="O148" s="86">
        <f t="shared" si="34"/>
        <v>0</v>
      </c>
      <c r="P148" s="86">
        <f t="shared" si="34"/>
        <v>0</v>
      </c>
      <c r="Q148" s="86">
        <f t="shared" si="34"/>
        <v>-9.9826138466596603E-9</v>
      </c>
      <c r="R148" s="86">
        <f t="shared" si="34"/>
        <v>-2.9999999984283932E-2</v>
      </c>
      <c r="S148" s="86">
        <f t="shared" si="34"/>
        <v>0</v>
      </c>
      <c r="T148" s="86">
        <f t="shared" si="34"/>
        <v>0</v>
      </c>
      <c r="U148" s="42"/>
    </row>
    <row r="149" spans="1:21" ht="16.5">
      <c r="A149" s="5">
        <f>DATA!BZ1</f>
        <v>78</v>
      </c>
      <c r="C149" s="55"/>
      <c r="D149" s="53"/>
      <c r="E149" s="54" t="s">
        <v>886</v>
      </c>
      <c r="F149" s="54"/>
      <c r="G149" s="54"/>
      <c r="H149" s="54"/>
      <c r="I149" s="136">
        <f>VLOOKUP($I$1&amp;I$8,DATA!$A:$EB,작업!$A149,0)/100</f>
        <v>-4144.9350384299996</v>
      </c>
      <c r="J149" s="136">
        <f>VLOOKUP($I$1&amp;J$8,DATA!$A:$EB,작업!$A149,0)/100</f>
        <v>-17577.75</v>
      </c>
      <c r="K149" s="137">
        <f>VLOOKUP($I$1&amp;K$8,DATA!$A:$EB,작업!$A149,0)/100</f>
        <v>-8037.84</v>
      </c>
      <c r="L149" s="137">
        <f>VLOOKUP($I$1&amp;L$8,DATA!$A:$EB,작업!$A149,0)/100</f>
        <v>-20322.240000000002</v>
      </c>
      <c r="M149" s="137">
        <f>VLOOKUP($I$1&amp;M$8,DATA!$A:$EB,작업!$A149,0)/100</f>
        <v>-8470.15</v>
      </c>
      <c r="N149" s="137">
        <f>VLOOKUP($I$1&amp;N$8,DATA!$A:$EB,작업!$A149,0)/100</f>
        <v>-6068.8</v>
      </c>
      <c r="O149" s="137">
        <f>VLOOKUP($I$1&amp;O$8,DATA!$A:$EB,작업!$A149,0)/100</f>
        <v>-512.65</v>
      </c>
      <c r="P149" s="137">
        <f>VLOOKUP($I$1&amp;P$8,DATA!$A:$EB,작업!$A149,0)/100</f>
        <v>-16861.169999999998</v>
      </c>
      <c r="Q149" s="137">
        <f>VLOOKUP($I$1&amp;Q$8,DATA!$A:$EB,작업!$A149,0)/100</f>
        <v>-7190.3064805700005</v>
      </c>
      <c r="R149" s="137">
        <f>VLOOKUP($I$1&amp;R$8,DATA!$A:$EB,작업!$A149,0)/100</f>
        <v>-8666.4500000000007</v>
      </c>
      <c r="S149" s="137">
        <f>VLOOKUP($I$1&amp;S$8,DATA!$A:$EB,작업!$A149,0)/100</f>
        <v>-7559.17</v>
      </c>
      <c r="T149" s="137">
        <f>VLOOKUP($I$1&amp;T$8,DATA!$A:$EB,작업!$A149,0)/100</f>
        <v>-21174.7</v>
      </c>
      <c r="U149" s="42"/>
    </row>
    <row r="150" spans="1:21" ht="16.5">
      <c r="C150" s="55"/>
      <c r="D150" s="53"/>
      <c r="E150" s="54"/>
      <c r="F150" s="54"/>
      <c r="G150" s="54"/>
      <c r="H150" s="54"/>
      <c r="I150" s="135">
        <f>I149/I133</f>
        <v>-0.20136457845145844</v>
      </c>
      <c r="J150" s="135">
        <f t="shared" ref="J150:T150" si="35">J149/J133</f>
        <v>-0.13298469935482818</v>
      </c>
      <c r="K150" s="135">
        <f t="shared" si="35"/>
        <v>-0.1234509007195712</v>
      </c>
      <c r="L150" s="135">
        <f t="shared" si="35"/>
        <v>-0.23322299306880745</v>
      </c>
      <c r="M150" s="135">
        <f t="shared" si="35"/>
        <v>-0.11213196016698497</v>
      </c>
      <c r="N150" s="135">
        <f t="shared" si="35"/>
        <v>-0.24699085708936772</v>
      </c>
      <c r="O150" s="135">
        <f t="shared" si="35"/>
        <v>-1.5707271487771061E-2</v>
      </c>
      <c r="P150" s="135">
        <f t="shared" si="35"/>
        <v>-0.11901164510959603</v>
      </c>
      <c r="Q150" s="135">
        <f t="shared" si="35"/>
        <v>-8.0089473896403765E-2</v>
      </c>
      <c r="R150" s="135">
        <f t="shared" si="35"/>
        <v>-7.8050137539788553E-2</v>
      </c>
      <c r="S150" s="135">
        <f t="shared" si="35"/>
        <v>-8.1412419320426754E-2</v>
      </c>
      <c r="T150" s="135">
        <f t="shared" si="35"/>
        <v>-0.17348713592071932</v>
      </c>
      <c r="U150" s="42"/>
    </row>
    <row r="151" spans="1:21" ht="16.5">
      <c r="C151" s="41" t="s">
        <v>153</v>
      </c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</row>
    <row r="152" spans="1:21" ht="16.5"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2"/>
      <c r="P152" s="43"/>
      <c r="Q152" s="43"/>
      <c r="R152" s="42"/>
      <c r="S152" s="42"/>
      <c r="T152" s="42"/>
      <c r="U152" s="42"/>
    </row>
    <row r="153" spans="1:21" ht="16.5">
      <c r="C153" s="729" t="s">
        <v>105</v>
      </c>
      <c r="D153" s="729"/>
      <c r="E153" s="729"/>
      <c r="F153" s="729"/>
      <c r="G153" s="729"/>
      <c r="H153" s="730"/>
      <c r="I153" s="45" t="s">
        <v>124</v>
      </c>
      <c r="J153" s="45" t="s">
        <v>136</v>
      </c>
      <c r="K153" s="45" t="s">
        <v>137</v>
      </c>
      <c r="L153" s="45" t="s">
        <v>138</v>
      </c>
      <c r="M153" s="45" t="s">
        <v>4</v>
      </c>
      <c r="N153" s="45" t="s">
        <v>139</v>
      </c>
      <c r="O153" s="46" t="s">
        <v>6</v>
      </c>
      <c r="P153" s="46" t="s">
        <v>106</v>
      </c>
      <c r="Q153" s="46" t="s">
        <v>107</v>
      </c>
      <c r="R153" s="46" t="s">
        <v>108</v>
      </c>
      <c r="S153" s="46" t="s">
        <v>109</v>
      </c>
      <c r="T153" s="46" t="s">
        <v>110</v>
      </c>
      <c r="U153" s="42"/>
    </row>
    <row r="154" spans="1:21" ht="16.5">
      <c r="C154" s="748" t="s">
        <v>131</v>
      </c>
      <c r="D154" s="748"/>
      <c r="E154" s="748"/>
      <c r="F154" s="748"/>
      <c r="G154" s="748"/>
      <c r="H154" s="749"/>
      <c r="I154" s="87">
        <f>I118/AVERAGE(I164,I165)*(4/$J$1)</f>
        <v>5.0062889689894245E-2</v>
      </c>
      <c r="J154" s="87">
        <f t="shared" ref="J154:T154" si="36">J118/AVERAGE(J164,J165)*(4/$J$1)</f>
        <v>3.9117562802144935E-2</v>
      </c>
      <c r="K154" s="87">
        <f t="shared" si="36"/>
        <v>0.10202680347700592</v>
      </c>
      <c r="L154" s="87">
        <f t="shared" si="36"/>
        <v>2.7463561060208107E-2</v>
      </c>
      <c r="M154" s="87">
        <f t="shared" si="36"/>
        <v>7.7572044738090068E-2</v>
      </c>
      <c r="N154" s="87">
        <f t="shared" si="36"/>
        <v>3.7123381945339193E-2</v>
      </c>
      <c r="O154" s="88">
        <f t="shared" si="36"/>
        <v>6.0734516510643419E-2</v>
      </c>
      <c r="P154" s="88">
        <f t="shared" si="36"/>
        <v>9.4137420432397853E-2</v>
      </c>
      <c r="Q154" s="88">
        <f t="shared" si="36"/>
        <v>0.11438736036484801</v>
      </c>
      <c r="R154" s="88">
        <f t="shared" si="36"/>
        <v>0.28997163979926222</v>
      </c>
      <c r="S154" s="88">
        <f t="shared" si="36"/>
        <v>0.13497475952970858</v>
      </c>
      <c r="T154" s="88">
        <f t="shared" si="36"/>
        <v>0.16801361728212622</v>
      </c>
      <c r="U154" s="42"/>
    </row>
    <row r="155" spans="1:21" ht="16.5">
      <c r="C155" s="789" t="s">
        <v>154</v>
      </c>
      <c r="D155" s="789"/>
      <c r="E155" s="789"/>
      <c r="F155" s="789"/>
      <c r="G155" s="789"/>
      <c r="H155" s="790"/>
      <c r="I155" s="89">
        <f>+I136/(I102*130%)*(4/$J$1)</f>
        <v>0.19819234766755159</v>
      </c>
      <c r="J155" s="89">
        <f t="shared" ref="J155:T155" si="37">+J136/(J102*130%)*(4/$J$1)</f>
        <v>7.0875663058957775E-2</v>
      </c>
      <c r="K155" s="89">
        <f t="shared" si="37"/>
        <v>0.11455652486784716</v>
      </c>
      <c r="L155" s="89">
        <f t="shared" si="37"/>
        <v>0.10932301935418141</v>
      </c>
      <c r="M155" s="89">
        <f t="shared" si="37"/>
        <v>0.26413941956656051</v>
      </c>
      <c r="N155" s="89">
        <f t="shared" si="37"/>
        <v>0.18031496744542164</v>
      </c>
      <c r="O155" s="71">
        <f t="shared" si="37"/>
        <v>0.17998352320022626</v>
      </c>
      <c r="P155" s="71">
        <f t="shared" si="37"/>
        <v>0.20002270501629033</v>
      </c>
      <c r="Q155" s="71">
        <f t="shared" si="37"/>
        <v>0.21351228495243993</v>
      </c>
      <c r="R155" s="71">
        <f t="shared" si="37"/>
        <v>0.22082966285493097</v>
      </c>
      <c r="S155" s="71">
        <f t="shared" si="37"/>
        <v>0.21052108445063766</v>
      </c>
      <c r="T155" s="71">
        <f t="shared" si="37"/>
        <v>0.22841606535405248</v>
      </c>
      <c r="U155" s="42"/>
    </row>
    <row r="156" spans="1:21" ht="16.5">
      <c r="C156" s="791" t="s">
        <v>53</v>
      </c>
      <c r="D156" s="791"/>
      <c r="E156" s="793" t="s">
        <v>155</v>
      </c>
      <c r="F156" s="794"/>
      <c r="G156" s="794"/>
      <c r="H156" s="795"/>
      <c r="I156" s="90">
        <f>I133/I165</f>
        <v>0.84482733666131826</v>
      </c>
      <c r="J156" s="90">
        <f t="shared" ref="J156:T156" si="38">J133/J165</f>
        <v>0.23428961737737231</v>
      </c>
      <c r="K156" s="90">
        <f t="shared" si="38"/>
        <v>0.85057685776580771</v>
      </c>
      <c r="L156" s="90">
        <f t="shared" si="38"/>
        <v>0.69883780091967329</v>
      </c>
      <c r="M156" s="90">
        <f t="shared" si="38"/>
        <v>1.210671271461162</v>
      </c>
      <c r="N156" s="90">
        <f t="shared" si="38"/>
        <v>1.6017871263537578</v>
      </c>
      <c r="O156" s="90">
        <f t="shared" si="38"/>
        <v>0.77366526430170479</v>
      </c>
      <c r="P156" s="90">
        <f t="shared" si="38"/>
        <v>0.6868245587736489</v>
      </c>
      <c r="Q156" s="90">
        <f t="shared" si="38"/>
        <v>1.8384079268899987</v>
      </c>
      <c r="R156" s="90">
        <f t="shared" si="38"/>
        <v>1.896667465783634</v>
      </c>
      <c r="S156" s="90">
        <f t="shared" si="38"/>
        <v>1.6240428500914954</v>
      </c>
      <c r="T156" s="90">
        <f t="shared" si="38"/>
        <v>1.2385048819871454</v>
      </c>
      <c r="U156" s="42"/>
    </row>
    <row r="157" spans="1:21" ht="16.5">
      <c r="C157" s="792"/>
      <c r="D157" s="792"/>
      <c r="E157" s="796" t="s">
        <v>1112</v>
      </c>
      <c r="F157" s="797"/>
      <c r="G157" s="797"/>
      <c r="H157" s="798"/>
      <c r="I157" s="91">
        <f>I133/(I102*130%)</f>
        <v>0.75565891459795553</v>
      </c>
      <c r="J157" s="91">
        <f t="shared" ref="J157:T157" si="39">J133/(J102*130%)</f>
        <v>0.30620498699767745</v>
      </c>
      <c r="K157" s="91">
        <f t="shared" si="39"/>
        <v>0.5835640595665893</v>
      </c>
      <c r="L157" s="91">
        <f t="shared" si="39"/>
        <v>0.46102797726208516</v>
      </c>
      <c r="M157" s="91">
        <f t="shared" si="39"/>
        <v>1.2121757829111537</v>
      </c>
      <c r="N157" s="91">
        <f t="shared" si="39"/>
        <v>0.83731659573661832</v>
      </c>
      <c r="O157" s="91">
        <f t="shared" si="39"/>
        <v>1.1638438120908814</v>
      </c>
      <c r="P157" s="91">
        <f t="shared" si="39"/>
        <v>0.97774176874147278</v>
      </c>
      <c r="Q157" s="91">
        <f t="shared" si="39"/>
        <v>0.94077149999045406</v>
      </c>
      <c r="R157" s="91">
        <f t="shared" si="39"/>
        <v>1.5439294006717446</v>
      </c>
      <c r="S157" s="91">
        <f t="shared" si="39"/>
        <v>1.1221910515679583</v>
      </c>
      <c r="T157" s="91">
        <f t="shared" si="39"/>
        <v>0.95062675307528832</v>
      </c>
      <c r="U157" s="42"/>
    </row>
    <row r="158" spans="1:21" ht="16.5">
      <c r="C158" s="92"/>
      <c r="D158" s="92"/>
      <c r="E158" s="799" t="s">
        <v>156</v>
      </c>
      <c r="F158" s="800"/>
      <c r="G158" s="800"/>
      <c r="H158" s="801"/>
      <c r="I158" s="93">
        <f>I133/(I102*150%)</f>
        <v>0.65490439265156142</v>
      </c>
      <c r="J158" s="93">
        <f t="shared" ref="J158:T158" si="40">J133/(J102*150%)</f>
        <v>0.26537765539798713</v>
      </c>
      <c r="K158" s="93">
        <f t="shared" si="40"/>
        <v>0.50575551829104415</v>
      </c>
      <c r="L158" s="93">
        <f t="shared" si="40"/>
        <v>0.39955758029380717</v>
      </c>
      <c r="M158" s="93">
        <f t="shared" si="40"/>
        <v>1.0505523451896666</v>
      </c>
      <c r="N158" s="93">
        <f t="shared" si="40"/>
        <v>0.72567438297173581</v>
      </c>
      <c r="O158" s="93">
        <f t="shared" si="40"/>
        <v>1.0086646371454306</v>
      </c>
      <c r="P158" s="93">
        <f t="shared" si="40"/>
        <v>0.84737619957594312</v>
      </c>
      <c r="Q158" s="93">
        <f t="shared" si="40"/>
        <v>0.81533529999172683</v>
      </c>
      <c r="R158" s="93">
        <f t="shared" si="40"/>
        <v>1.3380721472488453</v>
      </c>
      <c r="S158" s="93">
        <f t="shared" si="40"/>
        <v>0.97256557802556387</v>
      </c>
      <c r="T158" s="93">
        <f t="shared" si="40"/>
        <v>0.82387651933191675</v>
      </c>
      <c r="U158" s="42"/>
    </row>
    <row r="159" spans="1:21" ht="16.5">
      <c r="C159" s="786" t="s">
        <v>158</v>
      </c>
      <c r="D159" s="802"/>
      <c r="E159" s="805" t="s">
        <v>159</v>
      </c>
      <c r="F159" s="806"/>
      <c r="G159" s="806"/>
      <c r="H159" s="807"/>
      <c r="I159" s="90">
        <f>I137/I165*(4/$J$1)</f>
        <v>8.4478289490968153E-2</v>
      </c>
      <c r="J159" s="90">
        <f t="shared" ref="J159:T159" si="41">J137/J165*(4/$J$1)</f>
        <v>2.6226205786342244E-2</v>
      </c>
      <c r="K159" s="90">
        <f t="shared" si="41"/>
        <v>7.6814434928862863E-2</v>
      </c>
      <c r="L159" s="90">
        <f t="shared" si="41"/>
        <v>6.3140920969307651E-2</v>
      </c>
      <c r="M159" s="90">
        <f t="shared" si="41"/>
        <v>0.11783849262432576</v>
      </c>
      <c r="N159" s="90">
        <f t="shared" si="41"/>
        <v>0.16085766940835258</v>
      </c>
      <c r="O159" s="90">
        <f t="shared" si="41"/>
        <v>7.0546353424415939E-2</v>
      </c>
      <c r="P159" s="90">
        <f t="shared" si="41"/>
        <v>7.8572741080937078E-2</v>
      </c>
      <c r="Q159" s="90">
        <f t="shared" si="41"/>
        <v>0.19737971328315634</v>
      </c>
      <c r="R159" s="90">
        <f t="shared" si="41"/>
        <v>0.19938511039751697</v>
      </c>
      <c r="S159" s="90">
        <f t="shared" si="41"/>
        <v>0.14927428193423606</v>
      </c>
      <c r="T159" s="90">
        <f t="shared" si="41"/>
        <v>0.13039988935454552</v>
      </c>
      <c r="U159" s="42"/>
    </row>
    <row r="160" spans="1:21" ht="16.5">
      <c r="C160" s="768"/>
      <c r="D160" s="803"/>
      <c r="E160" s="796" t="s">
        <v>1112</v>
      </c>
      <c r="F160" s="797"/>
      <c r="G160" s="797"/>
      <c r="H160" s="798"/>
      <c r="I160" s="91">
        <f>I137/(I102*130%)*(4/$J$1)</f>
        <v>7.5561916350995517E-2</v>
      </c>
      <c r="J160" s="91">
        <f t="shared" ref="J160:T160" si="42">J137/(J102*130%)*(4/$J$1)</f>
        <v>3.4276358857466535E-2</v>
      </c>
      <c r="K160" s="91">
        <f t="shared" si="42"/>
        <v>5.2700873614342988E-2</v>
      </c>
      <c r="L160" s="91">
        <f t="shared" si="42"/>
        <v>4.16544884072335E-2</v>
      </c>
      <c r="M160" s="91">
        <f t="shared" si="42"/>
        <v>0.11798493151784066</v>
      </c>
      <c r="N160" s="91">
        <f t="shared" si="42"/>
        <v>8.4086576756131251E-2</v>
      </c>
      <c r="O160" s="91">
        <f t="shared" si="42"/>
        <v>0.10612462609742364</v>
      </c>
      <c r="P160" s="91">
        <f t="shared" si="42"/>
        <v>0.11185367479653475</v>
      </c>
      <c r="Q160" s="91">
        <f t="shared" si="42"/>
        <v>0.10100544401329242</v>
      </c>
      <c r="R160" s="91">
        <f t="shared" si="42"/>
        <v>0.16230390384838553</v>
      </c>
      <c r="S160" s="91">
        <f t="shared" si="42"/>
        <v>0.10314645540688461</v>
      </c>
      <c r="T160" s="91">
        <f t="shared" si="42"/>
        <v>0.10008973337238336</v>
      </c>
      <c r="U160" s="42"/>
    </row>
    <row r="161" spans="1:21" ht="16.5">
      <c r="C161" s="769"/>
      <c r="D161" s="804"/>
      <c r="E161" s="726" t="s">
        <v>156</v>
      </c>
      <c r="F161" s="727"/>
      <c r="G161" s="727"/>
      <c r="H161" s="728"/>
      <c r="I161" s="93">
        <f>I137/(I102*150%)*(4/$J$1)</f>
        <v>6.5486994170862789E-2</v>
      </c>
      <c r="J161" s="93">
        <f t="shared" ref="J161:T161" si="43">J137/(J102*150%)*(4/$J$1)</f>
        <v>2.9706177676470998E-2</v>
      </c>
      <c r="K161" s="93">
        <f t="shared" si="43"/>
        <v>4.5674090465763928E-2</v>
      </c>
      <c r="L161" s="93">
        <f t="shared" si="43"/>
        <v>3.6100556619602368E-2</v>
      </c>
      <c r="M161" s="93">
        <f t="shared" si="43"/>
        <v>0.1022536073154619</v>
      </c>
      <c r="N161" s="93">
        <f t="shared" si="43"/>
        <v>7.2875033188647076E-2</v>
      </c>
      <c r="O161" s="93">
        <f t="shared" si="43"/>
        <v>9.1974675951100496E-2</v>
      </c>
      <c r="P161" s="93">
        <f t="shared" si="43"/>
        <v>9.6939851490330117E-2</v>
      </c>
      <c r="Q161" s="93">
        <f t="shared" si="43"/>
        <v>8.7538051478186774E-2</v>
      </c>
      <c r="R161" s="93">
        <f t="shared" si="43"/>
        <v>0.14066338333526746</v>
      </c>
      <c r="S161" s="93">
        <f t="shared" si="43"/>
        <v>8.9393594685966665E-2</v>
      </c>
      <c r="T161" s="93">
        <f t="shared" si="43"/>
        <v>8.6744435589398927E-2</v>
      </c>
      <c r="U161" s="42"/>
    </row>
    <row r="162" spans="1:21" ht="16.5">
      <c r="C162" s="83" t="s">
        <v>160</v>
      </c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</row>
    <row r="163" spans="1:21" ht="16.5"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</row>
    <row r="164" spans="1:21" ht="16.5">
      <c r="A164" s="5">
        <f>DATA!S1</f>
        <v>19</v>
      </c>
      <c r="C164" s="42"/>
      <c r="D164" s="42"/>
      <c r="E164" s="5" t="s">
        <v>132</v>
      </c>
      <c r="F164" s="42"/>
      <c r="G164" s="42"/>
      <c r="H164" s="42"/>
      <c r="I164" s="1">
        <f>VLOOKUP($I$1&amp;I$8,DATA!$A:$EB,작업!$A164,0)/100</f>
        <v>25532.379497679998</v>
      </c>
      <c r="J164" s="1">
        <f>VLOOKUP($I$1&amp;J$8,DATA!$A:$EB,작업!$A164,0)/100</f>
        <v>304884.96999999997</v>
      </c>
      <c r="K164" s="95">
        <f>VLOOKUP($I$1&amp;K$8,DATA!$A:$EB,작업!$A164,0)/100</f>
        <v>73062.207234319998</v>
      </c>
      <c r="L164" s="95">
        <f>VLOOKUP($I$1&amp;L$8,DATA!$A:$EB,작업!$A164,0)/100</f>
        <v>103483.67</v>
      </c>
      <c r="M164" s="95">
        <f>VLOOKUP($I$1&amp;M$8,DATA!$A:$EB,작업!$A164,0)/100</f>
        <v>70623.02</v>
      </c>
      <c r="N164" s="95">
        <f>VLOOKUP($I$1&amp;N$8,DATA!$A:$EB,작업!$A164,0)/100</f>
        <v>20129.580000000002</v>
      </c>
      <c r="O164" s="95">
        <f>VLOOKUP($I$1&amp;O$8,DATA!$A:$EB,작업!$A164,0)/100</f>
        <v>45371.58</v>
      </c>
      <c r="P164" s="95">
        <f>VLOOKUP($I$1&amp;P$8,DATA!$A:$EB,작업!$A164,0)/100</f>
        <v>152958.37547477</v>
      </c>
      <c r="Q164" s="95">
        <f>VLOOKUP($I$1&amp;Q$8,DATA!$A:$EB,작업!$A164,0)/100</f>
        <v>49271.490534100005</v>
      </c>
      <c r="R164" s="95">
        <f>VLOOKUP($I$1&amp;R$8,DATA!$A:$EB,작업!$A164,0)/100</f>
        <v>57400.863050469998</v>
      </c>
      <c r="S164" s="95">
        <f>VLOOKUP($I$1&amp;S$8,DATA!$A:$EB,작업!$A164,0)/100</f>
        <v>58564.41</v>
      </c>
      <c r="T164" s="95">
        <f>VLOOKUP($I$1&amp;T$8,DATA!$A:$EB,작업!$A164,0)/100</f>
        <v>84159.99</v>
      </c>
      <c r="U164" s="42"/>
    </row>
    <row r="165" spans="1:21" ht="16.5">
      <c r="A165" s="5">
        <f>DATA!O1</f>
        <v>15</v>
      </c>
      <c r="C165"/>
      <c r="D165"/>
      <c r="E165" s="5" t="s">
        <v>133</v>
      </c>
      <c r="F165"/>
      <c r="G165"/>
      <c r="H165"/>
      <c r="I165" s="1">
        <f>VLOOKUP($I$1&amp;I$8,DATA!$A:$EB,작업!$A165,0)/100</f>
        <v>24365.015556689999</v>
      </c>
      <c r="J165" s="1">
        <f>VLOOKUP($I$1&amp;J$8,DATA!$A:$EB,작업!$A165,0)/100</f>
        <v>564168.15</v>
      </c>
      <c r="K165" s="95">
        <f>VLOOKUP($I$1&amp;K$8,DATA!$A:$EB,작업!$A165,0)/100</f>
        <v>76547.591679160003</v>
      </c>
      <c r="L165" s="95">
        <f>VLOOKUP($I$1&amp;L$8,DATA!$A:$EB,작업!$A165,0)/100</f>
        <v>124687.76</v>
      </c>
      <c r="M165" s="95">
        <f>VLOOKUP($I$1&amp;M$8,DATA!$A:$EB,작업!$A165,0)/100</f>
        <v>62392.94</v>
      </c>
      <c r="N165" s="95">
        <f>VLOOKUP($I$1&amp;N$8,DATA!$A:$EB,작업!$A165,0)/100</f>
        <v>15339.71</v>
      </c>
      <c r="O165" s="95">
        <f>VLOOKUP($I$1&amp;O$8,DATA!$A:$EB,작업!$A165,0)/100</f>
        <v>42185.88</v>
      </c>
      <c r="P165" s="95">
        <f>VLOOKUP($I$1&amp;P$8,DATA!$A:$EB,작업!$A165,0)/100</f>
        <v>206277.77238042999</v>
      </c>
      <c r="Q165" s="95">
        <f>VLOOKUP($I$1&amp;Q$8,DATA!$A:$EB,작업!$A165,0)/100</f>
        <v>48834.874665219999</v>
      </c>
      <c r="R165" s="95">
        <f>VLOOKUP($I$1&amp;R$8,DATA!$A:$EB,작업!$A165,0)/100</f>
        <v>58543.187987949997</v>
      </c>
      <c r="S165" s="95">
        <f>VLOOKUP($I$1&amp;S$8,DATA!$A:$EB,작업!$A165,0)/100</f>
        <v>57172.34</v>
      </c>
      <c r="T165" s="95">
        <f>VLOOKUP($I$1&amp;T$8,DATA!$A:$EB,작업!$A165,0)/100</f>
        <v>98549.01</v>
      </c>
      <c r="U165"/>
    </row>
    <row r="166" spans="1:21" ht="16.5"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</row>
    <row r="167" spans="1:21" ht="16.5">
      <c r="C167"/>
      <c r="D167"/>
      <c r="E167"/>
      <c r="F167"/>
      <c r="G167"/>
      <c r="H167"/>
      <c r="I167"/>
      <c r="J167"/>
      <c r="K167"/>
      <c r="L167"/>
      <c r="M167"/>
      <c r="N167"/>
      <c r="O167" s="94"/>
      <c r="P167"/>
      <c r="Q167"/>
      <c r="R167"/>
      <c r="S167"/>
      <c r="T167" s="94"/>
      <c r="U167"/>
    </row>
    <row r="168" spans="1:21">
      <c r="I168" s="8"/>
      <c r="J168" s="8"/>
      <c r="K168" s="16"/>
      <c r="L168" s="16"/>
      <c r="M168" s="16"/>
      <c r="N168" s="16"/>
      <c r="O168" s="8"/>
      <c r="P168" s="8"/>
      <c r="Q168" s="8"/>
      <c r="R168" s="8"/>
      <c r="S168" s="8"/>
      <c r="T168" s="8"/>
    </row>
    <row r="171" spans="1:21">
      <c r="C171" s="5" t="s">
        <v>1013</v>
      </c>
    </row>
    <row r="173" spans="1:21" ht="16.5">
      <c r="C173" s="729" t="s">
        <v>105</v>
      </c>
      <c r="D173" s="729"/>
      <c r="E173" s="729"/>
      <c r="F173" s="729"/>
      <c r="G173" s="729"/>
      <c r="H173" s="730"/>
      <c r="I173" s="45" t="s">
        <v>124</v>
      </c>
      <c r="J173" s="45" t="s">
        <v>136</v>
      </c>
      <c r="K173" s="45" t="s">
        <v>137</v>
      </c>
      <c r="L173" s="45" t="s">
        <v>138</v>
      </c>
      <c r="M173" s="45" t="s">
        <v>4</v>
      </c>
      <c r="N173" s="45" t="s">
        <v>139</v>
      </c>
      <c r="O173" s="46" t="s">
        <v>6</v>
      </c>
      <c r="P173" s="46" t="s">
        <v>106</v>
      </c>
      <c r="Q173" s="46" t="s">
        <v>107</v>
      </c>
      <c r="R173" s="46" t="s">
        <v>108</v>
      </c>
      <c r="S173" s="46" t="s">
        <v>109</v>
      </c>
      <c r="T173" s="46" t="s">
        <v>110</v>
      </c>
      <c r="U173" s="42"/>
    </row>
    <row r="174" spans="1:21" ht="16.5">
      <c r="C174" s="748" t="s">
        <v>131</v>
      </c>
      <c r="D174" s="748"/>
      <c r="E174" s="748"/>
      <c r="F174" s="748"/>
      <c r="G174" s="748"/>
      <c r="H174" s="749"/>
      <c r="I174" s="87"/>
      <c r="J174" s="87"/>
      <c r="K174" s="87"/>
      <c r="L174" s="87"/>
      <c r="M174" s="87"/>
      <c r="N174" s="87"/>
      <c r="O174" s="88"/>
      <c r="P174" s="88"/>
      <c r="Q174" s="88"/>
      <c r="R174" s="88"/>
      <c r="S174" s="88"/>
      <c r="T174" s="88"/>
      <c r="U174" s="42"/>
    </row>
    <row r="175" spans="1:21" ht="16.5">
      <c r="C175" s="789" t="s">
        <v>154</v>
      </c>
      <c r="D175" s="789"/>
      <c r="E175" s="789"/>
      <c r="F175" s="789"/>
      <c r="G175" s="789"/>
      <c r="H175" s="790"/>
      <c r="I175" s="89"/>
      <c r="J175" s="89"/>
      <c r="K175" s="89"/>
      <c r="L175" s="89"/>
      <c r="M175" s="89"/>
      <c r="N175" s="89"/>
      <c r="O175" s="71"/>
      <c r="P175" s="71"/>
      <c r="Q175" s="71"/>
      <c r="R175" s="71"/>
      <c r="S175" s="71"/>
      <c r="T175" s="71"/>
      <c r="U175" s="42"/>
    </row>
    <row r="176" spans="1:21" ht="16.5">
      <c r="C176" s="791" t="s">
        <v>53</v>
      </c>
      <c r="D176" s="791"/>
      <c r="E176" s="793" t="s">
        <v>155</v>
      </c>
      <c r="F176" s="794"/>
      <c r="G176" s="794"/>
      <c r="H176" s="795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42"/>
    </row>
    <row r="177" spans="3:21" ht="16.5">
      <c r="C177" s="792"/>
      <c r="D177" s="792"/>
      <c r="E177" s="796" t="s">
        <v>156</v>
      </c>
      <c r="F177" s="797"/>
      <c r="G177" s="797"/>
      <c r="H177" s="798"/>
      <c r="I177" s="91">
        <f>I133/(I102*150%)</f>
        <v>0.65490439265156142</v>
      </c>
      <c r="J177" s="91">
        <f t="shared" ref="J177:T177" si="44">J133/(J102*150%)</f>
        <v>0.26537765539798713</v>
      </c>
      <c r="K177" s="91">
        <f t="shared" si="44"/>
        <v>0.50575551829104415</v>
      </c>
      <c r="L177" s="91">
        <f t="shared" si="44"/>
        <v>0.39955758029380717</v>
      </c>
      <c r="M177" s="91">
        <f t="shared" si="44"/>
        <v>1.0505523451896666</v>
      </c>
      <c r="N177" s="91">
        <f t="shared" si="44"/>
        <v>0.72567438297173581</v>
      </c>
      <c r="O177" s="91">
        <f t="shared" si="44"/>
        <v>1.0086646371454306</v>
      </c>
      <c r="P177" s="91">
        <f t="shared" si="44"/>
        <v>0.84737619957594312</v>
      </c>
      <c r="Q177" s="91">
        <f t="shared" si="44"/>
        <v>0.81533529999172683</v>
      </c>
      <c r="R177" s="91">
        <f t="shared" si="44"/>
        <v>1.3380721472488453</v>
      </c>
      <c r="S177" s="91">
        <f t="shared" si="44"/>
        <v>0.97256557802556387</v>
      </c>
      <c r="T177" s="91">
        <f t="shared" si="44"/>
        <v>0.82387651933191675</v>
      </c>
      <c r="U177" s="42"/>
    </row>
    <row r="178" spans="3:21" ht="16.5">
      <c r="C178" s="297"/>
      <c r="D178" s="297"/>
      <c r="E178" s="799" t="s">
        <v>157</v>
      </c>
      <c r="F178" s="800"/>
      <c r="G178" s="800"/>
      <c r="H178" s="801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42"/>
    </row>
    <row r="179" spans="3:21" ht="16.5">
      <c r="C179" s="786" t="s">
        <v>158</v>
      </c>
      <c r="D179" s="802"/>
      <c r="E179" s="805" t="s">
        <v>159</v>
      </c>
      <c r="F179" s="806"/>
      <c r="G179" s="806"/>
      <c r="H179" s="807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42"/>
    </row>
    <row r="180" spans="3:21" ht="16.5">
      <c r="C180" s="768"/>
      <c r="D180" s="803"/>
      <c r="E180" s="796" t="s">
        <v>156</v>
      </c>
      <c r="F180" s="797"/>
      <c r="G180" s="797"/>
      <c r="H180" s="798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42"/>
    </row>
    <row r="181" spans="3:21" ht="16.5">
      <c r="C181" s="769"/>
      <c r="D181" s="804"/>
      <c r="E181" s="726" t="s">
        <v>157</v>
      </c>
      <c r="F181" s="727"/>
      <c r="G181" s="727"/>
      <c r="H181" s="728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42"/>
    </row>
    <row r="182" spans="3:21" ht="16.5">
      <c r="C182" s="83" t="s">
        <v>160</v>
      </c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</row>
    <row r="183" spans="3:21">
      <c r="C183" s="5" t="s">
        <v>1105</v>
      </c>
      <c r="E183" s="796" t="s">
        <v>156</v>
      </c>
      <c r="F183" s="797"/>
      <c r="G183" s="797"/>
      <c r="H183" s="798"/>
      <c r="I183" s="8">
        <f>I165/(I102*150%)</f>
        <v>0.77519318354408928</v>
      </c>
      <c r="J183" s="8">
        <f t="shared" ref="J183:T183" si="45">J165/(J102*150%)</f>
        <v>1.1326906346453289</v>
      </c>
      <c r="K183" s="8">
        <f t="shared" si="45"/>
        <v>0.59460296112393829</v>
      </c>
      <c r="L183" s="8">
        <f t="shared" si="45"/>
        <v>0.5717458039161416</v>
      </c>
      <c r="M183" s="8">
        <f t="shared" si="45"/>
        <v>0.86774368067869689</v>
      </c>
      <c r="N183" s="8">
        <f t="shared" si="45"/>
        <v>0.45304046401198833</v>
      </c>
      <c r="O183" s="8">
        <f t="shared" si="45"/>
        <v>1.3037481242690037</v>
      </c>
      <c r="P183" s="8">
        <f t="shared" si="45"/>
        <v>1.2337593185208244</v>
      </c>
      <c r="Q183" s="8">
        <f t="shared" si="45"/>
        <v>0.44350075305159004</v>
      </c>
      <c r="R183" s="8">
        <f t="shared" si="45"/>
        <v>0.70548589638827508</v>
      </c>
      <c r="S183" s="8">
        <f t="shared" si="45"/>
        <v>0.59885462872532669</v>
      </c>
      <c r="T183" s="8">
        <f t="shared" si="45"/>
        <v>0.66521862877926707</v>
      </c>
    </row>
    <row r="186" spans="3:21">
      <c r="N186" s="298">
        <f>AVERAGE(J177:O177)</f>
        <v>0.6592636865482786</v>
      </c>
      <c r="O186" s="298">
        <f>AVERAGE(P177:T177)</f>
        <v>0.95944514883479903</v>
      </c>
    </row>
    <row r="187" spans="3:21">
      <c r="N187" s="298">
        <f>AVERAGE(J183:O183)</f>
        <v>0.8205952781075162</v>
      </c>
      <c r="O187" s="298">
        <f>AVERAGE(P183:T183)</f>
        <v>0.72936384509305663</v>
      </c>
    </row>
    <row r="189" spans="3:21" ht="15" customHeight="1"/>
    <row r="190" spans="3:21" ht="15" customHeight="1"/>
    <row r="198" spans="1:20">
      <c r="C198" s="729" t="s">
        <v>105</v>
      </c>
      <c r="D198" s="729"/>
      <c r="E198" s="729"/>
      <c r="F198" s="729"/>
      <c r="G198" s="729"/>
      <c r="H198" s="730"/>
      <c r="I198" s="45" t="s">
        <v>124</v>
      </c>
      <c r="J198" s="45" t="s">
        <v>136</v>
      </c>
      <c r="K198" s="45" t="s">
        <v>137</v>
      </c>
      <c r="L198" s="45" t="s">
        <v>138</v>
      </c>
      <c r="M198" s="45" t="s">
        <v>4</v>
      </c>
      <c r="N198" s="45" t="s">
        <v>139</v>
      </c>
      <c r="O198" s="46" t="s">
        <v>6</v>
      </c>
      <c r="P198" s="46" t="s">
        <v>106</v>
      </c>
      <c r="Q198" s="46" t="s">
        <v>107</v>
      </c>
      <c r="R198" s="46" t="s">
        <v>108</v>
      </c>
      <c r="S198" s="46" t="s">
        <v>109</v>
      </c>
      <c r="T198" s="46" t="s">
        <v>110</v>
      </c>
    </row>
    <row r="199" spans="1:20">
      <c r="A199" s="21"/>
      <c r="C199" s="5" t="s">
        <v>1180</v>
      </c>
      <c r="I199" s="1">
        <f>SUM(I200:I205)</f>
        <v>-4144.9350384299996</v>
      </c>
      <c r="J199" s="1">
        <f t="shared" ref="J199:T199" si="46">SUM(J200:J205)</f>
        <v>-17577.749999999996</v>
      </c>
      <c r="K199" s="95">
        <f t="shared" si="46"/>
        <v>-2034</v>
      </c>
      <c r="L199" s="95">
        <f t="shared" si="46"/>
        <v>-20322.240000000002</v>
      </c>
      <c r="M199" s="95">
        <f t="shared" si="46"/>
        <v>-8470.1500000000015</v>
      </c>
      <c r="N199" s="95">
        <f t="shared" si="46"/>
        <v>-6068.7999999999993</v>
      </c>
      <c r="O199" s="95">
        <f t="shared" si="46"/>
        <v>-512.65</v>
      </c>
      <c r="P199" s="95">
        <f t="shared" si="46"/>
        <v>-16861.189999999999</v>
      </c>
      <c r="Q199" s="95">
        <f t="shared" si="46"/>
        <v>-7190.3064801499968</v>
      </c>
      <c r="R199" s="95">
        <f t="shared" si="46"/>
        <v>-8666.4500000000025</v>
      </c>
      <c r="S199" s="95">
        <f t="shared" si="46"/>
        <v>-7559.17</v>
      </c>
      <c r="T199" s="95">
        <f t="shared" si="46"/>
        <v>-21174.7</v>
      </c>
    </row>
    <row r="200" spans="1:20">
      <c r="A200" s="5">
        <f>DATA!$EW$1</f>
        <v>153</v>
      </c>
      <c r="D200" s="5" t="s">
        <v>1181</v>
      </c>
      <c r="I200" s="1">
        <f>VLOOKUP($I$1&amp;I$8,DATA!$A:$FZ,작업!$A200,0)/100</f>
        <v>-2547.7816869899998</v>
      </c>
      <c r="J200" s="1">
        <f>VLOOKUP($I$1&amp;J$8,DATA!$A:$FZ,작업!$A200,0)/100</f>
        <v>-2580.04</v>
      </c>
      <c r="K200" s="95">
        <f>VLOOKUP($I$1&amp;K$8,DATA!$A:$FZ,작업!$A200,0)/100</f>
        <v>-2781</v>
      </c>
      <c r="L200" s="95">
        <f>VLOOKUP($I$1&amp;L$8,DATA!$A:$FZ,작업!$A200,0)/100</f>
        <v>-6051.52</v>
      </c>
      <c r="M200" s="95">
        <f>VLOOKUP($I$1&amp;M$8,DATA!$A:$FZ,작업!$A200,0)/100</f>
        <v>-4726.51</v>
      </c>
      <c r="N200" s="95">
        <f>VLOOKUP($I$1&amp;N$8,DATA!$A:$FZ,작업!$A200,0)/100</f>
        <v>-2486.23</v>
      </c>
      <c r="O200" s="95">
        <f>VLOOKUP($I$1&amp;O$8,DATA!$A:$FZ,작업!$A200,0)/100</f>
        <v>-3281.45</v>
      </c>
      <c r="P200" s="95">
        <f>VLOOKUP($I$1&amp;P$8,DATA!$A:$FZ,작업!$A200,0)/100</f>
        <v>-4674.37</v>
      </c>
      <c r="Q200" s="95">
        <f>VLOOKUP($I$1&amp;Q$8,DATA!$A:$FZ,작업!$A200,0)/100</f>
        <v>-2996.1352232899999</v>
      </c>
      <c r="R200" s="95">
        <f>VLOOKUP($I$1&amp;R$8,DATA!$A:$FZ,작업!$A200,0)/100</f>
        <v>-5570.76</v>
      </c>
      <c r="S200" s="95">
        <f>VLOOKUP($I$1&amp;S$8,DATA!$A:$FZ,작업!$A200,0)/100</f>
        <v>-892.76</v>
      </c>
      <c r="T200" s="95">
        <f>VLOOKUP($I$1&amp;T$8,DATA!$A:$FZ,작업!$A200,0)/100</f>
        <v>-4428.71</v>
      </c>
    </row>
    <row r="201" spans="1:20">
      <c r="A201" s="5">
        <f>DATA!$EX$1</f>
        <v>154</v>
      </c>
      <c r="D201" s="5" t="s">
        <v>1182</v>
      </c>
      <c r="I201" s="1">
        <f>VLOOKUP($I$1&amp;I$8,DATA!$A:$FZ,작업!$A201,0)/100</f>
        <v>-2316.5427222399999</v>
      </c>
      <c r="J201" s="1">
        <f>VLOOKUP($I$1&amp;J$8,DATA!$A:$FZ,작업!$A201,0)/100</f>
        <v>-4215.43</v>
      </c>
      <c r="K201" s="95">
        <f>VLOOKUP($I$1&amp;K$8,DATA!$A:$FZ,작업!$A201,0)/100</f>
        <v>1644</v>
      </c>
      <c r="L201" s="95">
        <f>VLOOKUP($I$1&amp;L$8,DATA!$A:$FZ,작업!$A201,0)/100</f>
        <v>-740.21</v>
      </c>
      <c r="M201" s="95">
        <f>VLOOKUP($I$1&amp;M$8,DATA!$A:$FZ,작업!$A201,0)/100</f>
        <v>-3809.02</v>
      </c>
      <c r="N201" s="95">
        <f>VLOOKUP($I$1&amp;N$8,DATA!$A:$FZ,작업!$A201,0)/100</f>
        <v>-4333.59</v>
      </c>
      <c r="O201" s="95">
        <f>VLOOKUP($I$1&amp;O$8,DATA!$A:$FZ,작업!$A201,0)/100</f>
        <v>52.89</v>
      </c>
      <c r="P201" s="95">
        <f>VLOOKUP($I$1&amp;P$8,DATA!$A:$FZ,작업!$A201,0)/100</f>
        <v>-12145.14</v>
      </c>
      <c r="Q201" s="95">
        <f>VLOOKUP($I$1&amp;Q$8,DATA!$A:$FZ,작업!$A201,0)/100</f>
        <v>-12986.175425339999</v>
      </c>
      <c r="R201" s="95">
        <f>VLOOKUP($I$1&amp;R$8,DATA!$A:$FZ,작업!$A201,0)/100</f>
        <v>11123.38</v>
      </c>
      <c r="S201" s="95">
        <f>VLOOKUP($I$1&amp;S$8,DATA!$A:$FZ,작업!$A201,0)/100</f>
        <v>4392.3999999999996</v>
      </c>
      <c r="T201" s="95">
        <f>VLOOKUP($I$1&amp;T$8,DATA!$A:$FZ,작업!$A201,0)/100</f>
        <v>6888.79</v>
      </c>
    </row>
    <row r="202" spans="1:20">
      <c r="A202" s="5">
        <f>DATA!$EY$1</f>
        <v>155</v>
      </c>
      <c r="D202" s="5" t="s">
        <v>1183</v>
      </c>
      <c r="I202" s="1">
        <f>VLOOKUP($I$1&amp;I$8,DATA!$A:$FZ,작업!$A202,0)/100</f>
        <v>-450.15046446000002</v>
      </c>
      <c r="J202" s="1">
        <f>VLOOKUP($I$1&amp;J$8,DATA!$A:$FZ,작업!$A202,0)/100</f>
        <v>-4879.58</v>
      </c>
      <c r="K202" s="95">
        <f>VLOOKUP($I$1&amp;K$8,DATA!$A:$FZ,작업!$A202,0)/100</f>
        <v>1656</v>
      </c>
      <c r="L202" s="95">
        <f>VLOOKUP($I$1&amp;L$8,DATA!$A:$FZ,작업!$A202,0)/100</f>
        <v>1372.01</v>
      </c>
      <c r="M202" s="95">
        <f>VLOOKUP($I$1&amp;M$8,DATA!$A:$FZ,작업!$A202,0)/100</f>
        <v>1578.84</v>
      </c>
      <c r="N202" s="95">
        <f>VLOOKUP($I$1&amp;N$8,DATA!$A:$FZ,작업!$A202,0)/100</f>
        <v>274.58</v>
      </c>
      <c r="O202" s="95">
        <f>VLOOKUP($I$1&amp;O$8,DATA!$A:$FZ,작업!$A202,0)/100</f>
        <v>1470.04</v>
      </c>
      <c r="P202" s="95">
        <f>VLOOKUP($I$1&amp;P$8,DATA!$A:$FZ,작업!$A202,0)/100</f>
        <v>6236.91</v>
      </c>
      <c r="Q202" s="95">
        <f>VLOOKUP($I$1&amp;Q$8,DATA!$A:$FZ,작업!$A202,0)/100</f>
        <v>4007.26961712</v>
      </c>
      <c r="R202" s="95">
        <f>VLOOKUP($I$1&amp;R$8,DATA!$A:$FZ,작업!$A202,0)/100</f>
        <v>-4170.97</v>
      </c>
      <c r="S202" s="95">
        <f>VLOOKUP($I$1&amp;S$8,DATA!$A:$FZ,작업!$A202,0)/100</f>
        <v>-2469.88</v>
      </c>
      <c r="T202" s="95">
        <f>VLOOKUP($I$1&amp;T$8,DATA!$A:$FZ,작업!$A202,0)/100</f>
        <v>-11192.94</v>
      </c>
    </row>
    <row r="203" spans="1:20">
      <c r="A203" s="5">
        <f>DATA!$EZ$1</f>
        <v>156</v>
      </c>
      <c r="D203" s="5" t="s">
        <v>1184</v>
      </c>
      <c r="I203" s="1">
        <f>VLOOKUP($I$1&amp;I$8,DATA!$A:$FZ,작업!$A203,0)/100</f>
        <v>-2909.6133214800002</v>
      </c>
      <c r="J203" s="1">
        <f>VLOOKUP($I$1&amp;J$8,DATA!$A:$FZ,작업!$A203,0)/100</f>
        <v>340.47</v>
      </c>
      <c r="K203" s="95">
        <f>VLOOKUP($I$1&amp;K$8,DATA!$A:$FZ,작업!$A203,0)/100</f>
        <v>-846</v>
      </c>
      <c r="L203" s="95">
        <f>VLOOKUP($I$1&amp;L$8,DATA!$A:$FZ,작업!$A203,0)/100</f>
        <v>555.86</v>
      </c>
      <c r="M203" s="95">
        <f>VLOOKUP($I$1&amp;M$8,DATA!$A:$FZ,작업!$A203,0)/100</f>
        <v>1190.33</v>
      </c>
      <c r="N203" s="95">
        <f>VLOOKUP($I$1&amp;N$8,DATA!$A:$FZ,작업!$A203,0)/100</f>
        <v>74.59</v>
      </c>
      <c r="O203" s="95">
        <f>VLOOKUP($I$1&amp;O$8,DATA!$A:$FZ,작업!$A203,0)/100</f>
        <v>-202.71</v>
      </c>
      <c r="P203" s="95">
        <f>VLOOKUP($I$1&amp;P$8,DATA!$A:$FZ,작업!$A203,0)/100</f>
        <v>1114.75</v>
      </c>
      <c r="Q203" s="95">
        <f>VLOOKUP($I$1&amp;Q$8,DATA!$A:$FZ,작업!$A203,0)/100</f>
        <v>317.93662578999999</v>
      </c>
      <c r="R203" s="95">
        <f>VLOOKUP($I$1&amp;R$8,DATA!$A:$FZ,작업!$A203,0)/100</f>
        <v>-23.56</v>
      </c>
      <c r="S203" s="95">
        <f>VLOOKUP($I$1&amp;S$8,DATA!$A:$FZ,작업!$A203,0)/100</f>
        <v>50.48</v>
      </c>
      <c r="T203" s="95">
        <f>VLOOKUP($I$1&amp;T$8,DATA!$A:$FZ,작업!$A203,0)/100</f>
        <v>202.14</v>
      </c>
    </row>
    <row r="204" spans="1:20">
      <c r="A204" s="5">
        <f>DATA!$FA$1</f>
        <v>157</v>
      </c>
      <c r="D204" s="5" t="s">
        <v>1185</v>
      </c>
      <c r="I204" s="1">
        <f>VLOOKUP($I$1&amp;I$8,DATA!$A:$FZ,작업!$A204,0)/100</f>
        <v>3495.9225248600001</v>
      </c>
      <c r="J204" s="1">
        <f>VLOOKUP($I$1&amp;J$8,DATA!$A:$FZ,작업!$A204,0)/100</f>
        <v>-9064.0499999999993</v>
      </c>
      <c r="K204" s="95">
        <f>VLOOKUP($I$1&amp;K$8,DATA!$A:$FZ,작업!$A204,0)/100</f>
        <v>-5208</v>
      </c>
      <c r="L204" s="95">
        <f>VLOOKUP($I$1&amp;L$8,DATA!$A:$FZ,작업!$A204,0)/100</f>
        <v>-15363.11</v>
      </c>
      <c r="M204" s="95">
        <f>VLOOKUP($I$1&amp;M$8,DATA!$A:$FZ,작업!$A204,0)/100</f>
        <v>-3029.7</v>
      </c>
      <c r="N204" s="95">
        <f>VLOOKUP($I$1&amp;N$8,DATA!$A:$FZ,작업!$A204,0)/100</f>
        <v>-686.12</v>
      </c>
      <c r="O204" s="95">
        <f>VLOOKUP($I$1&amp;O$8,DATA!$A:$FZ,작업!$A204,0)/100</f>
        <v>1110.97</v>
      </c>
      <c r="P204" s="95">
        <f>VLOOKUP($I$1&amp;P$8,DATA!$A:$FZ,작업!$A204,0)/100</f>
        <v>-6788.28</v>
      </c>
      <c r="Q204" s="95">
        <f>VLOOKUP($I$1&amp;Q$8,DATA!$A:$FZ,작업!$A204,0)/100</f>
        <v>1533.0883060799999</v>
      </c>
      <c r="R204" s="95">
        <f>VLOOKUP($I$1&amp;R$8,DATA!$A:$FZ,작업!$A204,0)/100</f>
        <v>-6549.01</v>
      </c>
      <c r="S204" s="95">
        <f>VLOOKUP($I$1&amp;S$8,DATA!$A:$FZ,작업!$A204,0)/100</f>
        <v>-8756.57</v>
      </c>
      <c r="T204" s="95">
        <f>VLOOKUP($I$1&amp;T$8,DATA!$A:$FZ,작업!$A204,0)/100</f>
        <v>-12316.98</v>
      </c>
    </row>
    <row r="205" spans="1:20">
      <c r="A205" s="5">
        <f>DATA!$FB$1</f>
        <v>158</v>
      </c>
      <c r="D205" s="5" t="s">
        <v>1186</v>
      </c>
      <c r="I205" s="1">
        <f>VLOOKUP($I$1&amp;I$8,DATA!$A:$FZ,작업!$A205,0)/100</f>
        <v>583.23063188000003</v>
      </c>
      <c r="J205" s="1">
        <f>VLOOKUP($I$1&amp;J$8,DATA!$A:$FZ,작업!$A205,0)/100</f>
        <v>2820.88</v>
      </c>
      <c r="K205" s="95">
        <f>VLOOKUP($I$1&amp;K$8,DATA!$A:$FZ,작업!$A205,0)/100</f>
        <v>3501</v>
      </c>
      <c r="L205" s="95">
        <f>VLOOKUP($I$1&amp;L$8,DATA!$A:$FZ,작업!$A205,0)/100</f>
        <v>-95.27</v>
      </c>
      <c r="M205" s="95">
        <f>VLOOKUP($I$1&amp;M$8,DATA!$A:$FZ,작업!$A205,0)/100</f>
        <v>325.91000000000003</v>
      </c>
      <c r="N205" s="95">
        <f>VLOOKUP($I$1&amp;N$8,DATA!$A:$FZ,작업!$A205,0)/100</f>
        <v>1087.97</v>
      </c>
      <c r="O205" s="95">
        <f>VLOOKUP($I$1&amp;O$8,DATA!$A:$FZ,작업!$A205,0)/100</f>
        <v>337.61</v>
      </c>
      <c r="P205" s="95">
        <f>VLOOKUP($I$1&amp;P$8,DATA!$A:$FZ,작업!$A205,0)/100</f>
        <v>-605.05999999999995</v>
      </c>
      <c r="Q205" s="95">
        <f>VLOOKUP($I$1&amp;Q$8,DATA!$A:$FZ,작업!$A205,0)/100</f>
        <v>2933.70961949</v>
      </c>
      <c r="R205" s="95">
        <f>VLOOKUP($I$1&amp;R$8,DATA!$A:$FZ,작업!$A205,0)/100</f>
        <v>-3475.53</v>
      </c>
      <c r="S205" s="95">
        <f>VLOOKUP($I$1&amp;S$8,DATA!$A:$FZ,작업!$A205,0)/100</f>
        <v>117.16</v>
      </c>
      <c r="T205" s="95">
        <f>VLOOKUP($I$1&amp;T$8,DATA!$A:$FZ,작업!$A205,0)/100</f>
        <v>-327</v>
      </c>
    </row>
    <row r="206" spans="1:20">
      <c r="I206" s="1"/>
      <c r="J206" s="1"/>
      <c r="K206" s="95"/>
      <c r="L206" s="95"/>
      <c r="M206" s="95"/>
      <c r="N206" s="95"/>
      <c r="O206" s="95"/>
      <c r="P206" s="95"/>
      <c r="Q206" s="95"/>
      <c r="R206" s="95"/>
      <c r="S206" s="95"/>
      <c r="T206" s="95"/>
    </row>
    <row r="207" spans="1:20">
      <c r="I207" s="1"/>
      <c r="J207" s="1"/>
      <c r="K207" s="95"/>
      <c r="L207" s="95"/>
      <c r="M207" s="95"/>
      <c r="N207" s="95"/>
      <c r="O207" s="95"/>
      <c r="P207" s="95"/>
      <c r="Q207" s="95"/>
      <c r="R207" s="95"/>
      <c r="S207" s="95"/>
      <c r="T207" s="95"/>
    </row>
    <row r="208" spans="1:20">
      <c r="I208" s="1"/>
      <c r="J208" s="1"/>
      <c r="K208" s="95"/>
      <c r="L208" s="95"/>
      <c r="M208" s="95"/>
      <c r="N208" s="95"/>
      <c r="O208" s="95"/>
      <c r="P208" s="95"/>
      <c r="Q208" s="95"/>
      <c r="R208" s="95"/>
      <c r="S208" s="95"/>
      <c r="T208" s="95"/>
    </row>
    <row r="209" spans="9:20">
      <c r="I209" s="1"/>
      <c r="J209" s="1"/>
      <c r="K209" s="95"/>
      <c r="L209" s="95"/>
      <c r="M209" s="95"/>
      <c r="N209" s="95"/>
      <c r="O209" s="95"/>
      <c r="P209" s="95"/>
      <c r="Q209" s="95"/>
      <c r="R209" s="95"/>
      <c r="S209" s="95"/>
      <c r="T209" s="95"/>
    </row>
    <row r="210" spans="9:20">
      <c r="I210" s="1"/>
      <c r="J210" s="1"/>
      <c r="K210" s="95"/>
      <c r="L210" s="95"/>
      <c r="M210" s="95"/>
      <c r="N210" s="95"/>
      <c r="O210" s="95"/>
      <c r="P210" s="95"/>
      <c r="Q210" s="95"/>
      <c r="R210" s="95"/>
      <c r="S210" s="95"/>
      <c r="T210" s="95"/>
    </row>
  </sheetData>
  <mergeCells count="93">
    <mergeCell ref="C198:H198"/>
    <mergeCell ref="E158:H158"/>
    <mergeCell ref="C159:D161"/>
    <mergeCell ref="E159:H159"/>
    <mergeCell ref="E160:H160"/>
    <mergeCell ref="E161:H161"/>
    <mergeCell ref="C174:H174"/>
    <mergeCell ref="C175:H175"/>
    <mergeCell ref="C176:D177"/>
    <mergeCell ref="E176:H176"/>
    <mergeCell ref="E177:H177"/>
    <mergeCell ref="E183:H183"/>
    <mergeCell ref="E178:H178"/>
    <mergeCell ref="C179:D181"/>
    <mergeCell ref="E179:H179"/>
    <mergeCell ref="E180:H180"/>
    <mergeCell ref="J142:J143"/>
    <mergeCell ref="C153:H153"/>
    <mergeCell ref="C154:H154"/>
    <mergeCell ref="C155:H155"/>
    <mergeCell ref="C156:D157"/>
    <mergeCell ref="E156:H156"/>
    <mergeCell ref="E157:H157"/>
    <mergeCell ref="C139:H139"/>
    <mergeCell ref="C118:H118"/>
    <mergeCell ref="C140:E143"/>
    <mergeCell ref="F140:H140"/>
    <mergeCell ref="F141:H141"/>
    <mergeCell ref="F142:H142"/>
    <mergeCell ref="D110:H110"/>
    <mergeCell ref="D112:E113"/>
    <mergeCell ref="F112:H112"/>
    <mergeCell ref="F113:H113"/>
    <mergeCell ref="P142:P143"/>
    <mergeCell ref="F143:H143"/>
    <mergeCell ref="C115:H115"/>
    <mergeCell ref="C116:H116"/>
    <mergeCell ref="C117:H117"/>
    <mergeCell ref="C132:H132"/>
    <mergeCell ref="C134:H134"/>
    <mergeCell ref="C135:H135"/>
    <mergeCell ref="C133:H133"/>
    <mergeCell ref="C136:H136"/>
    <mergeCell ref="C137:H137"/>
    <mergeCell ref="C138:H138"/>
    <mergeCell ref="C94:H94"/>
    <mergeCell ref="C19:H19"/>
    <mergeCell ref="C22:H22"/>
    <mergeCell ref="C23:H23"/>
    <mergeCell ref="C91:H91"/>
    <mergeCell ref="C92:H92"/>
    <mergeCell ref="C62:H62"/>
    <mergeCell ref="C67:H67"/>
    <mergeCell ref="C29:H29"/>
    <mergeCell ref="C63:H63"/>
    <mergeCell ref="C64:H64"/>
    <mergeCell ref="C20:H20"/>
    <mergeCell ref="C21:H21"/>
    <mergeCell ref="C24:H24"/>
    <mergeCell ref="C25:H25"/>
    <mergeCell ref="C26:H26"/>
    <mergeCell ref="C13:H13"/>
    <mergeCell ref="C14:H14"/>
    <mergeCell ref="C15:H15"/>
    <mergeCell ref="C16:H16"/>
    <mergeCell ref="C18:H18"/>
    <mergeCell ref="C17:H17"/>
    <mergeCell ref="C8:H8"/>
    <mergeCell ref="C9:H9"/>
    <mergeCell ref="C10:H10"/>
    <mergeCell ref="C11:H11"/>
    <mergeCell ref="C12:H12"/>
    <mergeCell ref="C65:H65"/>
    <mergeCell ref="C66:H66"/>
    <mergeCell ref="C74:H74"/>
    <mergeCell ref="C68:H68"/>
    <mergeCell ref="C71:H71"/>
    <mergeCell ref="E181:H181"/>
    <mergeCell ref="C173:H173"/>
    <mergeCell ref="D111:H111"/>
    <mergeCell ref="C85:H85"/>
    <mergeCell ref="D69:H69"/>
    <mergeCell ref="D72:H72"/>
    <mergeCell ref="C75:H75"/>
    <mergeCell ref="C84:H84"/>
    <mergeCell ref="C100:H100"/>
    <mergeCell ref="C101:H101"/>
    <mergeCell ref="C102:H102"/>
    <mergeCell ref="C99:H99"/>
    <mergeCell ref="C114:H114"/>
    <mergeCell ref="C108:H108"/>
    <mergeCell ref="C109:H109"/>
    <mergeCell ref="C93:H9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0"/>
  <sheetViews>
    <sheetView showGridLines="0" topLeftCell="A118" workbookViewId="0">
      <selection activeCell="A164" sqref="A164:A165"/>
    </sheetView>
  </sheetViews>
  <sheetFormatPr defaultRowHeight="15"/>
  <cols>
    <col min="1" max="2" width="9" style="5"/>
    <col min="3" max="8" width="5.25" style="5" customWidth="1"/>
    <col min="9" max="15" width="16.625" style="5" customWidth="1"/>
    <col min="16" max="20" width="14" style="5" customWidth="1"/>
    <col min="21" max="16384" width="9" style="5"/>
  </cols>
  <sheetData>
    <row r="1" spans="1:20">
      <c r="C1" s="5" t="s">
        <v>102</v>
      </c>
      <c r="I1" s="17">
        <v>2412</v>
      </c>
      <c r="J1" s="5">
        <f>ROUNDUP(RIGHT(I1,2)/3,0)</f>
        <v>4</v>
      </c>
    </row>
    <row r="4" spans="1:20" ht="18.75">
      <c r="C4" s="7" t="s">
        <v>103</v>
      </c>
    </row>
    <row r="7" spans="1:20">
      <c r="O7" s="5" t="s">
        <v>104</v>
      </c>
    </row>
    <row r="8" spans="1:20" ht="16.5" customHeight="1">
      <c r="C8" s="756" t="s">
        <v>105</v>
      </c>
      <c r="D8" s="756"/>
      <c r="E8" s="756"/>
      <c r="F8" s="756"/>
      <c r="G8" s="756"/>
      <c r="H8" s="757"/>
      <c r="I8" s="18" t="s">
        <v>0</v>
      </c>
      <c r="J8" s="18" t="s">
        <v>1</v>
      </c>
      <c r="K8" s="18" t="s">
        <v>2</v>
      </c>
      <c r="L8" s="18" t="s">
        <v>3</v>
      </c>
      <c r="M8" s="18" t="s">
        <v>4</v>
      </c>
      <c r="N8" s="18" t="s">
        <v>5</v>
      </c>
      <c r="O8" s="19" t="s">
        <v>6</v>
      </c>
      <c r="P8" s="18" t="s">
        <v>106</v>
      </c>
      <c r="Q8" s="18" t="s">
        <v>107</v>
      </c>
      <c r="R8" s="18" t="s">
        <v>108</v>
      </c>
      <c r="S8" s="18" t="s">
        <v>109</v>
      </c>
      <c r="T8" s="19" t="s">
        <v>110</v>
      </c>
    </row>
    <row r="9" spans="1:20">
      <c r="A9" s="5">
        <f>DATA!D$1</f>
        <v>4</v>
      </c>
      <c r="C9" s="758" t="s">
        <v>140</v>
      </c>
      <c r="D9" s="758"/>
      <c r="E9" s="758"/>
      <c r="F9" s="758"/>
      <c r="G9" s="758"/>
      <c r="H9" s="759"/>
      <c r="I9" s="27">
        <f>VLOOKUP($I$1&amp;I$8,DATA!$A:$EB,'2412'!$A9,0)/100</f>
        <v>324044.38804746</v>
      </c>
      <c r="J9" s="28">
        <f>VLOOKUP($I$1&amp;J$8,DATA!$A:$EB,'2412'!$A9,0)/100</f>
        <v>2753210.56</v>
      </c>
      <c r="K9" s="28">
        <f>VLOOKUP($I$1&amp;K$8,DATA!$A:$EB,'2412'!$A9,0)/100</f>
        <v>1224085.51533388</v>
      </c>
      <c r="L9" s="28">
        <f>VLOOKUP($I$1&amp;L$8,DATA!$A:$EB,'2412'!$A9,0)/100</f>
        <v>1221350.32514289</v>
      </c>
      <c r="M9" s="28">
        <f>VLOOKUP($I$1&amp;M$8,DATA!$A:$EB,'2412'!$A9,0)/100</f>
        <v>596177.96</v>
      </c>
      <c r="N9" s="28">
        <f>VLOOKUP($I$1&amp;N$8,DATA!$A:$EB,'2412'!$A9,0)/100</f>
        <v>345768.49</v>
      </c>
      <c r="O9" s="28">
        <f>VLOOKUP($I$1&amp;O$8,DATA!$A:$EB,'2412'!$A9,0)/100</f>
        <v>337174.36</v>
      </c>
      <c r="P9" s="28">
        <f>VLOOKUP($I$1&amp;P$8,DATA!$A:$EB,'2412'!$A9,0)/100</f>
        <v>852235.62940378999</v>
      </c>
      <c r="Q9" s="28">
        <f>VLOOKUP($I$1&amp;Q$8,DATA!$A:$EB,'2412'!$A9,0)/100</f>
        <v>479776.78781769</v>
      </c>
      <c r="R9" s="28">
        <f>VLOOKUP($I$1&amp;R$8,DATA!$A:$EB,'2412'!$A9,0)/100</f>
        <v>433584.82458819001</v>
      </c>
      <c r="S9" s="28">
        <f>VLOOKUP($I$1&amp;S$8,DATA!$A:$EB,'2412'!$A9,0)/100</f>
        <v>407108.44</v>
      </c>
      <c r="T9" s="27">
        <f>VLOOKUP($I$1&amp;T$8,DATA!$A:$EB,'2412'!$A9,0)/100</f>
        <v>528589.40874889004</v>
      </c>
    </row>
    <row r="10" spans="1:20">
      <c r="A10" s="21">
        <f>DATA!E1</f>
        <v>5</v>
      </c>
      <c r="C10" s="737" t="s">
        <v>111</v>
      </c>
      <c r="D10" s="737"/>
      <c r="E10" s="737"/>
      <c r="F10" s="737"/>
      <c r="G10" s="737"/>
      <c r="H10" s="738"/>
      <c r="I10" s="29">
        <f>VLOOKUP($I$1&amp;I$8,DATA!$A:$EB,'2412'!$A10,0)/100</f>
        <v>153922.84369489001</v>
      </c>
      <c r="J10" s="30">
        <f>VLOOKUP($I$1&amp;J$8,DATA!$A:$EB,'2412'!$A10,0)/100</f>
        <v>355478.07</v>
      </c>
      <c r="K10" s="30">
        <f>VLOOKUP($I$1&amp;K$8,DATA!$A:$EB,'2412'!$A10,0)/100</f>
        <v>322116.58924787998</v>
      </c>
      <c r="L10" s="30">
        <f>VLOOKUP($I$1&amp;L$8,DATA!$A:$EB,'2412'!$A10,0)/100</f>
        <v>311343.50891286996</v>
      </c>
      <c r="M10" s="30">
        <f>VLOOKUP($I$1&amp;M$8,DATA!$A:$EB,'2412'!$A10,0)/100</f>
        <v>115799.83</v>
      </c>
      <c r="N10" s="30">
        <f>VLOOKUP($I$1&amp;N$8,DATA!$A:$EB,'2412'!$A10,0)/100</f>
        <v>58573.356210930004</v>
      </c>
      <c r="O10" s="30">
        <f>VLOOKUP($I$1&amp;O$8,DATA!$A:$EB,'2412'!$A10,0)/100</f>
        <v>85052.52</v>
      </c>
      <c r="P10" s="30">
        <f>VLOOKUP($I$1&amp;P$8,DATA!$A:$EB,'2412'!$A10,0)/100</f>
        <v>128711.40409560001</v>
      </c>
      <c r="Q10" s="30">
        <f>VLOOKUP($I$1&amp;Q$8,DATA!$A:$EB,'2412'!$A10,0)/100</f>
        <v>93380.461747459995</v>
      </c>
      <c r="R10" s="30">
        <f>VLOOKUP($I$1&amp;R$8,DATA!$A:$EB,'2412'!$A10,0)/100</f>
        <v>70438.319649240002</v>
      </c>
      <c r="S10" s="30">
        <f>VLOOKUP($I$1&amp;S$8,DATA!$A:$EB,'2412'!$A10,0)/100</f>
        <v>94317.66</v>
      </c>
      <c r="T10" s="29">
        <f>VLOOKUP($I$1&amp;T$8,DATA!$A:$EB,'2412'!$A10,0)/100</f>
        <v>114182.84442054</v>
      </c>
    </row>
    <row r="11" spans="1:20">
      <c r="C11" s="737" t="s">
        <v>116</v>
      </c>
      <c r="D11" s="737"/>
      <c r="E11" s="737"/>
      <c r="F11" s="737"/>
      <c r="G11" s="737"/>
      <c r="H11" s="738"/>
      <c r="I11" s="31">
        <f>I10/I9</f>
        <v>0.47500542941773227</v>
      </c>
      <c r="J11" s="32">
        <f t="shared" ref="J11:T11" si="0">J10/J9</f>
        <v>0.12911401516635182</v>
      </c>
      <c r="K11" s="32">
        <f t="shared" si="0"/>
        <v>0.26314876306662272</v>
      </c>
      <c r="L11" s="32">
        <f t="shared" si="0"/>
        <v>0.25491744874792155</v>
      </c>
      <c r="M11" s="32">
        <f t="shared" si="0"/>
        <v>0.19423701942956767</v>
      </c>
      <c r="N11" s="32">
        <f t="shared" si="0"/>
        <v>0.16940050324114267</v>
      </c>
      <c r="O11" s="32">
        <f t="shared" si="0"/>
        <v>0.25225085323806951</v>
      </c>
      <c r="P11" s="32">
        <f t="shared" si="0"/>
        <v>0.1510279547754233</v>
      </c>
      <c r="Q11" s="32">
        <f t="shared" si="0"/>
        <v>0.1946331379894593</v>
      </c>
      <c r="R11" s="32">
        <f t="shared" si="0"/>
        <v>0.16245568491964837</v>
      </c>
      <c r="S11" s="32">
        <f t="shared" si="0"/>
        <v>0.231676994954956</v>
      </c>
      <c r="T11" s="31">
        <f t="shared" si="0"/>
        <v>0.21601424949243228</v>
      </c>
    </row>
    <row r="12" spans="1:20">
      <c r="A12" s="5">
        <f>DATA!F1</f>
        <v>6</v>
      </c>
      <c r="C12" s="737" t="s">
        <v>112</v>
      </c>
      <c r="D12" s="737"/>
      <c r="E12" s="737"/>
      <c r="F12" s="737"/>
      <c r="G12" s="737"/>
      <c r="H12" s="738"/>
      <c r="I12" s="29">
        <f>VLOOKUP($I$1&amp;I$8,DATA!$A:$EB,'2412'!$A12,0)/100</f>
        <v>119691.83336758999</v>
      </c>
      <c r="J12" s="30">
        <f>VLOOKUP($I$1&amp;J$8,DATA!$A:$EB,'2412'!$A12,0)/100</f>
        <v>1619337.49</v>
      </c>
      <c r="K12" s="30">
        <f>VLOOKUP($I$1&amp;K$8,DATA!$A:$EB,'2412'!$A12,0)/100</f>
        <v>580259.21849151002</v>
      </c>
      <c r="L12" s="30">
        <f>VLOOKUP($I$1&amp;L$8,DATA!$A:$EB,'2412'!$A12,0)/100</f>
        <v>453204.55403192999</v>
      </c>
      <c r="M12" s="30">
        <f>VLOOKUP($I$1&amp;M$8,DATA!$A:$EB,'2412'!$A12,0)/100</f>
        <v>376474.35</v>
      </c>
      <c r="N12" s="30">
        <f>VLOOKUP($I$1&amp;N$8,DATA!$A:$EB,'2412'!$A12,0)/100</f>
        <v>200373.93225611001</v>
      </c>
      <c r="O12" s="30">
        <f>VLOOKUP($I$1&amp;O$8,DATA!$A:$EB,'2412'!$A12,0)/100</f>
        <v>215752.83</v>
      </c>
      <c r="P12" s="30">
        <f>VLOOKUP($I$1&amp;P$8,DATA!$A:$EB,'2412'!$A12,0)/100</f>
        <v>370059.33194439003</v>
      </c>
      <c r="Q12" s="30">
        <f>VLOOKUP($I$1&amp;Q$8,DATA!$A:$EB,'2412'!$A12,0)/100</f>
        <v>226714.04879624999</v>
      </c>
      <c r="R12" s="30">
        <f>VLOOKUP($I$1&amp;R$8,DATA!$A:$EB,'2412'!$A12,0)/100</f>
        <v>310710.33527892001</v>
      </c>
      <c r="S12" s="30">
        <f>VLOOKUP($I$1&amp;S$8,DATA!$A:$EB,'2412'!$A12,0)/100</f>
        <v>205230.03</v>
      </c>
      <c r="T12" s="29">
        <f>VLOOKUP($I$1&amp;T$8,DATA!$A:$EB,'2412'!$A12,0)/100</f>
        <v>222260.35937252</v>
      </c>
    </row>
    <row r="13" spans="1:20" ht="15" customHeight="1">
      <c r="A13" s="5">
        <f>DATA!G1</f>
        <v>7</v>
      </c>
      <c r="C13" s="760" t="s">
        <v>113</v>
      </c>
      <c r="D13" s="760"/>
      <c r="E13" s="760"/>
      <c r="F13" s="760"/>
      <c r="G13" s="760"/>
      <c r="H13" s="761"/>
      <c r="I13" s="33">
        <f>VLOOKUP($I$1&amp;I$8,DATA!$A:$EB,'2412'!$A13,0)/100</f>
        <v>34994.634456899999</v>
      </c>
      <c r="J13" s="34">
        <f>VLOOKUP($I$1&amp;J$8,DATA!$A:$EB,'2412'!$A13,0)/100</f>
        <v>453718.11</v>
      </c>
      <c r="K13" s="34">
        <f>VLOOKUP($I$1&amp;K$8,DATA!$A:$EB,'2412'!$A13,0)/100</f>
        <v>212947.59616269998</v>
      </c>
      <c r="L13" s="34">
        <f>VLOOKUP($I$1&amp;L$8,DATA!$A:$EB,'2412'!$A13,0)/100</f>
        <v>290344.90999999997</v>
      </c>
      <c r="M13" s="34">
        <f>VLOOKUP($I$1&amp;M$8,DATA!$A:$EB,'2412'!$A13,0)/100</f>
        <v>78862.94</v>
      </c>
      <c r="N13" s="34">
        <f>VLOOKUP($I$1&amp;N$8,DATA!$A:$EB,'2412'!$A13,0)/100</f>
        <v>70633.052289619998</v>
      </c>
      <c r="O13" s="34">
        <f>VLOOKUP($I$1&amp;O$8,DATA!$A:$EB,'2412'!$A13,0)/100</f>
        <v>18049.849999999999</v>
      </c>
      <c r="P13" s="34">
        <f>VLOOKUP($I$1&amp;P$8,DATA!$A:$EB,'2412'!$A13,0)/100</f>
        <v>284983.17032089003</v>
      </c>
      <c r="Q13" s="34">
        <f>VLOOKUP($I$1&amp;Q$8,DATA!$A:$EB,'2412'!$A13,0)/100</f>
        <v>115443.78935448</v>
      </c>
      <c r="R13" s="34">
        <f>VLOOKUP($I$1&amp;R$8,DATA!$A:$EB,'2412'!$A13,0)/100</f>
        <v>15227.625198079999</v>
      </c>
      <c r="S13" s="34">
        <f>VLOOKUP($I$1&amp;S$8,DATA!$A:$EB,'2412'!$A13,0)/100</f>
        <v>69108.429999999993</v>
      </c>
      <c r="T13" s="33">
        <f>VLOOKUP($I$1&amp;T$8,DATA!$A:$EB,'2412'!$A13,0)/100</f>
        <v>137146.16175914</v>
      </c>
    </row>
    <row r="14" spans="1:20">
      <c r="A14" s="5">
        <f>DATA!L1</f>
        <v>12</v>
      </c>
      <c r="C14" s="758" t="s">
        <v>115</v>
      </c>
      <c r="D14" s="758"/>
      <c r="E14" s="758"/>
      <c r="F14" s="758"/>
      <c r="G14" s="758"/>
      <c r="H14" s="759"/>
      <c r="I14" s="27">
        <f>VLOOKUP($I$1&amp;I$8,DATA!$A:$EB,'2412'!$A14,0)/100</f>
        <v>298512.00854978</v>
      </c>
      <c r="J14" s="28">
        <f>VLOOKUP($I$1&amp;J$8,DATA!$A:$EB,'2412'!$A14,0)/100</f>
        <v>2448325.59</v>
      </c>
      <c r="K14" s="28">
        <f>VLOOKUP($I$1&amp;K$8,DATA!$A:$EB,'2412'!$A14,0)/100</f>
        <v>1151023.30809956</v>
      </c>
      <c r="L14" s="28">
        <f>VLOOKUP($I$1&amp;L$8,DATA!$A:$EB,'2412'!$A14,0)/100</f>
        <v>1117866.6599999999</v>
      </c>
      <c r="M14" s="28">
        <f>VLOOKUP($I$1&amp;M$8,DATA!$A:$EB,'2412'!$A14,0)/100</f>
        <v>525552.28</v>
      </c>
      <c r="N14" s="28">
        <f>VLOOKUP($I$1&amp;N$8,DATA!$A:$EB,'2412'!$A14,0)/100</f>
        <v>325638.90999999997</v>
      </c>
      <c r="O14" s="28">
        <f>VLOOKUP($I$1&amp;O$8,DATA!$A:$EB,'2412'!$A14,0)/100</f>
        <v>291802.78000000003</v>
      </c>
      <c r="P14" s="28">
        <f>VLOOKUP($I$1&amp;P$8,DATA!$A:$EB,'2412'!$A14,0)/100</f>
        <v>699277.25392902002</v>
      </c>
      <c r="Q14" s="28">
        <f>VLOOKUP($I$1&amp;Q$8,DATA!$A:$EB,'2412'!$A14,0)/100</f>
        <v>430505.29728359001</v>
      </c>
      <c r="R14" s="28">
        <f>VLOOKUP($I$1&amp;R$8,DATA!$A:$EB,'2412'!$A14,0)/100</f>
        <v>376183.96153771994</v>
      </c>
      <c r="S14" s="28">
        <f>VLOOKUP($I$1&amp;S$8,DATA!$A:$EB,'2412'!$A14,0)/100</f>
        <v>348544.03</v>
      </c>
      <c r="T14" s="27">
        <f>VLOOKUP($I$1&amp;T$8,DATA!$A:$EB,'2412'!$A14,0)/100</f>
        <v>444429.42208589002</v>
      </c>
    </row>
    <row r="15" spans="1:20">
      <c r="A15" s="5">
        <f>DATA!BU1</f>
        <v>73</v>
      </c>
      <c r="C15" s="762" t="s">
        <v>51</v>
      </c>
      <c r="D15" s="762"/>
      <c r="E15" s="762"/>
      <c r="F15" s="762"/>
      <c r="G15" s="762"/>
      <c r="H15" s="763"/>
      <c r="I15" s="35">
        <f>VLOOKUP($I$1&amp;I$8,DATA!$A:$EB,'2412'!$A15,0)/100</f>
        <v>237834.87</v>
      </c>
      <c r="J15" s="36">
        <f>VLOOKUP($I$1&amp;J$8,DATA!$A:$EB,'2412'!$A15,0)/100</f>
        <v>1862852.41</v>
      </c>
      <c r="K15" s="36">
        <f>VLOOKUP($I$1&amp;K$8,DATA!$A:$EB,'2412'!$A15,0)/100</f>
        <v>866608.88</v>
      </c>
      <c r="L15" s="36">
        <f>VLOOKUP($I$1&amp;L$8,DATA!$A:$EB,'2412'!$A15,0)/100</f>
        <v>861402.16</v>
      </c>
      <c r="M15" s="36">
        <f>VLOOKUP($I$1&amp;M$8,DATA!$A:$EB,'2412'!$A15,0)/100</f>
        <v>398490.28</v>
      </c>
      <c r="N15" s="36">
        <f>VLOOKUP($I$1&amp;N$8,DATA!$A:$EB,'2412'!$A15,0)/100</f>
        <v>250789.65</v>
      </c>
      <c r="O15" s="36">
        <f>VLOOKUP($I$1&amp;O$8,DATA!$A:$EB,'2412'!$A15,0)/100</f>
        <v>236884.73</v>
      </c>
      <c r="P15" s="36">
        <f>VLOOKUP($I$1&amp;P$8,DATA!$A:$EB,'2412'!$A15,0)/100</f>
        <v>282092.71000000002</v>
      </c>
      <c r="Q15" s="36">
        <f>VLOOKUP($I$1&amp;Q$8,DATA!$A:$EB,'2412'!$A15,0)/100</f>
        <v>188996.18328000003</v>
      </c>
      <c r="R15" s="36">
        <f>VLOOKUP($I$1&amp;R$8,DATA!$A:$EB,'2412'!$A15,0)/100</f>
        <v>102309.75</v>
      </c>
      <c r="S15" s="36">
        <f>VLOOKUP($I$1&amp;S$8,DATA!$A:$EB,'2412'!$A15,0)/100</f>
        <v>122994.34</v>
      </c>
      <c r="T15" s="35">
        <f>VLOOKUP($I$1&amp;T$8,DATA!$A:$EB,'2412'!$A15,0)/100</f>
        <v>111926.66</v>
      </c>
    </row>
    <row r="16" spans="1:20" ht="16.5">
      <c r="A16" s="5">
        <f>DATA!BW1</f>
        <v>75</v>
      </c>
      <c r="C16" s="762" t="s">
        <v>53</v>
      </c>
      <c r="D16" s="762"/>
      <c r="E16" s="762"/>
      <c r="F16" s="762"/>
      <c r="G16" s="762"/>
      <c r="H16" s="763"/>
      <c r="I16" s="35">
        <f>VLOOKUP($I$1&amp;I$8,DATA!$A:$EB,'2412'!$A16,0)/100</f>
        <v>20782.12</v>
      </c>
      <c r="J16" s="37">
        <f>VLOOKUP($I$1&amp;J$8,DATA!$A:$EB,'2412'!$A16,0)/100</f>
        <v>129020.23</v>
      </c>
      <c r="K16" s="36">
        <f>VLOOKUP($I$1&amp;K$8,DATA!$A:$EB,'2412'!$A16,0)/100</f>
        <v>64380.58</v>
      </c>
      <c r="L16" s="36">
        <f>VLOOKUP($I$1&amp;L$8,DATA!$A:$EB,'2412'!$A16,0)/100</f>
        <v>91091.41</v>
      </c>
      <c r="M16" s="36">
        <f>VLOOKUP($I$1&amp;M$8,DATA!$A:$EB,'2412'!$A16,0)/100</f>
        <v>72241.14</v>
      </c>
      <c r="N16" s="36">
        <f>VLOOKUP($I$1&amp;N$8,DATA!$A:$EB,'2412'!$A16,0)/100</f>
        <v>26710.880000000001</v>
      </c>
      <c r="O16" s="36">
        <f>VLOOKUP($I$1&amp;O$8,DATA!$A:$EB,'2412'!$A16,0)/100</f>
        <v>30105.09</v>
      </c>
      <c r="P16" s="36">
        <f>VLOOKUP($I$1&amp;P$8,DATA!$A:$EB,'2412'!$A16,0)/100</f>
        <v>140739.07999999999</v>
      </c>
      <c r="Q16" s="36">
        <f>VLOOKUP($I$1&amp;Q$8,DATA!$A:$EB,'2412'!$A16,0)/100</f>
        <v>83054.872619999995</v>
      </c>
      <c r="R16" s="36">
        <f>VLOOKUP($I$1&amp;R$8,DATA!$A:$EB,'2412'!$A16,0)/100</f>
        <v>111878.89</v>
      </c>
      <c r="S16" s="36">
        <f>VLOOKUP($I$1&amp;S$8,DATA!$A:$EB,'2412'!$A16,0)/100</f>
        <v>88204.82</v>
      </c>
      <c r="T16" s="35">
        <f>VLOOKUP($I$1&amp;T$8,DATA!$A:$EB,'2412'!$A16,0)/100</f>
        <v>122317.59</v>
      </c>
    </row>
    <row r="17" spans="1:20">
      <c r="C17" s="762" t="s">
        <v>116</v>
      </c>
      <c r="D17" s="762"/>
      <c r="E17" s="762"/>
      <c r="F17" s="762"/>
      <c r="G17" s="762"/>
      <c r="H17" s="763"/>
      <c r="I17" s="38">
        <f>I16/I14</f>
        <v>6.9619041796552594E-2</v>
      </c>
      <c r="J17" s="38">
        <f t="shared" ref="J17:T17" si="1">J16/J14</f>
        <v>5.2697333445753024E-2</v>
      </c>
      <c r="K17" s="38">
        <f t="shared" si="1"/>
        <v>5.5933341702956448E-2</v>
      </c>
      <c r="L17" s="38">
        <f t="shared" si="1"/>
        <v>8.1486829565164787E-2</v>
      </c>
      <c r="M17" s="38">
        <f t="shared" si="1"/>
        <v>0.13745757130004269</v>
      </c>
      <c r="N17" s="38">
        <f t="shared" si="1"/>
        <v>8.2026069918978678E-2</v>
      </c>
      <c r="O17" s="38">
        <f t="shared" si="1"/>
        <v>0.10316930496686837</v>
      </c>
      <c r="P17" s="38">
        <f t="shared" si="1"/>
        <v>0.20126363214194534</v>
      </c>
      <c r="Q17" s="38">
        <f t="shared" si="1"/>
        <v>0.19292415945648314</v>
      </c>
      <c r="R17" s="38">
        <f t="shared" si="1"/>
        <v>0.29740473129868378</v>
      </c>
      <c r="S17" s="38">
        <f t="shared" si="1"/>
        <v>0.25306650640379641</v>
      </c>
      <c r="T17" s="38">
        <f t="shared" si="1"/>
        <v>0.27522388015157334</v>
      </c>
    </row>
    <row r="18" spans="1:20">
      <c r="A18" s="5">
        <f>DATA!BV1</f>
        <v>74</v>
      </c>
      <c r="C18" s="764" t="s">
        <v>52</v>
      </c>
      <c r="D18" s="764"/>
      <c r="E18" s="764"/>
      <c r="F18" s="764"/>
      <c r="G18" s="764"/>
      <c r="H18" s="765"/>
      <c r="I18" s="39">
        <f>VLOOKUP($I$1&amp;I$8,DATA!$A:$EB,'2412'!$A18,0)/100</f>
        <v>3867.13</v>
      </c>
      <c r="J18" s="40">
        <f>VLOOKUP($I$1&amp;J$8,DATA!$A:$EB,'2412'!$A18,0)/100</f>
        <v>29690.33</v>
      </c>
      <c r="K18" s="40">
        <f>VLOOKUP($I$1&amp;K$8,DATA!$A:$EB,'2412'!$A18,0)/100</f>
        <v>13423.38</v>
      </c>
      <c r="L18" s="40">
        <f>VLOOKUP($I$1&amp;L$8,DATA!$A:$EB,'2412'!$A18,0)/100</f>
        <v>18987.95</v>
      </c>
      <c r="M18" s="40">
        <f>VLOOKUP($I$1&amp;M$8,DATA!$A:$EB,'2412'!$A18,0)/100</f>
        <v>13460.89</v>
      </c>
      <c r="N18" s="40">
        <f>VLOOKUP($I$1&amp;N$8,DATA!$A:$EB,'2412'!$A18,0)/100</f>
        <v>4714.0200000000004</v>
      </c>
      <c r="O18" s="40">
        <f>VLOOKUP($I$1&amp;O$8,DATA!$A:$EB,'2412'!$A18,0)/100</f>
        <v>5107.5600000000004</v>
      </c>
      <c r="P18" s="40">
        <f>VLOOKUP($I$1&amp;P$8,DATA!$A:$EB,'2412'!$A18,0)/100</f>
        <v>17774.82</v>
      </c>
      <c r="Q18" s="40">
        <f>VLOOKUP($I$1&amp;Q$8,DATA!$A:$EB,'2412'!$A18,0)/100</f>
        <v>19569.379529999998</v>
      </c>
      <c r="R18" s="40">
        <f>VLOOKUP($I$1&amp;R$8,DATA!$A:$EB,'2412'!$A18,0)/100</f>
        <v>14727.14</v>
      </c>
      <c r="S18" s="40">
        <f>VLOOKUP($I$1&amp;S$8,DATA!$A:$EB,'2412'!$A18,0)/100</f>
        <v>14571.42</v>
      </c>
      <c r="T18" s="39">
        <f>VLOOKUP($I$1&amp;T$8,DATA!$A:$EB,'2412'!$A18,0)/100</f>
        <v>19315.38</v>
      </c>
    </row>
    <row r="19" spans="1:20">
      <c r="A19" s="5">
        <f>DATA!N1</f>
        <v>14</v>
      </c>
      <c r="C19" s="758" t="s">
        <v>1107</v>
      </c>
      <c r="D19" s="758"/>
      <c r="E19" s="758"/>
      <c r="F19" s="758"/>
      <c r="G19" s="758"/>
      <c r="H19" s="759"/>
      <c r="I19" s="27">
        <f>VLOOKUP($I$1&amp;I$8,DATA!$A:$EB,'2412'!$A19,0)/100</f>
        <v>25532.379497679998</v>
      </c>
      <c r="J19" s="28">
        <f>VLOOKUP($I$1&amp;J$8,DATA!$A:$EB,'2412'!$A19,0)/100</f>
        <v>304884.96999999997</v>
      </c>
      <c r="K19" s="28">
        <f>VLOOKUP($I$1&amp;K$8,DATA!$A:$EB,'2412'!$A19,0)/100</f>
        <v>51004.94515218999</v>
      </c>
      <c r="L19" s="28">
        <f>VLOOKUP($I$1&amp;L$8,DATA!$A:$EB,'2412'!$A19,0)/100</f>
        <v>92515.4</v>
      </c>
      <c r="M19" s="28">
        <f>VLOOKUP($I$1&amp;M$8,DATA!$A:$EB,'2412'!$A19,0)/100</f>
        <v>67628.5</v>
      </c>
      <c r="N19" s="28">
        <f>VLOOKUP($I$1&amp;N$8,DATA!$A:$EB,'2412'!$A19,0)/100</f>
        <v>16683.90639253</v>
      </c>
      <c r="O19" s="28">
        <f>VLOOKUP($I$1&amp;O$8,DATA!$A:$EB,'2412'!$A19,0)/100</f>
        <v>44873.58</v>
      </c>
      <c r="P19" s="28">
        <f>VLOOKUP($I$1&amp;P$8,DATA!$A:$EB,'2412'!$A19,0)/100</f>
        <v>152958.37547477</v>
      </c>
      <c r="Q19" s="28">
        <f>VLOOKUP($I$1&amp;Q$8,DATA!$A:$EB,'2412'!$A19,0)/100</f>
        <v>49271.490534100005</v>
      </c>
      <c r="R19" s="28">
        <f>VLOOKUP($I$1&amp;R$8,DATA!$A:$EB,'2412'!$A19,0)/100</f>
        <v>54563.566250470001</v>
      </c>
      <c r="S19" s="28">
        <f>VLOOKUP($I$1&amp;S$8,DATA!$A:$EB,'2412'!$A19,0)/100</f>
        <v>58564.41</v>
      </c>
      <c r="T19" s="27">
        <f>VLOOKUP($I$1&amp;T$8,DATA!$A:$EB,'2412'!$A19,0)/100</f>
        <v>84159.986663000003</v>
      </c>
    </row>
    <row r="20" spans="1:20">
      <c r="C20" s="766" t="s">
        <v>1042</v>
      </c>
      <c r="D20" s="766"/>
      <c r="E20" s="766"/>
      <c r="F20" s="766"/>
      <c r="G20" s="766"/>
      <c r="H20" s="767"/>
      <c r="I20" s="335">
        <f>+I37</f>
        <v>-4657.8911377699987</v>
      </c>
      <c r="J20" s="336">
        <f t="shared" ref="J20:T20" si="2">+J37</f>
        <v>-70392.280000000028</v>
      </c>
      <c r="K20" s="336">
        <f t="shared" si="2"/>
        <v>-32678.20416263002</v>
      </c>
      <c r="L20" s="336">
        <f t="shared" si="2"/>
        <v>-16372.340710709992</v>
      </c>
      <c r="M20" s="336">
        <f t="shared" si="2"/>
        <v>-13842.470000000001</v>
      </c>
      <c r="N20" s="336">
        <f t="shared" si="2"/>
        <v>-9387.8881776099952</v>
      </c>
      <c r="O20" s="336">
        <f t="shared" si="2"/>
        <v>-8263.4799999999959</v>
      </c>
      <c r="P20" s="336">
        <f t="shared" si="2"/>
        <v>-6093.3791948900034</v>
      </c>
      <c r="Q20" s="336">
        <f t="shared" si="2"/>
        <v>-11899.454805639994</v>
      </c>
      <c r="R20" s="336">
        <f t="shared" si="2"/>
        <v>2675.1265206400058</v>
      </c>
      <c r="S20" s="336">
        <f t="shared" si="2"/>
        <v>-4413.75</v>
      </c>
      <c r="T20" s="335">
        <f t="shared" si="2"/>
        <v>-2595.5135252000036</v>
      </c>
    </row>
    <row r="21" spans="1:20">
      <c r="C21" s="766" t="s">
        <v>1043</v>
      </c>
      <c r="D21" s="766"/>
      <c r="E21" s="766"/>
      <c r="F21" s="766"/>
      <c r="G21" s="766"/>
      <c r="H21" s="767"/>
      <c r="I21" s="337">
        <f t="shared" ref="I21:T21" si="3">+I20/(I19-I20)</f>
        <v>-0.15428451086160894</v>
      </c>
      <c r="J21" s="338">
        <f t="shared" si="3"/>
        <v>-0.18757406690653383</v>
      </c>
      <c r="K21" s="338">
        <f t="shared" si="3"/>
        <v>-0.39049921555524941</v>
      </c>
      <c r="L21" s="338">
        <f t="shared" si="3"/>
        <v>-0.15035981648482896</v>
      </c>
      <c r="M21" s="338">
        <f t="shared" si="3"/>
        <v>-0.16990677783755367</v>
      </c>
      <c r="N21" s="338">
        <f t="shared" si="3"/>
        <v>-0.36007832726489553</v>
      </c>
      <c r="O21" s="338">
        <f t="shared" si="3"/>
        <v>-0.1555125556438387</v>
      </c>
      <c r="P21" s="338">
        <f t="shared" si="3"/>
        <v>-3.8310669426725598E-2</v>
      </c>
      <c r="Q21" s="338">
        <f t="shared" si="3"/>
        <v>-0.19452788802839469</v>
      </c>
      <c r="R21" s="338">
        <f t="shared" si="3"/>
        <v>5.1555347097903007E-2</v>
      </c>
      <c r="S21" s="338">
        <f t="shared" si="3"/>
        <v>-7.0083819533628799E-2</v>
      </c>
      <c r="T21" s="337">
        <f t="shared" si="3"/>
        <v>-2.9917567411513014E-2</v>
      </c>
    </row>
    <row r="22" spans="1:20">
      <c r="A22" s="5">
        <f>DATA!R1</f>
        <v>18</v>
      </c>
      <c r="C22" s="737" t="s">
        <v>38</v>
      </c>
      <c r="D22" s="737"/>
      <c r="E22" s="737"/>
      <c r="F22" s="737"/>
      <c r="G22" s="737"/>
      <c r="H22" s="738"/>
      <c r="I22" s="29">
        <f>VLOOKUP($I$1&amp;I$8,DATA!$A:$EB,'2412'!$A22,0)/100</f>
        <v>19429.240789989999</v>
      </c>
      <c r="J22" s="30">
        <f>VLOOKUP($I$1&amp;J$8,DATA!$A:$EB,'2412'!$A22,0)/100</f>
        <v>140005.85999999999</v>
      </c>
      <c r="K22" s="30">
        <f>VLOOKUP($I$1&amp;K$8,DATA!$A:$EB,'2412'!$A22,0)/100</f>
        <v>70340.021165919999</v>
      </c>
      <c r="L22" s="30">
        <f>VLOOKUP($I$1&amp;L$8,DATA!$A:$EB,'2412'!$A22,0)/100</f>
        <v>68864.759999999995</v>
      </c>
      <c r="M22" s="30">
        <f>VLOOKUP($I$1&amp;M$8,DATA!$A:$EB,'2412'!$A22,0)/100</f>
        <v>68374.2</v>
      </c>
      <c r="N22" s="30">
        <f>VLOOKUP($I$1&amp;N$8,DATA!$A:$EB,'2412'!$A22,0)/100</f>
        <v>15614.98237695</v>
      </c>
      <c r="O22" s="30">
        <f>VLOOKUP($I$1&amp;O$8,DATA!$A:$EB,'2412'!$A22,0)/100</f>
        <v>31459.3</v>
      </c>
      <c r="P22" s="30">
        <f>VLOOKUP($I$1&amp;P$8,DATA!$A:$EB,'2412'!$A22,0)/100</f>
        <v>134451.70648237001</v>
      </c>
      <c r="Q22" s="30">
        <f>VLOOKUP($I$1&amp;Q$8,DATA!$A:$EB,'2412'!$A22,0)/100</f>
        <v>73913.769267330004</v>
      </c>
      <c r="R22" s="30">
        <f>VLOOKUP($I$1&amp;R$8,DATA!$A:$EB,'2412'!$A22,0)/100</f>
        <v>54663.333034460004</v>
      </c>
      <c r="S22" s="30">
        <f>VLOOKUP($I$1&amp;S$8,DATA!$A:$EB,'2412'!$A22,0)/100</f>
        <v>61587.62</v>
      </c>
      <c r="T22" s="29">
        <f>VLOOKUP($I$1&amp;T$8,DATA!$A:$EB,'2412'!$A22,0)/100</f>
        <v>101046.33161235</v>
      </c>
    </row>
    <row r="23" spans="1:20">
      <c r="A23" s="5">
        <f>DATA!Q1</f>
        <v>17</v>
      </c>
      <c r="C23" s="760" t="s">
        <v>141</v>
      </c>
      <c r="D23" s="760"/>
      <c r="E23" s="760"/>
      <c r="F23" s="760"/>
      <c r="G23" s="760"/>
      <c r="H23" s="761"/>
      <c r="I23" s="33">
        <f>VLOOKUP($I$1&amp;I$8,DATA!$A:$EB,'2412'!$A23,0)/100</f>
        <v>-1906.09909176</v>
      </c>
      <c r="J23" s="34">
        <f>VLOOKUP($I$1&amp;J$8,DATA!$A:$EB,'2412'!$A23,0)/100</f>
        <v>184921.49</v>
      </c>
      <c r="K23" s="34">
        <f>VLOOKUP($I$1&amp;K$8,DATA!$A:$EB,'2412'!$A23,0)/100</f>
        <v>-22045.292046830004</v>
      </c>
      <c r="L23" s="34">
        <f>VLOOKUP($I$1&amp;L$8,DATA!$A:$EB,'2412'!$A23,0)/100</f>
        <v>-13492.79</v>
      </c>
      <c r="M23" s="34">
        <f>VLOOKUP($I$1&amp;M$8,DATA!$A:$EB,'2412'!$A23,0)/100</f>
        <v>-14743.28</v>
      </c>
      <c r="N23" s="34">
        <f>VLOOKUP($I$1&amp;N$8,DATA!$A:$EB,'2412'!$A23,0)/100</f>
        <v>-11033.2</v>
      </c>
      <c r="O23" s="34">
        <f>VLOOKUP($I$1&amp;O$8,DATA!$A:$EB,'2412'!$A23,0)/100</f>
        <v>3631.25</v>
      </c>
      <c r="P23" s="34">
        <f>VLOOKUP($I$1&amp;P$8,DATA!$A:$EB,'2412'!$A23,0)/100</f>
        <v>23684.638186889999</v>
      </c>
      <c r="Q23" s="34">
        <f>VLOOKUP($I$1&amp;Q$8,DATA!$A:$EB,'2412'!$A23,0)/100</f>
        <v>-25543.934873210001</v>
      </c>
      <c r="R23" s="34">
        <f>VLOOKUP($I$1&amp;R$8,DATA!$A:$EB,'2412'!$A23,0)/100</f>
        <v>-1713.7779680499998</v>
      </c>
      <c r="S23" s="34">
        <f>VLOOKUP($I$1&amp;S$8,DATA!$A:$EB,'2412'!$A23,0)/100</f>
        <v>-6840.25</v>
      </c>
      <c r="T23" s="33">
        <f>VLOOKUP($I$1&amp;T$8,DATA!$A:$EB,'2412'!$A23,0)/100</f>
        <v>-16094.552665929999</v>
      </c>
    </row>
    <row r="24" spans="1:20">
      <c r="C24" s="750" t="s">
        <v>1044</v>
      </c>
      <c r="D24" s="750"/>
      <c r="E24" s="750"/>
      <c r="F24" s="750"/>
      <c r="G24" s="750"/>
      <c r="H24" s="751"/>
      <c r="I24" s="339">
        <f>I23-I38</f>
        <v>-5908.2875042200003</v>
      </c>
      <c r="J24" s="340">
        <f t="shared" ref="J24:T24" si="4">J23-J38</f>
        <v>-156095.54000000004</v>
      </c>
      <c r="K24" s="340">
        <f t="shared" si="4"/>
        <v>-38559.305014721001</v>
      </c>
      <c r="L24" s="340">
        <f t="shared" si="4"/>
        <v>-22436.43</v>
      </c>
      <c r="M24" s="340">
        <f t="shared" si="4"/>
        <v>-15909.91</v>
      </c>
      <c r="N24" s="340">
        <f t="shared" si="4"/>
        <v>-11584.35</v>
      </c>
      <c r="O24" s="340">
        <f t="shared" si="4"/>
        <v>-9734.26</v>
      </c>
      <c r="P24" s="340">
        <f t="shared" si="4"/>
        <v>-19750.244297090008</v>
      </c>
      <c r="Q24" s="340">
        <f t="shared" si="4"/>
        <v>-20565.620033120002</v>
      </c>
      <c r="R24" s="340">
        <f t="shared" si="4"/>
        <v>-6511.1165303600001</v>
      </c>
      <c r="S24" s="340">
        <f t="shared" si="4"/>
        <v>-10481.51</v>
      </c>
      <c r="T24" s="339">
        <f t="shared" si="4"/>
        <v>-17135.50112121</v>
      </c>
    </row>
    <row r="25" spans="1:20" ht="33.75" customHeight="1">
      <c r="C25" s="768" t="s">
        <v>1046</v>
      </c>
      <c r="D25" s="750"/>
      <c r="E25" s="750"/>
      <c r="F25" s="750"/>
      <c r="G25" s="750"/>
      <c r="H25" s="751"/>
      <c r="I25" s="341">
        <f>I24/I36</f>
        <v>-0.19570170720107344</v>
      </c>
      <c r="J25" s="342">
        <f t="shared" ref="J25:T25" si="5">J24/J36</f>
        <v>-0.41594724966674651</v>
      </c>
      <c r="K25" s="342">
        <f t="shared" si="5"/>
        <v>-0.46077741254286514</v>
      </c>
      <c r="L25" s="342">
        <f t="shared" si="5"/>
        <v>-0.20605101964240863</v>
      </c>
      <c r="M25" s="342">
        <f t="shared" si="5"/>
        <v>-0.19528317878134996</v>
      </c>
      <c r="N25" s="342">
        <f t="shared" si="5"/>
        <v>-0.44432499530613617</v>
      </c>
      <c r="O25" s="342">
        <f t="shared" si="5"/>
        <v>-0.18319154277635985</v>
      </c>
      <c r="P25" s="342">
        <f t="shared" si="5"/>
        <v>-0.12417495385769219</v>
      </c>
      <c r="Q25" s="342">
        <f t="shared" si="5"/>
        <v>-0.336199153354582</v>
      </c>
      <c r="R25" s="342">
        <f t="shared" si="5"/>
        <v>-0.12548298935681512</v>
      </c>
      <c r="S25" s="342">
        <f t="shared" si="5"/>
        <v>-0.16643087063832923</v>
      </c>
      <c r="T25" s="341">
        <f t="shared" si="5"/>
        <v>-0.19751486746128719</v>
      </c>
    </row>
    <row r="26" spans="1:20" ht="31.5" customHeight="1">
      <c r="C26" s="769" t="s">
        <v>1045</v>
      </c>
      <c r="D26" s="752"/>
      <c r="E26" s="752"/>
      <c r="F26" s="752"/>
      <c r="G26" s="752"/>
      <c r="H26" s="753"/>
      <c r="I26" s="343">
        <f>I24/I45</f>
        <v>-2.2509123615630539E-2</v>
      </c>
      <c r="J26" s="344">
        <f t="shared" ref="J26:T26" si="6">J24/J45</f>
        <v>-7.7215274674327872E-2</v>
      </c>
      <c r="K26" s="344">
        <f t="shared" si="6"/>
        <v>-4.0828865705300026E-2</v>
      </c>
      <c r="L26" s="344">
        <f t="shared" si="6"/>
        <v>-2.3095066183039695E-2</v>
      </c>
      <c r="M26" s="344">
        <f t="shared" si="6"/>
        <v>-3.2858658990267728E-2</v>
      </c>
      <c r="N26" s="344">
        <f t="shared" si="6"/>
        <v>-4.1048025341003859E-2</v>
      </c>
      <c r="O26" s="344">
        <f t="shared" si="6"/>
        <v>-3.5774912643407299E-2</v>
      </c>
      <c r="P26" s="344">
        <f t="shared" si="6"/>
        <v>-4.482512029742361E-2</v>
      </c>
      <c r="Q26" s="344">
        <f t="shared" si="6"/>
        <v>-7.0521875474177917E-2</v>
      </c>
      <c r="R26" s="344">
        <f t="shared" si="6"/>
        <v>-2.8443283946436547E-2</v>
      </c>
      <c r="S26" s="344">
        <f t="shared" si="6"/>
        <v>-4.6425490867764964E-2</v>
      </c>
      <c r="T26" s="343">
        <f t="shared" si="6"/>
        <v>-6.7579768598061127E-2</v>
      </c>
    </row>
    <row r="27" spans="1:20">
      <c r="C27" s="410"/>
      <c r="D27" s="410"/>
      <c r="E27" s="410"/>
      <c r="F27" s="410"/>
      <c r="G27" s="410"/>
      <c r="H27" s="410"/>
      <c r="I27" s="300"/>
      <c r="J27" s="300"/>
      <c r="K27" s="300"/>
      <c r="L27" s="300"/>
      <c r="M27" s="300"/>
      <c r="N27" s="300"/>
      <c r="O27" s="300"/>
      <c r="P27" s="300"/>
      <c r="Q27" s="300"/>
      <c r="R27" s="300"/>
      <c r="S27" s="300"/>
      <c r="T27" s="300"/>
    </row>
    <row r="28" spans="1:20">
      <c r="C28" s="410"/>
      <c r="D28" s="410"/>
      <c r="E28" s="410"/>
      <c r="F28" s="410"/>
      <c r="G28" s="410"/>
      <c r="H28" s="410"/>
      <c r="I28" s="345"/>
      <c r="J28" s="345"/>
      <c r="K28" s="345"/>
      <c r="L28" s="345"/>
      <c r="M28" s="345"/>
      <c r="N28" s="345"/>
      <c r="O28" s="345"/>
      <c r="P28" s="345"/>
      <c r="Q28" s="345"/>
      <c r="R28" s="345"/>
      <c r="S28" s="345"/>
      <c r="T28" s="345"/>
    </row>
    <row r="29" spans="1:20">
      <c r="A29" s="5">
        <f>DATA!O1</f>
        <v>15</v>
      </c>
      <c r="C29" s="758" t="s">
        <v>133</v>
      </c>
      <c r="D29" s="758"/>
      <c r="E29" s="758"/>
      <c r="F29" s="758"/>
      <c r="G29" s="758"/>
      <c r="H29" s="759"/>
      <c r="I29" s="27">
        <f>VLOOKUP($I$1&amp;I$8,DATA!$A:$EB,'2412'!$A29,0)/100</f>
        <v>25532.379497679998</v>
      </c>
      <c r="J29" s="28">
        <f>VLOOKUP($I$1&amp;J$8,DATA!$A:$EB,'2412'!$A29,0)/100</f>
        <v>304884.96999999997</v>
      </c>
      <c r="K29" s="28">
        <f>VLOOKUP($I$1&amp;K$8,DATA!$A:$EB,'2412'!$A29,0)/100</f>
        <v>73062.207234319998</v>
      </c>
      <c r="L29" s="28">
        <f>VLOOKUP($I$1&amp;L$8,DATA!$A:$EB,'2412'!$A29,0)/100</f>
        <v>103483.67</v>
      </c>
      <c r="M29" s="28">
        <f>VLOOKUP($I$1&amp;M$8,DATA!$A:$EB,'2412'!$A29,0)/100</f>
        <v>70623.02</v>
      </c>
      <c r="N29" s="28">
        <f>VLOOKUP($I$1&amp;N$8,DATA!$A:$EB,'2412'!$A29,0)/100</f>
        <v>20129.580000000002</v>
      </c>
      <c r="O29" s="28">
        <f>VLOOKUP($I$1&amp;O$8,DATA!$A:$EB,'2412'!$A29,0)/100</f>
        <v>45371.58</v>
      </c>
      <c r="P29" s="28">
        <f>VLOOKUP($I$1&amp;P$8,DATA!$A:$EB,'2412'!$A29,0)/100</f>
        <v>152958.37547477</v>
      </c>
      <c r="Q29" s="28">
        <f>VLOOKUP($I$1&amp;Q$8,DATA!$A:$EB,'2412'!$A29,0)/100</f>
        <v>49271.490534100005</v>
      </c>
      <c r="R29" s="28">
        <f>VLOOKUP($I$1&amp;R$8,DATA!$A:$EB,'2412'!$A29,0)/100</f>
        <v>57400.863050469998</v>
      </c>
      <c r="S29" s="28">
        <f>VLOOKUP($I$1&amp;S$8,DATA!$A:$EB,'2412'!$A29,0)/100</f>
        <v>58564.41</v>
      </c>
      <c r="T29" s="27">
        <f>VLOOKUP($I$1&amp;T$8,DATA!$A:$EB,'2412'!$A29,0)/100</f>
        <v>84159.986663000003</v>
      </c>
    </row>
    <row r="30" spans="1:20">
      <c r="C30" s="410"/>
      <c r="D30" s="410"/>
      <c r="E30" s="410"/>
      <c r="F30" s="410"/>
      <c r="G30" s="410"/>
      <c r="H30" s="410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0"/>
    </row>
    <row r="31" spans="1:20">
      <c r="C31" s="410"/>
      <c r="D31" s="410"/>
      <c r="E31" s="410"/>
      <c r="F31" s="410"/>
      <c r="G31" s="410"/>
      <c r="H31" s="410"/>
      <c r="I31" s="300"/>
      <c r="J31" s="300"/>
      <c r="K31" s="300"/>
      <c r="L31" s="300"/>
      <c r="M31" s="300"/>
      <c r="N31" s="300"/>
      <c r="O31" s="300"/>
      <c r="P31" s="300"/>
      <c r="Q31" s="300"/>
      <c r="R31" s="300"/>
      <c r="S31" s="300"/>
      <c r="T31" s="300"/>
    </row>
    <row r="32" spans="1:20">
      <c r="C32" s="410"/>
      <c r="D32" s="410"/>
      <c r="E32" s="410"/>
      <c r="F32" s="410"/>
      <c r="G32" s="410"/>
      <c r="H32" s="410"/>
      <c r="I32" s="300"/>
      <c r="J32" s="300"/>
      <c r="K32" s="300"/>
      <c r="L32" s="300"/>
      <c r="M32" s="300"/>
      <c r="N32" s="300"/>
      <c r="O32" s="300"/>
      <c r="P32" s="300"/>
      <c r="Q32" s="300"/>
      <c r="R32" s="300"/>
      <c r="S32" s="300"/>
      <c r="T32" s="300"/>
    </row>
    <row r="33" spans="1:20">
      <c r="C33" s="20" t="s">
        <v>114</v>
      </c>
      <c r="D33" s="20"/>
      <c r="E33" s="20"/>
      <c r="F33" s="20"/>
      <c r="G33" s="20"/>
      <c r="H33" s="20"/>
      <c r="I33" s="8">
        <f t="shared" ref="I33:T33" si="7">+I22/I9</f>
        <v>5.9958578227697512E-2</v>
      </c>
      <c r="J33" s="8">
        <f t="shared" si="7"/>
        <v>5.0851853481195419E-2</v>
      </c>
      <c r="K33" s="8">
        <f t="shared" si="7"/>
        <v>5.7463322851863126E-2</v>
      </c>
      <c r="L33" s="8">
        <f t="shared" si="7"/>
        <v>5.6384117302251728E-2</v>
      </c>
      <c r="M33" s="8">
        <f t="shared" si="7"/>
        <v>0.1146875674504975</v>
      </c>
      <c r="N33" s="8">
        <f t="shared" si="7"/>
        <v>4.5160223758243558E-2</v>
      </c>
      <c r="O33" s="8">
        <f t="shared" si="7"/>
        <v>9.3302764777250566E-2</v>
      </c>
      <c r="P33" s="8">
        <f t="shared" si="7"/>
        <v>0.15776353609673677</v>
      </c>
      <c r="Q33" s="8">
        <f t="shared" si="7"/>
        <v>0.15405866049404715</v>
      </c>
      <c r="R33" s="8">
        <f t="shared" si="7"/>
        <v>0.12607298487989776</v>
      </c>
      <c r="S33" s="8">
        <f t="shared" si="7"/>
        <v>0.1512806268521478</v>
      </c>
      <c r="T33" s="8">
        <f t="shared" si="7"/>
        <v>0.19116223280280051</v>
      </c>
    </row>
    <row r="34" spans="1:20">
      <c r="C34" s="20"/>
      <c r="D34" s="20"/>
      <c r="E34" s="20"/>
      <c r="F34" s="20"/>
      <c r="G34" s="20"/>
      <c r="H34" s="20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>
      <c r="C35" s="20"/>
      <c r="D35" s="20"/>
      <c r="E35" s="20"/>
      <c r="F35" s="20"/>
      <c r="G35" s="20"/>
      <c r="H35" s="20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16.5">
      <c r="A36" s="5">
        <f>DATA!T1</f>
        <v>20</v>
      </c>
      <c r="C36" s="20" t="s">
        <v>883</v>
      </c>
      <c r="D36" s="42"/>
      <c r="F36" s="42"/>
      <c r="G36" s="42"/>
      <c r="H36" s="42"/>
      <c r="I36" s="1">
        <f>VLOOKUP($I$1&amp;I$8,DATA!$A:$EB,'2412'!$A36,0)/100</f>
        <v>30190.270635449997</v>
      </c>
      <c r="J36" s="1">
        <f>VLOOKUP($I$1&amp;J$8,DATA!$A:$EB,'2412'!$A36,0)/100</f>
        <v>375277.25</v>
      </c>
      <c r="K36" s="95">
        <f>VLOOKUP($I$1&amp;K$8,DATA!$A:$EB,'2412'!$A36,0)/100</f>
        <v>83683.14931482001</v>
      </c>
      <c r="L36" s="95">
        <f>VLOOKUP($I$1&amp;L$8,DATA!$A:$EB,'2412'!$A36,0)/100</f>
        <v>108887.74071070999</v>
      </c>
      <c r="M36" s="95">
        <f>VLOOKUP($I$1&amp;M$8,DATA!$A:$EB,'2412'!$A36,0)/100</f>
        <v>81470.97</v>
      </c>
      <c r="N36" s="95">
        <f>VLOOKUP($I$1&amp;N$8,DATA!$A:$EB,'2412'!$A36,0)/100</f>
        <v>26071.794570139995</v>
      </c>
      <c r="O36" s="95">
        <f>VLOOKUP($I$1&amp;O$8,DATA!$A:$EB,'2412'!$A36,0)/100</f>
        <v>53137.06</v>
      </c>
      <c r="P36" s="95">
        <f>VLOOKUP($I$1&amp;P$8,DATA!$A:$EB,'2412'!$A36,0)/100</f>
        <v>159051.75466966</v>
      </c>
      <c r="Q36" s="95">
        <f>VLOOKUP($I$1&amp;Q$8,DATA!$A:$EB,'2412'!$A36,0)/100</f>
        <v>61170.945339739999</v>
      </c>
      <c r="R36" s="95">
        <f>VLOOKUP($I$1&amp;R$8,DATA!$A:$EB,'2412'!$A36,0)/100</f>
        <v>51888.439729829995</v>
      </c>
      <c r="S36" s="95">
        <f>VLOOKUP($I$1&amp;S$8,DATA!$A:$EB,'2412'!$A36,0)/100</f>
        <v>62978.16</v>
      </c>
      <c r="T36" s="95">
        <f>VLOOKUP($I$1&amp;T$8,DATA!$A:$EB,'2412'!$A36,0)/100</f>
        <v>86755.500188200007</v>
      </c>
    </row>
    <row r="37" spans="1:20" ht="16.5">
      <c r="C37" s="20" t="s">
        <v>884</v>
      </c>
      <c r="D37" s="42"/>
      <c r="F37" s="42"/>
      <c r="G37" s="42"/>
      <c r="H37" s="42"/>
      <c r="I37" s="1">
        <f t="shared" ref="I37:T37" si="8">I19-I36</f>
        <v>-4657.8911377699987</v>
      </c>
      <c r="J37" s="1">
        <f t="shared" si="8"/>
        <v>-70392.280000000028</v>
      </c>
      <c r="K37" s="1">
        <f t="shared" si="8"/>
        <v>-32678.20416263002</v>
      </c>
      <c r="L37" s="1">
        <f t="shared" si="8"/>
        <v>-16372.340710709992</v>
      </c>
      <c r="M37" s="1">
        <f t="shared" si="8"/>
        <v>-13842.470000000001</v>
      </c>
      <c r="N37" s="1">
        <f t="shared" si="8"/>
        <v>-9387.8881776099952</v>
      </c>
      <c r="O37" s="1">
        <f t="shared" si="8"/>
        <v>-8263.4799999999959</v>
      </c>
      <c r="P37" s="1">
        <f t="shared" si="8"/>
        <v>-6093.3791948900034</v>
      </c>
      <c r="Q37" s="1">
        <f t="shared" si="8"/>
        <v>-11899.454805639994</v>
      </c>
      <c r="R37" s="1">
        <f t="shared" si="8"/>
        <v>2675.1265206400058</v>
      </c>
      <c r="S37" s="1">
        <f t="shared" si="8"/>
        <v>-4413.75</v>
      </c>
      <c r="T37" s="1">
        <f t="shared" si="8"/>
        <v>-2595.5135252000036</v>
      </c>
    </row>
    <row r="38" spans="1:20">
      <c r="A38" s="5">
        <f>DATA!BC1</f>
        <v>55</v>
      </c>
      <c r="C38" s="20" t="s">
        <v>874</v>
      </c>
      <c r="I38" s="1">
        <f>VLOOKUP($I$1&amp;I$8,DATA!$A:$EB,'2412'!$A38,0)/100</f>
        <v>4002.1884124600001</v>
      </c>
      <c r="J38" s="1">
        <f>VLOOKUP($I$1&amp;J$8,DATA!$A:$EB,'2412'!$A38,0)/100</f>
        <v>341017.03</v>
      </c>
      <c r="K38" s="1">
        <f>VLOOKUP($I$1&amp;K$8,DATA!$A:$EB,'2412'!$A38,0)/100</f>
        <v>16514.012967890998</v>
      </c>
      <c r="L38" s="1">
        <f>VLOOKUP($I$1&amp;L$8,DATA!$A:$EB,'2412'!$A38,0)/100</f>
        <v>8943.64</v>
      </c>
      <c r="M38" s="1">
        <f>VLOOKUP($I$1&amp;M$8,DATA!$A:$EB,'2412'!$A38,0)/100</f>
        <v>1166.6300000000001</v>
      </c>
      <c r="N38" s="1">
        <f>VLOOKUP($I$1&amp;N$8,DATA!$A:$EB,'2412'!$A38,0)/100</f>
        <v>551.15</v>
      </c>
      <c r="O38" s="1">
        <f>VLOOKUP($I$1&amp;O$8,DATA!$A:$EB,'2412'!$A38,0)/100</f>
        <v>13365.51</v>
      </c>
      <c r="P38" s="1">
        <f>VLOOKUP($I$1&amp;P$8,DATA!$A:$EB,'2412'!$A38,0)/100</f>
        <v>43434.882483980007</v>
      </c>
      <c r="Q38" s="1">
        <f>VLOOKUP($I$1&amp;Q$8,DATA!$A:$EB,'2412'!$A38,0)/100</f>
        <v>-4978.31484009</v>
      </c>
      <c r="R38" s="1">
        <f>VLOOKUP($I$1&amp;R$8,DATA!$A:$EB,'2412'!$A38,0)/100</f>
        <v>4797.3385623100003</v>
      </c>
      <c r="S38" s="1">
        <f>VLOOKUP($I$1&amp;S$8,DATA!$A:$EB,'2412'!$A38,0)/100</f>
        <v>3641.26</v>
      </c>
      <c r="T38" s="1">
        <f>VLOOKUP($I$1&amp;T$8,DATA!$A:$EB,'2412'!$A38,0)/100</f>
        <v>1040.94845528</v>
      </c>
    </row>
    <row r="39" spans="1:20">
      <c r="A39" s="5">
        <f>DATA!BN1</f>
        <v>66</v>
      </c>
      <c r="C39" s="20" t="s">
        <v>879</v>
      </c>
      <c r="I39" s="1">
        <f>VLOOKUP($I$1&amp;I$8,DATA!$A:$EB,'2412'!$A39,0)/100</f>
        <v>0</v>
      </c>
      <c r="J39" s="1">
        <f>VLOOKUP($I$1&amp;J$8,DATA!$A:$EB,'2412'!$A39,0)/100</f>
        <v>-6644.27</v>
      </c>
      <c r="K39" s="1">
        <f>VLOOKUP($I$1&amp;K$8,DATA!$A:$EB,'2412'!$A39,0)/100</f>
        <v>0</v>
      </c>
      <c r="L39" s="1">
        <f>VLOOKUP($I$1&amp;L$8,DATA!$A:$EB,'2412'!$A39,0)/100</f>
        <v>-1127.0853750000001</v>
      </c>
      <c r="M39" s="1">
        <f>VLOOKUP($I$1&amp;M$8,DATA!$A:$EB,'2412'!$A39,0)/100</f>
        <v>-3153.42</v>
      </c>
      <c r="N39" s="1">
        <f>VLOOKUP($I$1&amp;N$8,DATA!$A:$EB,'2412'!$A39,0)/100</f>
        <v>-623.78105199999993</v>
      </c>
      <c r="O39" s="1">
        <f>VLOOKUP($I$1&amp;O$8,DATA!$A:$EB,'2412'!$A39,0)/100</f>
        <v>-1500</v>
      </c>
      <c r="P39" s="1">
        <f>VLOOKUP($I$1&amp;P$8,DATA!$A:$EB,'2412'!$A39,0)/100</f>
        <v>-6801.6566209999992</v>
      </c>
      <c r="Q39" s="1">
        <f>VLOOKUP($I$1&amp;Q$8,DATA!$A:$EB,'2412'!$A39,0)/100</f>
        <v>-1617.691135</v>
      </c>
      <c r="R39" s="1">
        <f>VLOOKUP($I$1&amp;R$8,DATA!$A:$EB,'2412'!$A39,0)/100</f>
        <v>-7834.9</v>
      </c>
      <c r="S39" s="1">
        <f>VLOOKUP($I$1&amp;S$8,DATA!$A:$EB,'2412'!$A39,0)/100</f>
        <v>-2499.7399999999998</v>
      </c>
      <c r="T39" s="1">
        <f>VLOOKUP($I$1&amp;T$8,DATA!$A:$EB,'2412'!$A39,0)/100</f>
        <v>-3182.3038569999999</v>
      </c>
    </row>
    <row r="40" spans="1:20">
      <c r="A40" s="5">
        <f>DATA!BR1</f>
        <v>70</v>
      </c>
      <c r="C40" s="20" t="s">
        <v>880</v>
      </c>
      <c r="I40" s="1">
        <f>VLOOKUP($I$1&amp;I$8,DATA!$A:$EB,'2412'!$A40,0)/100</f>
        <v>0</v>
      </c>
      <c r="J40" s="1">
        <f>VLOOKUP($I$1&amp;J$8,DATA!$A:$EB,'2412'!$A40,0)/100</f>
        <v>0</v>
      </c>
      <c r="K40" s="1">
        <f>VLOOKUP($I$1&amp;K$8,DATA!$A:$EB,'2412'!$A40,0)/100</f>
        <v>-917.08112504000007</v>
      </c>
      <c r="L40" s="1">
        <f>VLOOKUP($I$1&amp;L$8,DATA!$A:$EB,'2412'!$A40,0)/100</f>
        <v>-283.42865182000003</v>
      </c>
      <c r="M40" s="1">
        <f>VLOOKUP($I$1&amp;M$8,DATA!$A:$EB,'2412'!$A40,0)/100</f>
        <v>-108</v>
      </c>
      <c r="N40" s="1">
        <f>VLOOKUP($I$1&amp;N$8,DATA!$A:$EB,'2412'!$A40,0)/100</f>
        <v>-210.26018713000002</v>
      </c>
      <c r="O40" s="1">
        <f>VLOOKUP($I$1&amp;O$8,DATA!$A:$EB,'2412'!$A40,0)/100</f>
        <v>-28</v>
      </c>
      <c r="P40" s="1">
        <f>VLOOKUP($I$1&amp;P$8,DATA!$A:$EB,'2412'!$A40,0)/100</f>
        <v>0</v>
      </c>
      <c r="Q40" s="1">
        <f>VLOOKUP($I$1&amp;Q$8,DATA!$A:$EB,'2412'!$A40,0)/100</f>
        <v>-22.986741250000001</v>
      </c>
      <c r="R40" s="1">
        <f>VLOOKUP($I$1&amp;R$8,DATA!$A:$EB,'2412'!$A40,0)/100</f>
        <v>-96.747199999999992</v>
      </c>
      <c r="S40" s="1">
        <f>VLOOKUP($I$1&amp;S$8,DATA!$A:$EB,'2412'!$A40,0)/100</f>
        <v>0</v>
      </c>
      <c r="T40" s="1">
        <f>VLOOKUP($I$1&amp;T$8,DATA!$A:$EB,'2412'!$A40,0)/100</f>
        <v>0</v>
      </c>
    </row>
    <row r="41" spans="1:20">
      <c r="C41" s="20" t="s">
        <v>881</v>
      </c>
      <c r="I41" s="1">
        <f>I39+I40</f>
        <v>0</v>
      </c>
      <c r="J41" s="1">
        <f t="shared" ref="J41:T41" si="9">J39+J40</f>
        <v>-6644.27</v>
      </c>
      <c r="K41" s="1">
        <f t="shared" si="9"/>
        <v>-917.08112504000007</v>
      </c>
      <c r="L41" s="1">
        <f t="shared" si="9"/>
        <v>-1410.5140268200003</v>
      </c>
      <c r="M41" s="1">
        <f t="shared" si="9"/>
        <v>-3261.42</v>
      </c>
      <c r="N41" s="1">
        <f t="shared" si="9"/>
        <v>-834.04123912999989</v>
      </c>
      <c r="O41" s="1">
        <f t="shared" si="9"/>
        <v>-1528</v>
      </c>
      <c r="P41" s="1">
        <f t="shared" si="9"/>
        <v>-6801.6566209999992</v>
      </c>
      <c r="Q41" s="1">
        <f t="shared" si="9"/>
        <v>-1640.6778762500001</v>
      </c>
      <c r="R41" s="1">
        <f t="shared" si="9"/>
        <v>-7931.6471999999994</v>
      </c>
      <c r="S41" s="1">
        <f t="shared" si="9"/>
        <v>-2499.7399999999998</v>
      </c>
      <c r="T41" s="1">
        <f t="shared" si="9"/>
        <v>-3182.3038569999999</v>
      </c>
    </row>
    <row r="42" spans="1:20">
      <c r="C42" s="132" t="s">
        <v>882</v>
      </c>
      <c r="I42" s="1">
        <f>I37-I41</f>
        <v>-4657.8911377699987</v>
      </c>
      <c r="J42" s="1">
        <f t="shared" ref="J42:T42" si="10">J37-J41</f>
        <v>-63748.010000000024</v>
      </c>
      <c r="K42" s="1">
        <f t="shared" si="10"/>
        <v>-31761.12303759002</v>
      </c>
      <c r="L42" s="1">
        <f t="shared" si="10"/>
        <v>-14961.826683889991</v>
      </c>
      <c r="M42" s="1">
        <f t="shared" si="10"/>
        <v>-10581.050000000001</v>
      </c>
      <c r="N42" s="1">
        <f t="shared" si="10"/>
        <v>-8553.8469384799955</v>
      </c>
      <c r="O42" s="1">
        <f t="shared" si="10"/>
        <v>-6735.4799999999959</v>
      </c>
      <c r="P42" s="1">
        <f t="shared" si="10"/>
        <v>708.27742610999576</v>
      </c>
      <c r="Q42" s="1">
        <f t="shared" si="10"/>
        <v>-10258.776929389995</v>
      </c>
      <c r="R42" s="1">
        <f t="shared" si="10"/>
        <v>10606.773720640005</v>
      </c>
      <c r="S42" s="1">
        <f t="shared" si="10"/>
        <v>-1914.0100000000002</v>
      </c>
      <c r="T42" s="1">
        <f t="shared" si="10"/>
        <v>586.79033179999624</v>
      </c>
    </row>
    <row r="43" spans="1:20">
      <c r="C43" s="5" t="s">
        <v>885</v>
      </c>
      <c r="I43" s="133">
        <f>I42/I36</f>
        <v>-0.15428451086160894</v>
      </c>
      <c r="J43" s="133">
        <f t="shared" ref="J43:T43" si="11">J42/J36</f>
        <v>-0.16986910344285464</v>
      </c>
      <c r="K43" s="133">
        <f t="shared" si="11"/>
        <v>-0.37954024552903903</v>
      </c>
      <c r="L43" s="133">
        <f t="shared" si="11"/>
        <v>-0.13740597964687473</v>
      </c>
      <c r="M43" s="133">
        <f t="shared" si="11"/>
        <v>-0.12987509538673717</v>
      </c>
      <c r="N43" s="133">
        <f t="shared" si="11"/>
        <v>-0.32808815348202802</v>
      </c>
      <c r="O43" s="133">
        <f t="shared" si="11"/>
        <v>-0.12675673061324802</v>
      </c>
      <c r="P43" s="133">
        <f t="shared" si="11"/>
        <v>4.4531255098759596E-3</v>
      </c>
      <c r="Q43" s="133">
        <f t="shared" si="11"/>
        <v>-0.16770669265307775</v>
      </c>
      <c r="R43" s="133">
        <f t="shared" si="11"/>
        <v>0.20441496749308319</v>
      </c>
      <c r="S43" s="133">
        <f t="shared" si="11"/>
        <v>-3.0391646882030218E-2</v>
      </c>
      <c r="T43" s="133">
        <f t="shared" si="11"/>
        <v>6.7637248419646382E-3</v>
      </c>
    </row>
    <row r="44" spans="1:20"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</row>
    <row r="45" spans="1:20">
      <c r="C45" s="5" t="s">
        <v>1051</v>
      </c>
      <c r="I45" s="21">
        <f>전기말!I6</f>
        <v>262484.12</v>
      </c>
      <c r="J45" s="21">
        <f>전기말!J6</f>
        <v>2021562.97</v>
      </c>
      <c r="K45" s="21">
        <f>전기말!K6</f>
        <v>944412.84</v>
      </c>
      <c r="L45" s="21">
        <f>전기말!L6</f>
        <v>971481.52</v>
      </c>
      <c r="M45" s="21">
        <f>전기말!M6</f>
        <v>484192.31000000006</v>
      </c>
      <c r="N45" s="21">
        <f>전기말!N6</f>
        <v>282214.55</v>
      </c>
      <c r="O45" s="21">
        <f>전기말!O6</f>
        <v>272097.38</v>
      </c>
      <c r="P45" s="21">
        <f>전기말!P6</f>
        <v>440606.61</v>
      </c>
      <c r="Q45" s="21">
        <f>전기말!Q6</f>
        <v>291620.43543000001</v>
      </c>
      <c r="R45" s="21">
        <f>전기말!R6</f>
        <v>228915.78</v>
      </c>
      <c r="S45" s="21">
        <f>전기말!S6</f>
        <v>225770.58000000002</v>
      </c>
      <c r="T45" s="21">
        <f>전기말!T6</f>
        <v>253559.63</v>
      </c>
    </row>
    <row r="46" spans="1:20">
      <c r="A46" s="5">
        <f>DATA!M1</f>
        <v>13</v>
      </c>
      <c r="C46" s="5" t="s">
        <v>1087</v>
      </c>
      <c r="I46" s="1">
        <f>VLOOKUP($I$1&amp;I$8,DATA!$A:$EB,'2412'!$A46,0)/100</f>
        <v>262484.11835353001</v>
      </c>
      <c r="J46" s="1">
        <f>VLOOKUP($I$1&amp;J$8,DATA!$A:$EB,'2412'!$A46,0)/100</f>
        <v>2021562.97</v>
      </c>
      <c r="K46" s="1">
        <f>VLOOKUP($I$1&amp;K$8,DATA!$A:$EB,'2412'!$A46,0)/100</f>
        <v>944412.84045035997</v>
      </c>
      <c r="L46" s="1">
        <f>VLOOKUP($I$1&amp;L$8,DATA!$A:$EB,'2412'!$A46,0)/100</f>
        <v>971521.88029018999</v>
      </c>
      <c r="M46" s="1">
        <f>VLOOKUP($I$1&amp;M$8,DATA!$A:$EB,'2412'!$A46,0)/100</f>
        <v>484196.5</v>
      </c>
      <c r="N46" s="1">
        <f>VLOOKUP($I$1&amp;N$8,DATA!$A:$EB,'2412'!$A46,0)/100</f>
        <v>282214.55749060999</v>
      </c>
      <c r="O46" s="1">
        <f>VLOOKUP($I$1&amp;O$8,DATA!$A:$EB,'2412'!$A46,0)/100</f>
        <v>272097.38</v>
      </c>
      <c r="P46" s="1">
        <f>VLOOKUP($I$1&amp;P$8,DATA!$A:$EB,'2412'!$A46,0)/100</f>
        <v>516095.48606734996</v>
      </c>
      <c r="Q46" s="1">
        <f>VLOOKUP($I$1&amp;Q$8,DATA!$A:$EB,'2412'!$A46,0)/100</f>
        <v>348019.41698072001</v>
      </c>
      <c r="R46" s="1">
        <f>VLOOKUP($I$1&amp;R$8,DATA!$A:$EB,'2412'!$A46,0)/100</f>
        <v>243577.52492164998</v>
      </c>
      <c r="S46" s="1">
        <f>VLOOKUP($I$1&amp;S$8,DATA!$A:$EB,'2412'!$A46,0)/100</f>
        <v>264513.76</v>
      </c>
      <c r="T46" s="1">
        <f>VLOOKUP($I$1&amp;T$8,DATA!$A:$EB,'2412'!$A46,0)/100</f>
        <v>319373.00553865999</v>
      </c>
    </row>
    <row r="47" spans="1:20">
      <c r="I47" s="409">
        <f>I23/I46</f>
        <v>-7.2617692213772208E-3</v>
      </c>
      <c r="J47" s="409">
        <f t="shared" ref="J47:T47" si="12">J23/J46</f>
        <v>9.1474513900499474E-2</v>
      </c>
      <c r="K47" s="409">
        <f t="shared" si="12"/>
        <v>-2.3342855055123263E-2</v>
      </c>
      <c r="L47" s="409">
        <f t="shared" si="12"/>
        <v>-1.3888302748230183E-2</v>
      </c>
      <c r="M47" s="409">
        <f t="shared" si="12"/>
        <v>-3.0448960287817035E-2</v>
      </c>
      <c r="N47" s="409">
        <f t="shared" si="12"/>
        <v>-3.9095077511609601E-2</v>
      </c>
      <c r="O47" s="409">
        <f t="shared" si="12"/>
        <v>1.3345405971935488E-2</v>
      </c>
      <c r="P47" s="409">
        <f t="shared" si="12"/>
        <v>4.5891969269809069E-2</v>
      </c>
      <c r="Q47" s="409">
        <f t="shared" si="12"/>
        <v>-7.3398016394657414E-2</v>
      </c>
      <c r="R47" s="409">
        <f t="shared" si="12"/>
        <v>-7.0358624778754106E-3</v>
      </c>
      <c r="S47" s="409">
        <f t="shared" si="12"/>
        <v>-2.5859713309432372E-2</v>
      </c>
      <c r="T47" s="409">
        <f t="shared" si="12"/>
        <v>-5.0394217378468324E-2</v>
      </c>
    </row>
    <row r="48" spans="1:20">
      <c r="I48" s="8">
        <f>I72/I46</f>
        <v>0</v>
      </c>
      <c r="J48" s="8">
        <f t="shared" ref="J48:T48" si="13">J72/J46</f>
        <v>0</v>
      </c>
      <c r="K48" s="8">
        <f t="shared" si="13"/>
        <v>0</v>
      </c>
      <c r="L48" s="8">
        <f t="shared" si="13"/>
        <v>0</v>
      </c>
      <c r="M48" s="8">
        <f t="shared" si="13"/>
        <v>0</v>
      </c>
      <c r="N48" s="8">
        <f t="shared" si="13"/>
        <v>0</v>
      </c>
      <c r="O48" s="8">
        <f t="shared" si="13"/>
        <v>0</v>
      </c>
      <c r="P48" s="8">
        <f t="shared" si="13"/>
        <v>0</v>
      </c>
      <c r="Q48" s="8">
        <f t="shared" si="13"/>
        <v>0</v>
      </c>
      <c r="R48" s="8">
        <f t="shared" si="13"/>
        <v>0</v>
      </c>
      <c r="S48" s="8">
        <f t="shared" si="13"/>
        <v>0</v>
      </c>
      <c r="T48" s="8">
        <f t="shared" si="13"/>
        <v>0</v>
      </c>
    </row>
    <row r="49" spans="1:20">
      <c r="C49" s="5" t="s">
        <v>1088</v>
      </c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</row>
    <row r="50" spans="1:20"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</row>
    <row r="52" spans="1:20"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</row>
    <row r="54" spans="1:20"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</row>
    <row r="55" spans="1:20">
      <c r="A55" s="5">
        <f>DATA!BM1</f>
        <v>65</v>
      </c>
      <c r="C55" s="5" t="s">
        <v>911</v>
      </c>
      <c r="I55" s="1">
        <f>VLOOKUP($I$1&amp;I$8,DATA!$A:$EB,'2412'!$A55,0)/100</f>
        <v>18178.844423539998</v>
      </c>
      <c r="J55" s="1">
        <f>VLOOKUP($I$1&amp;J$8,DATA!$A:$EB,'2412'!$A55,0)/100</f>
        <v>131779.54</v>
      </c>
      <c r="K55" s="1">
        <f>VLOOKUP($I$1&amp;K$8,DATA!$A:$EB,'2412'!$A55,0)/100</f>
        <v>64271.258824960001</v>
      </c>
      <c r="L55" s="1">
        <f>VLOOKUP($I$1&amp;L$8,DATA!$A:$EB,'2412'!$A55,0)/100</f>
        <v>63069.582102250002</v>
      </c>
      <c r="M55" s="1">
        <f>VLOOKUP($I$1&amp;M$8,DATA!$A:$EB,'2412'!$A55,0)/100</f>
        <v>66299.22</v>
      </c>
      <c r="N55" s="1">
        <f>VLOOKUP($I$1&amp;N$8,DATA!$A:$EB,'2412'!$A55,0)/100</f>
        <v>13409.673326079999</v>
      </c>
      <c r="O55" s="1">
        <f>VLOOKUP($I$1&amp;O$8,DATA!$A:$EB,'2412'!$A55,0)/100</f>
        <v>29988.52</v>
      </c>
      <c r="P55" s="1">
        <f>VLOOKUP($I$1&amp;P$8,DATA!$A:$EB,'2412'!$A55,0)/100</f>
        <v>120794.84138017001</v>
      </c>
      <c r="Q55" s="1">
        <f>VLOOKUP($I$1&amp;Q$8,DATA!$A:$EB,'2412'!$A55,0)/100</f>
        <v>65264.727668439999</v>
      </c>
      <c r="R55" s="1">
        <f>VLOOKUP($I$1&amp;R$8,DATA!$A:$EB,'2412'!$A55,0)/100</f>
        <v>45477.089983639999</v>
      </c>
      <c r="S55" s="1">
        <f>VLOOKUP($I$1&amp;S$8,DATA!$A:$EB,'2412'!$A55,0)/100</f>
        <v>55519.86</v>
      </c>
      <c r="T55" s="1">
        <f>VLOOKUP($I$1&amp;T$8,DATA!$A:$EB,'2412'!$A55,0)/100</f>
        <v>86506.344016340008</v>
      </c>
    </row>
    <row r="56" spans="1:20">
      <c r="D56" s="5" t="s">
        <v>117</v>
      </c>
      <c r="I56" s="158">
        <f>+I22-I55</f>
        <v>1250.3963664500006</v>
      </c>
      <c r="J56" s="158">
        <f t="shared" ref="J56:T56" si="14">+J22-J55</f>
        <v>8226.3199999999779</v>
      </c>
      <c r="K56" s="158">
        <f t="shared" si="14"/>
        <v>6068.7623409599983</v>
      </c>
      <c r="L56" s="158">
        <f t="shared" si="14"/>
        <v>5795.1778977499926</v>
      </c>
      <c r="M56" s="158">
        <f t="shared" si="14"/>
        <v>2074.9799999999959</v>
      </c>
      <c r="N56" s="158">
        <f t="shared" si="14"/>
        <v>2205.3090508700006</v>
      </c>
      <c r="O56" s="158">
        <f t="shared" si="14"/>
        <v>1470.7799999999988</v>
      </c>
      <c r="P56" s="158">
        <f t="shared" si="14"/>
        <v>13656.865102199998</v>
      </c>
      <c r="Q56" s="158">
        <f t="shared" si="14"/>
        <v>8649.0415988900058</v>
      </c>
      <c r="R56" s="158">
        <f t="shared" si="14"/>
        <v>9186.243050820005</v>
      </c>
      <c r="S56" s="158">
        <f t="shared" si="14"/>
        <v>6067.760000000002</v>
      </c>
      <c r="T56" s="158">
        <f t="shared" si="14"/>
        <v>14539.987596009989</v>
      </c>
    </row>
    <row r="57" spans="1:20">
      <c r="I57" s="1" t="e">
        <f>I22-'2406'!I20</f>
        <v>#N/A</v>
      </c>
      <c r="J57" s="1" t="e">
        <f>J22-'2406'!J20</f>
        <v>#N/A</v>
      </c>
      <c r="K57" s="1" t="e">
        <f>K22-'2406'!K20</f>
        <v>#N/A</v>
      </c>
      <c r="L57" s="1" t="e">
        <f>L22-'2406'!L20</f>
        <v>#N/A</v>
      </c>
      <c r="M57" s="1" t="e">
        <f>M22-'2406'!M20</f>
        <v>#N/A</v>
      </c>
      <c r="N57" s="1" t="e">
        <f>N22-'2406'!N20</f>
        <v>#N/A</v>
      </c>
      <c r="O57" s="1" t="e">
        <f>O22-'2406'!O20</f>
        <v>#N/A</v>
      </c>
      <c r="P57" s="1" t="e">
        <f>P22-'2406'!P20</f>
        <v>#N/A</v>
      </c>
      <c r="Q57" s="1" t="e">
        <f>Q22-'2406'!Q20</f>
        <v>#N/A</v>
      </c>
      <c r="R57" s="1" t="e">
        <f>R22-'2406'!R20</f>
        <v>#N/A</v>
      </c>
      <c r="S57" s="1" t="e">
        <f>S22-'2406'!S20</f>
        <v>#N/A</v>
      </c>
      <c r="T57" s="1" t="e">
        <f>T22-'2406'!T20</f>
        <v>#N/A</v>
      </c>
    </row>
    <row r="58" spans="1:20"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</row>
    <row r="59" spans="1:20"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</row>
    <row r="60" spans="1:20" ht="16.5">
      <c r="C60" s="41" t="s">
        <v>1052</v>
      </c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</row>
    <row r="61" spans="1:20" ht="16.5"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2"/>
      <c r="P61" s="43"/>
      <c r="Q61" s="43"/>
      <c r="R61" s="42"/>
      <c r="S61" s="42"/>
      <c r="T61" s="44" t="s">
        <v>104</v>
      </c>
    </row>
    <row r="62" spans="1:20" ht="21.75" customHeight="1">
      <c r="C62" s="729" t="s">
        <v>105</v>
      </c>
      <c r="D62" s="729"/>
      <c r="E62" s="729"/>
      <c r="F62" s="729"/>
      <c r="G62" s="729"/>
      <c r="H62" s="730"/>
      <c r="I62" s="45" t="s">
        <v>124</v>
      </c>
      <c r="J62" s="45" t="s">
        <v>136</v>
      </c>
      <c r="K62" s="45" t="s">
        <v>137</v>
      </c>
      <c r="L62" s="45" t="s">
        <v>138</v>
      </c>
      <c r="M62" s="45" t="s">
        <v>4</v>
      </c>
      <c r="N62" s="45" t="s">
        <v>139</v>
      </c>
      <c r="O62" s="46" t="s">
        <v>6</v>
      </c>
      <c r="P62" s="46" t="s">
        <v>106</v>
      </c>
      <c r="Q62" s="46" t="s">
        <v>107</v>
      </c>
      <c r="R62" s="46" t="s">
        <v>108</v>
      </c>
      <c r="S62" s="46" t="s">
        <v>109</v>
      </c>
      <c r="T62" s="46" t="s">
        <v>110</v>
      </c>
    </row>
    <row r="63" spans="1:20" ht="21.75" customHeight="1">
      <c r="C63" s="740" t="s">
        <v>38</v>
      </c>
      <c r="D63" s="741"/>
      <c r="E63" s="741"/>
      <c r="F63" s="741"/>
      <c r="G63" s="741"/>
      <c r="H63" s="741"/>
      <c r="I63" s="349">
        <f>I22</f>
        <v>19429.240789989999</v>
      </c>
      <c r="J63" s="349">
        <f t="shared" ref="J63:T63" si="15">J22</f>
        <v>140005.85999999999</v>
      </c>
      <c r="K63" s="349">
        <f t="shared" si="15"/>
        <v>70340.021165919999</v>
      </c>
      <c r="L63" s="349">
        <f t="shared" si="15"/>
        <v>68864.759999999995</v>
      </c>
      <c r="M63" s="349">
        <f t="shared" si="15"/>
        <v>68374.2</v>
      </c>
      <c r="N63" s="349">
        <f t="shared" si="15"/>
        <v>15614.98237695</v>
      </c>
      <c r="O63" s="349">
        <f t="shared" si="15"/>
        <v>31459.3</v>
      </c>
      <c r="P63" s="349">
        <f t="shared" si="15"/>
        <v>134451.70648237001</v>
      </c>
      <c r="Q63" s="349">
        <f t="shared" si="15"/>
        <v>73913.769267330004</v>
      </c>
      <c r="R63" s="349">
        <f t="shared" si="15"/>
        <v>54663.333034460004</v>
      </c>
      <c r="S63" s="349">
        <f t="shared" si="15"/>
        <v>61587.62</v>
      </c>
      <c r="T63" s="348">
        <f t="shared" si="15"/>
        <v>101046.33161235</v>
      </c>
    </row>
    <row r="64" spans="1:20" ht="21.75" customHeight="1">
      <c r="A64" s="5">
        <f>DATA!CU1</f>
        <v>99</v>
      </c>
      <c r="C64" s="748" t="s">
        <v>1024</v>
      </c>
      <c r="D64" s="748"/>
      <c r="E64" s="748"/>
      <c r="F64" s="748"/>
      <c r="G64" s="748"/>
      <c r="H64" s="749"/>
      <c r="I64" s="354">
        <f>VLOOKUP($I$1&amp;I$8,DATA!$A:$EB,'2412'!$A64,0)/100</f>
        <v>9923.43</v>
      </c>
      <c r="J64" s="354">
        <f>VLOOKUP($I$1&amp;J$8,DATA!$A:$EB,'2412'!$A64,0)/100</f>
        <v>0</v>
      </c>
      <c r="K64" s="354">
        <f>VLOOKUP($I$1&amp;K$8,DATA!$A:$EB,'2412'!$A64,0)/100</f>
        <v>0</v>
      </c>
      <c r="L64" s="354">
        <f>VLOOKUP($I$1&amp;L$8,DATA!$A:$EB,'2412'!$A64,0)/100</f>
        <v>36312.056025990001</v>
      </c>
      <c r="M64" s="354">
        <f>VLOOKUP($I$1&amp;M$8,DATA!$A:$EB,'2412'!$A64,0)/100</f>
        <v>36381.160000000003</v>
      </c>
      <c r="N64" s="354">
        <f>VLOOKUP($I$1&amp;N$8,DATA!$A:$EB,'2412'!$A64,0)/100</f>
        <v>9188.35</v>
      </c>
      <c r="O64" s="355">
        <f>VLOOKUP($I$1&amp;O$8,DATA!$A:$EB,'2412'!$A64,0)/100</f>
        <v>9383.43</v>
      </c>
      <c r="P64" s="355">
        <f>VLOOKUP($I$1&amp;P$8,DATA!$A:$EB,'2412'!$A64,0)/100</f>
        <v>22130.992953019999</v>
      </c>
      <c r="Q64" s="355">
        <f>VLOOKUP($I$1&amp;Q$8,DATA!$A:$EB,'2412'!$A64,0)/100</f>
        <v>40183.370000000003</v>
      </c>
      <c r="R64" s="355">
        <f>VLOOKUP($I$1&amp;R$8,DATA!$A:$EB,'2412'!$A64,0)/100</f>
        <v>17930.893491030001</v>
      </c>
      <c r="S64" s="355">
        <f>VLOOKUP($I$1&amp;S$8,DATA!$A:$EB,'2412'!$A64,0)/100</f>
        <v>28380.12</v>
      </c>
      <c r="T64" s="355">
        <f>VLOOKUP($I$1&amp;T$8,DATA!$A:$EB,'2412'!$A64,0)/100</f>
        <v>32392.273570520003</v>
      </c>
    </row>
    <row r="65" spans="1:20" ht="21.75" customHeight="1">
      <c r="C65" s="750" t="s">
        <v>1063</v>
      </c>
      <c r="D65" s="750"/>
      <c r="E65" s="750"/>
      <c r="F65" s="750"/>
      <c r="G65" s="750"/>
      <c r="H65" s="751"/>
      <c r="I65" s="356">
        <f>I64/I63</f>
        <v>0.51074718293226262</v>
      </c>
      <c r="J65" s="356">
        <f t="shared" ref="J65:T65" si="16">J64/J63</f>
        <v>0</v>
      </c>
      <c r="K65" s="356">
        <f t="shared" si="16"/>
        <v>0</v>
      </c>
      <c r="L65" s="356">
        <f t="shared" si="16"/>
        <v>0.52729518008906162</v>
      </c>
      <c r="M65" s="356">
        <f t="shared" si="16"/>
        <v>0.53208900433204342</v>
      </c>
      <c r="N65" s="356">
        <f t="shared" si="16"/>
        <v>0.5884316599398377</v>
      </c>
      <c r="O65" s="74">
        <f t="shared" si="16"/>
        <v>0.29827205309717636</v>
      </c>
      <c r="P65" s="74">
        <f t="shared" si="16"/>
        <v>0.16460180039382338</v>
      </c>
      <c r="Q65" s="74">
        <f t="shared" si="16"/>
        <v>0.54365202043296568</v>
      </c>
      <c r="R65" s="74">
        <f t="shared" si="16"/>
        <v>0.32802415249224354</v>
      </c>
      <c r="S65" s="74">
        <f t="shared" si="16"/>
        <v>0.46080884437489217</v>
      </c>
      <c r="T65" s="74">
        <f t="shared" si="16"/>
        <v>0.3205685258796766</v>
      </c>
    </row>
    <row r="66" spans="1:20" ht="21.75" customHeight="1">
      <c r="C66" s="752" t="s">
        <v>1064</v>
      </c>
      <c r="D66" s="752"/>
      <c r="E66" s="752"/>
      <c r="F66" s="752"/>
      <c r="G66" s="752"/>
      <c r="H66" s="753"/>
      <c r="I66" s="77">
        <f>I64/I19</f>
        <v>0.38866060254594342</v>
      </c>
      <c r="J66" s="77">
        <f t="shared" ref="J66:T66" si="17">J64/J19</f>
        <v>0</v>
      </c>
      <c r="K66" s="77">
        <f t="shared" si="17"/>
        <v>0</v>
      </c>
      <c r="L66" s="77">
        <f t="shared" si="17"/>
        <v>0.39249742233174156</v>
      </c>
      <c r="M66" s="77">
        <f t="shared" si="17"/>
        <v>0.53795603924380997</v>
      </c>
      <c r="N66" s="77">
        <f t="shared" si="17"/>
        <v>0.55073133256813067</v>
      </c>
      <c r="O66" s="76">
        <f t="shared" si="17"/>
        <v>0.2091081210814916</v>
      </c>
      <c r="P66" s="76">
        <f t="shared" si="17"/>
        <v>0.14468637552096933</v>
      </c>
      <c r="Q66" s="76">
        <f t="shared" si="17"/>
        <v>0.81555011964149404</v>
      </c>
      <c r="R66" s="76">
        <f t="shared" si="17"/>
        <v>0.32862392844191241</v>
      </c>
      <c r="S66" s="76">
        <f t="shared" si="17"/>
        <v>0.48459670301468072</v>
      </c>
      <c r="T66" s="76">
        <f t="shared" si="17"/>
        <v>0.38488924315337258</v>
      </c>
    </row>
    <row r="67" spans="1:20" ht="21.75" customHeight="1">
      <c r="A67" s="5">
        <f>DATA!X1</f>
        <v>24</v>
      </c>
      <c r="C67" s="740" t="s">
        <v>37</v>
      </c>
      <c r="D67" s="741"/>
      <c r="E67" s="741"/>
      <c r="F67" s="741"/>
      <c r="G67" s="741"/>
      <c r="H67" s="741"/>
      <c r="I67" s="349">
        <f>VLOOKUP($I$1&amp;I$8,DATA!$A:$EB,'2412'!$A67,0)/100</f>
        <v>-1906.1</v>
      </c>
      <c r="J67" s="349">
        <f>VLOOKUP($I$1&amp;J$8,DATA!$A:$EB,'2412'!$A67,0)/100</f>
        <v>184921.49</v>
      </c>
      <c r="K67" s="349">
        <f>VLOOKUP($I$1&amp;K$8,DATA!$A:$EB,'2412'!$A67,0)/100</f>
        <v>-22045.292046830004</v>
      </c>
      <c r="L67" s="349">
        <f>VLOOKUP($I$1&amp;L$8,DATA!$A:$EB,'2412'!$A67,0)/100</f>
        <v>-13492.79</v>
      </c>
      <c r="M67" s="349">
        <f>VLOOKUP($I$1&amp;M$8,DATA!$A:$EB,'2412'!$A67,0)/100</f>
        <v>-14740.62</v>
      </c>
      <c r="N67" s="349">
        <f>VLOOKUP($I$1&amp;N$8,DATA!$A:$EB,'2412'!$A67,0)/100</f>
        <v>-11057.38</v>
      </c>
      <c r="O67" s="349">
        <f>VLOOKUP($I$1&amp;O$8,DATA!$A:$EB,'2412'!$A67,0)/100</f>
        <v>3631.25</v>
      </c>
      <c r="P67" s="349">
        <f>VLOOKUP($I$1&amp;P$8,DATA!$A:$EB,'2412'!$A67,0)/100</f>
        <v>23684.639999999999</v>
      </c>
      <c r="Q67" s="349">
        <f>VLOOKUP($I$1&amp;Q$8,DATA!$A:$EB,'2412'!$A67,0)/100</f>
        <v>-25543.934870000001</v>
      </c>
      <c r="R67" s="349">
        <f>VLOOKUP($I$1&amp;R$8,DATA!$A:$EB,'2412'!$A67,0)/100</f>
        <v>-1713.78</v>
      </c>
      <c r="S67" s="349">
        <f>VLOOKUP($I$1&amp;S$8,DATA!$A:$EB,'2412'!$A67,0)/100</f>
        <v>-6840.25</v>
      </c>
      <c r="T67" s="348">
        <f>VLOOKUP($I$1&amp;T$8,DATA!$A:$EB,'2412'!$A67,0)/100</f>
        <v>-16094.55</v>
      </c>
    </row>
    <row r="68" spans="1:20" ht="36.75" customHeight="1">
      <c r="C68" s="754" t="s">
        <v>1053</v>
      </c>
      <c r="D68" s="755"/>
      <c r="E68" s="755"/>
      <c r="F68" s="755"/>
      <c r="G68" s="755"/>
      <c r="H68" s="755"/>
      <c r="I68" s="48">
        <f>I79+I80</f>
        <v>-4481.43</v>
      </c>
      <c r="J68" s="48">
        <f t="shared" ref="J68:T68" si="18">J79+J80</f>
        <v>153992.09</v>
      </c>
      <c r="K68" s="48">
        <f t="shared" si="18"/>
        <v>-30956.14</v>
      </c>
      <c r="L68" s="48">
        <f t="shared" si="18"/>
        <v>-21386.85</v>
      </c>
      <c r="M68" s="48">
        <f t="shared" si="18"/>
        <v>-16757.359999999997</v>
      </c>
      <c r="N68" s="48">
        <f t="shared" si="18"/>
        <v>-9772.25</v>
      </c>
      <c r="O68" s="48">
        <f t="shared" si="18"/>
        <v>-630.9799999999999</v>
      </c>
      <c r="P68" s="48">
        <f t="shared" si="18"/>
        <v>25225.489999999998</v>
      </c>
      <c r="Q68" s="48">
        <f t="shared" si="18"/>
        <v>-26747.135040000001</v>
      </c>
      <c r="R68" s="48">
        <f t="shared" si="18"/>
        <v>-7337.0500000000011</v>
      </c>
      <c r="S68" s="48">
        <f t="shared" si="18"/>
        <v>-9252.4700000000012</v>
      </c>
      <c r="T68" s="49">
        <f t="shared" si="18"/>
        <v>-19942.25</v>
      </c>
    </row>
    <row r="69" spans="1:20" ht="21.75" customHeight="1">
      <c r="C69" s="350"/>
      <c r="D69" s="736" t="s">
        <v>1055</v>
      </c>
      <c r="E69" s="737"/>
      <c r="F69" s="737"/>
      <c r="G69" s="737"/>
      <c r="H69" s="738"/>
      <c r="I69" s="351">
        <f>+I68-I84</f>
        <v>0</v>
      </c>
      <c r="J69" s="351">
        <f t="shared" ref="J69:T69" si="19">+J68-J84</f>
        <v>0</v>
      </c>
      <c r="K69" s="351">
        <f t="shared" si="19"/>
        <v>0</v>
      </c>
      <c r="L69" s="351">
        <f t="shared" si="19"/>
        <v>0</v>
      </c>
      <c r="M69" s="351">
        <f t="shared" si="19"/>
        <v>0</v>
      </c>
      <c r="N69" s="351">
        <f t="shared" si="19"/>
        <v>0</v>
      </c>
      <c r="O69" s="351">
        <f t="shared" si="19"/>
        <v>0</v>
      </c>
      <c r="P69" s="351">
        <f t="shared" si="19"/>
        <v>0</v>
      </c>
      <c r="Q69" s="351">
        <f t="shared" si="19"/>
        <v>0</v>
      </c>
      <c r="R69" s="351">
        <f t="shared" si="19"/>
        <v>0</v>
      </c>
      <c r="S69" s="351">
        <f t="shared" si="19"/>
        <v>0</v>
      </c>
      <c r="T69" s="352">
        <f t="shared" si="19"/>
        <v>0</v>
      </c>
    </row>
    <row r="70" spans="1:20" ht="21.75" customHeight="1">
      <c r="C70" s="350"/>
      <c r="D70" s="418"/>
      <c r="E70" s="410" t="s">
        <v>1071</v>
      </c>
      <c r="F70" s="410"/>
      <c r="G70" s="410"/>
      <c r="H70" s="411"/>
      <c r="I70" s="363">
        <f>I69/I77</f>
        <v>0</v>
      </c>
      <c r="J70" s="363">
        <f t="shared" ref="J70:T70" si="20">J69/J77</f>
        <v>0</v>
      </c>
      <c r="K70" s="363">
        <f t="shared" si="20"/>
        <v>0</v>
      </c>
      <c r="L70" s="363">
        <f t="shared" si="20"/>
        <v>0</v>
      </c>
      <c r="M70" s="363">
        <f t="shared" si="20"/>
        <v>0</v>
      </c>
      <c r="N70" s="363">
        <f t="shared" si="20"/>
        <v>0</v>
      </c>
      <c r="O70" s="363">
        <f t="shared" si="20"/>
        <v>0</v>
      </c>
      <c r="P70" s="363">
        <f t="shared" si="20"/>
        <v>0</v>
      </c>
      <c r="Q70" s="363">
        <f t="shared" si="20"/>
        <v>0</v>
      </c>
      <c r="R70" s="363">
        <f t="shared" si="20"/>
        <v>0</v>
      </c>
      <c r="S70" s="363">
        <f t="shared" si="20"/>
        <v>0</v>
      </c>
      <c r="T70" s="363">
        <f t="shared" si="20"/>
        <v>0</v>
      </c>
    </row>
    <row r="71" spans="1:20" ht="21.75" customHeight="1">
      <c r="C71" s="744" t="s">
        <v>1054</v>
      </c>
      <c r="D71" s="755"/>
      <c r="E71" s="755"/>
      <c r="F71" s="755"/>
      <c r="G71" s="755"/>
      <c r="H71" s="755"/>
      <c r="I71" s="48">
        <f>+I81+I82</f>
        <v>2591.27</v>
      </c>
      <c r="J71" s="48">
        <f t="shared" ref="J71:T71" si="21">+J81+J82</f>
        <v>32607.399999999998</v>
      </c>
      <c r="K71" s="48">
        <f t="shared" si="21"/>
        <v>2344.6400000000003</v>
      </c>
      <c r="L71" s="48">
        <f t="shared" si="21"/>
        <v>5395.0499999999993</v>
      </c>
      <c r="M71" s="48">
        <f t="shared" si="21"/>
        <v>2303.92</v>
      </c>
      <c r="N71" s="48">
        <f t="shared" si="21"/>
        <v>-1229.27</v>
      </c>
      <c r="O71" s="48">
        <f t="shared" si="21"/>
        <v>4358.75</v>
      </c>
      <c r="P71" s="48">
        <f t="shared" si="21"/>
        <v>-245.46</v>
      </c>
      <c r="Q71" s="48">
        <f t="shared" si="21"/>
        <v>-1351.6329000000001</v>
      </c>
      <c r="R71" s="48">
        <f t="shared" si="21"/>
        <v>1151.02</v>
      </c>
      <c r="S71" s="48">
        <f t="shared" si="21"/>
        <v>2305.9399999999996</v>
      </c>
      <c r="T71" s="49">
        <f t="shared" si="21"/>
        <v>1728.9199999999998</v>
      </c>
    </row>
    <row r="72" spans="1:20" ht="21.75" customHeight="1">
      <c r="C72" s="347"/>
      <c r="D72" s="739" t="s">
        <v>1055</v>
      </c>
      <c r="E72" s="734"/>
      <c r="F72" s="734"/>
      <c r="G72" s="734"/>
      <c r="H72" s="735"/>
      <c r="I72" s="50">
        <f>I71-I85</f>
        <v>0</v>
      </c>
      <c r="J72" s="50">
        <f t="shared" ref="J72:T72" si="22">J71-J85</f>
        <v>0</v>
      </c>
      <c r="K72" s="50">
        <f t="shared" si="22"/>
        <v>0</v>
      </c>
      <c r="L72" s="50">
        <f t="shared" si="22"/>
        <v>0</v>
      </c>
      <c r="M72" s="50">
        <f t="shared" si="22"/>
        <v>0</v>
      </c>
      <c r="N72" s="50">
        <f t="shared" si="22"/>
        <v>0</v>
      </c>
      <c r="O72" s="50">
        <f t="shared" si="22"/>
        <v>0</v>
      </c>
      <c r="P72" s="50">
        <f t="shared" si="22"/>
        <v>0</v>
      </c>
      <c r="Q72" s="50">
        <f t="shared" si="22"/>
        <v>0</v>
      </c>
      <c r="R72" s="50">
        <f t="shared" si="22"/>
        <v>0</v>
      </c>
      <c r="S72" s="50">
        <f t="shared" si="22"/>
        <v>0</v>
      </c>
      <c r="T72" s="51">
        <f t="shared" si="22"/>
        <v>0</v>
      </c>
    </row>
    <row r="73" spans="1:20" ht="21.75" customHeight="1">
      <c r="C73" s="361"/>
      <c r="D73" s="362" t="s">
        <v>1074</v>
      </c>
      <c r="E73" s="412"/>
      <c r="F73" s="412"/>
      <c r="G73" s="412"/>
      <c r="H73" s="413"/>
      <c r="I73" s="363">
        <f>I72/I45</f>
        <v>0</v>
      </c>
      <c r="J73" s="363">
        <f t="shared" ref="J73:T73" si="23">J72/J45</f>
        <v>0</v>
      </c>
      <c r="K73" s="363">
        <f t="shared" si="23"/>
        <v>0</v>
      </c>
      <c r="L73" s="363">
        <f t="shared" si="23"/>
        <v>0</v>
      </c>
      <c r="M73" s="363">
        <f t="shared" si="23"/>
        <v>0</v>
      </c>
      <c r="N73" s="363">
        <f t="shared" si="23"/>
        <v>0</v>
      </c>
      <c r="O73" s="363">
        <f t="shared" si="23"/>
        <v>0</v>
      </c>
      <c r="P73" s="363">
        <f t="shared" si="23"/>
        <v>0</v>
      </c>
      <c r="Q73" s="363">
        <f t="shared" si="23"/>
        <v>0</v>
      </c>
      <c r="R73" s="363">
        <f t="shared" si="23"/>
        <v>0</v>
      </c>
      <c r="S73" s="363">
        <f t="shared" si="23"/>
        <v>0</v>
      </c>
      <c r="T73" s="363">
        <f t="shared" si="23"/>
        <v>0</v>
      </c>
    </row>
    <row r="74" spans="1:20" ht="21.75" customHeight="1">
      <c r="A74" s="5">
        <f>DATA!V1</f>
        <v>22</v>
      </c>
      <c r="C74" s="740" t="s">
        <v>1040</v>
      </c>
      <c r="D74" s="741"/>
      <c r="E74" s="741"/>
      <c r="F74" s="741"/>
      <c r="G74" s="741"/>
      <c r="H74" s="741"/>
      <c r="I74" s="349">
        <f>VLOOKUP($I$1&amp;I$8,DATA!$A:$EB,'2412'!$A74,0)/100</f>
        <v>192512.77</v>
      </c>
      <c r="J74" s="349">
        <f>VLOOKUP($I$1&amp;J$8,DATA!$A:$EB,'2412'!$A74,0)/100</f>
        <v>2432992.3199999998</v>
      </c>
      <c r="K74" s="349">
        <f>VLOOKUP($I$1&amp;K$8,DATA!$A:$EB,'2412'!$A74,0)/100</f>
        <v>1042482.31</v>
      </c>
      <c r="L74" s="349">
        <f>VLOOKUP($I$1&amp;L$8,DATA!$A:$EB,'2412'!$A74,0)/100</f>
        <v>1194496.47</v>
      </c>
      <c r="M74" s="349">
        <f>VLOOKUP($I$1&amp;M$8,DATA!$A:$EB,'2412'!$A74,0)/100</f>
        <v>524181</v>
      </c>
      <c r="N74" s="349">
        <f>VLOOKUP($I$1&amp;N$8,DATA!$A:$EB,'2412'!$A74,0)/100</f>
        <v>323141.93</v>
      </c>
      <c r="O74" s="349">
        <f>VLOOKUP($I$1&amp;O$8,DATA!$A:$EB,'2412'!$A74,0)/100</f>
        <v>273436</v>
      </c>
      <c r="P74" s="349">
        <f>VLOOKUP($I$1&amp;P$8,DATA!$A:$EB,'2412'!$A74,0)/100</f>
        <v>819409.78</v>
      </c>
      <c r="Q74" s="349">
        <f>VLOOKUP($I$1&amp;Q$8,DATA!$A:$EB,'2412'!$A74,0)/100</f>
        <v>457871.21</v>
      </c>
      <c r="R74" s="349">
        <f>VLOOKUP($I$1&amp;R$8,DATA!$A:$EB,'2412'!$A74,0)/100</f>
        <v>413443.87</v>
      </c>
      <c r="S74" s="349">
        <f>VLOOKUP($I$1&amp;S$8,DATA!$A:$EB,'2412'!$A74,0)/100</f>
        <v>380512</v>
      </c>
      <c r="T74" s="348">
        <f>VLOOKUP($I$1&amp;T$8,DATA!$A:$EB,'2412'!$A74,0)/100</f>
        <v>496403.1</v>
      </c>
    </row>
    <row r="75" spans="1:20" ht="21.75" customHeight="1">
      <c r="C75" s="740" t="s">
        <v>1065</v>
      </c>
      <c r="D75" s="741"/>
      <c r="E75" s="741"/>
      <c r="F75" s="741"/>
      <c r="G75" s="741"/>
      <c r="H75" s="741"/>
      <c r="I75" s="358">
        <f>I74/I19</f>
        <v>7.5399462873208769</v>
      </c>
      <c r="J75" s="358">
        <f t="shared" ref="J75:T75" si="24">J74/J19</f>
        <v>7.9800336500680897</v>
      </c>
      <c r="K75" s="358">
        <f t="shared" si="24"/>
        <v>20.438847780139984</v>
      </c>
      <c r="L75" s="358">
        <f t="shared" si="24"/>
        <v>12.911325790084678</v>
      </c>
      <c r="M75" s="358">
        <f t="shared" si="24"/>
        <v>7.7508890482562824</v>
      </c>
      <c r="N75" s="358">
        <f t="shared" si="24"/>
        <v>19.368481361456364</v>
      </c>
      <c r="O75" s="358">
        <f t="shared" si="24"/>
        <v>6.0934741556167342</v>
      </c>
      <c r="P75" s="358">
        <f t="shared" si="24"/>
        <v>5.3570769005399059</v>
      </c>
      <c r="Q75" s="358">
        <f t="shared" si="24"/>
        <v>9.2928223813954798</v>
      </c>
      <c r="R75" s="358">
        <f t="shared" si="24"/>
        <v>7.5772882604871645</v>
      </c>
      <c r="S75" s="358">
        <f t="shared" si="24"/>
        <v>6.4973249111533775</v>
      </c>
      <c r="T75" s="359">
        <f t="shared" si="24"/>
        <v>5.898326742704179</v>
      </c>
    </row>
    <row r="76" spans="1:20" ht="21.75" customHeight="1">
      <c r="C76" s="346"/>
      <c r="D76" s="412"/>
      <c r="E76" s="412"/>
      <c r="F76" s="412"/>
      <c r="G76" s="412"/>
      <c r="H76" s="412"/>
      <c r="I76" s="357"/>
      <c r="J76" s="357"/>
      <c r="K76" s="357"/>
      <c r="L76" s="357"/>
      <c r="M76" s="357"/>
      <c r="N76" s="357"/>
      <c r="O76" s="357"/>
      <c r="P76" s="357"/>
      <c r="Q76" s="357"/>
      <c r="R76" s="357"/>
      <c r="S76" s="357"/>
      <c r="T76" s="357"/>
    </row>
    <row r="77" spans="1:20" ht="21.75" customHeight="1">
      <c r="C77" s="346"/>
      <c r="D77" s="412" t="s">
        <v>1072</v>
      </c>
      <c r="E77" s="412"/>
      <c r="F77" s="412"/>
      <c r="G77" s="412"/>
      <c r="H77" s="412"/>
      <c r="I77" s="357">
        <f>전기말!I18</f>
        <v>30190.270635449997</v>
      </c>
      <c r="J77" s="357">
        <f>전기말!J18</f>
        <v>375277.25</v>
      </c>
      <c r="K77" s="357">
        <f>전기말!K18</f>
        <v>99757.553596950005</v>
      </c>
      <c r="L77" s="357">
        <f>전기말!L18</f>
        <v>113871.17872621</v>
      </c>
      <c r="M77" s="357">
        <f>전기말!M18</f>
        <v>84465.49</v>
      </c>
      <c r="N77" s="357">
        <f>전기말!N18</f>
        <v>29517.468177609997</v>
      </c>
      <c r="O77" s="357">
        <f>전기말!O18</f>
        <v>53635.06</v>
      </c>
      <c r="P77" s="357">
        <f>전기말!P18</f>
        <v>159051.75466966</v>
      </c>
      <c r="Q77" s="357">
        <f>전기말!Q18</f>
        <v>61170.945339739999</v>
      </c>
      <c r="R77" s="357">
        <f>전기말!R18</f>
        <v>54725.736529829999</v>
      </c>
      <c r="S77" s="357">
        <f>전기말!S18</f>
        <v>62978.16</v>
      </c>
      <c r="T77" s="357">
        <f>전기말!T18</f>
        <v>86755.500188200007</v>
      </c>
    </row>
    <row r="78" spans="1:20"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5">
        <f>DATA!Y1</f>
        <v>25</v>
      </c>
      <c r="C79" s="5" t="s">
        <v>1058</v>
      </c>
      <c r="I79" s="1">
        <f>VLOOKUP($I$1&amp;I$8,DATA!$A:$EB,'2412'!$A79,0)/100</f>
        <v>-6635.71</v>
      </c>
      <c r="J79" s="1">
        <f>VLOOKUP($I$1&amp;J$8,DATA!$A:$EB,'2412'!$A79,0)/100</f>
        <v>149959.54999999999</v>
      </c>
      <c r="K79" s="1">
        <f>VLOOKUP($I$1&amp;K$8,DATA!$A:$EB,'2412'!$A79,0)/100</f>
        <v>-33969.82</v>
      </c>
      <c r="L79" s="1">
        <f>VLOOKUP($I$1&amp;L$8,DATA!$A:$EB,'2412'!$A79,0)/100</f>
        <v>-18547.169999999998</v>
      </c>
      <c r="M79" s="1">
        <f>VLOOKUP($I$1&amp;M$8,DATA!$A:$EB,'2412'!$A79,0)/100</f>
        <v>-17664.169999999998</v>
      </c>
      <c r="N79" s="1">
        <f>VLOOKUP($I$1&amp;N$8,DATA!$A:$EB,'2412'!$A79,0)/100</f>
        <v>-10593.09</v>
      </c>
      <c r="O79" s="1">
        <f>VLOOKUP($I$1&amp;O$8,DATA!$A:$EB,'2412'!$A79,0)/100</f>
        <v>-604.16999999999996</v>
      </c>
      <c r="P79" s="1">
        <f>VLOOKUP($I$1&amp;P$8,DATA!$A:$EB,'2412'!$A79,0)/100</f>
        <v>23717.98</v>
      </c>
      <c r="Q79" s="1">
        <f>VLOOKUP($I$1&amp;Q$8,DATA!$A:$EB,'2412'!$A79,0)/100</f>
        <v>-27421.859260000001</v>
      </c>
      <c r="R79" s="1">
        <f>VLOOKUP($I$1&amp;R$8,DATA!$A:$EB,'2412'!$A79,0)/100</f>
        <v>-10395.120000000001</v>
      </c>
      <c r="S79" s="1">
        <f>VLOOKUP($I$1&amp;S$8,DATA!$A:$EB,'2412'!$A79,0)/100</f>
        <v>-10752.77</v>
      </c>
      <c r="T79" s="1">
        <f>VLOOKUP($I$1&amp;T$8,DATA!$A:$EB,'2412'!$A79,0)/100</f>
        <v>-21176.7</v>
      </c>
    </row>
    <row r="80" spans="1:20">
      <c r="A80" s="5">
        <f>DATA!AB1</f>
        <v>28</v>
      </c>
      <c r="C80" s="5" t="s">
        <v>1059</v>
      </c>
      <c r="I80" s="1">
        <f>VLOOKUP($I$1&amp;I$8,DATA!$A:$EB,'2412'!$A80,0)/100</f>
        <v>2154.2800000000002</v>
      </c>
      <c r="J80" s="1">
        <f>VLOOKUP($I$1&amp;J$8,DATA!$A:$EB,'2412'!$A80,0)/100</f>
        <v>4032.54</v>
      </c>
      <c r="K80" s="1">
        <f>VLOOKUP($I$1&amp;K$8,DATA!$A:$EB,'2412'!$A80,0)/100</f>
        <v>3013.68</v>
      </c>
      <c r="L80" s="1">
        <f>VLOOKUP($I$1&amp;L$8,DATA!$A:$EB,'2412'!$A80,0)/100</f>
        <v>-2839.68</v>
      </c>
      <c r="M80" s="1">
        <f>VLOOKUP($I$1&amp;M$8,DATA!$A:$EB,'2412'!$A80,0)/100</f>
        <v>906.81</v>
      </c>
      <c r="N80" s="1">
        <f>VLOOKUP($I$1&amp;N$8,DATA!$A:$EB,'2412'!$A80,0)/100</f>
        <v>820.84</v>
      </c>
      <c r="O80" s="1">
        <f>VLOOKUP($I$1&amp;O$8,DATA!$A:$EB,'2412'!$A80,0)/100</f>
        <v>-26.81</v>
      </c>
      <c r="P80" s="1">
        <f>VLOOKUP($I$1&amp;P$8,DATA!$A:$EB,'2412'!$A80,0)/100</f>
        <v>1507.51</v>
      </c>
      <c r="Q80" s="1">
        <f>VLOOKUP($I$1&amp;Q$8,DATA!$A:$EB,'2412'!$A80,0)/100</f>
        <v>674.72421999999995</v>
      </c>
      <c r="R80" s="1">
        <f>VLOOKUP($I$1&amp;R$8,DATA!$A:$EB,'2412'!$A80,0)/100</f>
        <v>3058.07</v>
      </c>
      <c r="S80" s="1">
        <f>VLOOKUP($I$1&amp;S$8,DATA!$A:$EB,'2412'!$A80,0)/100</f>
        <v>1500.3</v>
      </c>
      <c r="T80" s="1">
        <f>VLOOKUP($I$1&amp;T$8,DATA!$A:$EB,'2412'!$A80,0)/100</f>
        <v>1234.45</v>
      </c>
    </row>
    <row r="81" spans="1:21">
      <c r="A81" s="5">
        <f>+DATA!Z1</f>
        <v>26</v>
      </c>
      <c r="C81" s="5" t="s">
        <v>1056</v>
      </c>
      <c r="I81" s="1">
        <f>VLOOKUP($I$1&amp;I$8,DATA!$A:$EB,'2412'!$A81,0)/100</f>
        <v>2594.38</v>
      </c>
      <c r="J81" s="1">
        <f>VLOOKUP($I$1&amp;J$8,DATA!$A:$EB,'2412'!$A81,0)/100</f>
        <v>29495.78</v>
      </c>
      <c r="K81" s="1">
        <f>VLOOKUP($I$1&amp;K$8,DATA!$A:$EB,'2412'!$A81,0)/100</f>
        <v>2306.5500000000002</v>
      </c>
      <c r="L81" s="1">
        <f>VLOOKUP($I$1&amp;L$8,DATA!$A:$EB,'2412'!$A81,0)/100</f>
        <v>5365.11</v>
      </c>
      <c r="M81" s="1">
        <f>VLOOKUP($I$1&amp;M$8,DATA!$A:$EB,'2412'!$A81,0)/100</f>
        <v>2186.56</v>
      </c>
      <c r="N81" s="1">
        <f>VLOOKUP($I$1&amp;N$8,DATA!$A:$EB,'2412'!$A81,0)/100</f>
        <v>-1334.78</v>
      </c>
      <c r="O81" s="1">
        <f>VLOOKUP($I$1&amp;O$8,DATA!$A:$EB,'2412'!$A81,0)/100</f>
        <v>4339.55</v>
      </c>
      <c r="P81" s="1">
        <f>VLOOKUP($I$1&amp;P$8,DATA!$A:$EB,'2412'!$A81,0)/100</f>
        <v>-6.85</v>
      </c>
      <c r="Q81" s="1">
        <f>VLOOKUP($I$1&amp;Q$8,DATA!$A:$EB,'2412'!$A81,0)/100</f>
        <v>-1359.4342800000002</v>
      </c>
      <c r="R81" s="1">
        <f>VLOOKUP($I$1&amp;R$8,DATA!$A:$EB,'2412'!$A81,0)/100</f>
        <v>1256</v>
      </c>
      <c r="S81" s="1">
        <f>VLOOKUP($I$1&amp;S$8,DATA!$A:$EB,'2412'!$A81,0)/100</f>
        <v>2361.7199999999998</v>
      </c>
      <c r="T81" s="1">
        <f>VLOOKUP($I$1&amp;T$8,DATA!$A:$EB,'2412'!$A81,0)/100</f>
        <v>1708.31</v>
      </c>
    </row>
    <row r="82" spans="1:21">
      <c r="A82" s="5">
        <f>+DATA!AA1</f>
        <v>27</v>
      </c>
      <c r="C82" s="5" t="s">
        <v>1057</v>
      </c>
      <c r="I82" s="1">
        <f>VLOOKUP($I$1&amp;I$8,DATA!$A:$EB,'2412'!$A82,0)/100</f>
        <v>-3.11</v>
      </c>
      <c r="J82" s="1">
        <f>VLOOKUP($I$1&amp;J$8,DATA!$A:$EB,'2412'!$A82,0)/100</f>
        <v>3111.62</v>
      </c>
      <c r="K82" s="1">
        <f>VLOOKUP($I$1&amp;K$8,DATA!$A:$EB,'2412'!$A82,0)/100</f>
        <v>38.090000000000003</v>
      </c>
      <c r="L82" s="1">
        <f>VLOOKUP($I$1&amp;L$8,DATA!$A:$EB,'2412'!$A82,0)/100</f>
        <v>29.94</v>
      </c>
      <c r="M82" s="1">
        <f>VLOOKUP($I$1&amp;M$8,DATA!$A:$EB,'2412'!$A82,0)/100</f>
        <v>117.36</v>
      </c>
      <c r="N82" s="1">
        <f>VLOOKUP($I$1&amp;N$8,DATA!$A:$EB,'2412'!$A82,0)/100</f>
        <v>105.51</v>
      </c>
      <c r="O82" s="1">
        <f>VLOOKUP($I$1&amp;O$8,DATA!$A:$EB,'2412'!$A82,0)/100</f>
        <v>19.2</v>
      </c>
      <c r="P82" s="1">
        <f>VLOOKUP($I$1&amp;P$8,DATA!$A:$EB,'2412'!$A82,0)/100</f>
        <v>-238.61</v>
      </c>
      <c r="Q82" s="1">
        <f>VLOOKUP($I$1&amp;Q$8,DATA!$A:$EB,'2412'!$A82,0)/100</f>
        <v>7.80138</v>
      </c>
      <c r="R82" s="1">
        <f>VLOOKUP($I$1&amp;R$8,DATA!$A:$EB,'2412'!$A82,0)/100</f>
        <v>-104.98</v>
      </c>
      <c r="S82" s="1">
        <f>VLOOKUP($I$1&amp;S$8,DATA!$A:$EB,'2412'!$A82,0)/100</f>
        <v>-55.78</v>
      </c>
      <c r="T82" s="1">
        <f>VLOOKUP($I$1&amp;T$8,DATA!$A:$EB,'2412'!$A82,0)/100</f>
        <v>20.61</v>
      </c>
    </row>
    <row r="83" spans="1:21">
      <c r="I83" s="1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</row>
    <row r="84" spans="1:21" ht="31.5" customHeight="1">
      <c r="C84" s="742" t="s">
        <v>1060</v>
      </c>
      <c r="D84" s="743"/>
      <c r="E84" s="743"/>
      <c r="F84" s="743"/>
      <c r="G84" s="743"/>
      <c r="H84" s="744"/>
      <c r="I84" s="1">
        <f>전기말!I11+전기말!I12</f>
        <v>-4481.43</v>
      </c>
      <c r="J84" s="1">
        <f>전기말!J11+전기말!J12</f>
        <v>153992.09</v>
      </c>
      <c r="K84" s="1">
        <f>전기말!K11+전기말!K12</f>
        <v>-30956.14</v>
      </c>
      <c r="L84" s="1">
        <f>전기말!L11+전기말!L12</f>
        <v>-21386.85</v>
      </c>
      <c r="M84" s="1">
        <f>전기말!M11+전기말!M12</f>
        <v>-16757.359999999997</v>
      </c>
      <c r="N84" s="1">
        <f>전기말!N11+전기말!N12</f>
        <v>-9772.25</v>
      </c>
      <c r="O84" s="1">
        <f>전기말!O11+전기말!O12</f>
        <v>-630.9799999999999</v>
      </c>
      <c r="P84" s="1">
        <f>전기말!P11+전기말!P12</f>
        <v>25225.489999999998</v>
      </c>
      <c r="Q84" s="1">
        <f>전기말!Q11+전기말!Q12</f>
        <v>-26747.135040000001</v>
      </c>
      <c r="R84" s="1">
        <f>전기말!R11+전기말!R12</f>
        <v>-7337.0500000000011</v>
      </c>
      <c r="S84" s="1">
        <f>전기말!S11+전기말!S12</f>
        <v>-9252.4700000000012</v>
      </c>
      <c r="T84" s="1">
        <f>전기말!T11+전기말!T12</f>
        <v>-19942.25</v>
      </c>
    </row>
    <row r="85" spans="1:21">
      <c r="C85" s="734" t="s">
        <v>1061</v>
      </c>
      <c r="D85" s="734"/>
      <c r="E85" s="734"/>
      <c r="F85" s="734"/>
      <c r="G85" s="734"/>
      <c r="H85" s="735"/>
      <c r="I85" s="1">
        <f>+전기말!I13+전기말!I14</f>
        <v>2591.27</v>
      </c>
      <c r="J85" s="1">
        <f>+전기말!J13+전기말!J14</f>
        <v>32607.399999999998</v>
      </c>
      <c r="K85" s="1">
        <f>+전기말!K13+전기말!K14</f>
        <v>2344.6400000000003</v>
      </c>
      <c r="L85" s="1">
        <f>+전기말!L13+전기말!L14</f>
        <v>5395.0499999999993</v>
      </c>
      <c r="M85" s="1">
        <f>+전기말!M13+전기말!M14</f>
        <v>2303.92</v>
      </c>
      <c r="N85" s="1">
        <f>+전기말!N13+전기말!N14</f>
        <v>-1229.27</v>
      </c>
      <c r="O85" s="1">
        <f>+전기말!O13+전기말!O14</f>
        <v>4358.75</v>
      </c>
      <c r="P85" s="1">
        <f>+전기말!P13+전기말!P14</f>
        <v>-245.46</v>
      </c>
      <c r="Q85" s="1">
        <f>+전기말!Q13+전기말!Q14</f>
        <v>-1351.6329000000001</v>
      </c>
      <c r="R85" s="1">
        <f>+전기말!R13+전기말!R14</f>
        <v>1151.02</v>
      </c>
      <c r="S85" s="1">
        <f>+전기말!S13+전기말!S14</f>
        <v>2305.9399999999996</v>
      </c>
      <c r="T85" s="1">
        <f>+전기말!T13+전기말!T14</f>
        <v>1728.9199999999998</v>
      </c>
    </row>
    <row r="86" spans="1:21">
      <c r="I86" s="1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</row>
    <row r="87" spans="1:21"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</row>
    <row r="88" spans="1:21"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</row>
    <row r="89" spans="1:21" ht="16.5">
      <c r="C89" s="41" t="s">
        <v>142</v>
      </c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</row>
    <row r="90" spans="1:21" ht="16.5"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2"/>
      <c r="P90" s="43"/>
      <c r="Q90" s="43"/>
      <c r="R90" s="42"/>
      <c r="S90" s="42"/>
      <c r="T90" s="44" t="s">
        <v>104</v>
      </c>
      <c r="U90" s="42"/>
    </row>
    <row r="91" spans="1:21" ht="16.5">
      <c r="C91" s="729" t="s">
        <v>105</v>
      </c>
      <c r="D91" s="729"/>
      <c r="E91" s="729"/>
      <c r="F91" s="729"/>
      <c r="G91" s="729"/>
      <c r="H91" s="730"/>
      <c r="I91" s="45" t="s">
        <v>124</v>
      </c>
      <c r="J91" s="45" t="s">
        <v>136</v>
      </c>
      <c r="K91" s="45" t="s">
        <v>137</v>
      </c>
      <c r="L91" s="45" t="s">
        <v>138</v>
      </c>
      <c r="M91" s="45" t="s">
        <v>4</v>
      </c>
      <c r="N91" s="45" t="s">
        <v>139</v>
      </c>
      <c r="O91" s="46" t="s">
        <v>6</v>
      </c>
      <c r="P91" s="46" t="s">
        <v>106</v>
      </c>
      <c r="Q91" s="46" t="s">
        <v>107</v>
      </c>
      <c r="R91" s="46" t="s">
        <v>108</v>
      </c>
      <c r="S91" s="46" t="s">
        <v>109</v>
      </c>
      <c r="T91" s="46" t="s">
        <v>110</v>
      </c>
      <c r="U91" s="42"/>
    </row>
    <row r="92" spans="1:21" ht="16.5">
      <c r="A92" s="5">
        <f>DATA!$CN$1</f>
        <v>92</v>
      </c>
      <c r="C92" s="745" t="s">
        <v>65</v>
      </c>
      <c r="D92" s="745"/>
      <c r="E92" s="745"/>
      <c r="F92" s="745"/>
      <c r="G92" s="745"/>
      <c r="H92" s="740"/>
      <c r="I92" s="47">
        <f>VLOOKUP($I$1&amp;I$8,DATA!$A:$EB,'2412'!$A92,0)</f>
        <v>0</v>
      </c>
      <c r="J92" s="47">
        <f>VLOOKUP($I$1&amp;J$8,DATA!$A:$EB,'2412'!$A92,0)</f>
        <v>0</v>
      </c>
      <c r="K92" s="47">
        <f>VLOOKUP($I$1&amp;K$8,DATA!$A:$EB,'2412'!$A92,0)</f>
        <v>0</v>
      </c>
      <c r="L92" s="47">
        <f>VLOOKUP($I$1&amp;L$8,DATA!$A:$EB,'2412'!$A92,0)</f>
        <v>0</v>
      </c>
      <c r="M92" s="47">
        <f>VLOOKUP($I$1&amp;M$8,DATA!$A:$EB,'2412'!$A92,0)</f>
        <v>0</v>
      </c>
      <c r="N92" s="47">
        <f>VLOOKUP($I$1&amp;N$8,DATA!$A:$EB,'2412'!$A92,0)</f>
        <v>0</v>
      </c>
      <c r="O92" s="47">
        <f>VLOOKUP($I$1&amp;O$8,DATA!$A:$EB,'2412'!$A92,0)</f>
        <v>0</v>
      </c>
      <c r="P92" s="47">
        <f>VLOOKUP($I$1&amp;P$8,DATA!$A:$EB,'2412'!$A92,0)</f>
        <v>0</v>
      </c>
      <c r="Q92" s="47">
        <f>VLOOKUP($I$1&amp;Q$8,DATA!$A:$EB,'2412'!$A92,0)</f>
        <v>0</v>
      </c>
      <c r="R92" s="47">
        <f>VLOOKUP($I$1&amp;R$8,DATA!$A:$EB,'2412'!$A92,0)</f>
        <v>0</v>
      </c>
      <c r="S92" s="47">
        <f>VLOOKUP($I$1&amp;S$8,DATA!$A:$EB,'2412'!$A92,0)</f>
        <v>0</v>
      </c>
      <c r="T92" s="47">
        <f>VLOOKUP($I$1&amp;T$8,DATA!$A:$EB,'2412'!$A92,0)</f>
        <v>0</v>
      </c>
      <c r="U92" s="42"/>
    </row>
    <row r="93" spans="1:21" ht="16.5">
      <c r="A93" s="5">
        <f>DATA!$CO$1</f>
        <v>93</v>
      </c>
      <c r="C93" s="743" t="s">
        <v>66</v>
      </c>
      <c r="D93" s="743"/>
      <c r="E93" s="743"/>
      <c r="F93" s="743"/>
      <c r="G93" s="743"/>
      <c r="H93" s="744"/>
      <c r="I93" s="48">
        <f>VLOOKUP($I$1&amp;I$8,DATA!$A:$EB,'2412'!$A93,0)/100</f>
        <v>0</v>
      </c>
      <c r="J93" s="48">
        <f>VLOOKUP($I$1&amp;J$8,DATA!$A:$EB,'2412'!$A93,0)/100</f>
        <v>0</v>
      </c>
      <c r="K93" s="48">
        <f>VLOOKUP($I$1&amp;K$8,DATA!$A:$EB,'2412'!$A93,0)/100</f>
        <v>0</v>
      </c>
      <c r="L93" s="48">
        <f>VLOOKUP($I$1&amp;L$8,DATA!$A:$EB,'2412'!$A93,0)/100</f>
        <v>0</v>
      </c>
      <c r="M93" s="48">
        <f>VLOOKUP($I$1&amp;M$8,DATA!$A:$EB,'2412'!$A93,0)/100</f>
        <v>0</v>
      </c>
      <c r="N93" s="48">
        <f>VLOOKUP($I$1&amp;N$8,DATA!$A:$EB,'2412'!$A93,0)/100</f>
        <v>0</v>
      </c>
      <c r="O93" s="49">
        <f>VLOOKUP($I$1&amp;O$8,DATA!$A:$EB,'2412'!$A93,0)/100</f>
        <v>0</v>
      </c>
      <c r="P93" s="49">
        <f>VLOOKUP($I$1&amp;P$8,DATA!$A:$EB,'2412'!$A93,0)/100</f>
        <v>0</v>
      </c>
      <c r="Q93" s="49">
        <f>VLOOKUP($I$1&amp;Q$8,DATA!$A:$EB,'2412'!$A93,0)/100</f>
        <v>0</v>
      </c>
      <c r="R93" s="49">
        <f>VLOOKUP($I$1&amp;R$8,DATA!$A:$EB,'2412'!$A93,0)/100</f>
        <v>0</v>
      </c>
      <c r="S93" s="49">
        <f>VLOOKUP($I$1&amp;S$8,DATA!$A:$EB,'2412'!$A93,0)/100</f>
        <v>0</v>
      </c>
      <c r="T93" s="49">
        <f>VLOOKUP($I$1&amp;T$8,DATA!$A:$EB,'2412'!$A93,0)/100</f>
        <v>0</v>
      </c>
      <c r="U93" s="42"/>
    </row>
    <row r="94" spans="1:21" ht="16.5">
      <c r="A94" s="5">
        <f>DATA!$CP$1</f>
        <v>94</v>
      </c>
      <c r="C94" s="734" t="s">
        <v>67</v>
      </c>
      <c r="D94" s="734"/>
      <c r="E94" s="734"/>
      <c r="F94" s="734"/>
      <c r="G94" s="734"/>
      <c r="H94" s="735"/>
      <c r="I94" s="50">
        <f>VLOOKUP($I$1&amp;I$8,DATA!$A:$EB,'2412'!$A94,0)/100</f>
        <v>0</v>
      </c>
      <c r="J94" s="50">
        <f>VLOOKUP($I$1&amp;J$8,DATA!$A:$EB,'2412'!$A94,0)/100</f>
        <v>0</v>
      </c>
      <c r="K94" s="50">
        <f>VLOOKUP($I$1&amp;K$8,DATA!$A:$EB,'2412'!$A94,0)/100</f>
        <v>0</v>
      </c>
      <c r="L94" s="50">
        <f>VLOOKUP($I$1&amp;L$8,DATA!$A:$EB,'2412'!$A94,0)/100</f>
        <v>0</v>
      </c>
      <c r="M94" s="50">
        <f>VLOOKUP($I$1&amp;M$8,DATA!$A:$EB,'2412'!$A94,0)/100</f>
        <v>0</v>
      </c>
      <c r="N94" s="50">
        <f>VLOOKUP($I$1&amp;N$8,DATA!$A:$EB,'2412'!$A94,0)/100</f>
        <v>0</v>
      </c>
      <c r="O94" s="51">
        <f>VLOOKUP($I$1&amp;O$8,DATA!$A:$EB,'2412'!$A94,0)/100</f>
        <v>0</v>
      </c>
      <c r="P94" s="51">
        <f>VLOOKUP($I$1&amp;P$8,DATA!$A:$EB,'2412'!$A94,0)/100</f>
        <v>0</v>
      </c>
      <c r="Q94" s="51">
        <f>VLOOKUP($I$1&amp;Q$8,DATA!$A:$EB,'2412'!$A94,0)/100</f>
        <v>0</v>
      </c>
      <c r="R94" s="51">
        <f>VLOOKUP($I$1&amp;R$8,DATA!$A:$EB,'2412'!$A94,0)/100</f>
        <v>0</v>
      </c>
      <c r="S94" s="51">
        <f>VLOOKUP($I$1&amp;S$8,DATA!$A:$EB,'2412'!$A94,0)/100</f>
        <v>0</v>
      </c>
      <c r="T94" s="51">
        <f>VLOOKUP($I$1&amp;T$8,DATA!$A:$EB,'2412'!$A94,0)/100</f>
        <v>0</v>
      </c>
      <c r="U94" s="42"/>
    </row>
    <row r="95" spans="1:21" ht="16.5">
      <c r="C95" s="52" t="s">
        <v>143</v>
      </c>
      <c r="D95" s="412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42"/>
      <c r="U95" s="42"/>
    </row>
    <row r="96" spans="1:21" ht="16.5">
      <c r="C96" s="55"/>
      <c r="D96" s="412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42"/>
      <c r="U96" s="42"/>
    </row>
    <row r="97" spans="1:21" ht="16.5">
      <c r="C97" s="41" t="s">
        <v>888</v>
      </c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</row>
    <row r="98" spans="1:21" ht="16.5"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2"/>
      <c r="P98" s="43"/>
      <c r="Q98" s="43"/>
      <c r="R98" s="42"/>
      <c r="S98" s="42"/>
      <c r="T98" s="44" t="s">
        <v>104</v>
      </c>
      <c r="U98" s="42"/>
    </row>
    <row r="99" spans="1:21" ht="16.5">
      <c r="C99" s="729" t="s">
        <v>105</v>
      </c>
      <c r="D99" s="729"/>
      <c r="E99" s="729"/>
      <c r="F99" s="729"/>
      <c r="G99" s="729"/>
      <c r="H99" s="730"/>
      <c r="I99" s="45" t="s">
        <v>124</v>
      </c>
      <c r="J99" s="45" t="s">
        <v>136</v>
      </c>
      <c r="K99" s="45" t="s">
        <v>137</v>
      </c>
      <c r="L99" s="45" t="s">
        <v>138</v>
      </c>
      <c r="M99" s="45" t="s">
        <v>4</v>
      </c>
      <c r="N99" s="45" t="s">
        <v>139</v>
      </c>
      <c r="O99" s="46" t="s">
        <v>6</v>
      </c>
      <c r="P99" s="46" t="s">
        <v>106</v>
      </c>
      <c r="Q99" s="46" t="s">
        <v>107</v>
      </c>
      <c r="R99" s="46" t="s">
        <v>108</v>
      </c>
      <c r="S99" s="46" t="s">
        <v>109</v>
      </c>
      <c r="T99" s="46" t="s">
        <v>110</v>
      </c>
      <c r="U99" s="42"/>
    </row>
    <row r="100" spans="1:21" ht="16.5">
      <c r="A100" s="5">
        <f>DATA!$CQ$1</f>
        <v>95</v>
      </c>
      <c r="C100" s="745" t="s">
        <v>65</v>
      </c>
      <c r="D100" s="745"/>
      <c r="E100" s="745"/>
      <c r="F100" s="745"/>
      <c r="G100" s="745"/>
      <c r="H100" s="740"/>
      <c r="I100" s="47">
        <f>VLOOKUP($I$1&amp;I$8,DATA!$A:$EB,'2412'!$A100,0)</f>
        <v>1.9239999999999999</v>
      </c>
      <c r="J100" s="47">
        <f>VLOOKUP($I$1&amp;J$8,DATA!$A:$EB,'2412'!$A100,0)</f>
        <v>1.849</v>
      </c>
      <c r="K100" s="47">
        <f>VLOOKUP($I$1&amp;K$8,DATA!$A:$EB,'2412'!$A100,0)</f>
        <v>1.6415999999999999</v>
      </c>
      <c r="L100" s="47">
        <f>VLOOKUP($I$1&amp;L$8,DATA!$A:$EB,'2412'!$A100,0)</f>
        <v>1.637</v>
      </c>
      <c r="M100" s="47">
        <f>VLOOKUP($I$1&amp;M$8,DATA!$A:$EB,'2412'!$A100,0)</f>
        <v>2.0569999999999999</v>
      </c>
      <c r="N100" s="47">
        <f>VLOOKUP($I$1&amp;N$8,DATA!$A:$EB,'2412'!$A100,0)</f>
        <v>1.5549999999999999</v>
      </c>
      <c r="O100" s="47">
        <f>VLOOKUP($I$1&amp;O$8,DATA!$A:$EB,'2412'!$A100,0)</f>
        <v>2.6314000000000002</v>
      </c>
      <c r="P100" s="47">
        <f>VLOOKUP($I$1&amp;P$8,DATA!$A:$EB,'2412'!$A100,0)</f>
        <v>2.6446000000000001</v>
      </c>
      <c r="Q100" s="47">
        <f>VLOOKUP($I$1&amp;Q$8,DATA!$A:$EB,'2412'!$A100,0)</f>
        <v>1.57</v>
      </c>
      <c r="R100" s="47">
        <f>VLOOKUP($I$1&amp;R$8,DATA!$A:$EB,'2412'!$A100,0)</f>
        <v>2.4820000000000002</v>
      </c>
      <c r="S100" s="47">
        <f>VLOOKUP($I$1&amp;S$8,DATA!$A:$EB,'2412'!$A100,0)</f>
        <v>1.8642000000000001</v>
      </c>
      <c r="T100" s="47">
        <f>VLOOKUP($I$1&amp;T$8,DATA!$A:$EB,'2412'!$A100,0)</f>
        <v>2.0310000000000001</v>
      </c>
      <c r="U100" s="42"/>
    </row>
    <row r="101" spans="1:21" ht="16.5">
      <c r="A101" s="5">
        <f>DATA!$CR$1</f>
        <v>96</v>
      </c>
      <c r="C101" s="743" t="s">
        <v>66</v>
      </c>
      <c r="D101" s="743"/>
      <c r="E101" s="743"/>
      <c r="F101" s="743"/>
      <c r="G101" s="743"/>
      <c r="H101" s="744"/>
      <c r="I101" s="48">
        <f>VLOOKUP($I$1&amp;I$8,DATA!$A:$EB,'2412'!$A101,0)/100</f>
        <v>35796.379999999997</v>
      </c>
      <c r="J101" s="48">
        <f>VLOOKUP($I$1&amp;J$8,DATA!$A:$EB,'2412'!$A101,0)/100</f>
        <v>443360.81</v>
      </c>
      <c r="K101" s="48">
        <f>VLOOKUP($I$1&amp;K$8,DATA!$A:$EB,'2412'!$A101,0)/100</f>
        <v>139864.71</v>
      </c>
      <c r="L101" s="48">
        <f>VLOOKUP($I$1&amp;L$8,DATA!$A:$EB,'2412'!$A101,0)/100</f>
        <v>213316.99</v>
      </c>
      <c r="M101" s="48">
        <f>VLOOKUP($I$1&amp;M$8,DATA!$A:$EB,'2412'!$A101,0)/100</f>
        <v>96238</v>
      </c>
      <c r="N101" s="48">
        <f>VLOOKUP($I$1&amp;N$8,DATA!$A:$EB,'2412'!$A101,0)/100</f>
        <v>38753.040000000001</v>
      </c>
      <c r="O101" s="49">
        <f>VLOOKUP($I$1&amp;O$8,DATA!$A:$EB,'2412'!$A101,0)/100</f>
        <v>58989.53</v>
      </c>
      <c r="P101" s="49">
        <f>VLOOKUP($I$1&amp;P$8,DATA!$A:$EB,'2412'!$A101,0)/100</f>
        <v>241639</v>
      </c>
      <c r="Q101" s="49">
        <f>VLOOKUP($I$1&amp;Q$8,DATA!$A:$EB,'2412'!$A101,0)/100</f>
        <v>124030.25</v>
      </c>
      <c r="R101" s="49">
        <f>VLOOKUP($I$1&amp;R$8,DATA!$A:$EB,'2412'!$A101,0)/100</f>
        <v>135165.1</v>
      </c>
      <c r="S101" s="49">
        <f>VLOOKUP($I$1&amp;S$8,DATA!$A:$EB,'2412'!$A101,0)/100</f>
        <v>113185.49</v>
      </c>
      <c r="T101" s="49">
        <f>VLOOKUP($I$1&amp;T$8,DATA!$A:$EB,'2412'!$A101,0)/100</f>
        <v>190975.09</v>
      </c>
      <c r="U101" s="42"/>
    </row>
    <row r="102" spans="1:21" ht="16.5">
      <c r="A102" s="5">
        <f>DATA!$CS$1</f>
        <v>97</v>
      </c>
      <c r="C102" s="734" t="s">
        <v>67</v>
      </c>
      <c r="D102" s="734"/>
      <c r="E102" s="734"/>
      <c r="F102" s="734"/>
      <c r="G102" s="734"/>
      <c r="H102" s="735"/>
      <c r="I102" s="50">
        <f>VLOOKUP($I$1&amp;I$8,DATA!$A:$EB,'2412'!$A102,0)/100</f>
        <v>18605.72</v>
      </c>
      <c r="J102" s="50">
        <f>VLOOKUP($I$1&amp;J$8,DATA!$A:$EB,'2412'!$A102,0)/100</f>
        <v>239806.12</v>
      </c>
      <c r="K102" s="50">
        <f>VLOOKUP($I$1&amp;K$8,DATA!$A:$EB,'2412'!$A102,0)/100</f>
        <v>85202.12</v>
      </c>
      <c r="L102" s="50">
        <f>VLOOKUP($I$1&amp;L$8,DATA!$A:$EB,'2412'!$A102,0)/100</f>
        <v>130275.55</v>
      </c>
      <c r="M102" s="50">
        <f>VLOOKUP($I$1&amp;M$8,DATA!$A:$EB,'2412'!$A102,0)/100</f>
        <v>46776</v>
      </c>
      <c r="N102" s="50">
        <f>VLOOKUP($I$1&amp;N$8,DATA!$A:$EB,'2412'!$A102,0)/100</f>
        <v>24918.240000000002</v>
      </c>
      <c r="O102" s="51">
        <f>VLOOKUP($I$1&amp;O$8,DATA!$A:$EB,'2412'!$A102,0)/100</f>
        <v>22417.4</v>
      </c>
      <c r="P102" s="51">
        <f>VLOOKUP($I$1&amp;P$8,DATA!$A:$EB,'2412'!$A102,0)/100</f>
        <v>91371</v>
      </c>
      <c r="Q102" s="51">
        <f>VLOOKUP($I$1&amp;Q$8,DATA!$A:$EB,'2412'!$A102,0)/100</f>
        <v>79000.3</v>
      </c>
      <c r="R102" s="51">
        <f>VLOOKUP($I$1&amp;R$8,DATA!$A:$EB,'2412'!$A102,0)/100</f>
        <v>54449.26</v>
      </c>
      <c r="S102" s="51">
        <f>VLOOKUP($I$1&amp;S$8,DATA!$A:$EB,'2412'!$A102,0)/100</f>
        <v>60716.06</v>
      </c>
      <c r="T102" s="51">
        <f>VLOOKUP($I$1&amp;T$8,DATA!$A:$EB,'2412'!$A102,0)/100</f>
        <v>94081.63</v>
      </c>
      <c r="U102" s="42"/>
    </row>
    <row r="103" spans="1:21" ht="16.5">
      <c r="C103" s="52" t="s">
        <v>143</v>
      </c>
      <c r="D103" s="412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42"/>
      <c r="U103" s="42"/>
    </row>
    <row r="104" spans="1:21" ht="16.5">
      <c r="C104" s="55" t="s">
        <v>122</v>
      </c>
      <c r="D104" s="412"/>
      <c r="E104" s="54"/>
      <c r="F104" s="54"/>
      <c r="G104" s="54"/>
      <c r="H104" s="54"/>
      <c r="I104" s="54">
        <f>전기말!I16</f>
        <v>1.9239999999999999</v>
      </c>
      <c r="J104" s="54">
        <f>전기말!J16</f>
        <v>1.849</v>
      </c>
      <c r="K104" s="54">
        <f>전기말!K16</f>
        <v>1.6415999999999999</v>
      </c>
      <c r="L104" s="54">
        <f>전기말!L16</f>
        <v>1.637</v>
      </c>
      <c r="M104" s="54">
        <f>전기말!M16</f>
        <v>2.0569999999999999</v>
      </c>
      <c r="N104" s="54">
        <f>전기말!N16</f>
        <v>1.5549999999999999</v>
      </c>
      <c r="O104" s="54">
        <f>전기말!O16</f>
        <v>2.6314000000000002</v>
      </c>
      <c r="P104" s="54">
        <f>전기말!P16</f>
        <v>2.6446000000000001</v>
      </c>
      <c r="Q104" s="54">
        <f>전기말!Q16</f>
        <v>1.57</v>
      </c>
      <c r="R104" s="54">
        <f>전기말!R16</f>
        <v>2.4820000000000002</v>
      </c>
      <c r="S104" s="54">
        <f>전기말!S16</f>
        <v>1.8642000000000001</v>
      </c>
      <c r="T104" s="54">
        <f>전기말!T16</f>
        <v>2.0310000000000001</v>
      </c>
      <c r="U104" s="42"/>
    </row>
    <row r="105" spans="1:21" ht="16.5">
      <c r="C105" s="55"/>
      <c r="D105" s="412"/>
      <c r="E105" s="54"/>
      <c r="F105" s="54"/>
      <c r="G105" s="54"/>
      <c r="H105" s="54"/>
      <c r="I105" s="360">
        <f>+I100-I104</f>
        <v>0</v>
      </c>
      <c r="J105" s="360">
        <f t="shared" ref="J105:T105" si="25">+J100-J104</f>
        <v>0</v>
      </c>
      <c r="K105" s="360">
        <f t="shared" si="25"/>
        <v>0</v>
      </c>
      <c r="L105" s="360">
        <f t="shared" si="25"/>
        <v>0</v>
      </c>
      <c r="M105" s="360">
        <f t="shared" si="25"/>
        <v>0</v>
      </c>
      <c r="N105" s="360">
        <f t="shared" si="25"/>
        <v>0</v>
      </c>
      <c r="O105" s="360">
        <f t="shared" si="25"/>
        <v>0</v>
      </c>
      <c r="P105" s="360">
        <f t="shared" si="25"/>
        <v>0</v>
      </c>
      <c r="Q105" s="360">
        <f t="shared" si="25"/>
        <v>0</v>
      </c>
      <c r="R105" s="360">
        <f t="shared" si="25"/>
        <v>0</v>
      </c>
      <c r="S105" s="360">
        <f t="shared" si="25"/>
        <v>0</v>
      </c>
      <c r="T105" s="360">
        <f t="shared" si="25"/>
        <v>0</v>
      </c>
      <c r="U105" s="42"/>
    </row>
    <row r="106" spans="1:21" ht="16.5">
      <c r="C106" s="41" t="s">
        <v>123</v>
      </c>
      <c r="D106" s="42"/>
      <c r="E106" s="42"/>
      <c r="F106" s="42"/>
      <c r="G106" s="42"/>
      <c r="H106" s="42"/>
      <c r="I106" s="42"/>
      <c r="J106" s="54"/>
      <c r="K106" s="54"/>
      <c r="L106" s="54"/>
      <c r="M106" s="54"/>
      <c r="N106" s="54"/>
      <c r="O106" s="54"/>
      <c r="P106" s="54"/>
      <c r="Q106" s="54"/>
      <c r="R106" s="42"/>
      <c r="S106" s="42"/>
      <c r="T106" s="42"/>
      <c r="U106" s="42"/>
    </row>
    <row r="107" spans="1:21" ht="16.5"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2"/>
      <c r="P107" s="43"/>
      <c r="Q107" s="43"/>
      <c r="R107" s="42"/>
      <c r="S107" s="42"/>
      <c r="T107" s="44" t="s">
        <v>104</v>
      </c>
      <c r="U107" s="42"/>
    </row>
    <row r="108" spans="1:21" ht="16.5">
      <c r="C108" s="729" t="s">
        <v>105</v>
      </c>
      <c r="D108" s="729"/>
      <c r="E108" s="729"/>
      <c r="F108" s="729"/>
      <c r="G108" s="729"/>
      <c r="H108" s="730"/>
      <c r="I108" s="45" t="s">
        <v>124</v>
      </c>
      <c r="J108" s="45" t="s">
        <v>136</v>
      </c>
      <c r="K108" s="45" t="s">
        <v>137</v>
      </c>
      <c r="L108" s="45" t="s">
        <v>138</v>
      </c>
      <c r="M108" s="45" t="s">
        <v>4</v>
      </c>
      <c r="N108" s="45" t="s">
        <v>139</v>
      </c>
      <c r="O108" s="46" t="s">
        <v>6</v>
      </c>
      <c r="P108" s="46" t="s">
        <v>106</v>
      </c>
      <c r="Q108" s="46" t="s">
        <v>107</v>
      </c>
      <c r="R108" s="46" t="s">
        <v>108</v>
      </c>
      <c r="S108" s="46" t="s">
        <v>109</v>
      </c>
      <c r="T108" s="46" t="s">
        <v>110</v>
      </c>
      <c r="U108" s="42"/>
    </row>
    <row r="109" spans="1:21" ht="16.5">
      <c r="A109" s="5">
        <f>DATA!AV1</f>
        <v>48</v>
      </c>
      <c r="C109" s="748" t="s">
        <v>32</v>
      </c>
      <c r="D109" s="748"/>
      <c r="E109" s="748"/>
      <c r="F109" s="748"/>
      <c r="G109" s="748"/>
      <c r="H109" s="749"/>
      <c r="I109" s="56">
        <f>VLOOKUP($I$1&amp;I$8,DATA!$A:$EB,'2412'!$A109,0)/100</f>
        <v>1192.75544347</v>
      </c>
      <c r="J109" s="56">
        <f>VLOOKUP($I$1&amp;J$8,DATA!$A:$EB,'2412'!$A109,0)/100</f>
        <v>5419.9</v>
      </c>
      <c r="K109" s="56">
        <f>VLOOKUP($I$1&amp;K$8,DATA!$A:$EB,'2412'!$A109,0)/100</f>
        <v>4736.2386440399996</v>
      </c>
      <c r="L109" s="56">
        <f>VLOOKUP($I$1&amp;L$8,DATA!$A:$EB,'2412'!$A109,0)/100</f>
        <v>5063.0484630700003</v>
      </c>
      <c r="M109" s="56">
        <f>VLOOKUP($I$1&amp;M$8,DATA!$A:$EB,'2412'!$A109,0)/100</f>
        <v>6583.81</v>
      </c>
      <c r="N109" s="56">
        <f>VLOOKUP($I$1&amp;N$8,DATA!$A:$EB,'2412'!$A109,0)/100</f>
        <v>2744.0816082599999</v>
      </c>
      <c r="O109" s="57">
        <f>VLOOKUP($I$1&amp;O$8,DATA!$A:$EB,'2412'!$A109,0)/100</f>
        <v>3138.1</v>
      </c>
      <c r="P109" s="57">
        <f>VLOOKUP($I$1&amp;P$8,DATA!$A:$EB,'2412'!$A109,0)/100</f>
        <v>17803.703943349999</v>
      </c>
      <c r="Q109" s="57">
        <f>VLOOKUP($I$1&amp;Q$8,DATA!$A:$EB,'2412'!$A109,0)/100</f>
        <v>10431.02677049</v>
      </c>
      <c r="R109" s="57">
        <f>VLOOKUP($I$1&amp;R$8,DATA!$A:$EB,'2412'!$A109,0)/100</f>
        <v>15336.44053333</v>
      </c>
      <c r="S109" s="57">
        <f>VLOOKUP($I$1&amp;S$8,DATA!$A:$EB,'2412'!$A109,0)/100</f>
        <v>9779.99</v>
      </c>
      <c r="T109" s="57">
        <f>VLOOKUP($I$1&amp;T$8,DATA!$A:$EB,'2412'!$A109,0)/100</f>
        <v>16190.942899490001</v>
      </c>
      <c r="U109" s="42"/>
    </row>
    <row r="110" spans="1:21" ht="16.5">
      <c r="A110" s="5">
        <f>DATA!DC1</f>
        <v>107</v>
      </c>
      <c r="C110" s="415"/>
      <c r="D110" s="770" t="s">
        <v>98</v>
      </c>
      <c r="E110" s="771"/>
      <c r="F110" s="771"/>
      <c r="G110" s="771"/>
      <c r="H110" s="772"/>
      <c r="I110" s="23">
        <f>VLOOKUP($I$1&amp;I$8,DATA!$A:$EB,'2412'!$A110,0)</f>
        <v>0.90600000000000003</v>
      </c>
      <c r="J110" s="23">
        <f>VLOOKUP($I$1&amp;J$8,DATA!$A:$EB,'2412'!$A110,0)</f>
        <v>0.78900000000000003</v>
      </c>
      <c r="K110" s="23">
        <f>VLOOKUP($I$1&amp;K$8,DATA!$A:$EB,'2412'!$A110,0)</f>
        <v>0</v>
      </c>
      <c r="L110" s="23">
        <f>VLOOKUP($I$1&amp;L$8,DATA!$A:$EB,'2412'!$A110,0)</f>
        <v>0.79967257653732315</v>
      </c>
      <c r="M110" s="23">
        <f>VLOOKUP($I$1&amp;M$8,DATA!$A:$EB,'2412'!$A110,0)</f>
        <v>0</v>
      </c>
      <c r="N110" s="23">
        <f>VLOOKUP($I$1&amp;N$8,DATA!$A:$EB,'2412'!$A110,0)</f>
        <v>0.8338039745111081</v>
      </c>
      <c r="O110" s="23">
        <f>VLOOKUP($I$1&amp;O$8,DATA!$A:$EB,'2412'!$A110,0)</f>
        <v>0</v>
      </c>
      <c r="P110" s="23">
        <f>VLOOKUP($I$1&amp;P$8,DATA!$A:$EB,'2412'!$A110,0)</f>
        <v>0.87710003433081696</v>
      </c>
      <c r="Q110" s="23">
        <f>VLOOKUP($I$1&amp;Q$8,DATA!$A:$EB,'2412'!$A110,0)</f>
        <v>0</v>
      </c>
      <c r="R110" s="23">
        <f>VLOOKUP($I$1&amp;R$8,DATA!$A:$EB,'2412'!$A110,0)</f>
        <v>0.89300000000000002</v>
      </c>
      <c r="S110" s="23">
        <f>VLOOKUP($I$1&amp;S$8,DATA!$A:$EB,'2412'!$A110,0)</f>
        <v>0.80600000000000005</v>
      </c>
      <c r="T110" s="23">
        <f>VLOOKUP($I$1&amp;T$8,DATA!$A:$EB,'2412'!$A110,0)</f>
        <v>0</v>
      </c>
      <c r="U110" s="42"/>
    </row>
    <row r="111" spans="1:21" ht="16.5">
      <c r="A111" s="5">
        <f>DATA!CZ1</f>
        <v>104</v>
      </c>
      <c r="C111" s="415"/>
      <c r="D111" s="731" t="s">
        <v>1068</v>
      </c>
      <c r="E111" s="732"/>
      <c r="F111" s="732"/>
      <c r="G111" s="732"/>
      <c r="H111" s="733"/>
      <c r="I111" s="23">
        <f>VLOOKUP($I$1&amp;I$8,DATA!$A:$EB,'2412'!$A111,0)</f>
        <v>1.0618556701030928</v>
      </c>
      <c r="J111" s="23">
        <f>VLOOKUP($I$1&amp;J$8,DATA!$A:$EB,'2412'!$A111,0)</f>
        <v>1.0903083700440528</v>
      </c>
      <c r="K111" s="23">
        <f>VLOOKUP($I$1&amp;K$8,DATA!$A:$EB,'2412'!$A111,0)</f>
        <v>0.99345549738219896</v>
      </c>
      <c r="L111" s="23">
        <f>VLOOKUP($I$1&amp;L$8,DATA!$A:$EB,'2412'!$A111,0)</f>
        <v>1.0777777777777777</v>
      </c>
      <c r="M111" s="23">
        <f>VLOOKUP($I$1&amp;M$8,DATA!$A:$EB,'2412'!$A111,0)</f>
        <v>1.0338309526366662</v>
      </c>
      <c r="N111" s="23">
        <f>VLOOKUP($I$1&amp;N$8,DATA!$A:$EB,'2412'!$A111,0)</f>
        <v>1.0164126611957796</v>
      </c>
      <c r="O111" s="23">
        <f>VLOOKUP($I$1&amp;O$8,DATA!$A:$EB,'2412'!$A111,0)</f>
        <v>1.018939393939394</v>
      </c>
      <c r="P111" s="23">
        <f>VLOOKUP($I$1&amp;P$8,DATA!$A:$EB,'2412'!$A111,0)</f>
        <v>0.9703014184397164</v>
      </c>
      <c r="Q111" s="23">
        <f>VLOOKUP($I$1&amp;Q$8,DATA!$A:$EB,'2412'!$A111,0)</f>
        <v>1.0367722165474973</v>
      </c>
      <c r="R111" s="23">
        <f>VLOOKUP($I$1&amp;R$8,DATA!$A:$EB,'2412'!$A111,0)</f>
        <v>0.90642275605588507</v>
      </c>
      <c r="S111" s="23">
        <f>VLOOKUP($I$1&amp;S$8,DATA!$A:$EB,'2412'!$A111,0)</f>
        <v>0.93340380549682878</v>
      </c>
      <c r="T111" s="23">
        <f>VLOOKUP($I$1&amp;T$8,DATA!$A:$EB,'2412'!$A111,0)</f>
        <v>0.95454545454545459</v>
      </c>
      <c r="U111" s="42"/>
    </row>
    <row r="112" spans="1:21" ht="16.5">
      <c r="C112" s="415"/>
      <c r="D112" s="773" t="s">
        <v>125</v>
      </c>
      <c r="E112" s="771"/>
      <c r="F112" s="770" t="s">
        <v>126</v>
      </c>
      <c r="G112" s="771"/>
      <c r="H112" s="772"/>
      <c r="I112" s="23">
        <f>I123/I125</f>
        <v>2.838891022957246E-3</v>
      </c>
      <c r="J112" s="23">
        <f t="shared" ref="J112:T112" si="26">J123/J125</f>
        <v>-7.0076043360918591E-2</v>
      </c>
      <c r="K112" s="23" t="e">
        <f t="shared" si="26"/>
        <v>#DIV/0!</v>
      </c>
      <c r="L112" s="23">
        <f t="shared" si="26"/>
        <v>-2.6454272297619229E-2</v>
      </c>
      <c r="M112" s="23" t="e">
        <f t="shared" si="26"/>
        <v>#DIV/0!</v>
      </c>
      <c r="N112" s="23">
        <f t="shared" si="26"/>
        <v>0.11067893442720333</v>
      </c>
      <c r="O112" s="23" t="e">
        <f t="shared" si="26"/>
        <v>#DIV/0!</v>
      </c>
      <c r="P112" s="23">
        <f t="shared" si="26"/>
        <v>-6.7365394960987687E-2</v>
      </c>
      <c r="Q112" s="23">
        <f t="shared" si="26"/>
        <v>-3.7458066754719722E-2</v>
      </c>
      <c r="R112" s="23">
        <f t="shared" si="26"/>
        <v>1.36827602082899E-2</v>
      </c>
      <c r="S112" s="23" t="e">
        <f t="shared" si="26"/>
        <v>#DIV/0!</v>
      </c>
      <c r="T112" s="23" t="e">
        <f t="shared" si="26"/>
        <v>#DIV/0!</v>
      </c>
      <c r="U112" s="42"/>
    </row>
    <row r="113" spans="1:21" ht="16.5">
      <c r="C113" s="414"/>
      <c r="D113" s="774"/>
      <c r="E113" s="775"/>
      <c r="F113" s="776" t="s">
        <v>127</v>
      </c>
      <c r="G113" s="777"/>
      <c r="H113" s="778"/>
      <c r="I113" s="24">
        <f>I123/I126</f>
        <v>2.2269013258064373E-3</v>
      </c>
      <c r="J113" s="24">
        <f t="shared" ref="J113:T113" si="27">J123/J126</f>
        <v>-9.7520569300225457E-2</v>
      </c>
      <c r="K113" s="24">
        <f t="shared" si="27"/>
        <v>0</v>
      </c>
      <c r="L113" s="24">
        <f t="shared" si="27"/>
        <v>-2.0019400952908613E-2</v>
      </c>
      <c r="M113" s="24">
        <f t="shared" si="27"/>
        <v>0</v>
      </c>
      <c r="N113" s="24">
        <f t="shared" si="27"/>
        <v>8.371611199021485E-2</v>
      </c>
      <c r="O113" s="24">
        <f t="shared" si="27"/>
        <v>0</v>
      </c>
      <c r="P113" s="24">
        <f t="shared" si="27"/>
        <v>-4.0772259458859338E-2</v>
      </c>
      <c r="Q113" s="24">
        <f t="shared" si="27"/>
        <v>-2.5308005111882022E-2</v>
      </c>
      <c r="R113" s="24">
        <f t="shared" si="27"/>
        <v>5.6420130572229516E-3</v>
      </c>
      <c r="S113" s="24">
        <f t="shared" si="27"/>
        <v>0</v>
      </c>
      <c r="T113" s="24">
        <f t="shared" si="27"/>
        <v>-1.0697036546210119E-2</v>
      </c>
      <c r="U113" s="42"/>
    </row>
    <row r="114" spans="1:21" ht="16.5">
      <c r="A114" s="5">
        <f>DATA!AW1</f>
        <v>49</v>
      </c>
      <c r="C114" s="746" t="s">
        <v>33</v>
      </c>
      <c r="D114" s="746"/>
      <c r="E114" s="746"/>
      <c r="F114" s="746"/>
      <c r="G114" s="746"/>
      <c r="H114" s="747"/>
      <c r="I114" s="60">
        <f>VLOOKUP($I$1&amp;I$8,DATA!$A:$EB,'2412'!$A114,0)/100</f>
        <v>-43.366400290000001</v>
      </c>
      <c r="J114" s="60">
        <f>VLOOKUP($I$1&amp;J$8,DATA!$A:$EB,'2412'!$A114,0)/100</f>
        <v>10009.36</v>
      </c>
      <c r="K114" s="60">
        <f>VLOOKUP($I$1&amp;K$8,DATA!$A:$EB,'2412'!$A114,0)/100</f>
        <v>6713.9962772999997</v>
      </c>
      <c r="L114" s="60">
        <f>VLOOKUP($I$1&amp;L$8,DATA!$A:$EB,'2412'!$A114,0)/100</f>
        <v>761.54032934999998</v>
      </c>
      <c r="M114" s="60">
        <f>VLOOKUP($I$1&amp;M$8,DATA!$A:$EB,'2412'!$A114,0)/100</f>
        <v>801.88</v>
      </c>
      <c r="N114" s="60">
        <f>VLOOKUP($I$1&amp;N$8,DATA!$A:$EB,'2412'!$A114,0)/100</f>
        <v>1046.4486014200002</v>
      </c>
      <c r="O114" s="61">
        <f>VLOOKUP($I$1&amp;O$8,DATA!$A:$EB,'2412'!$A114,0)/100</f>
        <v>876.1</v>
      </c>
      <c r="P114" s="61">
        <f>VLOOKUP($I$1&amp;P$8,DATA!$A:$EB,'2412'!$A114,0)/100</f>
        <v>9191.7346410400005</v>
      </c>
      <c r="Q114" s="61">
        <f>VLOOKUP($I$1&amp;Q$8,DATA!$A:$EB,'2412'!$A114,0)/100</f>
        <v>3587.6863807699997</v>
      </c>
      <c r="R114" s="61">
        <f>VLOOKUP($I$1&amp;R$8,DATA!$A:$EB,'2412'!$A114,0)/100</f>
        <v>7615.8094249299993</v>
      </c>
      <c r="S114" s="61">
        <f>VLOOKUP($I$1&amp;S$8,DATA!$A:$EB,'2412'!$A114,0)/100</f>
        <v>1775.71</v>
      </c>
      <c r="T114" s="61">
        <f>VLOOKUP($I$1&amp;T$8,DATA!$A:$EB,'2412'!$A114,0)/100</f>
        <v>7435.6822472000003</v>
      </c>
      <c r="U114" s="42"/>
    </row>
    <row r="115" spans="1:21" ht="16.5">
      <c r="C115" s="746" t="s">
        <v>128</v>
      </c>
      <c r="D115" s="746"/>
      <c r="E115" s="746"/>
      <c r="F115" s="746"/>
      <c r="G115" s="746"/>
      <c r="H115" s="747"/>
      <c r="I115" s="62">
        <f>I109+I114</f>
        <v>1149.38904318</v>
      </c>
      <c r="J115" s="62">
        <f t="shared" ref="J115:T115" si="28">J109+J114</f>
        <v>15429.26</v>
      </c>
      <c r="K115" s="62">
        <f t="shared" si="28"/>
        <v>11450.234921339999</v>
      </c>
      <c r="L115" s="62">
        <f t="shared" si="28"/>
        <v>5824.5887924200006</v>
      </c>
      <c r="M115" s="62">
        <f t="shared" si="28"/>
        <v>7385.6900000000005</v>
      </c>
      <c r="N115" s="62">
        <f t="shared" si="28"/>
        <v>3790.5302096800001</v>
      </c>
      <c r="O115" s="63">
        <f t="shared" si="28"/>
        <v>4014.2</v>
      </c>
      <c r="P115" s="63">
        <f t="shared" si="28"/>
        <v>26995.438584390002</v>
      </c>
      <c r="Q115" s="63">
        <f t="shared" si="28"/>
        <v>14018.713151259999</v>
      </c>
      <c r="R115" s="63">
        <f t="shared" si="28"/>
        <v>22952.249958259999</v>
      </c>
      <c r="S115" s="63">
        <f t="shared" si="28"/>
        <v>11555.7</v>
      </c>
      <c r="T115" s="63">
        <f t="shared" si="28"/>
        <v>23626.625146689999</v>
      </c>
      <c r="U115" s="42"/>
    </row>
    <row r="116" spans="1:21" ht="16.5">
      <c r="A116" s="5">
        <f>DATA!AX1</f>
        <v>50</v>
      </c>
      <c r="C116" s="782" t="s">
        <v>34</v>
      </c>
      <c r="D116" s="782"/>
      <c r="E116" s="782"/>
      <c r="F116" s="782"/>
      <c r="G116" s="782"/>
      <c r="H116" s="783"/>
      <c r="I116" s="60">
        <f>VLOOKUP($I$1&amp;I$8,DATA!$A:$EB,'2412'!$A116,0)/100</f>
        <v>8.8398245200000005</v>
      </c>
      <c r="J116" s="60">
        <f>VLOOKUP($I$1&amp;J$8,DATA!$A:$EB,'2412'!$A116,0)/100</f>
        <v>2783.64</v>
      </c>
      <c r="K116" s="60">
        <f>VLOOKUP($I$1&amp;K$8,DATA!$A:$EB,'2412'!$A116,0)/100</f>
        <v>-2642.3360937800003</v>
      </c>
      <c r="L116" s="60">
        <f>VLOOKUP($I$1&amp;L$8,DATA!$A:$EB,'2412'!$A116,0)/100</f>
        <v>3224.6249606400002</v>
      </c>
      <c r="M116" s="60">
        <f>VLOOKUP($I$1&amp;M$8,DATA!$A:$EB,'2412'!$A116,0)/100</f>
        <v>-29.61</v>
      </c>
      <c r="N116" s="60">
        <f>VLOOKUP($I$1&amp;N$8,DATA!$A:$EB,'2412'!$A116,0)/100</f>
        <v>29.199416669999991</v>
      </c>
      <c r="O116" s="61">
        <f>VLOOKUP($I$1&amp;O$8,DATA!$A:$EB,'2412'!$A116,0)/100</f>
        <v>-35.15</v>
      </c>
      <c r="P116" s="61">
        <f>VLOOKUP($I$1&amp;P$8,DATA!$A:$EB,'2412'!$A116,0)/100</f>
        <v>45.405165560000022</v>
      </c>
      <c r="Q116" s="61">
        <f>VLOOKUP($I$1&amp;Q$8,DATA!$A:$EB,'2412'!$A116,0)/100</f>
        <v>-354.35700262</v>
      </c>
      <c r="R116" s="61">
        <f>VLOOKUP($I$1&amp;R$8,DATA!$A:$EB,'2412'!$A116,0)/100</f>
        <v>31.82418989</v>
      </c>
      <c r="S116" s="61">
        <f>VLOOKUP($I$1&amp;S$8,DATA!$A:$EB,'2412'!$A116,0)/100</f>
        <v>-176.15</v>
      </c>
      <c r="T116" s="61">
        <f>VLOOKUP($I$1&amp;T$8,DATA!$A:$EB,'2412'!$A116,0)/100</f>
        <v>31.51389897</v>
      </c>
      <c r="U116" s="42"/>
    </row>
    <row r="117" spans="1:21" ht="16.5">
      <c r="A117" s="5">
        <f>DATA!AY1</f>
        <v>51</v>
      </c>
      <c r="C117" s="745" t="s">
        <v>129</v>
      </c>
      <c r="D117" s="745"/>
      <c r="E117" s="745"/>
      <c r="F117" s="745"/>
      <c r="G117" s="745"/>
      <c r="H117" s="740"/>
      <c r="I117" s="25">
        <f>VLOOKUP($I$1&amp;I$8,DATA!$A:$EB,'2412'!$A117,0)/100</f>
        <v>1158.2288676999999</v>
      </c>
      <c r="J117" s="25">
        <f>VLOOKUP($I$1&amp;J$8,DATA!$A:$EB,'2412'!$A117,0)/100</f>
        <v>18212.900000000001</v>
      </c>
      <c r="K117" s="25">
        <f>VLOOKUP($I$1&amp;K$8,DATA!$A:$EB,'2412'!$A117,0)/100</f>
        <v>8807.8988275599986</v>
      </c>
      <c r="L117" s="25">
        <f>VLOOKUP($I$1&amp;L$8,DATA!$A:$EB,'2412'!$A117,0)/100</f>
        <v>9049.2137530599994</v>
      </c>
      <c r="M117" s="25">
        <f>VLOOKUP($I$1&amp;M$8,DATA!$A:$EB,'2412'!$A117,0)/100</f>
        <v>7356.08</v>
      </c>
      <c r="N117" s="25">
        <f>VLOOKUP($I$1&amp;N$8,DATA!$A:$EB,'2412'!$A117,0)/100</f>
        <v>3819.7296263500002</v>
      </c>
      <c r="O117" s="25">
        <f>VLOOKUP($I$1&amp;O$8,DATA!$A:$EB,'2412'!$A117,0)/100</f>
        <v>3979.05</v>
      </c>
      <c r="P117" s="25">
        <f>VLOOKUP($I$1&amp;P$8,DATA!$A:$EB,'2412'!$A117,0)/100</f>
        <v>27040.843749950003</v>
      </c>
      <c r="Q117" s="25">
        <f>VLOOKUP($I$1&amp;Q$8,DATA!$A:$EB,'2412'!$A117,0)/100</f>
        <v>13664.356148639999</v>
      </c>
      <c r="R117" s="25">
        <f>VLOOKUP($I$1&amp;R$8,DATA!$A:$EB,'2412'!$A117,0)/100</f>
        <v>22984.074148149997</v>
      </c>
      <c r="S117" s="25">
        <f>VLOOKUP($I$1&amp;S$8,DATA!$A:$EB,'2412'!$A117,0)/100</f>
        <v>11379.55</v>
      </c>
      <c r="T117" s="25">
        <f>VLOOKUP($I$1&amp;T$8,DATA!$A:$EB,'2412'!$A117,0)/100</f>
        <v>23658.139045660002</v>
      </c>
      <c r="U117" s="42"/>
    </row>
    <row r="118" spans="1:21" ht="16.5">
      <c r="A118" s="5">
        <f>DATA!AR1</f>
        <v>44</v>
      </c>
      <c r="C118" s="752" t="s">
        <v>130</v>
      </c>
      <c r="D118" s="752"/>
      <c r="E118" s="752"/>
      <c r="F118" s="752"/>
      <c r="G118" s="752"/>
      <c r="H118" s="753"/>
      <c r="I118" s="26">
        <f>VLOOKUP($I$1&amp;I$8,DATA!$A:$EB,'2412'!$A118,0)/100</f>
        <v>1250.3895284</v>
      </c>
      <c r="J118" s="26">
        <f>VLOOKUP($I$1&amp;J$8,DATA!$A:$EB,'2412'!$A118,0)/100</f>
        <v>14869.36</v>
      </c>
      <c r="K118" s="26">
        <f>VLOOKUP($I$1&amp;K$8,DATA!$A:$EB,'2412'!$A118,0)/100</f>
        <v>6987.3608933999994</v>
      </c>
      <c r="L118" s="26">
        <f>VLOOKUP($I$1&amp;L$8,DATA!$A:$EB,'2412'!$A118,0)/100</f>
        <v>7205.6972916900004</v>
      </c>
      <c r="M118" s="26">
        <f>VLOOKUP($I$1&amp;M$8,DATA!$A:$EB,'2412'!$A118,0)/100</f>
        <v>5336.81</v>
      </c>
      <c r="N118" s="26">
        <f>VLOOKUP($I$1&amp;N$8,DATA!$A:$EB,'2412'!$A118,0)/100</f>
        <v>3101.58029898</v>
      </c>
      <c r="O118" s="26">
        <f>VLOOKUP($I$1&amp;O$8,DATA!$A:$EB,'2412'!$A118,0)/100</f>
        <v>2998.78</v>
      </c>
      <c r="P118" s="26">
        <f>VLOOKUP($I$1&amp;P$8,DATA!$A:$EB,'2412'!$A118,0)/100</f>
        <v>20477.81248104</v>
      </c>
      <c r="Q118" s="26">
        <f>VLOOKUP($I$1&amp;Q$8,DATA!$A:$EB,'2412'!$A118,0)/100</f>
        <v>10306.84310373</v>
      </c>
      <c r="R118" s="26">
        <f>VLOOKUP($I$1&amp;R$8,DATA!$A:$EB,'2412'!$A118,0)/100</f>
        <v>17105.498833829999</v>
      </c>
      <c r="S118" s="26">
        <f>VLOOKUP($I$1&amp;S$8,DATA!$A:$EB,'2412'!$A118,0)/100</f>
        <v>8567.49</v>
      </c>
      <c r="T118" s="26">
        <f>VLOOKUP($I$1&amp;T$8,DATA!$A:$EB,'2412'!$A118,0)/100</f>
        <v>17722.292018210002</v>
      </c>
      <c r="U118" s="42"/>
    </row>
    <row r="119" spans="1:21" ht="16.5">
      <c r="A119" s="22"/>
      <c r="C119" s="64" t="s">
        <v>144</v>
      </c>
      <c r="D119" s="412"/>
      <c r="E119" s="54"/>
      <c r="F119" s="54"/>
      <c r="G119" s="54"/>
      <c r="H119" s="54"/>
      <c r="I119" s="54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</row>
    <row r="120" spans="1:21" ht="16.5">
      <c r="C120" s="52"/>
      <c r="D120" s="412"/>
      <c r="E120" s="54"/>
      <c r="F120" s="54"/>
      <c r="G120" s="54"/>
      <c r="H120" s="54"/>
      <c r="I120" s="54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</row>
    <row r="121" spans="1:21" ht="16.5">
      <c r="C121" s="55"/>
      <c r="D121" s="412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42"/>
    </row>
    <row r="122" spans="1:21" ht="16.5">
      <c r="C122" s="55" t="s">
        <v>161</v>
      </c>
      <c r="D122" s="412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42"/>
    </row>
    <row r="123" spans="1:21" ht="16.5">
      <c r="A123" s="5">
        <f>DATA!DK1</f>
        <v>115</v>
      </c>
      <c r="C123" s="55"/>
      <c r="D123" s="412"/>
      <c r="E123" s="5" t="s">
        <v>71</v>
      </c>
      <c r="I123" s="1">
        <f>VLOOKUP($I$1&amp;I$8,DATA!$A:$EB,'2412'!$A123,0)/100</f>
        <v>4.4023835000000044</v>
      </c>
      <c r="J123" s="1">
        <f>VLOOKUP($I$1&amp;J$8,DATA!$A:$EB,'2412'!$A123,0)/100</f>
        <v>-1335.5841800000007</v>
      </c>
      <c r="K123" s="95">
        <f>VLOOKUP($I$1&amp;K$8,DATA!$A:$EB,'2412'!$A123,0)/100</f>
        <v>0</v>
      </c>
      <c r="L123" s="95">
        <f>VLOOKUP($I$1&amp;L$8,DATA!$A:$EB,'2412'!$A123,0)/100</f>
        <v>-170.54888020999999</v>
      </c>
      <c r="M123" s="95">
        <f>VLOOKUP($I$1&amp;M$8,DATA!$A:$EB,'2412'!$A123,0)/100</f>
        <v>0</v>
      </c>
      <c r="N123" s="95">
        <f>VLOOKUP($I$1&amp;N$8,DATA!$A:$EB,'2412'!$A123,0)/100</f>
        <v>217.65100807999988</v>
      </c>
      <c r="O123" s="95">
        <f>VLOOKUP($I$1&amp;O$8,DATA!$A:$EB,'2412'!$A123,0)/100</f>
        <v>0</v>
      </c>
      <c r="P123" s="95">
        <f>VLOOKUP($I$1&amp;P$8,DATA!$A:$EB,'2412'!$A123,0)/100</f>
        <v>-657.37032380999995</v>
      </c>
      <c r="Q123" s="95">
        <f>VLOOKUP($I$1&amp;Q$8,DATA!$A:$EB,'2412'!$A123,0)/100</f>
        <v>-240.70488203999986</v>
      </c>
      <c r="R123" s="95">
        <f>VLOOKUP($I$1&amp;R$8,DATA!$A:$EB,'2412'!$A123,0)/100</f>
        <v>64.892628740000077</v>
      </c>
      <c r="S123" s="95">
        <f>VLOOKUP($I$1&amp;S$8,DATA!$A:$EB,'2412'!$A123,0)/100</f>
        <v>0</v>
      </c>
      <c r="T123" s="95">
        <f>VLOOKUP($I$1&amp;T$8,DATA!$A:$EB,'2412'!$A123,0)/100</f>
        <v>-138.79490494999999</v>
      </c>
      <c r="U123" s="42"/>
    </row>
    <row r="124" spans="1:21" ht="16.5">
      <c r="A124" s="5">
        <f>DATA!DI1</f>
        <v>113</v>
      </c>
      <c r="C124" s="55"/>
      <c r="D124" s="412"/>
      <c r="E124" s="5" t="s">
        <v>72</v>
      </c>
      <c r="I124" s="1">
        <f>VLOOKUP($I$1&amp;I$8,DATA!$A:$EB,'2412'!$A124,0)/100</f>
        <v>4490.6122033900001</v>
      </c>
      <c r="J124" s="1">
        <f>VLOOKUP($I$1&amp;J$8,DATA!$A:$EB,'2412'!$A124,0)/100</f>
        <v>45860.407890000002</v>
      </c>
      <c r="K124" s="95">
        <f>VLOOKUP($I$1&amp;K$8,DATA!$A:$EB,'2412'!$A124,0)/100</f>
        <v>0</v>
      </c>
      <c r="L124" s="95">
        <f>VLOOKUP($I$1&amp;L$8,DATA!$A:$EB,'2412'!$A124,0)/100</f>
        <v>24096.56109997</v>
      </c>
      <c r="M124" s="95">
        <f>VLOOKUP($I$1&amp;M$8,DATA!$A:$EB,'2412'!$A124,0)/100</f>
        <v>0</v>
      </c>
      <c r="N124" s="95">
        <f>VLOOKUP($I$1&amp;N$8,DATA!$A:$EB,'2412'!$A124,0)/100</f>
        <v>5634.2005269900001</v>
      </c>
      <c r="O124" s="95">
        <f>VLOOKUP($I$1&amp;O$8,DATA!$A:$EB,'2412'!$A124,0)/100</f>
        <v>0</v>
      </c>
      <c r="P124" s="95">
        <f>VLOOKUP($I$1&amp;P$8,DATA!$A:$EB,'2412'!$A124,0)/100</f>
        <v>48192.237926160007</v>
      </c>
      <c r="Q124" s="95">
        <f>VLOOKUP($I$1&amp;Q$8,DATA!$A:$EB,'2412'!$A124,0)/100</f>
        <v>50885.016801379999</v>
      </c>
      <c r="R124" s="95">
        <f>VLOOKUP($I$1&amp;R$8,DATA!$A:$EB,'2412'!$A124,0)/100</f>
        <v>45732.186205179998</v>
      </c>
      <c r="S124" s="95">
        <f>VLOOKUP($I$1&amp;S$8,DATA!$A:$EB,'2412'!$A124,0)/100</f>
        <v>0</v>
      </c>
      <c r="T124" s="95">
        <f>VLOOKUP($I$1&amp;T$8,DATA!$A:$EB,'2412'!$A124,0)/100</f>
        <v>0</v>
      </c>
      <c r="U124" s="42"/>
    </row>
    <row r="125" spans="1:21" ht="16.5">
      <c r="A125" s="5">
        <f>DATA!DL1</f>
        <v>116</v>
      </c>
      <c r="C125" s="55"/>
      <c r="D125" s="412"/>
      <c r="E125" s="5" t="s">
        <v>74</v>
      </c>
      <c r="I125" s="1">
        <f>VLOOKUP($I$1&amp;I$8,DATA!$A:$EB,'2412'!$A125,0)/100</f>
        <v>1550.74057595</v>
      </c>
      <c r="J125" s="1">
        <f>VLOOKUP($I$1&amp;J$8,DATA!$A:$EB,'2412'!$A125,0)/100</f>
        <v>19059.069490000002</v>
      </c>
      <c r="K125" s="95">
        <f>VLOOKUP($I$1&amp;K$8,DATA!$A:$EB,'2412'!$A125,0)/100</f>
        <v>0</v>
      </c>
      <c r="L125" s="95">
        <f>VLOOKUP($I$1&amp;L$8,DATA!$A:$EB,'2412'!$A125,0)/100</f>
        <v>6446.9314555799992</v>
      </c>
      <c r="M125" s="95">
        <f>VLOOKUP($I$1&amp;M$8,DATA!$A:$EB,'2412'!$A125,0)/100</f>
        <v>0</v>
      </c>
      <c r="N125" s="95">
        <f>VLOOKUP($I$1&amp;N$8,DATA!$A:$EB,'2412'!$A125,0)/100</f>
        <v>1966.5079828099999</v>
      </c>
      <c r="O125" s="95">
        <f>VLOOKUP($I$1&amp;O$8,DATA!$A:$EB,'2412'!$A125,0)/100</f>
        <v>0</v>
      </c>
      <c r="P125" s="95">
        <f>VLOOKUP($I$1&amp;P$8,DATA!$A:$EB,'2412'!$A125,0)/100</f>
        <v>9758.2790717799999</v>
      </c>
      <c r="Q125" s="95">
        <f>VLOOKUP($I$1&amp;Q$8,DATA!$A:$EB,'2412'!$A125,0)/100</f>
        <v>6425.9825157599998</v>
      </c>
      <c r="R125" s="95">
        <f>VLOOKUP($I$1&amp;R$8,DATA!$A:$EB,'2412'!$A125,0)/100</f>
        <v>4742.6562880700003</v>
      </c>
      <c r="S125" s="95">
        <f>VLOOKUP($I$1&amp;S$8,DATA!$A:$EB,'2412'!$A125,0)/100</f>
        <v>0</v>
      </c>
      <c r="T125" s="95">
        <f>VLOOKUP($I$1&amp;T$8,DATA!$A:$EB,'2412'!$A125,0)/100</f>
        <v>0</v>
      </c>
      <c r="U125" s="42"/>
    </row>
    <row r="126" spans="1:21" ht="16.5">
      <c r="A126" s="5">
        <f>DATA!BY1</f>
        <v>77</v>
      </c>
      <c r="C126" s="55"/>
      <c r="D126" s="412"/>
      <c r="E126" s="54" t="s">
        <v>134</v>
      </c>
      <c r="F126" s="54"/>
      <c r="G126" s="54"/>
      <c r="H126" s="54"/>
      <c r="I126" s="1">
        <f>VLOOKUP($I$1&amp;I$8,DATA!$A:$EB,'2412'!$A126,0)/100</f>
        <v>1976.91</v>
      </c>
      <c r="J126" s="1">
        <f>VLOOKUP($I$1&amp;J$8,DATA!$A:$EB,'2412'!$A126,0)/100</f>
        <v>13695.41</v>
      </c>
      <c r="K126" s="95">
        <f>VLOOKUP($I$1&amp;K$8,DATA!$A:$EB,'2412'!$A126,0)/100</f>
        <v>6009.84</v>
      </c>
      <c r="L126" s="95">
        <f>VLOOKUP($I$1&amp;L$8,DATA!$A:$EB,'2412'!$A126,0)/100</f>
        <v>8519.18</v>
      </c>
      <c r="M126" s="95">
        <f>VLOOKUP($I$1&amp;M$8,DATA!$A:$EB,'2412'!$A126,0)/100</f>
        <v>7326.5</v>
      </c>
      <c r="N126" s="95">
        <f>VLOOKUP($I$1&amp;N$8,DATA!$A:$EB,'2412'!$A126,0)/100</f>
        <v>2599.87</v>
      </c>
      <c r="O126" s="95">
        <f>VLOOKUP($I$1&amp;O$8,DATA!$A:$EB,'2412'!$A126,0)/100</f>
        <v>2930.8</v>
      </c>
      <c r="P126" s="95">
        <f>VLOOKUP($I$1&amp;P$8,DATA!$A:$EB,'2412'!$A126,0)/100</f>
        <v>16122.98</v>
      </c>
      <c r="Q126" s="95">
        <f>VLOOKUP($I$1&amp;Q$8,DATA!$A:$EB,'2412'!$A126,0)/100</f>
        <v>9511.0175999999992</v>
      </c>
      <c r="R126" s="95">
        <f>VLOOKUP($I$1&amp;R$8,DATA!$A:$EB,'2412'!$A126,0)/100</f>
        <v>11501.68</v>
      </c>
      <c r="S126" s="95">
        <f>VLOOKUP($I$1&amp;S$8,DATA!$A:$EB,'2412'!$A126,0)/100</f>
        <v>8376.64</v>
      </c>
      <c r="T126" s="95">
        <f>VLOOKUP($I$1&amp;T$8,DATA!$A:$EB,'2412'!$A126,0)/100</f>
        <v>12975.08</v>
      </c>
      <c r="U126" s="42"/>
    </row>
    <row r="127" spans="1:21" ht="16.5">
      <c r="A127" s="5">
        <f>DATA!DG1</f>
        <v>111</v>
      </c>
      <c r="C127" s="55"/>
      <c r="D127" s="412"/>
      <c r="E127" s="54" t="s">
        <v>64</v>
      </c>
      <c r="F127" s="54"/>
      <c r="G127" s="54"/>
      <c r="H127" s="54"/>
      <c r="I127" s="1">
        <f>VLOOKUP($I$1&amp;I$8,DATA!$A:$EB,'2412'!$A127,0)/100</f>
        <v>-260.17888354000053</v>
      </c>
      <c r="J127" s="1">
        <f>VLOOKUP($I$1&amp;J$8,DATA!$A:$EB,'2412'!$A127,0)/100</f>
        <v>-2079.1502600000008</v>
      </c>
      <c r="K127" s="95">
        <f>VLOOKUP($I$1&amp;K$8,DATA!$A:$EB,'2412'!$A127,0)/100</f>
        <v>0</v>
      </c>
      <c r="L127" s="95">
        <f>VLOOKUP($I$1&amp;L$8,DATA!$A:$EB,'2412'!$A127,0)/100</f>
        <v>-2237.1833917899999</v>
      </c>
      <c r="M127" s="95">
        <f>VLOOKUP($I$1&amp;M$8,DATA!$A:$EB,'2412'!$A127,0)/100</f>
        <v>0</v>
      </c>
      <c r="N127" s="95">
        <f>VLOOKUP($I$1&amp;N$8,DATA!$A:$EB,'2412'!$A127,0)/100</f>
        <v>168.1651620099999</v>
      </c>
      <c r="O127" s="95">
        <f>VLOOKUP($I$1&amp;O$8,DATA!$A:$EB,'2412'!$A127,0)/100</f>
        <v>0</v>
      </c>
      <c r="P127" s="95">
        <f>VLOOKUP($I$1&amp;P$8,DATA!$A:$EB,'2412'!$A127,0)/100</f>
        <v>806.99256915000262</v>
      </c>
      <c r="Q127" s="95">
        <f>VLOOKUP($I$1&amp;Q$8,DATA!$A:$EB,'2412'!$A127,0)/100</f>
        <v>-2123.628601989999</v>
      </c>
      <c r="R127" s="95">
        <f>VLOOKUP($I$1&amp;R$8,DATA!$A:$EB,'2412'!$A127,0)/100</f>
        <v>4346.480544799997</v>
      </c>
      <c r="S127" s="95">
        <f>VLOOKUP($I$1&amp;S$8,DATA!$A:$EB,'2412'!$A127,0)/100</f>
        <v>0</v>
      </c>
      <c r="T127" s="95">
        <f>VLOOKUP($I$1&amp;T$8,DATA!$A:$EB,'2412'!$A127,0)/100</f>
        <v>547.27925343000004</v>
      </c>
      <c r="U127" s="42"/>
    </row>
    <row r="128" spans="1:21" ht="16.5">
      <c r="C128" s="55"/>
      <c r="D128" s="412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42"/>
    </row>
    <row r="129" spans="1:21" ht="16.5">
      <c r="C129" s="55"/>
      <c r="D129" s="412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42"/>
    </row>
    <row r="130" spans="1:21" ht="16.5">
      <c r="C130" s="41" t="s">
        <v>145</v>
      </c>
      <c r="D130" s="412"/>
      <c r="E130" s="54"/>
      <c r="F130" s="54"/>
      <c r="G130" s="54"/>
      <c r="H130" s="54"/>
      <c r="I130" s="54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</row>
    <row r="131" spans="1:21" ht="16.5"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2"/>
      <c r="P131" s="43"/>
      <c r="Q131" s="43"/>
      <c r="R131" s="42"/>
      <c r="S131" s="42"/>
      <c r="T131" s="44" t="s">
        <v>104</v>
      </c>
      <c r="U131" s="42"/>
    </row>
    <row r="132" spans="1:21" ht="16.5">
      <c r="C132" s="729" t="s">
        <v>105</v>
      </c>
      <c r="D132" s="729"/>
      <c r="E132" s="729"/>
      <c r="F132" s="729"/>
      <c r="G132" s="729"/>
      <c r="H132" s="730"/>
      <c r="I132" s="65" t="s">
        <v>124</v>
      </c>
      <c r="J132" s="45" t="s">
        <v>136</v>
      </c>
      <c r="K132" s="45" t="s">
        <v>137</v>
      </c>
      <c r="L132" s="45" t="s">
        <v>138</v>
      </c>
      <c r="M132" s="45" t="s">
        <v>4</v>
      </c>
      <c r="N132" s="45" t="s">
        <v>139</v>
      </c>
      <c r="O132" s="46" t="s">
        <v>6</v>
      </c>
      <c r="P132" s="46" t="s">
        <v>106</v>
      </c>
      <c r="Q132" s="46" t="s">
        <v>107</v>
      </c>
      <c r="R132" s="46" t="s">
        <v>108</v>
      </c>
      <c r="S132" s="46" t="s">
        <v>109</v>
      </c>
      <c r="T132" s="46" t="s">
        <v>110</v>
      </c>
      <c r="U132" s="42"/>
    </row>
    <row r="133" spans="1:21" ht="16.5">
      <c r="A133" s="5">
        <f>DATA!BW1</f>
        <v>75</v>
      </c>
      <c r="C133" s="745" t="s">
        <v>53</v>
      </c>
      <c r="D133" s="745"/>
      <c r="E133" s="745"/>
      <c r="F133" s="745"/>
      <c r="G133" s="745"/>
      <c r="H133" s="740"/>
      <c r="I133" s="25">
        <f>VLOOKUP($I$1&amp;I$8,DATA!$A:$EB,'2412'!$A133,0)/100</f>
        <v>20782.12</v>
      </c>
      <c r="J133" s="66">
        <f>VLOOKUP($I$1&amp;J$8,DATA!$A:$EB,'2412'!$A133,0)/100</f>
        <v>129020.23</v>
      </c>
      <c r="K133" s="66">
        <f>VLOOKUP($I$1&amp;K$8,DATA!$A:$EB,'2412'!$A133,0)/100</f>
        <v>64380.58</v>
      </c>
      <c r="L133" s="66">
        <f>VLOOKUP($I$1&amp;L$8,DATA!$A:$EB,'2412'!$A133,0)/100</f>
        <v>91091.41</v>
      </c>
      <c r="M133" s="66">
        <f>VLOOKUP($I$1&amp;M$8,DATA!$A:$EB,'2412'!$A133,0)/100</f>
        <v>72241.14</v>
      </c>
      <c r="N133" s="66">
        <f>VLOOKUP($I$1&amp;N$8,DATA!$A:$EB,'2412'!$A133,0)/100</f>
        <v>26710.880000000001</v>
      </c>
      <c r="O133" s="25">
        <f>VLOOKUP($I$1&amp;O$8,DATA!$A:$EB,'2412'!$A133,0)/100</f>
        <v>30105.09</v>
      </c>
      <c r="P133" s="25">
        <f>VLOOKUP($I$1&amp;P$8,DATA!$A:$EB,'2412'!$A133,0)/100</f>
        <v>140739.07999999999</v>
      </c>
      <c r="Q133" s="25">
        <f>VLOOKUP($I$1&amp;Q$8,DATA!$A:$EB,'2412'!$A133,0)/100</f>
        <v>83054.872619999995</v>
      </c>
      <c r="R133" s="25">
        <f>VLOOKUP($I$1&amp;R$8,DATA!$A:$EB,'2412'!$A133,0)/100</f>
        <v>111878.89</v>
      </c>
      <c r="S133" s="25">
        <f>VLOOKUP($I$1&amp;S$8,DATA!$A:$EB,'2412'!$A133,0)/100</f>
        <v>88204.82</v>
      </c>
      <c r="T133" s="25">
        <f>VLOOKUP($I$1&amp;T$8,DATA!$A:$EB,'2412'!$A133,0)/100</f>
        <v>122317.59</v>
      </c>
      <c r="U133" s="42"/>
    </row>
    <row r="134" spans="1:21" ht="16.5">
      <c r="C134" s="743" t="s">
        <v>117</v>
      </c>
      <c r="D134" s="743"/>
      <c r="E134" s="743"/>
      <c r="F134" s="743"/>
      <c r="G134" s="743"/>
      <c r="H134" s="744"/>
      <c r="I134" s="67">
        <f>+I133-I147</f>
        <v>567.59999999999854</v>
      </c>
      <c r="J134" s="68">
        <f t="shared" ref="J134:T134" si="29">+J133-J147</f>
        <v>6546.5099999999948</v>
      </c>
      <c r="K134" s="68">
        <f t="shared" si="29"/>
        <v>6131.3499999999985</v>
      </c>
      <c r="L134" s="68">
        <f t="shared" si="29"/>
        <v>-1293.4700000000012</v>
      </c>
      <c r="M134" s="68">
        <f t="shared" si="29"/>
        <v>553.88999999999942</v>
      </c>
      <c r="N134" s="68">
        <f t="shared" si="29"/>
        <v>1292.8700000000026</v>
      </c>
      <c r="O134" s="67">
        <f t="shared" si="29"/>
        <v>-1693.1699999999983</v>
      </c>
      <c r="P134" s="67">
        <f t="shared" si="29"/>
        <v>7710.8999999999942</v>
      </c>
      <c r="Q134" s="67">
        <f t="shared" si="29"/>
        <v>-8367.8387900000089</v>
      </c>
      <c r="R134" s="67">
        <f t="shared" si="29"/>
        <v>7191.6300000000047</v>
      </c>
      <c r="S134" s="67">
        <f t="shared" si="29"/>
        <v>3025.6100000000006</v>
      </c>
      <c r="T134" s="67">
        <f t="shared" si="29"/>
        <v>793.5</v>
      </c>
      <c r="U134" s="42"/>
    </row>
    <row r="135" spans="1:21" ht="16.5">
      <c r="C135" s="784" t="s">
        <v>118</v>
      </c>
      <c r="D135" s="784"/>
      <c r="E135" s="784"/>
      <c r="F135" s="784"/>
      <c r="G135" s="784"/>
      <c r="H135" s="785"/>
      <c r="I135" s="69">
        <f>I134/(I133-I134)</f>
        <v>2.8078826506887054E-2</v>
      </c>
      <c r="J135" s="70">
        <f t="shared" ref="J135:T135" si="30">J134/(J133-J134)</f>
        <v>5.3452365127800432E-2</v>
      </c>
      <c r="K135" s="70">
        <f t="shared" si="30"/>
        <v>0.10526061889573472</v>
      </c>
      <c r="L135" s="70">
        <f t="shared" si="30"/>
        <v>-1.400088412735938E-2</v>
      </c>
      <c r="M135" s="70">
        <f t="shared" si="30"/>
        <v>7.7264785579025481E-3</v>
      </c>
      <c r="N135" s="70">
        <f t="shared" si="30"/>
        <v>5.086432808862703E-2</v>
      </c>
      <c r="O135" s="71">
        <f t="shared" si="30"/>
        <v>-5.3247253151587487E-2</v>
      </c>
      <c r="P135" s="71">
        <f t="shared" si="30"/>
        <v>5.7964410247512928E-2</v>
      </c>
      <c r="Q135" s="71">
        <f t="shared" si="30"/>
        <v>-9.1529103227676947E-2</v>
      </c>
      <c r="R135" s="71">
        <f t="shared" si="30"/>
        <v>6.8696324653066715E-2</v>
      </c>
      <c r="S135" s="71">
        <f t="shared" si="30"/>
        <v>3.5520521967743073E-2</v>
      </c>
      <c r="T135" s="71">
        <f t="shared" si="30"/>
        <v>6.5295695692928046E-3</v>
      </c>
      <c r="U135" s="42"/>
    </row>
    <row r="136" spans="1:21" ht="16.5">
      <c r="A136" s="5">
        <f>DATA!BX1</f>
        <v>76</v>
      </c>
      <c r="C136" s="745" t="s">
        <v>119</v>
      </c>
      <c r="D136" s="745"/>
      <c r="E136" s="745"/>
      <c r="F136" s="745"/>
      <c r="G136" s="745"/>
      <c r="H136" s="740"/>
      <c r="I136" s="25">
        <f>VLOOKUP($I$1&amp;I$8,DATA!$A:$EB,'2412'!$A136,0)/100</f>
        <v>3946.05</v>
      </c>
      <c r="J136" s="66">
        <f>VLOOKUP($I$1&amp;J$8,DATA!$A:$EB,'2412'!$A136,0)/100</f>
        <v>32606.04</v>
      </c>
      <c r="K136" s="25">
        <f>VLOOKUP($I$1&amp;K$8,DATA!$A:$EB,'2412'!$A136,0)/100</f>
        <v>13715.68</v>
      </c>
      <c r="L136" s="25">
        <f>VLOOKUP($I$1&amp;L$8,DATA!$A:$EB,'2412'!$A136,0)/100</f>
        <v>21230.86</v>
      </c>
      <c r="M136" s="25">
        <f>VLOOKUP($I$1&amp;M$8,DATA!$A:$EB,'2412'!$A136,0)/100</f>
        <v>12646.82</v>
      </c>
      <c r="N136" s="25">
        <f>VLOOKUP($I$1&amp;N$8,DATA!$A:$EB,'2412'!$A136,0)/100</f>
        <v>7319.76</v>
      </c>
      <c r="O136" s="25">
        <f>VLOOKUP($I$1&amp;O$8,DATA!$A:$EB,'2412'!$A136,0)/100</f>
        <v>5013.04</v>
      </c>
      <c r="P136" s="25">
        <f>VLOOKUP($I$1&amp;P$8,DATA!$A:$EB,'2412'!$A136,0)/100</f>
        <v>34511.83</v>
      </c>
      <c r="Q136" s="25">
        <f>VLOOKUP($I$1&amp;Q$8,DATA!$A:$EB,'2412'!$A136,0)/100</f>
        <v>18278.793529999999</v>
      </c>
      <c r="R136" s="25">
        <f>VLOOKUP($I$1&amp;R$8,DATA!$A:$EB,'2412'!$A136,0)/100</f>
        <v>13795.71</v>
      </c>
      <c r="S136" s="25">
        <f>VLOOKUP($I$1&amp;S$8,DATA!$A:$EB,'2412'!$A136,0)/100</f>
        <v>19323.21</v>
      </c>
      <c r="T136" s="25">
        <f>VLOOKUP($I$1&amp;T$8,DATA!$A:$EB,'2412'!$A136,0)/100</f>
        <v>30780.38</v>
      </c>
      <c r="U136" s="42"/>
    </row>
    <row r="137" spans="1:21" ht="16.5">
      <c r="A137" s="5">
        <f>DATA!BY1</f>
        <v>77</v>
      </c>
      <c r="C137" s="750" t="s">
        <v>120</v>
      </c>
      <c r="D137" s="750"/>
      <c r="E137" s="750"/>
      <c r="F137" s="750"/>
      <c r="G137" s="750"/>
      <c r="H137" s="751"/>
      <c r="I137" s="72">
        <f>VLOOKUP($I$1&amp;I$8,DATA!$A:$EB,'2412'!$A137,0)/100</f>
        <v>1976.91</v>
      </c>
      <c r="J137" s="73">
        <f>VLOOKUP($I$1&amp;J$8,DATA!$A:$EB,'2412'!$A137,0)/100</f>
        <v>13695.41</v>
      </c>
      <c r="K137" s="72">
        <f>VLOOKUP($I$1&amp;K$8,DATA!$A:$EB,'2412'!$A137,0)/100</f>
        <v>6009.84</v>
      </c>
      <c r="L137" s="72">
        <f>VLOOKUP($I$1&amp;L$8,DATA!$A:$EB,'2412'!$A137,0)/100</f>
        <v>8519.18</v>
      </c>
      <c r="M137" s="72">
        <f>VLOOKUP($I$1&amp;M$8,DATA!$A:$EB,'2412'!$A137,0)/100</f>
        <v>7326.5</v>
      </c>
      <c r="N137" s="72">
        <f>VLOOKUP($I$1&amp;N$8,DATA!$A:$EB,'2412'!$A137,0)/100</f>
        <v>2599.87</v>
      </c>
      <c r="O137" s="72">
        <f>VLOOKUP($I$1&amp;O$8,DATA!$A:$EB,'2412'!$A137,0)/100</f>
        <v>2930.8</v>
      </c>
      <c r="P137" s="72">
        <f>VLOOKUP($I$1&amp;P$8,DATA!$A:$EB,'2412'!$A137,0)/100</f>
        <v>16122.98</v>
      </c>
      <c r="Q137" s="72">
        <f>VLOOKUP($I$1&amp;Q$8,DATA!$A:$EB,'2412'!$A137,0)/100</f>
        <v>9511.0175999999992</v>
      </c>
      <c r="R137" s="72">
        <f>VLOOKUP($I$1&amp;R$8,DATA!$A:$EB,'2412'!$A137,0)/100</f>
        <v>11501.68</v>
      </c>
      <c r="S137" s="72">
        <f>VLOOKUP($I$1&amp;S$8,DATA!$A:$EB,'2412'!$A137,0)/100</f>
        <v>8376.64</v>
      </c>
      <c r="T137" s="72">
        <f>VLOOKUP($I$1&amp;T$8,DATA!$A:$EB,'2412'!$A137,0)/100</f>
        <v>12975.08</v>
      </c>
      <c r="U137" s="42"/>
    </row>
    <row r="138" spans="1:21" ht="16.5">
      <c r="A138" s="22"/>
      <c r="B138" s="22"/>
      <c r="C138" s="750" t="s">
        <v>146</v>
      </c>
      <c r="D138" s="750"/>
      <c r="E138" s="750"/>
      <c r="F138" s="750"/>
      <c r="G138" s="750"/>
      <c r="H138" s="751"/>
      <c r="I138" s="74">
        <f>+I137/(I133+I137)*(4/$J$1)</f>
        <v>8.6862665060857172E-2</v>
      </c>
      <c r="J138" s="75">
        <f t="shared" ref="J138:T138" si="31">+J137/(J133+J137)*(4/$J$1)</f>
        <v>9.5962923194682803E-2</v>
      </c>
      <c r="K138" s="74">
        <f t="shared" si="31"/>
        <v>8.5378663744299296E-2</v>
      </c>
      <c r="L138" s="74">
        <f t="shared" si="31"/>
        <v>8.5524842288355094E-2</v>
      </c>
      <c r="M138" s="74">
        <f t="shared" si="31"/>
        <v>9.2078890362966653E-2</v>
      </c>
      <c r="N138" s="74">
        <f t="shared" si="31"/>
        <v>8.8700220908710964E-2</v>
      </c>
      <c r="O138" s="74">
        <f t="shared" si="31"/>
        <v>8.8715636236832138E-2</v>
      </c>
      <c r="P138" s="74">
        <f t="shared" si="31"/>
        <v>0.10278444641106969</v>
      </c>
      <c r="Q138" s="74">
        <f t="shared" si="31"/>
        <v>0.10274862130527025</v>
      </c>
      <c r="R138" s="74">
        <f t="shared" si="31"/>
        <v>9.3221161160140523E-2</v>
      </c>
      <c r="S138" s="74">
        <f t="shared" si="31"/>
        <v>8.6731345746895921E-2</v>
      </c>
      <c r="T138" s="74">
        <f t="shared" si="31"/>
        <v>9.5903791387959167E-2</v>
      </c>
      <c r="U138" s="42"/>
    </row>
    <row r="139" spans="1:21" ht="16.5">
      <c r="B139" s="22"/>
      <c r="C139" s="752" t="s">
        <v>121</v>
      </c>
      <c r="D139" s="752"/>
      <c r="E139" s="752"/>
      <c r="F139" s="752"/>
      <c r="G139" s="752"/>
      <c r="H139" s="753"/>
      <c r="I139" s="76">
        <f>+I136/I137</f>
        <v>1.99606962380685</v>
      </c>
      <c r="J139" s="77">
        <f t="shared" ref="J139:T139" si="32">+J136/J137</f>
        <v>2.3808005747911163</v>
      </c>
      <c r="K139" s="76">
        <f t="shared" si="32"/>
        <v>2.2822038523488146</v>
      </c>
      <c r="L139" s="76">
        <f t="shared" si="32"/>
        <v>2.4921248289154589</v>
      </c>
      <c r="M139" s="76">
        <f t="shared" si="32"/>
        <v>1.7261748447416911</v>
      </c>
      <c r="N139" s="76">
        <f t="shared" si="32"/>
        <v>2.8154330793462754</v>
      </c>
      <c r="O139" s="76">
        <f t="shared" si="32"/>
        <v>1.7104681315681725</v>
      </c>
      <c r="P139" s="76">
        <f t="shared" si="32"/>
        <v>2.1405366749819206</v>
      </c>
      <c r="Q139" s="76">
        <f t="shared" si="32"/>
        <v>1.9218546635851037</v>
      </c>
      <c r="R139" s="76">
        <f t="shared" si="32"/>
        <v>1.1994517322686771</v>
      </c>
      <c r="S139" s="76">
        <f t="shared" si="32"/>
        <v>2.3067972361233142</v>
      </c>
      <c r="T139" s="76">
        <f t="shared" si="32"/>
        <v>2.3722689956439575</v>
      </c>
      <c r="U139" s="42"/>
    </row>
    <row r="140" spans="1:21" ht="16.5">
      <c r="A140" s="5">
        <f>DATA!CE1</f>
        <v>83</v>
      </c>
      <c r="C140" s="786" t="s">
        <v>147</v>
      </c>
      <c r="D140" s="748"/>
      <c r="E140" s="749"/>
      <c r="F140" s="787" t="s">
        <v>148</v>
      </c>
      <c r="G140" s="748"/>
      <c r="H140" s="749"/>
      <c r="I140" s="78">
        <f>VLOOKUP($I$1&amp;I$8,DATA!$A:$EB,'2412'!$A140,0)/100</f>
        <v>1834.6607368599998</v>
      </c>
      <c r="J140" s="79">
        <f>VLOOKUP($I$1&amp;J$8,DATA!$A:$EB,'2412'!$A140,0)/100</f>
        <v>10307.1</v>
      </c>
      <c r="K140" s="78">
        <f>VLOOKUP($I$1&amp;K$8,DATA!$A:$EB,'2412'!$A140,0)/100</f>
        <v>5724.79</v>
      </c>
      <c r="L140" s="78">
        <f>VLOOKUP($I$1&amp;L$8,DATA!$A:$EB,'2412'!$A140,0)/100</f>
        <v>4821.6499999999996</v>
      </c>
      <c r="M140" s="78">
        <f>VLOOKUP($I$1&amp;M$8,DATA!$A:$EB,'2412'!$A140,0)/100</f>
        <v>4372.0200000000004</v>
      </c>
      <c r="N140" s="78">
        <f>VLOOKUP($I$1&amp;N$8,DATA!$A:$EB,'2412'!$A140,0)/100</f>
        <v>1595.38</v>
      </c>
      <c r="O140" s="78">
        <f>VLOOKUP($I$1&amp;O$8,DATA!$A:$EB,'2412'!$A140,0)/100</f>
        <v>1525.57</v>
      </c>
      <c r="P140" s="78">
        <f>VLOOKUP($I$1&amp;P$8,DATA!$A:$EB,'2412'!$A140,0)/100</f>
        <v>10586.1</v>
      </c>
      <c r="Q140" s="78">
        <f>VLOOKUP($I$1&amp;Q$8,DATA!$A:$EB,'2412'!$A140,0)/100</f>
        <v>5604.0175199999994</v>
      </c>
      <c r="R140" s="78">
        <f>VLOOKUP($I$1&amp;R$8,DATA!$A:$EB,'2412'!$A140,0)/100</f>
        <v>10781.1</v>
      </c>
      <c r="S140" s="78">
        <f>VLOOKUP($I$1&amp;S$8,DATA!$A:$EB,'2412'!$A140,0)/100</f>
        <v>4849.75</v>
      </c>
      <c r="T140" s="78">
        <f>VLOOKUP($I$1&amp;T$8,DATA!$A:$EB,'2412'!$A140,0)/100</f>
        <v>7757.19</v>
      </c>
      <c r="U140" s="42"/>
    </row>
    <row r="141" spans="1:21" ht="16.5">
      <c r="A141" s="5">
        <f>DATA!CF1</f>
        <v>84</v>
      </c>
      <c r="C141" s="750"/>
      <c r="D141" s="750"/>
      <c r="E141" s="751"/>
      <c r="F141" s="788" t="s">
        <v>149</v>
      </c>
      <c r="G141" s="750"/>
      <c r="H141" s="751"/>
      <c r="I141" s="80">
        <f>VLOOKUP($I$1&amp;I$8,DATA!$A:$EB,'2412'!$A141,0)/100+VLOOKUP($I$1&amp;I$8,DATA!$A:$EB,'2412'!$A141+1,0)/100</f>
        <v>5534.5041942799999</v>
      </c>
      <c r="J141" s="416">
        <f>VLOOKUP($I$1&amp;J$8,DATA!$A:$EB,'2412'!$A141,0)/100+VLOOKUP($I$1&amp;J$8,DATA!$A:$EB,'2412'!$A141+1,0)/100</f>
        <v>28401.839999999997</v>
      </c>
      <c r="K141" s="80">
        <f>VLOOKUP($I$1&amp;K$8,DATA!$A:$EB,'2412'!$A141,0)/100+VLOOKUP($I$1&amp;K$8,DATA!$A:$EB,'2412'!$A141+1,0)/100</f>
        <v>17243.36</v>
      </c>
      <c r="L141" s="80">
        <f>VLOOKUP($I$1&amp;L$8,DATA!$A:$EB,'2412'!$A141,0)/100+VLOOKUP($I$1&amp;L$8,DATA!$A:$EB,'2412'!$A141+1,0)/100</f>
        <v>15014.119999999999</v>
      </c>
      <c r="M141" s="80">
        <f>VLOOKUP($I$1&amp;M$8,DATA!$A:$EB,'2412'!$A141,0)/100+VLOOKUP($I$1&amp;M$8,DATA!$A:$EB,'2412'!$A141+1,0)/100</f>
        <v>12751.71</v>
      </c>
      <c r="N141" s="80">
        <f>VLOOKUP($I$1&amp;N$8,DATA!$A:$EB,'2412'!$A141,0)/100+VLOOKUP($I$1&amp;N$8,DATA!$A:$EB,'2412'!$A141+1,0)/100</f>
        <v>4243.54</v>
      </c>
      <c r="O141" s="80">
        <f>VLOOKUP($I$1&amp;O$8,DATA!$A:$EB,'2412'!$A141,0)/100+VLOOKUP($I$1&amp;O$8,DATA!$A:$EB,'2412'!$A141+1,0)/100</f>
        <v>5105.59</v>
      </c>
      <c r="P141" s="80">
        <f>VLOOKUP($I$1&amp;P$8,DATA!$A:$EB,'2412'!$A141,0)/100+VLOOKUP($I$1&amp;P$8,DATA!$A:$EB,'2412'!$A141+1,0)/100</f>
        <v>29700.9</v>
      </c>
      <c r="Q141" s="80">
        <f>VLOOKUP($I$1&amp;Q$8,DATA!$A:$EB,'2412'!$A141,0)/100+VLOOKUP($I$1&amp;Q$8,DATA!$A:$EB,'2412'!$A141+1,0)/100</f>
        <v>16252.262559999999</v>
      </c>
      <c r="R141" s="80">
        <f>VLOOKUP($I$1&amp;R$8,DATA!$A:$EB,'2412'!$A141,0)/100+VLOOKUP($I$1&amp;R$8,DATA!$A:$EB,'2412'!$A141+1,0)/100</f>
        <v>31769.940000000002</v>
      </c>
      <c r="S141" s="80">
        <f>VLOOKUP($I$1&amp;S$8,DATA!$A:$EB,'2412'!$A141,0)/100+VLOOKUP($I$1&amp;S$8,DATA!$A:$EB,'2412'!$A141+1,0)/100</f>
        <v>14640.400000000001</v>
      </c>
      <c r="T141" s="80">
        <f>VLOOKUP($I$1&amp;T$8,DATA!$A:$EB,'2412'!$A141,0)/100+VLOOKUP($I$1&amp;T$8,DATA!$A:$EB,'2412'!$A141+1,0)/100</f>
        <v>22036.36</v>
      </c>
      <c r="U141" s="42"/>
    </row>
    <row r="142" spans="1:21" ht="16.5">
      <c r="A142" s="5">
        <f>DATA!CH1</f>
        <v>86</v>
      </c>
      <c r="C142" s="750"/>
      <c r="D142" s="750"/>
      <c r="E142" s="751"/>
      <c r="F142" s="788" t="s">
        <v>58</v>
      </c>
      <c r="G142" s="750"/>
      <c r="H142" s="751"/>
      <c r="I142" s="80">
        <f>VLOOKUP($I$1&amp;I$8,DATA!$A:$EB,'2412'!$A142,0)/100</f>
        <v>4488.2326254899999</v>
      </c>
      <c r="J142" s="779">
        <f>VLOOKUP($I$1&amp;J$8,DATA!$A:$EB,'2412'!$A142,0)/100</f>
        <v>90311.29</v>
      </c>
      <c r="K142" s="80">
        <f>VLOOKUP($I$1&amp;K$8,DATA!$A:$EB,'2412'!$A142,0)/100</f>
        <v>14211.74</v>
      </c>
      <c r="L142" s="80">
        <f>VLOOKUP($I$1&amp;L$8,DATA!$A:$EB,'2412'!$A142,0)/100</f>
        <v>14300.49</v>
      </c>
      <c r="M142" s="80">
        <f>VLOOKUP($I$1&amp;M$8,DATA!$A:$EB,'2412'!$A142,0)/100</f>
        <v>11165.4</v>
      </c>
      <c r="N142" s="80">
        <f>VLOOKUP($I$1&amp;N$8,DATA!$A:$EB,'2412'!$A142,0)/100</f>
        <v>3774.25</v>
      </c>
      <c r="O142" s="80">
        <f>VLOOKUP($I$1&amp;O$8,DATA!$A:$EB,'2412'!$A142,0)/100</f>
        <v>4948.88</v>
      </c>
      <c r="P142" s="779">
        <f>VLOOKUP($I$1&amp;P$8,DATA!$A:$EB,'2412'!$A142,0)/100</f>
        <v>100452.09</v>
      </c>
      <c r="Q142" s="80">
        <f>VLOOKUP($I$1&amp;Q$8,DATA!$A:$EB,'2412'!$A142,0)/100</f>
        <v>13984.877060000001</v>
      </c>
      <c r="R142" s="80">
        <f>VLOOKUP($I$1&amp;R$8,DATA!$A:$EB,'2412'!$A142,0)/100</f>
        <v>24581.95</v>
      </c>
      <c r="S142" s="80">
        <f>VLOOKUP($I$1&amp;S$8,DATA!$A:$EB,'2412'!$A142,0)/100</f>
        <v>12740.42</v>
      </c>
      <c r="T142" s="80">
        <f>VLOOKUP($I$1&amp;T$8,DATA!$A:$EB,'2412'!$A142,0)/100</f>
        <v>19044.25</v>
      </c>
      <c r="U142" s="42"/>
    </row>
    <row r="143" spans="1:21" ht="16.5">
      <c r="A143" s="5">
        <f>DATA!CI1</f>
        <v>87</v>
      </c>
      <c r="C143" s="752"/>
      <c r="D143" s="752"/>
      <c r="E143" s="753"/>
      <c r="F143" s="781" t="s">
        <v>150</v>
      </c>
      <c r="G143" s="752"/>
      <c r="H143" s="753"/>
      <c r="I143" s="82">
        <f>VLOOKUP($I$1&amp;I$8,DATA!$A:$EB,'2412'!$A143,0)/100</f>
        <v>8924.7231331599996</v>
      </c>
      <c r="J143" s="780"/>
      <c r="K143" s="82">
        <f>VLOOKUP($I$1&amp;K$8,DATA!$A:$EB,'2412'!$A143,0)/100</f>
        <v>27200.68</v>
      </c>
      <c r="L143" s="82">
        <f>VLOOKUP($I$1&amp;L$8,DATA!$A:$EB,'2412'!$A143,0)/100</f>
        <v>56955.15</v>
      </c>
      <c r="M143" s="82">
        <f>VLOOKUP($I$1&amp;M$8,DATA!$A:$EB,'2412'!$A143,0)/100</f>
        <v>43951.98</v>
      </c>
      <c r="N143" s="82">
        <f>VLOOKUP($I$1&amp;N$8,DATA!$A:$EB,'2412'!$A143,0)/100</f>
        <v>17297.72</v>
      </c>
      <c r="O143" s="82">
        <f>VLOOKUP($I$1&amp;O$8,DATA!$A:$EB,'2412'!$A143,0)/100</f>
        <v>18525.060000000001</v>
      </c>
      <c r="P143" s="780"/>
      <c r="Q143" s="82">
        <f>VLOOKUP($I$1&amp;Q$8,DATA!$A:$EB,'2412'!$A143,0)/100</f>
        <v>47213.715480000006</v>
      </c>
      <c r="R143" s="82">
        <f>VLOOKUP($I$1&amp;R$8,DATA!$A:$EB,'2412'!$A143,0)/100</f>
        <v>44745.91</v>
      </c>
      <c r="S143" s="82">
        <f>VLOOKUP($I$1&amp;S$8,DATA!$A:$EB,'2412'!$A143,0)/100</f>
        <v>55974.25</v>
      </c>
      <c r="T143" s="82">
        <f>VLOOKUP($I$1&amp;T$8,DATA!$A:$EB,'2412'!$A143,0)/100</f>
        <v>73479.789999999994</v>
      </c>
      <c r="U143" s="42"/>
    </row>
    <row r="144" spans="1:21" ht="16.5">
      <c r="C144" s="83" t="s">
        <v>151</v>
      </c>
      <c r="D144" s="412"/>
      <c r="E144" s="54"/>
      <c r="F144" s="54"/>
      <c r="G144" s="54"/>
      <c r="H144" s="54"/>
      <c r="I144" s="84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42"/>
    </row>
    <row r="145" spans="1:21" ht="16.5">
      <c r="C145" s="52" t="s">
        <v>152</v>
      </c>
      <c r="D145" s="412"/>
      <c r="E145" s="54"/>
      <c r="F145" s="54"/>
      <c r="G145" s="54"/>
      <c r="H145" s="54"/>
      <c r="I145" s="84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42"/>
    </row>
    <row r="146" spans="1:21" ht="16.5">
      <c r="C146" s="55"/>
      <c r="D146" s="412"/>
      <c r="E146" s="54"/>
      <c r="F146" s="54"/>
      <c r="G146" s="54"/>
      <c r="H146" s="54"/>
      <c r="I146" s="135">
        <f>+I136/I133</f>
        <v>0.18987716363874332</v>
      </c>
      <c r="J146" s="135">
        <f t="shared" ref="J146:T146" si="33">+J136/J133</f>
        <v>0.25272036796090042</v>
      </c>
      <c r="K146" s="135">
        <f t="shared" si="33"/>
        <v>0.21304064051613081</v>
      </c>
      <c r="L146" s="135">
        <f t="shared" si="33"/>
        <v>0.23307203170968591</v>
      </c>
      <c r="M146" s="135">
        <f t="shared" si="33"/>
        <v>0.17506395940041922</v>
      </c>
      <c r="N146" s="135">
        <f t="shared" si="33"/>
        <v>0.27403664723887794</v>
      </c>
      <c r="O146" s="135">
        <f t="shared" si="33"/>
        <v>0.16651802070679741</v>
      </c>
      <c r="P146" s="135">
        <f t="shared" si="33"/>
        <v>0.24521852778915426</v>
      </c>
      <c r="Q146" s="135">
        <f t="shared" si="33"/>
        <v>0.22008092906999874</v>
      </c>
      <c r="R146" s="135">
        <f t="shared" si="33"/>
        <v>0.1233093213563345</v>
      </c>
      <c r="S146" s="135">
        <f t="shared" si="33"/>
        <v>0.21907204164126176</v>
      </c>
      <c r="T146" s="135">
        <f t="shared" si="33"/>
        <v>0.25164312017592894</v>
      </c>
      <c r="U146" s="42"/>
    </row>
    <row r="147" spans="1:21" ht="16.5">
      <c r="A147" s="5">
        <f>DATA!CB1</f>
        <v>80</v>
      </c>
      <c r="C147" s="55"/>
      <c r="D147" s="412"/>
      <c r="E147" s="54" t="s">
        <v>122</v>
      </c>
      <c r="F147" s="54"/>
      <c r="G147" s="54"/>
      <c r="H147" s="54"/>
      <c r="I147" s="1">
        <f>VLOOKUP($I$1&amp;I$8,DATA!$A:$EB,'2412'!$A147,0)/100</f>
        <v>20214.52</v>
      </c>
      <c r="J147" s="1">
        <f>VLOOKUP($I$1&amp;J$8,DATA!$A:$EB,'2412'!$A147,0)/100</f>
        <v>122473.72</v>
      </c>
      <c r="K147" s="95">
        <f>VLOOKUP($I$1&amp;K$8,DATA!$A:$EB,'2412'!$A147,0)/100</f>
        <v>58249.23</v>
      </c>
      <c r="L147" s="95">
        <f>VLOOKUP($I$1&amp;L$8,DATA!$A:$EB,'2412'!$A147,0)/100</f>
        <v>92384.88</v>
      </c>
      <c r="M147" s="95">
        <f>VLOOKUP($I$1&amp;M$8,DATA!$A:$EB,'2412'!$A147,0)/100</f>
        <v>71687.25</v>
      </c>
      <c r="N147" s="95">
        <f>VLOOKUP($I$1&amp;N$8,DATA!$A:$EB,'2412'!$A147,0)/100</f>
        <v>25418.01</v>
      </c>
      <c r="O147" s="95">
        <f>VLOOKUP($I$1&amp;O$8,DATA!$A:$EB,'2412'!$A147,0)/100</f>
        <v>31798.26</v>
      </c>
      <c r="P147" s="95">
        <f>VLOOKUP($I$1&amp;P$8,DATA!$A:$EB,'2412'!$A147,0)/100</f>
        <v>133028.18</v>
      </c>
      <c r="Q147" s="95">
        <f>VLOOKUP($I$1&amp;Q$8,DATA!$A:$EB,'2412'!$A147,0)/100</f>
        <v>91422.711410000004</v>
      </c>
      <c r="R147" s="95">
        <f>VLOOKUP($I$1&amp;R$8,DATA!$A:$EB,'2412'!$A147,0)/100</f>
        <v>104687.26</v>
      </c>
      <c r="S147" s="95">
        <f>VLOOKUP($I$1&amp;S$8,DATA!$A:$EB,'2412'!$A147,0)/100</f>
        <v>85179.21</v>
      </c>
      <c r="T147" s="95">
        <f>VLOOKUP($I$1&amp;T$8,DATA!$A:$EB,'2412'!$A147,0)/100</f>
        <v>121524.09</v>
      </c>
      <c r="U147" s="42"/>
    </row>
    <row r="148" spans="1:21" ht="16.5">
      <c r="C148" s="55"/>
      <c r="D148" s="412"/>
      <c r="E148" s="54"/>
      <c r="F148" s="54"/>
      <c r="G148" s="54"/>
      <c r="H148" s="54"/>
      <c r="I148" s="86">
        <f>I133-SUM(I140:I143)</f>
        <v>-6.8978999843238853E-4</v>
      </c>
      <c r="J148" s="86">
        <f t="shared" ref="J148:T148" si="34">J133-SUM(J140:J143)</f>
        <v>0</v>
      </c>
      <c r="K148" s="86">
        <f t="shared" si="34"/>
        <v>1.0000000002037268E-2</v>
      </c>
      <c r="L148" s="86">
        <f t="shared" si="34"/>
        <v>0</v>
      </c>
      <c r="M148" s="86">
        <f t="shared" si="34"/>
        <v>2.9999999998835847E-2</v>
      </c>
      <c r="N148" s="86">
        <f t="shared" si="34"/>
        <v>-200.0099999999984</v>
      </c>
      <c r="O148" s="86">
        <f t="shared" si="34"/>
        <v>-1.0000000002037268E-2</v>
      </c>
      <c r="P148" s="86">
        <f t="shared" si="34"/>
        <v>-1.0000000009313226E-2</v>
      </c>
      <c r="Q148" s="86">
        <f t="shared" si="34"/>
        <v>0</v>
      </c>
      <c r="R148" s="86">
        <f t="shared" si="34"/>
        <v>-1.0000000009313226E-2</v>
      </c>
      <c r="S148" s="86">
        <f t="shared" si="34"/>
        <v>0</v>
      </c>
      <c r="T148" s="86">
        <f t="shared" si="34"/>
        <v>0</v>
      </c>
      <c r="U148" s="42"/>
    </row>
    <row r="149" spans="1:21" ht="16.5">
      <c r="A149" s="5">
        <f>DATA!BZ1</f>
        <v>78</v>
      </c>
      <c r="C149" s="55"/>
      <c r="D149" s="412"/>
      <c r="E149" s="54" t="s">
        <v>886</v>
      </c>
      <c r="F149" s="54"/>
      <c r="G149" s="54"/>
      <c r="H149" s="54"/>
      <c r="I149" s="136">
        <f>VLOOKUP($I$1&amp;I$8,DATA!$A:$EB,'2412'!$A149,0)/100</f>
        <v>-1915.5</v>
      </c>
      <c r="J149" s="136">
        <f>VLOOKUP($I$1&amp;J$8,DATA!$A:$EB,'2412'!$A149,0)/100</f>
        <v>-17047.59</v>
      </c>
      <c r="K149" s="137">
        <f>VLOOKUP($I$1&amp;K$8,DATA!$A:$EB,'2412'!$A149,0)/100</f>
        <v>-2608.1999999999998</v>
      </c>
      <c r="L149" s="137">
        <f>VLOOKUP($I$1&amp;L$8,DATA!$A:$EB,'2412'!$A149,0)/100</f>
        <v>-17506</v>
      </c>
      <c r="M149" s="137">
        <f>VLOOKUP($I$1&amp;M$8,DATA!$A:$EB,'2412'!$A149,0)/100</f>
        <v>-7324.72</v>
      </c>
      <c r="N149" s="137">
        <f>VLOOKUP($I$1&amp;N$8,DATA!$A:$EB,'2412'!$A149,0)/100</f>
        <v>-4561.3900000000003</v>
      </c>
      <c r="O149" s="137">
        <f>VLOOKUP($I$1&amp;O$8,DATA!$A:$EB,'2412'!$A149,0)/100</f>
        <v>-5006.12</v>
      </c>
      <c r="P149" s="137">
        <f>VLOOKUP($I$1&amp;P$8,DATA!$A:$EB,'2412'!$A149,0)/100</f>
        <v>-15583.74</v>
      </c>
      <c r="Q149" s="137">
        <f>VLOOKUP($I$1&amp;Q$8,DATA!$A:$EB,'2412'!$A149,0)/100</f>
        <v>-20350.233110000001</v>
      </c>
      <c r="R149" s="137">
        <f>VLOOKUP($I$1&amp;R$8,DATA!$A:$EB,'2412'!$A149,0)/100</f>
        <v>1519.21</v>
      </c>
      <c r="S149" s="137">
        <f>VLOOKUP($I$1&amp;S$8,DATA!$A:$EB,'2412'!$A149,0)/100</f>
        <v>-11220.75</v>
      </c>
      <c r="T149" s="137">
        <f>VLOOKUP($I$1&amp;T$8,DATA!$A:$EB,'2412'!$A149,0)/100</f>
        <v>-21418.51</v>
      </c>
      <c r="U149" s="42"/>
    </row>
    <row r="150" spans="1:21" ht="16.5">
      <c r="C150" s="55"/>
      <c r="D150" s="412"/>
      <c r="E150" s="54"/>
      <c r="F150" s="54"/>
      <c r="G150" s="54"/>
      <c r="H150" s="54"/>
      <c r="I150" s="135">
        <f>I149/I133</f>
        <v>-9.2170577400188247E-2</v>
      </c>
      <c r="J150" s="135">
        <f t="shared" ref="J150:T150" si="35">J149/J133</f>
        <v>-0.13213113943449023</v>
      </c>
      <c r="K150" s="135">
        <f t="shared" si="35"/>
        <v>-4.0512216572140228E-2</v>
      </c>
      <c r="L150" s="135">
        <f t="shared" si="35"/>
        <v>-0.1921805799251543</v>
      </c>
      <c r="M150" s="135">
        <f t="shared" si="35"/>
        <v>-0.10139264136750888</v>
      </c>
      <c r="N150" s="135">
        <f t="shared" si="35"/>
        <v>-0.17076899001455587</v>
      </c>
      <c r="O150" s="135">
        <f t="shared" si="35"/>
        <v>-0.16628815924483201</v>
      </c>
      <c r="P150" s="135">
        <f t="shared" si="35"/>
        <v>-0.11072788027319776</v>
      </c>
      <c r="Q150" s="135">
        <f t="shared" si="35"/>
        <v>-0.24502154380644456</v>
      </c>
      <c r="R150" s="135">
        <f t="shared" si="35"/>
        <v>1.357905856949421E-2</v>
      </c>
      <c r="S150" s="135">
        <f t="shared" si="35"/>
        <v>-0.12721243578298783</v>
      </c>
      <c r="T150" s="135">
        <f t="shared" si="35"/>
        <v>-0.17510572273374581</v>
      </c>
      <c r="U150" s="42"/>
    </row>
    <row r="151" spans="1:21" ht="16.5">
      <c r="C151" s="41" t="s">
        <v>153</v>
      </c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</row>
    <row r="152" spans="1:21" ht="16.5"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2"/>
      <c r="P152" s="43"/>
      <c r="Q152" s="43"/>
      <c r="R152" s="42"/>
      <c r="S152" s="42"/>
      <c r="T152" s="42"/>
      <c r="U152" s="42"/>
    </row>
    <row r="153" spans="1:21" ht="16.5">
      <c r="C153" s="729" t="s">
        <v>105</v>
      </c>
      <c r="D153" s="729"/>
      <c r="E153" s="729"/>
      <c r="F153" s="729"/>
      <c r="G153" s="729"/>
      <c r="H153" s="730"/>
      <c r="I153" s="45" t="s">
        <v>124</v>
      </c>
      <c r="J153" s="45" t="s">
        <v>136</v>
      </c>
      <c r="K153" s="45" t="s">
        <v>137</v>
      </c>
      <c r="L153" s="45" t="s">
        <v>138</v>
      </c>
      <c r="M153" s="45" t="s">
        <v>4</v>
      </c>
      <c r="N153" s="45" t="s">
        <v>139</v>
      </c>
      <c r="O153" s="46" t="s">
        <v>6</v>
      </c>
      <c r="P153" s="46" t="s">
        <v>106</v>
      </c>
      <c r="Q153" s="46" t="s">
        <v>107</v>
      </c>
      <c r="R153" s="46" t="s">
        <v>108</v>
      </c>
      <c r="S153" s="46" t="s">
        <v>109</v>
      </c>
      <c r="T153" s="46" t="s">
        <v>110</v>
      </c>
      <c r="U153" s="42"/>
    </row>
    <row r="154" spans="1:21" ht="16.5">
      <c r="C154" s="748" t="s">
        <v>131</v>
      </c>
      <c r="D154" s="748"/>
      <c r="E154" s="748"/>
      <c r="F154" s="748"/>
      <c r="G154" s="748"/>
      <c r="H154" s="749"/>
      <c r="I154" s="87">
        <f>I118/AVERAGE(I164,I165)*(4/$J$1)</f>
        <v>4.4879040225568122E-2</v>
      </c>
      <c r="J154" s="87">
        <f t="shared" ref="J154:T154" si="36">J118/AVERAGE(J164,J165)*(4/$J$1)</f>
        <v>4.3722981261734885E-2</v>
      </c>
      <c r="K154" s="87">
        <f t="shared" si="36"/>
        <v>8.0862985341381241E-2</v>
      </c>
      <c r="L154" s="87">
        <f t="shared" si="36"/>
        <v>6.6303533911650822E-2</v>
      </c>
      <c r="M154" s="87">
        <f t="shared" si="36"/>
        <v>6.8822764497511776E-2</v>
      </c>
      <c r="N154" s="87">
        <f t="shared" si="36"/>
        <v>0.12494520471324866</v>
      </c>
      <c r="O154" s="88">
        <f t="shared" si="36"/>
        <v>6.0577351175638325E-2</v>
      </c>
      <c r="P154" s="88">
        <f t="shared" si="36"/>
        <v>0.13126376679860227</v>
      </c>
      <c r="Q154" s="88">
        <f t="shared" si="36"/>
        <v>0.18664642847073123</v>
      </c>
      <c r="R154" s="88">
        <f t="shared" si="36"/>
        <v>0.30511045368106104</v>
      </c>
      <c r="S154" s="88">
        <f t="shared" si="36"/>
        <v>0.14097924702431419</v>
      </c>
      <c r="T154" s="88">
        <f t="shared" si="36"/>
        <v>0.20738076279347503</v>
      </c>
      <c r="U154" s="42"/>
    </row>
    <row r="155" spans="1:21" ht="16.5">
      <c r="C155" s="789" t="s">
        <v>154</v>
      </c>
      <c r="D155" s="789"/>
      <c r="E155" s="789"/>
      <c r="F155" s="789"/>
      <c r="G155" s="789"/>
      <c r="H155" s="790"/>
      <c r="I155" s="89">
        <f>+I136/(I102*150%)*(4/$J$1)</f>
        <v>0.1413920020294834</v>
      </c>
      <c r="J155" s="89">
        <f t="shared" ref="J155:T155" si="37">+J136/(J102*150%)*(4/$J$1)</f>
        <v>9.064555983808921E-2</v>
      </c>
      <c r="K155" s="89">
        <f t="shared" si="37"/>
        <v>0.10731876937647405</v>
      </c>
      <c r="L155" s="89">
        <f t="shared" si="37"/>
        <v>0.10864591756984841</v>
      </c>
      <c r="M155" s="89">
        <f t="shared" si="37"/>
        <v>0.180246565190126</v>
      </c>
      <c r="N155" s="89">
        <f t="shared" si="37"/>
        <v>0.19583405569574738</v>
      </c>
      <c r="O155" s="71">
        <f t="shared" si="37"/>
        <v>0.14908181442391474</v>
      </c>
      <c r="P155" s="71">
        <f t="shared" si="37"/>
        <v>0.25180732033869246</v>
      </c>
      <c r="Q155" s="71">
        <f t="shared" si="37"/>
        <v>0.15425083643142282</v>
      </c>
      <c r="R155" s="71">
        <f t="shared" si="37"/>
        <v>0.16891212111973605</v>
      </c>
      <c r="S155" s="71">
        <f t="shared" si="37"/>
        <v>0.21217022316665476</v>
      </c>
      <c r="T155" s="71">
        <f t="shared" si="37"/>
        <v>0.21811115871752362</v>
      </c>
      <c r="U155" s="42"/>
    </row>
    <row r="156" spans="1:21" ht="16.5">
      <c r="C156" s="791" t="s">
        <v>53</v>
      </c>
      <c r="D156" s="791"/>
      <c r="E156" s="793" t="s">
        <v>155</v>
      </c>
      <c r="F156" s="794"/>
      <c r="G156" s="794"/>
      <c r="H156" s="795"/>
      <c r="I156" s="90">
        <f>I133/I165</f>
        <v>0.81395155519634854</v>
      </c>
      <c r="J156" s="90">
        <f t="shared" ref="J156:T156" si="38">J133/J165</f>
        <v>0.42317674761074647</v>
      </c>
      <c r="K156" s="90">
        <f t="shared" si="38"/>
        <v>0.88117485683840768</v>
      </c>
      <c r="L156" s="90">
        <f t="shared" si="38"/>
        <v>0.8802491252967739</v>
      </c>
      <c r="M156" s="90">
        <f t="shared" si="38"/>
        <v>1.0229120759774928</v>
      </c>
      <c r="N156" s="90">
        <f t="shared" si="38"/>
        <v>1.3269467122513237</v>
      </c>
      <c r="O156" s="90">
        <f t="shared" si="38"/>
        <v>0.66352306884618073</v>
      </c>
      <c r="P156" s="90">
        <f t="shared" si="38"/>
        <v>0.92011359013952432</v>
      </c>
      <c r="Q156" s="90">
        <f t="shared" si="38"/>
        <v>1.6856578057552176</v>
      </c>
      <c r="R156" s="90">
        <f t="shared" si="38"/>
        <v>1.9490802760514232</v>
      </c>
      <c r="S156" s="90">
        <f t="shared" si="38"/>
        <v>1.5061164280490489</v>
      </c>
      <c r="T156" s="90">
        <f t="shared" si="38"/>
        <v>1.4533936476225175</v>
      </c>
      <c r="U156" s="42"/>
    </row>
    <row r="157" spans="1:21" ht="16.5">
      <c r="C157" s="792"/>
      <c r="D157" s="792"/>
      <c r="E157" s="796" t="s">
        <v>156</v>
      </c>
      <c r="F157" s="797"/>
      <c r="G157" s="797"/>
      <c r="H157" s="798"/>
      <c r="I157" s="91">
        <f>I133/(I102*150%)</f>
        <v>0.74464985319926691</v>
      </c>
      <c r="J157" s="91">
        <f t="shared" ref="J157:T157" si="39">J133/(J102*150%)</f>
        <v>0.35867928085682993</v>
      </c>
      <c r="K157" s="91">
        <f t="shared" si="39"/>
        <v>0.5037478723142883</v>
      </c>
      <c r="L157" s="91">
        <f t="shared" si="39"/>
        <v>0.46614738273349576</v>
      </c>
      <c r="M157" s="91">
        <f t="shared" si="39"/>
        <v>1.0296040704634855</v>
      </c>
      <c r="N157" s="91">
        <f t="shared" si="39"/>
        <v>0.71462725029269059</v>
      </c>
      <c r="O157" s="91">
        <f t="shared" si="39"/>
        <v>0.89528937343313664</v>
      </c>
      <c r="P157" s="91">
        <f t="shared" si="39"/>
        <v>1.0268690649476675</v>
      </c>
      <c r="Q157" s="91">
        <f t="shared" si="39"/>
        <v>0.7008823394341539</v>
      </c>
      <c r="R157" s="91">
        <f t="shared" si="39"/>
        <v>1.3698244322634809</v>
      </c>
      <c r="S157" s="91">
        <f t="shared" si="39"/>
        <v>0.96849521087721013</v>
      </c>
      <c r="T157" s="91">
        <f t="shared" si="39"/>
        <v>0.86674795068920463</v>
      </c>
      <c r="U157" s="42"/>
    </row>
    <row r="158" spans="1:21" ht="16.5">
      <c r="C158" s="417"/>
      <c r="D158" s="417"/>
      <c r="E158" s="799" t="s">
        <v>157</v>
      </c>
      <c r="F158" s="800"/>
      <c r="G158" s="800"/>
      <c r="H158" s="801"/>
      <c r="I158" s="93">
        <f>I133/(I102*180%)</f>
        <v>0.62054154433272246</v>
      </c>
      <c r="J158" s="93">
        <f t="shared" ref="J158:T158" si="40">J133/(J102*180%)</f>
        <v>0.29889940071402493</v>
      </c>
      <c r="K158" s="93">
        <f t="shared" si="40"/>
        <v>0.41978989359524027</v>
      </c>
      <c r="L158" s="93">
        <f t="shared" si="40"/>
        <v>0.38845615227791314</v>
      </c>
      <c r="M158" s="93">
        <f t="shared" si="40"/>
        <v>0.85800339205290455</v>
      </c>
      <c r="N158" s="93">
        <f t="shared" si="40"/>
        <v>0.5955227085772421</v>
      </c>
      <c r="O158" s="93">
        <f t="shared" si="40"/>
        <v>0.74607447786094716</v>
      </c>
      <c r="P158" s="93">
        <f t="shared" si="40"/>
        <v>0.85572422078972277</v>
      </c>
      <c r="Q158" s="93">
        <f t="shared" si="40"/>
        <v>0.58406861619512829</v>
      </c>
      <c r="R158" s="93">
        <f t="shared" si="40"/>
        <v>1.1415203602195674</v>
      </c>
      <c r="S158" s="93">
        <f t="shared" si="40"/>
        <v>0.80707934239767509</v>
      </c>
      <c r="T158" s="93">
        <f t="shared" si="40"/>
        <v>0.72228995890767056</v>
      </c>
      <c r="U158" s="42"/>
    </row>
    <row r="159" spans="1:21" ht="16.5">
      <c r="C159" s="786" t="s">
        <v>158</v>
      </c>
      <c r="D159" s="802"/>
      <c r="E159" s="805" t="s">
        <v>159</v>
      </c>
      <c r="F159" s="806"/>
      <c r="G159" s="806"/>
      <c r="H159" s="807"/>
      <c r="I159" s="90">
        <f>I137/I165*(4/$J$1)</f>
        <v>7.7427566051163868E-2</v>
      </c>
      <c r="J159" s="90">
        <f t="shared" ref="J159:T159" si="41">J137/J165*(4/$J$1)</f>
        <v>4.4919925045829583E-2</v>
      </c>
      <c r="K159" s="90">
        <f t="shared" si="41"/>
        <v>8.2256480162523182E-2</v>
      </c>
      <c r="L159" s="90">
        <f t="shared" si="41"/>
        <v>8.2323906757462317E-2</v>
      </c>
      <c r="M159" s="90">
        <f t="shared" si="41"/>
        <v>0.10374096151651402</v>
      </c>
      <c r="N159" s="90">
        <f t="shared" si="41"/>
        <v>0.12915669378099293</v>
      </c>
      <c r="O159" s="90">
        <f t="shared" si="41"/>
        <v>6.4595502294608212E-2</v>
      </c>
      <c r="P159" s="90">
        <f t="shared" si="41"/>
        <v>0.10540763099735871</v>
      </c>
      <c r="Q159" s="90">
        <f t="shared" si="41"/>
        <v>0.19303287757080492</v>
      </c>
      <c r="R159" s="90">
        <f t="shared" si="41"/>
        <v>0.20037468757023896</v>
      </c>
      <c r="S159" s="90">
        <f t="shared" si="41"/>
        <v>0.1430329444111193</v>
      </c>
      <c r="T159" s="90">
        <f t="shared" si="41"/>
        <v>0.15417160237864377</v>
      </c>
      <c r="U159" s="42"/>
    </row>
    <row r="160" spans="1:21" ht="16.5">
      <c r="C160" s="768"/>
      <c r="D160" s="803"/>
      <c r="E160" s="796" t="s">
        <v>156</v>
      </c>
      <c r="F160" s="797"/>
      <c r="G160" s="797"/>
      <c r="H160" s="798"/>
      <c r="I160" s="91">
        <f>I137/(I102*150%)*(4/$J$1)</f>
        <v>7.0835205517443017E-2</v>
      </c>
      <c r="J160" s="91">
        <f t="shared" ref="J160:T160" si="42">J137/(J102*150%)*(4/$J$1)</f>
        <v>3.8073562648581832E-2</v>
      </c>
      <c r="K160" s="91">
        <f t="shared" si="42"/>
        <v>4.702418202739557E-2</v>
      </c>
      <c r="L160" s="91">
        <f t="shared" si="42"/>
        <v>4.3595696455193116E-2</v>
      </c>
      <c r="M160" s="91">
        <f t="shared" si="42"/>
        <v>0.10441964540220056</v>
      </c>
      <c r="N160" s="91">
        <f t="shared" si="42"/>
        <v>6.9557347014342366E-2</v>
      </c>
      <c r="O160" s="91">
        <f t="shared" si="42"/>
        <v>8.715848700860343E-2</v>
      </c>
      <c r="P160" s="91">
        <f t="shared" si="42"/>
        <v>0.11763747067815097</v>
      </c>
      <c r="Q160" s="91">
        <f t="shared" si="42"/>
        <v>8.0261447108428682E-2</v>
      </c>
      <c r="R160" s="91">
        <f t="shared" si="42"/>
        <v>0.14082444218097118</v>
      </c>
      <c r="S160" s="91">
        <f t="shared" si="42"/>
        <v>9.1976104290473829E-2</v>
      </c>
      <c r="T160" s="91">
        <f t="shared" si="42"/>
        <v>9.1942001146592942E-2</v>
      </c>
      <c r="U160" s="42"/>
    </row>
    <row r="161" spans="1:21" ht="16.5">
      <c r="C161" s="769"/>
      <c r="D161" s="804"/>
      <c r="E161" s="726" t="s">
        <v>157</v>
      </c>
      <c r="F161" s="727"/>
      <c r="G161" s="727"/>
      <c r="H161" s="728"/>
      <c r="I161" s="93">
        <f>I137/(I102*180%)*(4/$J$1)</f>
        <v>5.9029337931202519E-2</v>
      </c>
      <c r="J161" s="93">
        <f t="shared" ref="J161:T161" si="43">J137/(J102*180%)*(4/$J$1)</f>
        <v>3.1727968873818194E-2</v>
      </c>
      <c r="K161" s="93">
        <f t="shared" si="43"/>
        <v>3.9186818356162972E-2</v>
      </c>
      <c r="L161" s="93">
        <f t="shared" si="43"/>
        <v>3.632974704599426E-2</v>
      </c>
      <c r="M161" s="93">
        <f t="shared" si="43"/>
        <v>8.7016371168500459E-2</v>
      </c>
      <c r="N161" s="93">
        <f t="shared" si="43"/>
        <v>5.7964455845285305E-2</v>
      </c>
      <c r="O161" s="93">
        <f t="shared" si="43"/>
        <v>7.2632072507169521E-2</v>
      </c>
      <c r="P161" s="93">
        <f t="shared" si="43"/>
        <v>9.8031225565125807E-2</v>
      </c>
      <c r="Q161" s="93">
        <f t="shared" si="43"/>
        <v>6.6884539257023909E-2</v>
      </c>
      <c r="R161" s="93">
        <f t="shared" si="43"/>
        <v>0.11735370181747598</v>
      </c>
      <c r="S161" s="93">
        <f t="shared" si="43"/>
        <v>7.6646753575394855E-2</v>
      </c>
      <c r="T161" s="93">
        <f t="shared" si="43"/>
        <v>7.6618334288827444E-2</v>
      </c>
      <c r="U161" s="42"/>
    </row>
    <row r="162" spans="1:21" ht="16.5">
      <c r="C162" s="83" t="s">
        <v>160</v>
      </c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</row>
    <row r="163" spans="1:21" ht="16.5"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</row>
    <row r="164" spans="1:21" ht="16.5">
      <c r="A164" s="5">
        <f>DATA!S1</f>
        <v>19</v>
      </c>
      <c r="C164" s="42"/>
      <c r="D164" s="42"/>
      <c r="E164" s="5" t="s">
        <v>132</v>
      </c>
      <c r="F164" s="42"/>
      <c r="G164" s="42"/>
      <c r="H164" s="42"/>
      <c r="I164" s="1">
        <f>VLOOKUP($I$1&amp;I$8,DATA!$A:$EB,'2412'!$A164,0)/100</f>
        <v>30190.270635449997</v>
      </c>
      <c r="J164" s="1">
        <f>VLOOKUP($I$1&amp;J$8,DATA!$A:$EB,'2412'!$A164,0)/100</f>
        <v>375277.25</v>
      </c>
      <c r="K164" s="95">
        <f>VLOOKUP($I$1&amp;K$8,DATA!$A:$EB,'2412'!$A164,0)/100</f>
        <v>99757.553596950005</v>
      </c>
      <c r="L164" s="95">
        <f>VLOOKUP($I$1&amp;L$8,DATA!$A:$EB,'2412'!$A164,0)/100</f>
        <v>113871.17872621</v>
      </c>
      <c r="M164" s="95">
        <f>VLOOKUP($I$1&amp;M$8,DATA!$A:$EB,'2412'!$A164,0)/100</f>
        <v>84465.49</v>
      </c>
      <c r="N164" s="95">
        <f>VLOOKUP($I$1&amp;N$8,DATA!$A:$EB,'2412'!$A164,0)/100</f>
        <v>29517.468177609997</v>
      </c>
      <c r="O164" s="95">
        <f>VLOOKUP($I$1&amp;O$8,DATA!$A:$EB,'2412'!$A164,0)/100</f>
        <v>53635.06</v>
      </c>
      <c r="P164" s="95">
        <f>VLOOKUP($I$1&amp;P$8,DATA!$A:$EB,'2412'!$A164,0)/100</f>
        <v>159051.75466966</v>
      </c>
      <c r="Q164" s="95">
        <f>VLOOKUP($I$1&amp;Q$8,DATA!$A:$EB,'2412'!$A164,0)/100</f>
        <v>61170.945339739999</v>
      </c>
      <c r="R164" s="95">
        <f>VLOOKUP($I$1&amp;R$8,DATA!$A:$EB,'2412'!$A164,0)/100</f>
        <v>54725.736529829999</v>
      </c>
      <c r="S164" s="95">
        <f>VLOOKUP($I$1&amp;S$8,DATA!$A:$EB,'2412'!$A164,0)/100</f>
        <v>62978.16</v>
      </c>
      <c r="T164" s="95">
        <f>VLOOKUP($I$1&amp;T$8,DATA!$A:$EB,'2412'!$A164,0)/100</f>
        <v>86755.500188200007</v>
      </c>
      <c r="U164" s="42"/>
    </row>
    <row r="165" spans="1:21" ht="16.5">
      <c r="A165" s="5">
        <f>DATA!O1</f>
        <v>15</v>
      </c>
      <c r="C165"/>
      <c r="D165"/>
      <c r="E165" s="5" t="s">
        <v>133</v>
      </c>
      <c r="F165"/>
      <c r="G165"/>
      <c r="H165"/>
      <c r="I165" s="1">
        <f>VLOOKUP($I$1&amp;I$8,DATA!$A:$EB,'2412'!$A165,0)/100</f>
        <v>25532.379497679998</v>
      </c>
      <c r="J165" s="1">
        <f>VLOOKUP($I$1&amp;J$8,DATA!$A:$EB,'2412'!$A165,0)/100</f>
        <v>304884.96999999997</v>
      </c>
      <c r="K165" s="95">
        <f>VLOOKUP($I$1&amp;K$8,DATA!$A:$EB,'2412'!$A165,0)/100</f>
        <v>73062.207234319998</v>
      </c>
      <c r="L165" s="95">
        <f>VLOOKUP($I$1&amp;L$8,DATA!$A:$EB,'2412'!$A165,0)/100</f>
        <v>103483.67</v>
      </c>
      <c r="M165" s="95">
        <f>VLOOKUP($I$1&amp;M$8,DATA!$A:$EB,'2412'!$A165,0)/100</f>
        <v>70623.02</v>
      </c>
      <c r="N165" s="95">
        <f>VLOOKUP($I$1&amp;N$8,DATA!$A:$EB,'2412'!$A165,0)/100</f>
        <v>20129.580000000002</v>
      </c>
      <c r="O165" s="95">
        <f>VLOOKUP($I$1&amp;O$8,DATA!$A:$EB,'2412'!$A165,0)/100</f>
        <v>45371.58</v>
      </c>
      <c r="P165" s="95">
        <f>VLOOKUP($I$1&amp;P$8,DATA!$A:$EB,'2412'!$A165,0)/100</f>
        <v>152958.37547477</v>
      </c>
      <c r="Q165" s="95">
        <f>VLOOKUP($I$1&amp;Q$8,DATA!$A:$EB,'2412'!$A165,0)/100</f>
        <v>49271.490534100005</v>
      </c>
      <c r="R165" s="95">
        <f>VLOOKUP($I$1&amp;R$8,DATA!$A:$EB,'2412'!$A165,0)/100</f>
        <v>57400.863050469998</v>
      </c>
      <c r="S165" s="95">
        <f>VLOOKUP($I$1&amp;S$8,DATA!$A:$EB,'2412'!$A165,0)/100</f>
        <v>58564.41</v>
      </c>
      <c r="T165" s="95">
        <f>VLOOKUP($I$1&amp;T$8,DATA!$A:$EB,'2412'!$A165,0)/100</f>
        <v>84159.986663000003</v>
      </c>
      <c r="U165"/>
    </row>
    <row r="166" spans="1:21" ht="16.5"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</row>
    <row r="167" spans="1:21" ht="16.5">
      <c r="C167"/>
      <c r="D167"/>
      <c r="E167"/>
      <c r="F167"/>
      <c r="G167"/>
      <c r="H167"/>
      <c r="I167"/>
      <c r="J167"/>
      <c r="K167"/>
      <c r="L167"/>
      <c r="M167"/>
      <c r="N167"/>
      <c r="O167" s="94"/>
      <c r="P167"/>
      <c r="Q167"/>
      <c r="R167"/>
      <c r="S167"/>
      <c r="T167" s="94"/>
      <c r="U167"/>
    </row>
    <row r="168" spans="1:21">
      <c r="I168" s="8" t="e">
        <f>'2403'!I110</f>
        <v>#N/A</v>
      </c>
      <c r="J168" s="8" t="e">
        <f>'2403'!J110</f>
        <v>#N/A</v>
      </c>
      <c r="K168" s="16" t="e">
        <f>'2403'!K110</f>
        <v>#N/A</v>
      </c>
      <c r="L168" s="16" t="e">
        <f>'2403'!L110</f>
        <v>#N/A</v>
      </c>
      <c r="M168" s="16" t="e">
        <f>'2403'!M110</f>
        <v>#N/A</v>
      </c>
      <c r="N168" s="16" t="e">
        <f>'2403'!N110</f>
        <v>#N/A</v>
      </c>
      <c r="O168" s="8" t="e">
        <f>'2403'!O110</f>
        <v>#N/A</v>
      </c>
      <c r="P168" s="8" t="e">
        <f>'2403'!P110</f>
        <v>#N/A</v>
      </c>
      <c r="Q168" s="8" t="e">
        <f>'2403'!Q110</f>
        <v>#N/A</v>
      </c>
      <c r="R168" s="8" t="e">
        <f>'2403'!R110</f>
        <v>#N/A</v>
      </c>
      <c r="S168" s="8" t="e">
        <f>'2403'!S110</f>
        <v>#N/A</v>
      </c>
      <c r="T168" s="8" t="e">
        <f>'2403'!T110</f>
        <v>#N/A</v>
      </c>
    </row>
    <row r="171" spans="1:21">
      <c r="C171" s="5" t="s">
        <v>1013</v>
      </c>
    </row>
    <row r="173" spans="1:21" ht="16.5">
      <c r="C173" s="729" t="s">
        <v>105</v>
      </c>
      <c r="D173" s="729"/>
      <c r="E173" s="729"/>
      <c r="F173" s="729"/>
      <c r="G173" s="729"/>
      <c r="H173" s="730"/>
      <c r="I173" s="45" t="s">
        <v>124</v>
      </c>
      <c r="J173" s="45" t="s">
        <v>136</v>
      </c>
      <c r="K173" s="45" t="s">
        <v>137</v>
      </c>
      <c r="L173" s="45" t="s">
        <v>138</v>
      </c>
      <c r="M173" s="45" t="s">
        <v>4</v>
      </c>
      <c r="N173" s="45" t="s">
        <v>139</v>
      </c>
      <c r="O173" s="46" t="s">
        <v>6</v>
      </c>
      <c r="P173" s="46" t="s">
        <v>106</v>
      </c>
      <c r="Q173" s="46" t="s">
        <v>107</v>
      </c>
      <c r="R173" s="46" t="s">
        <v>108</v>
      </c>
      <c r="S173" s="46" t="s">
        <v>109</v>
      </c>
      <c r="T173" s="46" t="s">
        <v>110</v>
      </c>
      <c r="U173" s="42"/>
    </row>
    <row r="174" spans="1:21" ht="16.5">
      <c r="C174" s="748" t="s">
        <v>131</v>
      </c>
      <c r="D174" s="748"/>
      <c r="E174" s="748"/>
      <c r="F174" s="748"/>
      <c r="G174" s="748"/>
      <c r="H174" s="749"/>
      <c r="I174" s="87"/>
      <c r="J174" s="87"/>
      <c r="K174" s="87"/>
      <c r="L174" s="87"/>
      <c r="M174" s="87"/>
      <c r="N174" s="87"/>
      <c r="O174" s="88"/>
      <c r="P174" s="88"/>
      <c r="Q174" s="88"/>
      <c r="R174" s="88"/>
      <c r="S174" s="88"/>
      <c r="T174" s="88"/>
      <c r="U174" s="42"/>
    </row>
    <row r="175" spans="1:21" ht="16.5">
      <c r="C175" s="789" t="s">
        <v>154</v>
      </c>
      <c r="D175" s="789"/>
      <c r="E175" s="789"/>
      <c r="F175" s="789"/>
      <c r="G175" s="789"/>
      <c r="H175" s="790"/>
      <c r="I175" s="89"/>
      <c r="J175" s="89"/>
      <c r="K175" s="89"/>
      <c r="L175" s="89"/>
      <c r="M175" s="89"/>
      <c r="N175" s="89"/>
      <c r="O175" s="71"/>
      <c r="P175" s="71"/>
      <c r="Q175" s="71"/>
      <c r="R175" s="71"/>
      <c r="S175" s="71"/>
      <c r="T175" s="71"/>
      <c r="U175" s="42"/>
    </row>
    <row r="176" spans="1:21" ht="16.5">
      <c r="C176" s="791" t="s">
        <v>53</v>
      </c>
      <c r="D176" s="791"/>
      <c r="E176" s="793" t="s">
        <v>155</v>
      </c>
      <c r="F176" s="794"/>
      <c r="G176" s="794"/>
      <c r="H176" s="795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42"/>
    </row>
    <row r="177" spans="3:21" ht="16.5">
      <c r="C177" s="792"/>
      <c r="D177" s="792"/>
      <c r="E177" s="796" t="s">
        <v>156</v>
      </c>
      <c r="F177" s="797"/>
      <c r="G177" s="797"/>
      <c r="H177" s="798"/>
      <c r="I177" s="91">
        <f>I133/(I102*150%)</f>
        <v>0.74464985319926691</v>
      </c>
      <c r="J177" s="91">
        <f t="shared" ref="J177:T177" si="44">J133/(J102*150%)</f>
        <v>0.35867928085682993</v>
      </c>
      <c r="K177" s="91">
        <f t="shared" si="44"/>
        <v>0.5037478723142883</v>
      </c>
      <c r="L177" s="91">
        <f t="shared" si="44"/>
        <v>0.46614738273349576</v>
      </c>
      <c r="M177" s="91">
        <f t="shared" si="44"/>
        <v>1.0296040704634855</v>
      </c>
      <c r="N177" s="91">
        <f t="shared" si="44"/>
        <v>0.71462725029269059</v>
      </c>
      <c r="O177" s="91">
        <f t="shared" si="44"/>
        <v>0.89528937343313664</v>
      </c>
      <c r="P177" s="91">
        <f t="shared" si="44"/>
        <v>1.0268690649476675</v>
      </c>
      <c r="Q177" s="91">
        <f t="shared" si="44"/>
        <v>0.7008823394341539</v>
      </c>
      <c r="R177" s="91">
        <f t="shared" si="44"/>
        <v>1.3698244322634809</v>
      </c>
      <c r="S177" s="91">
        <f t="shared" si="44"/>
        <v>0.96849521087721013</v>
      </c>
      <c r="T177" s="91">
        <f t="shared" si="44"/>
        <v>0.86674795068920463</v>
      </c>
      <c r="U177" s="42"/>
    </row>
    <row r="178" spans="3:21" ht="16.5">
      <c r="C178" s="417"/>
      <c r="D178" s="417"/>
      <c r="E178" s="799" t="s">
        <v>157</v>
      </c>
      <c r="F178" s="800"/>
      <c r="G178" s="800"/>
      <c r="H178" s="801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42"/>
    </row>
    <row r="179" spans="3:21" ht="16.5">
      <c r="C179" s="786" t="s">
        <v>158</v>
      </c>
      <c r="D179" s="802"/>
      <c r="E179" s="805" t="s">
        <v>159</v>
      </c>
      <c r="F179" s="806"/>
      <c r="G179" s="806"/>
      <c r="H179" s="807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42"/>
    </row>
    <row r="180" spans="3:21" ht="16.5">
      <c r="C180" s="768"/>
      <c r="D180" s="803"/>
      <c r="E180" s="796" t="s">
        <v>156</v>
      </c>
      <c r="F180" s="797"/>
      <c r="G180" s="797"/>
      <c r="H180" s="798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42"/>
    </row>
    <row r="181" spans="3:21" ht="16.5">
      <c r="C181" s="769"/>
      <c r="D181" s="804"/>
      <c r="E181" s="726" t="s">
        <v>157</v>
      </c>
      <c r="F181" s="727"/>
      <c r="G181" s="727"/>
      <c r="H181" s="728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42"/>
    </row>
    <row r="182" spans="3:21" ht="16.5">
      <c r="C182" s="83" t="s">
        <v>160</v>
      </c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</row>
    <row r="183" spans="3:21">
      <c r="C183" s="5" t="s">
        <v>133</v>
      </c>
      <c r="E183" s="796" t="s">
        <v>156</v>
      </c>
      <c r="F183" s="797"/>
      <c r="G183" s="797"/>
      <c r="H183" s="798"/>
      <c r="I183" s="8">
        <f>I165/(I102*150%)</f>
        <v>0.91485770675827993</v>
      </c>
      <c r="J183" s="8">
        <f t="shared" ref="J183:T183" si="45">J165/(J102*150%)</f>
        <v>0.84758740380214925</v>
      </c>
      <c r="K183" s="8">
        <f t="shared" si="45"/>
        <v>0.57167753755673378</v>
      </c>
      <c r="L183" s="8">
        <f t="shared" si="45"/>
        <v>0.52956301726097743</v>
      </c>
      <c r="M183" s="8">
        <f t="shared" si="45"/>
        <v>1.0065421013625222</v>
      </c>
      <c r="N183" s="8">
        <f t="shared" si="45"/>
        <v>0.53855007416254119</v>
      </c>
      <c r="O183" s="8">
        <f t="shared" si="45"/>
        <v>1.3492965285893992</v>
      </c>
      <c r="P183" s="8">
        <f t="shared" si="45"/>
        <v>1.11602423434693</v>
      </c>
      <c r="Q183" s="8">
        <f t="shared" si="45"/>
        <v>0.41579159010872957</v>
      </c>
      <c r="R183" s="8">
        <f t="shared" si="45"/>
        <v>0.7028055483884752</v>
      </c>
      <c r="S183" s="8">
        <f t="shared" si="45"/>
        <v>0.64304139629613655</v>
      </c>
      <c r="T183" s="8">
        <f t="shared" si="45"/>
        <v>0.59636145521004824</v>
      </c>
    </row>
    <row r="186" spans="3:21">
      <c r="N186" s="298">
        <f>AVERAGE(J177:O177)</f>
        <v>0.66134920501565453</v>
      </c>
      <c r="O186" s="298">
        <f>AVERAGE(P177:T177)</f>
        <v>0.98656379964234342</v>
      </c>
    </row>
    <row r="187" spans="3:21">
      <c r="N187" s="298">
        <f>AVERAGE(J183:O183)</f>
        <v>0.80720277712238719</v>
      </c>
      <c r="O187" s="298">
        <f>AVERAGE(P183:T183)</f>
        <v>0.69480484487006389</v>
      </c>
    </row>
    <row r="189" spans="3:21" ht="15" customHeight="1"/>
    <row r="190" spans="3:21" ht="15" customHeight="1"/>
  </sheetData>
  <mergeCells count="92">
    <mergeCell ref="C13:H13"/>
    <mergeCell ref="C8:H8"/>
    <mergeCell ref="C9:H9"/>
    <mergeCell ref="C10:H10"/>
    <mergeCell ref="C11:H11"/>
    <mergeCell ref="C12:H12"/>
    <mergeCell ref="C25:H25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D72:H72"/>
    <mergeCell ref="C26:H26"/>
    <mergeCell ref="C29:H29"/>
    <mergeCell ref="C62:H62"/>
    <mergeCell ref="C63:H63"/>
    <mergeCell ref="C64:H64"/>
    <mergeCell ref="C65:H65"/>
    <mergeCell ref="C66:H66"/>
    <mergeCell ref="C67:H67"/>
    <mergeCell ref="C68:H68"/>
    <mergeCell ref="D69:H69"/>
    <mergeCell ref="C71:H71"/>
    <mergeCell ref="C102:H102"/>
    <mergeCell ref="C74:H74"/>
    <mergeCell ref="C75:H75"/>
    <mergeCell ref="C84:H84"/>
    <mergeCell ref="C85:H85"/>
    <mergeCell ref="C91:H91"/>
    <mergeCell ref="C92:H92"/>
    <mergeCell ref="C93:H93"/>
    <mergeCell ref="C94:H94"/>
    <mergeCell ref="C99:H99"/>
    <mergeCell ref="C100:H100"/>
    <mergeCell ref="C101:H101"/>
    <mergeCell ref="C108:H108"/>
    <mergeCell ref="C109:H109"/>
    <mergeCell ref="D110:H110"/>
    <mergeCell ref="D111:H111"/>
    <mergeCell ref="D112:E113"/>
    <mergeCell ref="F112:H112"/>
    <mergeCell ref="F113:H113"/>
    <mergeCell ref="C138:H138"/>
    <mergeCell ref="C114:H114"/>
    <mergeCell ref="C115:H115"/>
    <mergeCell ref="C116:H116"/>
    <mergeCell ref="C117:H117"/>
    <mergeCell ref="C118:H118"/>
    <mergeCell ref="C132:H132"/>
    <mergeCell ref="C133:H133"/>
    <mergeCell ref="C134:H134"/>
    <mergeCell ref="C135:H135"/>
    <mergeCell ref="C136:H136"/>
    <mergeCell ref="C137:H137"/>
    <mergeCell ref="C156:D157"/>
    <mergeCell ref="E156:H156"/>
    <mergeCell ref="E157:H157"/>
    <mergeCell ref="C139:H139"/>
    <mergeCell ref="C140:E143"/>
    <mergeCell ref="F140:H140"/>
    <mergeCell ref="F141:H141"/>
    <mergeCell ref="F142:H142"/>
    <mergeCell ref="P142:P143"/>
    <mergeCell ref="F143:H143"/>
    <mergeCell ref="C153:H153"/>
    <mergeCell ref="C154:H154"/>
    <mergeCell ref="C155:H155"/>
    <mergeCell ref="J142:J143"/>
    <mergeCell ref="E178:H178"/>
    <mergeCell ref="E158:H158"/>
    <mergeCell ref="C159:D161"/>
    <mergeCell ref="E159:H159"/>
    <mergeCell ref="E160:H160"/>
    <mergeCell ref="E161:H161"/>
    <mergeCell ref="C173:H173"/>
    <mergeCell ref="C174:H174"/>
    <mergeCell ref="C175:H175"/>
    <mergeCell ref="C176:D177"/>
    <mergeCell ref="E176:H176"/>
    <mergeCell ref="E177:H177"/>
    <mergeCell ref="C179:D181"/>
    <mergeCell ref="E179:H179"/>
    <mergeCell ref="E180:H180"/>
    <mergeCell ref="E181:H181"/>
    <mergeCell ref="E183:H183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0"/>
  <sheetViews>
    <sheetView showGridLines="0" topLeftCell="A123" workbookViewId="0">
      <selection activeCell="A164" sqref="A164"/>
    </sheetView>
  </sheetViews>
  <sheetFormatPr defaultRowHeight="15"/>
  <cols>
    <col min="1" max="2" width="9" style="5"/>
    <col min="3" max="8" width="5.25" style="5" customWidth="1"/>
    <col min="9" max="15" width="16.625" style="5" customWidth="1"/>
    <col min="16" max="20" width="14" style="5" customWidth="1"/>
    <col min="21" max="16384" width="9" style="5"/>
  </cols>
  <sheetData>
    <row r="1" spans="1:20">
      <c r="C1" s="5" t="s">
        <v>102</v>
      </c>
      <c r="I1" s="17">
        <v>2312</v>
      </c>
      <c r="J1" s="5">
        <f>ROUNDUP(RIGHT(I1,2)/3,0)</f>
        <v>4</v>
      </c>
    </row>
    <row r="4" spans="1:20" ht="18.75">
      <c r="C4" s="7" t="s">
        <v>103</v>
      </c>
    </row>
    <row r="7" spans="1:20">
      <c r="O7" s="5" t="s">
        <v>104</v>
      </c>
    </row>
    <row r="8" spans="1:20" ht="16.5" customHeight="1">
      <c r="C8" s="756" t="s">
        <v>105</v>
      </c>
      <c r="D8" s="756"/>
      <c r="E8" s="756"/>
      <c r="F8" s="756"/>
      <c r="G8" s="756"/>
      <c r="H8" s="757"/>
      <c r="I8" s="18" t="s">
        <v>0</v>
      </c>
      <c r="J8" s="18" t="s">
        <v>1</v>
      </c>
      <c r="K8" s="18" t="s">
        <v>2</v>
      </c>
      <c r="L8" s="18" t="s">
        <v>3</v>
      </c>
      <c r="M8" s="18" t="s">
        <v>4</v>
      </c>
      <c r="N8" s="18" t="s">
        <v>5</v>
      </c>
      <c r="O8" s="19" t="s">
        <v>6</v>
      </c>
      <c r="P8" s="18" t="s">
        <v>106</v>
      </c>
      <c r="Q8" s="18" t="s">
        <v>107</v>
      </c>
      <c r="R8" s="18" t="s">
        <v>108</v>
      </c>
      <c r="S8" s="18" t="s">
        <v>109</v>
      </c>
      <c r="T8" s="19" t="s">
        <v>110</v>
      </c>
    </row>
    <row r="9" spans="1:20">
      <c r="A9" s="5">
        <f>DATA!D$1</f>
        <v>4</v>
      </c>
      <c r="C9" s="758" t="s">
        <v>140</v>
      </c>
      <c r="D9" s="758"/>
      <c r="E9" s="758"/>
      <c r="F9" s="758"/>
      <c r="G9" s="758"/>
      <c r="H9" s="759"/>
      <c r="I9" s="27">
        <f>VLOOKUP($I$1&amp;I$8,DATA!$A:$EB,'2312'!$A9,0)/100</f>
        <v>330461.93024997</v>
      </c>
      <c r="J9" s="28">
        <f>VLOOKUP($I$1&amp;J$8,DATA!$A:$EB,'2312'!$A9,0)/100</f>
        <v>2794740.86</v>
      </c>
      <c r="K9" s="28">
        <f>VLOOKUP($I$1&amp;K$8,DATA!$A:$EB,'2312'!$A9,0)/100</f>
        <v>1150025.4404986301</v>
      </c>
      <c r="L9" s="28">
        <f>VLOOKUP($I$1&amp;L$8,DATA!$A:$EB,'2312'!$A9,0)/100</f>
        <v>1147931.01717269</v>
      </c>
      <c r="M9" s="28">
        <f>VLOOKUP($I$1&amp;M$8,DATA!$A:$EB,'2312'!$A9,0)/100</f>
        <v>585083.15</v>
      </c>
      <c r="N9" s="28">
        <f>VLOOKUP($I$1&amp;N$8,DATA!$A:$EB,'2312'!$A9,0)/100</f>
        <v>328956.65240515</v>
      </c>
      <c r="O9" s="28">
        <f>VLOOKUP($I$1&amp;O$8,DATA!$A:$EB,'2312'!$A9,0)/100</f>
        <v>316341.38</v>
      </c>
      <c r="P9" s="28">
        <f>VLOOKUP($I$1&amp;P$8,DATA!$A:$EB,'2312'!$A9,0)/100</f>
        <v>836174.00318566989</v>
      </c>
      <c r="Q9" s="28">
        <f>VLOOKUP($I$1&amp;Q$8,DATA!$A:$EB,'2312'!$A9,0)/100</f>
        <v>437584.62213117001</v>
      </c>
      <c r="R9" s="28">
        <f>VLOOKUP($I$1&amp;R$8,DATA!$A:$EB,'2312'!$A9,0)/100</f>
        <v>394038.62443763</v>
      </c>
      <c r="S9" s="28">
        <f>VLOOKUP($I$1&amp;S$8,DATA!$A:$EB,'2312'!$A9,0)/100</f>
        <v>376480.92</v>
      </c>
      <c r="T9" s="27">
        <f>VLOOKUP($I$1&amp;T$8,DATA!$A:$EB,'2312'!$A9,0)/100</f>
        <v>485135.27683124994</v>
      </c>
    </row>
    <row r="10" spans="1:20">
      <c r="A10" s="21">
        <f>DATA!E1</f>
        <v>5</v>
      </c>
      <c r="C10" s="737" t="s">
        <v>111</v>
      </c>
      <c r="D10" s="737"/>
      <c r="E10" s="737"/>
      <c r="F10" s="737"/>
      <c r="G10" s="737"/>
      <c r="H10" s="738"/>
      <c r="I10" s="29">
        <f>VLOOKUP($I$1&amp;I$8,DATA!$A:$EB,'2312'!$A10,0)/100</f>
        <v>158502.38187469999</v>
      </c>
      <c r="J10" s="30">
        <f>VLOOKUP($I$1&amp;J$8,DATA!$A:$EB,'2312'!$A10,0)/100</f>
        <v>366684.57</v>
      </c>
      <c r="K10" s="30">
        <f>VLOOKUP($I$1&amp;K$8,DATA!$A:$EB,'2312'!$A10,0)/100</f>
        <v>341534.91484437999</v>
      </c>
      <c r="L10" s="30">
        <f>VLOOKUP($I$1&amp;L$8,DATA!$A:$EB,'2312'!$A10,0)/100</f>
        <v>279805.58639954997</v>
      </c>
      <c r="M10" s="30">
        <f>VLOOKUP($I$1&amp;M$8,DATA!$A:$EB,'2312'!$A10,0)/100</f>
        <v>114787</v>
      </c>
      <c r="N10" s="30">
        <f>VLOOKUP($I$1&amp;N$8,DATA!$A:$EB,'2312'!$A10,0)/100</f>
        <v>54016.529200250006</v>
      </c>
      <c r="O10" s="30">
        <f>VLOOKUP($I$1&amp;O$8,DATA!$A:$EB,'2312'!$A10,0)/100</f>
        <v>82977.509999999995</v>
      </c>
      <c r="P10" s="30">
        <f>VLOOKUP($I$1&amp;P$8,DATA!$A:$EB,'2312'!$A10,0)/100</f>
        <v>114824.30335878</v>
      </c>
      <c r="Q10" s="30">
        <f>VLOOKUP($I$1&amp;Q$8,DATA!$A:$EB,'2312'!$A10,0)/100</f>
        <v>90033.116098169994</v>
      </c>
      <c r="R10" s="30">
        <f>VLOOKUP($I$1&amp;R$8,DATA!$A:$EB,'2312'!$A10,0)/100</f>
        <v>80520.71734624001</v>
      </c>
      <c r="S10" s="30">
        <f>VLOOKUP($I$1&amp;S$8,DATA!$A:$EB,'2312'!$A10,0)/100</f>
        <v>91422.51</v>
      </c>
      <c r="T10" s="29">
        <f>VLOOKUP($I$1&amp;T$8,DATA!$A:$EB,'2312'!$A10,0)/100</f>
        <v>111833.49499132</v>
      </c>
    </row>
    <row r="11" spans="1:20">
      <c r="C11" s="737" t="s">
        <v>116</v>
      </c>
      <c r="D11" s="737"/>
      <c r="E11" s="737"/>
      <c r="F11" s="737"/>
      <c r="G11" s="737"/>
      <c r="H11" s="738"/>
      <c r="I11" s="31">
        <f>I10/I9</f>
        <v>0.47963885508628684</v>
      </c>
      <c r="J11" s="32">
        <f t="shared" ref="J11:T11" si="0">J10/J9</f>
        <v>0.13120521306580105</v>
      </c>
      <c r="K11" s="32">
        <f t="shared" si="0"/>
        <v>0.29698031262360308</v>
      </c>
      <c r="L11" s="32">
        <f t="shared" si="0"/>
        <v>0.24374773589505436</v>
      </c>
      <c r="M11" s="32">
        <f t="shared" si="0"/>
        <v>0.19618920832021911</v>
      </c>
      <c r="N11" s="32">
        <f t="shared" si="0"/>
        <v>0.16420561434253075</v>
      </c>
      <c r="O11" s="32">
        <f t="shared" si="0"/>
        <v>0.26230368597367815</v>
      </c>
      <c r="P11" s="32">
        <f t="shared" si="0"/>
        <v>0.13732106346444689</v>
      </c>
      <c r="Q11" s="32">
        <f t="shared" si="0"/>
        <v>0.2057501830381547</v>
      </c>
      <c r="R11" s="32">
        <f t="shared" si="0"/>
        <v>0.20434727042598624</v>
      </c>
      <c r="S11" s="32">
        <f t="shared" si="0"/>
        <v>0.24283437790154147</v>
      </c>
      <c r="T11" s="31">
        <f t="shared" si="0"/>
        <v>0.23052022875306241</v>
      </c>
    </row>
    <row r="12" spans="1:20">
      <c r="A12" s="5">
        <f>DATA!F1</f>
        <v>6</v>
      </c>
      <c r="C12" s="737" t="s">
        <v>112</v>
      </c>
      <c r="D12" s="737"/>
      <c r="E12" s="737"/>
      <c r="F12" s="737"/>
      <c r="G12" s="737"/>
      <c r="H12" s="738"/>
      <c r="I12" s="29">
        <f>VLOOKUP($I$1&amp;I$8,DATA!$A:$EB,'2312'!$A12,0)/100</f>
        <v>112264.54380746999</v>
      </c>
      <c r="J12" s="30">
        <f>VLOOKUP($I$1&amp;J$8,DATA!$A:$EB,'2312'!$A12,0)/100</f>
        <v>1662264.5</v>
      </c>
      <c r="K12" s="30">
        <f>VLOOKUP($I$1&amp;K$8,DATA!$A:$EB,'2312'!$A12,0)/100</f>
        <v>497243.60239462001</v>
      </c>
      <c r="L12" s="30">
        <f>VLOOKUP($I$1&amp;L$8,DATA!$A:$EB,'2312'!$A12,0)/100</f>
        <v>394616.015549</v>
      </c>
      <c r="M12" s="30">
        <f>VLOOKUP($I$1&amp;M$8,DATA!$A:$EB,'2312'!$A12,0)/100</f>
        <v>353455.75</v>
      </c>
      <c r="N12" s="30">
        <f>VLOOKUP($I$1&amp;N$8,DATA!$A:$EB,'2312'!$A12,0)/100</f>
        <v>185706.67309792002</v>
      </c>
      <c r="O12" s="30">
        <f>VLOOKUP($I$1&amp;O$8,DATA!$A:$EB,'2312'!$A12,0)/100</f>
        <v>194665.21</v>
      </c>
      <c r="P12" s="30">
        <f>VLOOKUP($I$1&amp;P$8,DATA!$A:$EB,'2312'!$A12,0)/100</f>
        <v>377199.97078624001</v>
      </c>
      <c r="Q12" s="30">
        <f>VLOOKUP($I$1&amp;Q$8,DATA!$A:$EB,'2312'!$A12,0)/100</f>
        <v>195147.80694499999</v>
      </c>
      <c r="R12" s="30">
        <f>VLOOKUP($I$1&amp;R$8,DATA!$A:$EB,'2312'!$A12,0)/100</f>
        <v>261025.75035675999</v>
      </c>
      <c r="S12" s="30">
        <f>VLOOKUP($I$1&amp;S$8,DATA!$A:$EB,'2312'!$A12,0)/100</f>
        <v>180350.12</v>
      </c>
      <c r="T12" s="29">
        <f>VLOOKUP($I$1&amp;T$8,DATA!$A:$EB,'2312'!$A12,0)/100</f>
        <v>195451.90388693998</v>
      </c>
    </row>
    <row r="13" spans="1:20" ht="15" customHeight="1">
      <c r="A13" s="5">
        <f>DATA!G1</f>
        <v>7</v>
      </c>
      <c r="C13" s="760" t="s">
        <v>113</v>
      </c>
      <c r="D13" s="760"/>
      <c r="E13" s="760"/>
      <c r="F13" s="760"/>
      <c r="G13" s="760"/>
      <c r="H13" s="761"/>
      <c r="I13" s="33">
        <f>VLOOKUP($I$1&amp;I$8,DATA!$A:$EB,'2312'!$A13,0)/100</f>
        <v>41934.673761689999</v>
      </c>
      <c r="J13" s="34">
        <f>VLOOKUP($I$1&amp;J$8,DATA!$A:$EB,'2312'!$A13,0)/100</f>
        <v>496145.33</v>
      </c>
      <c r="K13" s="34">
        <f>VLOOKUP($I$1&amp;K$8,DATA!$A:$EB,'2312'!$A13,0)/100</f>
        <v>214635.04771094996</v>
      </c>
      <c r="L13" s="34">
        <f>VLOOKUP($I$1&amp;L$8,DATA!$A:$EB,'2312'!$A13,0)/100</f>
        <v>293632.51169466</v>
      </c>
      <c r="M13" s="34">
        <f>VLOOKUP($I$1&amp;M$8,DATA!$A:$EB,'2312'!$A13,0)/100</f>
        <v>90553.14</v>
      </c>
      <c r="N13" s="34">
        <f>VLOOKUP($I$1&amp;N$8,DATA!$A:$EB,'2312'!$A13,0)/100</f>
        <v>72039.970898179992</v>
      </c>
      <c r="O13" s="34">
        <f>VLOOKUP($I$1&amp;O$8,DATA!$A:$EB,'2312'!$A13,0)/100</f>
        <v>19149.07</v>
      </c>
      <c r="P13" s="34">
        <f>VLOOKUP($I$1&amp;P$8,DATA!$A:$EB,'2312'!$A13,0)/100</f>
        <v>296962.87474872003</v>
      </c>
      <c r="Q13" s="34">
        <f>VLOOKUP($I$1&amp;Q$8,DATA!$A:$EB,'2312'!$A13,0)/100</f>
        <v>111453.29106317001</v>
      </c>
      <c r="R13" s="34">
        <f>VLOOKUP($I$1&amp;R$8,DATA!$A:$EB,'2312'!$A13,0)/100</f>
        <v>12130.984238659999</v>
      </c>
      <c r="S13" s="34">
        <f>VLOOKUP($I$1&amp;S$8,DATA!$A:$EB,'2312'!$A13,0)/100</f>
        <v>62886.69</v>
      </c>
      <c r="T13" s="33">
        <f>VLOOKUP($I$1&amp;T$8,DATA!$A:$EB,'2312'!$A13,0)/100</f>
        <v>118131.23755885</v>
      </c>
    </row>
    <row r="14" spans="1:20">
      <c r="A14" s="5">
        <f>DATA!L1</f>
        <v>12</v>
      </c>
      <c r="C14" s="758" t="s">
        <v>115</v>
      </c>
      <c r="D14" s="758"/>
      <c r="E14" s="758"/>
      <c r="F14" s="758"/>
      <c r="G14" s="758"/>
      <c r="H14" s="759"/>
      <c r="I14" s="27">
        <f>VLOOKUP($I$1&amp;I$8,DATA!$A:$EB,'2312'!$A14,0)/100</f>
        <v>300271.65961451997</v>
      </c>
      <c r="J14" s="28">
        <f>VLOOKUP($I$1&amp;J$8,DATA!$A:$EB,'2312'!$A14,0)/100</f>
        <v>2419463.61</v>
      </c>
      <c r="K14" s="28">
        <f>VLOOKUP($I$1&amp;K$8,DATA!$A:$EB,'2312'!$A14,0)/100</f>
        <v>1050267.8869016799</v>
      </c>
      <c r="L14" s="28">
        <f>VLOOKUP($I$1&amp;L$8,DATA!$A:$EB,'2312'!$A14,0)/100</f>
        <v>1034059.83844648</v>
      </c>
      <c r="M14" s="28">
        <f>VLOOKUP($I$1&amp;M$8,DATA!$A:$EB,'2312'!$A14,0)/100</f>
        <v>500617.66</v>
      </c>
      <c r="N14" s="28">
        <f>VLOOKUP($I$1&amp;N$8,DATA!$A:$EB,'2312'!$A14,0)/100</f>
        <v>299439.18422753998</v>
      </c>
      <c r="O14" s="28">
        <f>VLOOKUP($I$1&amp;O$8,DATA!$A:$EB,'2312'!$A14,0)/100</f>
        <v>240319.27</v>
      </c>
      <c r="P14" s="28">
        <f>VLOOKUP($I$1&amp;P$8,DATA!$A:$EB,'2312'!$A14,0)/100</f>
        <v>677122.24851601</v>
      </c>
      <c r="Q14" s="28">
        <f>VLOOKUP($I$1&amp;Q$8,DATA!$A:$EB,'2312'!$A14,0)/100</f>
        <v>376413.67677280999</v>
      </c>
      <c r="R14" s="28">
        <f>VLOOKUP($I$1&amp;R$8,DATA!$A:$EB,'2312'!$A14,0)/100</f>
        <v>339312.88790780003</v>
      </c>
      <c r="S14" s="28">
        <f>VLOOKUP($I$1&amp;S$8,DATA!$A:$EB,'2312'!$A14,0)/100</f>
        <v>313502.76</v>
      </c>
      <c r="T14" s="27">
        <f>VLOOKUP($I$1&amp;T$8,DATA!$A:$EB,'2312'!$A14,0)/100</f>
        <v>398379.77664305002</v>
      </c>
    </row>
    <row r="15" spans="1:20">
      <c r="A15" s="5">
        <f>DATA!BU1</f>
        <v>73</v>
      </c>
      <c r="C15" s="762" t="s">
        <v>51</v>
      </c>
      <c r="D15" s="762"/>
      <c r="E15" s="762"/>
      <c r="F15" s="762"/>
      <c r="G15" s="762"/>
      <c r="H15" s="763"/>
      <c r="I15" s="35">
        <f>VLOOKUP($I$1&amp;I$8,DATA!$A:$EB,'2312'!$A15,0)/100</f>
        <v>233810.05</v>
      </c>
      <c r="J15" s="36">
        <f>VLOOKUP($I$1&amp;J$8,DATA!$A:$EB,'2312'!$A15,0)/100</f>
        <v>1749951.14</v>
      </c>
      <c r="K15" s="36">
        <f>VLOOKUP($I$1&amp;K$8,DATA!$A:$EB,'2312'!$A15,0)/100</f>
        <v>801760.57</v>
      </c>
      <c r="L15" s="36">
        <f>VLOOKUP($I$1&amp;L$8,DATA!$A:$EB,'2312'!$A15,0)/100</f>
        <v>782521.33</v>
      </c>
      <c r="M15" s="36">
        <f>VLOOKUP($I$1&amp;M$8,DATA!$A:$EB,'2312'!$A15,0)/100</f>
        <v>372084.95</v>
      </c>
      <c r="N15" s="36">
        <f>VLOOKUP($I$1&amp;N$8,DATA!$A:$EB,'2312'!$A15,0)/100</f>
        <v>234378.07</v>
      </c>
      <c r="O15" s="36">
        <f>VLOOKUP($I$1&amp;O$8,DATA!$A:$EB,'2312'!$A15,0)/100</f>
        <v>204035.38</v>
      </c>
      <c r="P15" s="36">
        <f>VLOOKUP($I$1&amp;P$8,DATA!$A:$EB,'2312'!$A15,0)/100</f>
        <v>295708.75</v>
      </c>
      <c r="Q15" s="36">
        <f>VLOOKUP($I$1&amp;Q$8,DATA!$A:$EB,'2312'!$A15,0)/100</f>
        <v>151835.67515</v>
      </c>
      <c r="R15" s="36">
        <f>VLOOKUP($I$1&amp;R$8,DATA!$A:$EB,'2312'!$A15,0)/100</f>
        <v>77910.64</v>
      </c>
      <c r="S15" s="36">
        <f>VLOOKUP($I$1&amp;S$8,DATA!$A:$EB,'2312'!$A15,0)/100</f>
        <v>104707.33</v>
      </c>
      <c r="T15" s="35">
        <f>VLOOKUP($I$1&amp;T$8,DATA!$A:$EB,'2312'!$A15,0)/100</f>
        <v>91054.53</v>
      </c>
    </row>
    <row r="16" spans="1:20" ht="16.5">
      <c r="A16" s="5">
        <f>DATA!BW1</f>
        <v>75</v>
      </c>
      <c r="C16" s="762" t="s">
        <v>53</v>
      </c>
      <c r="D16" s="762"/>
      <c r="E16" s="762"/>
      <c r="F16" s="762"/>
      <c r="G16" s="762"/>
      <c r="H16" s="763"/>
      <c r="I16" s="35">
        <f>VLOOKUP($I$1&amp;I$8,DATA!$A:$EB,'2312'!$A16,0)/100</f>
        <v>20214.52</v>
      </c>
      <c r="J16" s="37">
        <f>VLOOKUP($I$1&amp;J$8,DATA!$A:$EB,'2312'!$A16,0)/100</f>
        <v>123925.7</v>
      </c>
      <c r="K16" s="36">
        <f>VLOOKUP($I$1&amp;K$8,DATA!$A:$EB,'2312'!$A16,0)/100</f>
        <v>58249.23</v>
      </c>
      <c r="L16" s="36">
        <f>VLOOKUP($I$1&amp;L$8,DATA!$A:$EB,'2312'!$A16,0)/100</f>
        <v>92384.87</v>
      </c>
      <c r="M16" s="36">
        <f>VLOOKUP($I$1&amp;M$8,DATA!$A:$EB,'2312'!$A16,0)/100</f>
        <v>71687.25</v>
      </c>
      <c r="N16" s="36">
        <f>VLOOKUP($I$1&amp;N$8,DATA!$A:$EB,'2312'!$A16,0)/100</f>
        <v>25418.03</v>
      </c>
      <c r="O16" s="36">
        <f>VLOOKUP($I$1&amp;O$8,DATA!$A:$EB,'2312'!$A16,0)/100</f>
        <v>31798.25</v>
      </c>
      <c r="P16" s="36">
        <f>VLOOKUP($I$1&amp;P$8,DATA!$A:$EB,'2312'!$A16,0)/100</f>
        <v>133028.18</v>
      </c>
      <c r="Q16" s="36">
        <f>VLOOKUP($I$1&amp;Q$8,DATA!$A:$EB,'2312'!$A16,0)/100</f>
        <v>91422.711410000004</v>
      </c>
      <c r="R16" s="36">
        <f>VLOOKUP($I$1&amp;R$8,DATA!$A:$EB,'2312'!$A16,0)/100</f>
        <v>104687.26</v>
      </c>
      <c r="S16" s="36">
        <f>VLOOKUP($I$1&amp;S$8,DATA!$A:$EB,'2312'!$A16,0)/100</f>
        <v>85179.21</v>
      </c>
      <c r="T16" s="35">
        <f>VLOOKUP($I$1&amp;T$8,DATA!$A:$EB,'2312'!$A16,0)/100</f>
        <v>121524.09</v>
      </c>
    </row>
    <row r="17" spans="1:20">
      <c r="C17" s="762" t="s">
        <v>116</v>
      </c>
      <c r="D17" s="762"/>
      <c r="E17" s="762"/>
      <c r="F17" s="762"/>
      <c r="G17" s="762"/>
      <c r="H17" s="763"/>
      <c r="I17" s="38">
        <f>I16/I14</f>
        <v>6.7320772216568209E-2</v>
      </c>
      <c r="J17" s="38">
        <f t="shared" ref="J17:T17" si="1">J16/J14</f>
        <v>5.1220319862550032E-2</v>
      </c>
      <c r="K17" s="38">
        <f t="shared" si="1"/>
        <v>5.546130727831438E-2</v>
      </c>
      <c r="L17" s="38">
        <f t="shared" si="1"/>
        <v>8.9341899341912764E-2</v>
      </c>
      <c r="M17" s="38">
        <f t="shared" si="1"/>
        <v>0.14319760513442534</v>
      </c>
      <c r="N17" s="38">
        <f t="shared" si="1"/>
        <v>8.4885450331327258E-2</v>
      </c>
      <c r="O17" s="38">
        <f t="shared" si="1"/>
        <v>0.13231668854520073</v>
      </c>
      <c r="P17" s="38">
        <f t="shared" si="1"/>
        <v>0.19646109737428699</v>
      </c>
      <c r="Q17" s="38">
        <f t="shared" si="1"/>
        <v>0.24287829335483876</v>
      </c>
      <c r="R17" s="38">
        <f t="shared" si="1"/>
        <v>0.30852721405750494</v>
      </c>
      <c r="S17" s="38">
        <f t="shared" si="1"/>
        <v>0.27170162712443108</v>
      </c>
      <c r="T17" s="38">
        <f t="shared" si="1"/>
        <v>0.30504583095061599</v>
      </c>
    </row>
    <row r="18" spans="1:20">
      <c r="A18" s="5">
        <f>DATA!BV1</f>
        <v>74</v>
      </c>
      <c r="C18" s="764" t="s">
        <v>52</v>
      </c>
      <c r="D18" s="764"/>
      <c r="E18" s="764"/>
      <c r="F18" s="764"/>
      <c r="G18" s="764"/>
      <c r="H18" s="765"/>
      <c r="I18" s="39">
        <f>VLOOKUP($I$1&amp;I$8,DATA!$A:$EB,'2312'!$A18,0)/100</f>
        <v>3804.99</v>
      </c>
      <c r="J18" s="40">
        <f>VLOOKUP($I$1&amp;J$8,DATA!$A:$EB,'2312'!$A18,0)/100</f>
        <v>28734.33</v>
      </c>
      <c r="K18" s="40">
        <f>VLOOKUP($I$1&amp;K$8,DATA!$A:$EB,'2312'!$A18,0)/100</f>
        <v>12418.98</v>
      </c>
      <c r="L18" s="40">
        <f>VLOOKUP($I$1&amp;L$8,DATA!$A:$EB,'2312'!$A18,0)/100</f>
        <v>16437.349999999999</v>
      </c>
      <c r="M18" s="40">
        <f>VLOOKUP($I$1&amp;M$8,DATA!$A:$EB,'2312'!$A18,0)/100</f>
        <v>11515.34</v>
      </c>
      <c r="N18" s="40">
        <f>VLOOKUP($I$1&amp;N$8,DATA!$A:$EB,'2312'!$A18,0)/100</f>
        <v>4373.93</v>
      </c>
      <c r="O18" s="40">
        <f>VLOOKUP($I$1&amp;O$8,DATA!$A:$EB,'2312'!$A18,0)/100</f>
        <v>4485.63</v>
      </c>
      <c r="P18" s="40">
        <f>VLOOKUP($I$1&amp;P$8,DATA!$A:$EB,'2312'!$A18,0)/100</f>
        <v>15028.97</v>
      </c>
      <c r="Q18" s="40">
        <f>VLOOKUP($I$1&amp;Q$8,DATA!$A:$EB,'2312'!$A18,0)/100</f>
        <v>16281.213559999998</v>
      </c>
      <c r="R18" s="40">
        <f>VLOOKUP($I$1&amp;R$8,DATA!$A:$EB,'2312'!$A18,0)/100</f>
        <v>17986.009999999998</v>
      </c>
      <c r="S18" s="40">
        <f>VLOOKUP($I$1&amp;S$8,DATA!$A:$EB,'2312'!$A18,0)/100</f>
        <v>12251.65</v>
      </c>
      <c r="T18" s="39">
        <f>VLOOKUP($I$1&amp;T$8,DATA!$A:$EB,'2312'!$A18,0)/100</f>
        <v>15856</v>
      </c>
    </row>
    <row r="19" spans="1:20">
      <c r="A19" s="5">
        <f>DATA!N1</f>
        <v>14</v>
      </c>
      <c r="C19" s="758" t="s">
        <v>1107</v>
      </c>
      <c r="D19" s="758"/>
      <c r="E19" s="758"/>
      <c r="F19" s="758"/>
      <c r="G19" s="758"/>
      <c r="H19" s="759"/>
      <c r="I19" s="27">
        <f>VLOOKUP($I$1&amp;I$8,DATA!$A:$EB,'2312'!$A19,0)/100</f>
        <v>30190.270635449997</v>
      </c>
      <c r="J19" s="28">
        <f>VLOOKUP($I$1&amp;J$8,DATA!$A:$EB,'2312'!$A19,0)/100</f>
        <v>375277.25</v>
      </c>
      <c r="K19" s="28">
        <f>VLOOKUP($I$1&amp;K$8,DATA!$A:$EB,'2312'!$A19,0)/100</f>
        <v>83683.14931482001</v>
      </c>
      <c r="L19" s="28">
        <f>VLOOKUP($I$1&amp;L$8,DATA!$A:$EB,'2312'!$A19,0)/100</f>
        <v>108887.74071070999</v>
      </c>
      <c r="M19" s="28">
        <f>VLOOKUP($I$1&amp;M$8,DATA!$A:$EB,'2312'!$A19,0)/100</f>
        <v>81470.97</v>
      </c>
      <c r="N19" s="28">
        <f>VLOOKUP($I$1&amp;N$8,DATA!$A:$EB,'2312'!$A19,0)/100</f>
        <v>26071.794570139995</v>
      </c>
      <c r="O19" s="28">
        <f>VLOOKUP($I$1&amp;O$8,DATA!$A:$EB,'2312'!$A19,0)/100</f>
        <v>53137.06</v>
      </c>
      <c r="P19" s="28">
        <f>VLOOKUP($I$1&amp;P$8,DATA!$A:$EB,'2312'!$A19,0)/100</f>
        <v>159051.75466966</v>
      </c>
      <c r="Q19" s="28">
        <f>VLOOKUP($I$1&amp;Q$8,DATA!$A:$EB,'2312'!$A19,0)/100</f>
        <v>61170.945339739999</v>
      </c>
      <c r="R19" s="28">
        <f>VLOOKUP($I$1&amp;R$8,DATA!$A:$EB,'2312'!$A19,0)/100</f>
        <v>51888.439729829995</v>
      </c>
      <c r="S19" s="28">
        <f>VLOOKUP($I$1&amp;S$8,DATA!$A:$EB,'2312'!$A19,0)/100</f>
        <v>62978.16</v>
      </c>
      <c r="T19" s="27">
        <f>VLOOKUP($I$1&amp;T$8,DATA!$A:$EB,'2312'!$A19,0)/100</f>
        <v>86755.500188200007</v>
      </c>
    </row>
    <row r="20" spans="1:20">
      <c r="C20" s="766" t="s">
        <v>1042</v>
      </c>
      <c r="D20" s="766"/>
      <c r="E20" s="766"/>
      <c r="F20" s="766"/>
      <c r="G20" s="766"/>
      <c r="H20" s="767"/>
      <c r="I20" s="335">
        <f>+I37</f>
        <v>1437.8524819100967</v>
      </c>
      <c r="J20" s="336">
        <f t="shared" ref="J20:T20" si="2">+J37</f>
        <v>24476.690000000002</v>
      </c>
      <c r="K20" s="336">
        <f t="shared" si="2"/>
        <v>-4989.4140047199908</v>
      </c>
      <c r="L20" s="336">
        <f t="shared" si="2"/>
        <v>678.73948610998923</v>
      </c>
      <c r="M20" s="336">
        <f t="shared" si="2"/>
        <v>3125.3999999999942</v>
      </c>
      <c r="N20" s="336">
        <f t="shared" si="2"/>
        <v>-634.51000227000259</v>
      </c>
      <c r="O20" s="336">
        <f t="shared" si="2"/>
        <v>2100.3600000000006</v>
      </c>
      <c r="P20" s="336">
        <f t="shared" si="2"/>
        <v>38178.491385550005</v>
      </c>
      <c r="Q20" s="336">
        <f t="shared" si="2"/>
        <v>1468.4503770099982</v>
      </c>
      <c r="R20" s="336">
        <f t="shared" si="2"/>
        <v>18107.507536659999</v>
      </c>
      <c r="S20" s="336">
        <f t="shared" si="2"/>
        <v>5374.510000000002</v>
      </c>
      <c r="T20" s="335">
        <f t="shared" si="2"/>
        <v>12243.363261000006</v>
      </c>
    </row>
    <row r="21" spans="1:20">
      <c r="C21" s="766" t="s">
        <v>1043</v>
      </c>
      <c r="D21" s="766"/>
      <c r="E21" s="766"/>
      <c r="F21" s="766"/>
      <c r="G21" s="766"/>
      <c r="H21" s="767"/>
      <c r="I21" s="337">
        <f t="shared" ref="I21:T21" si="3">+I20/(I19-I20)</f>
        <v>5.0008054078507939E-2</v>
      </c>
      <c r="J21" s="338">
        <f t="shared" si="3"/>
        <v>6.9773805378189821E-2</v>
      </c>
      <c r="K21" s="338">
        <f t="shared" si="3"/>
        <v>-5.6267844504958808E-2</v>
      </c>
      <c r="L21" s="338">
        <f t="shared" si="3"/>
        <v>6.2724863775536453E-3</v>
      </c>
      <c r="M21" s="338">
        <f t="shared" si="3"/>
        <v>3.9892491687787759E-2</v>
      </c>
      <c r="N21" s="338">
        <f t="shared" si="3"/>
        <v>-2.3758809480721201E-2</v>
      </c>
      <c r="O21" s="338">
        <f t="shared" si="3"/>
        <v>4.1153914731947808E-2</v>
      </c>
      <c r="P21" s="338">
        <f t="shared" si="3"/>
        <v>0.31585555273553162</v>
      </c>
      <c r="Q21" s="338">
        <f t="shared" si="3"/>
        <v>2.4596130830490351E-2</v>
      </c>
      <c r="R21" s="338">
        <f t="shared" si="3"/>
        <v>0.53602746759963804</v>
      </c>
      <c r="S21" s="338">
        <f t="shared" si="3"/>
        <v>9.3301552939787702E-2</v>
      </c>
      <c r="T21" s="337">
        <f t="shared" si="3"/>
        <v>0.16431367782354761</v>
      </c>
    </row>
    <row r="22" spans="1:20">
      <c r="A22" s="5">
        <f>DATA!R1</f>
        <v>18</v>
      </c>
      <c r="C22" s="737" t="s">
        <v>38</v>
      </c>
      <c r="D22" s="737"/>
      <c r="E22" s="737"/>
      <c r="F22" s="737"/>
      <c r="G22" s="737"/>
      <c r="H22" s="738"/>
      <c r="I22" s="29">
        <f>VLOOKUP($I$1&amp;I$8,DATA!$A:$EB,'2312'!$A22,0)/100</f>
        <v>18178.844423539998</v>
      </c>
      <c r="J22" s="30">
        <f>VLOOKUP($I$1&amp;J$8,DATA!$A:$EB,'2312'!$A22,0)/100</f>
        <v>131779.54</v>
      </c>
      <c r="K22" s="30">
        <f>VLOOKUP($I$1&amp;K$8,DATA!$A:$EB,'2312'!$A22,0)/100</f>
        <v>64271.258824960001</v>
      </c>
      <c r="L22" s="30">
        <f>VLOOKUP($I$1&amp;L$8,DATA!$A:$EB,'2312'!$A22,0)/100</f>
        <v>63069.582102250002</v>
      </c>
      <c r="M22" s="30">
        <f>VLOOKUP($I$1&amp;M$8,DATA!$A:$EB,'2312'!$A22,0)/100</f>
        <v>66299.22</v>
      </c>
      <c r="N22" s="30">
        <f>VLOOKUP($I$1&amp;N$8,DATA!$A:$EB,'2312'!$A22,0)/100</f>
        <v>13409.673326079999</v>
      </c>
      <c r="O22" s="30">
        <f>VLOOKUP($I$1&amp;O$8,DATA!$A:$EB,'2312'!$A22,0)/100</f>
        <v>29988.52</v>
      </c>
      <c r="P22" s="30">
        <f>VLOOKUP($I$1&amp;P$8,DATA!$A:$EB,'2312'!$A22,0)/100</f>
        <v>120794.84138017001</v>
      </c>
      <c r="Q22" s="30">
        <f>VLOOKUP($I$1&amp;Q$8,DATA!$A:$EB,'2312'!$A22,0)/100</f>
        <v>65264.727668439999</v>
      </c>
      <c r="R22" s="30">
        <f>VLOOKUP($I$1&amp;R$8,DATA!$A:$EB,'2312'!$A22,0)/100</f>
        <v>45477.089983639999</v>
      </c>
      <c r="S22" s="30">
        <f>VLOOKUP($I$1&amp;S$8,DATA!$A:$EB,'2312'!$A22,0)/100</f>
        <v>55519.86</v>
      </c>
      <c r="T22" s="29">
        <f>VLOOKUP($I$1&amp;T$8,DATA!$A:$EB,'2312'!$A22,0)/100</f>
        <v>86506.344016340008</v>
      </c>
    </row>
    <row r="23" spans="1:20">
      <c r="A23" s="5">
        <f>DATA!Q1</f>
        <v>17</v>
      </c>
      <c r="C23" s="760" t="s">
        <v>141</v>
      </c>
      <c r="D23" s="760"/>
      <c r="E23" s="760"/>
      <c r="F23" s="760"/>
      <c r="G23" s="760"/>
      <c r="H23" s="761"/>
      <c r="I23" s="33">
        <f>VLOOKUP($I$1&amp;I$8,DATA!$A:$EB,'2312'!$A23,0)/100</f>
        <v>4002.1884124600001</v>
      </c>
      <c r="J23" s="34">
        <f>VLOOKUP($I$1&amp;J$8,DATA!$A:$EB,'2312'!$A23,0)/100</f>
        <v>263540.09000000003</v>
      </c>
      <c r="K23" s="34">
        <f>VLOOKUP($I$1&amp;K$8,DATA!$A:$EB,'2312'!$A23,0)/100</f>
        <v>16701.67445676</v>
      </c>
      <c r="L23" s="34">
        <f>VLOOKUP($I$1&amp;L$8,DATA!$A:$EB,'2312'!$A23,0)/100</f>
        <v>8729.7635564900011</v>
      </c>
      <c r="M23" s="34">
        <f>VLOOKUP($I$1&amp;M$8,DATA!$A:$EB,'2312'!$A23,0)/100</f>
        <v>1174.17</v>
      </c>
      <c r="N23" s="34">
        <f>VLOOKUP($I$1&amp;N$8,DATA!$A:$EB,'2312'!$A23,0)/100</f>
        <v>564.05467597000006</v>
      </c>
      <c r="O23" s="34">
        <f>VLOOKUP($I$1&amp;O$8,DATA!$A:$EB,'2312'!$A23,0)/100</f>
        <v>13365.51</v>
      </c>
      <c r="P23" s="34">
        <f>VLOOKUP($I$1&amp;P$8,DATA!$A:$EB,'2312'!$A23,0)/100</f>
        <v>43434.882483980007</v>
      </c>
      <c r="Q23" s="34">
        <f>VLOOKUP($I$1&amp;Q$8,DATA!$A:$EB,'2312'!$A23,0)/100</f>
        <v>-4978.31484009</v>
      </c>
      <c r="R23" s="34">
        <f>VLOOKUP($I$1&amp;R$8,DATA!$A:$EB,'2312'!$A23,0)/100</f>
        <v>4797.3385621300004</v>
      </c>
      <c r="S23" s="34">
        <f>VLOOKUP($I$1&amp;S$8,DATA!$A:$EB,'2312'!$A23,0)/100</f>
        <v>3641.26</v>
      </c>
      <c r="T23" s="33">
        <f>VLOOKUP($I$1&amp;T$8,DATA!$A:$EB,'2312'!$A23,0)/100</f>
        <v>1040.94845528</v>
      </c>
    </row>
    <row r="24" spans="1:20">
      <c r="C24" s="750" t="s">
        <v>1044</v>
      </c>
      <c r="D24" s="750"/>
      <c r="E24" s="750"/>
      <c r="F24" s="750"/>
      <c r="G24" s="750"/>
      <c r="H24" s="751"/>
      <c r="I24" s="339">
        <f>I23-I38</f>
        <v>345.85600711000006</v>
      </c>
      <c r="J24" s="340">
        <f t="shared" ref="J24:T24" si="4">J23-J38</f>
        <v>46996.340000000026</v>
      </c>
      <c r="K24" s="340">
        <f t="shared" si="4"/>
        <v>-9216.3921540899973</v>
      </c>
      <c r="L24" s="340">
        <f t="shared" si="4"/>
        <v>-3452.9512706999994</v>
      </c>
      <c r="M24" s="340">
        <f t="shared" si="4"/>
        <v>37.5</v>
      </c>
      <c r="N24" s="340">
        <f t="shared" si="4"/>
        <v>-3077.65773898</v>
      </c>
      <c r="O24" s="340">
        <f t="shared" si="4"/>
        <v>-1311.0499999999993</v>
      </c>
      <c r="P24" s="340">
        <f t="shared" si="4"/>
        <v>26491.195785040007</v>
      </c>
      <c r="Q24" s="340">
        <f t="shared" si="4"/>
        <v>-4613.3088692199999</v>
      </c>
      <c r="R24" s="340">
        <f t="shared" si="4"/>
        <v>2530.8860502100006</v>
      </c>
      <c r="S24" s="340">
        <f t="shared" si="4"/>
        <v>1506.8500000000004</v>
      </c>
      <c r="T24" s="339">
        <f t="shared" si="4"/>
        <v>-357.46490617000018</v>
      </c>
    </row>
    <row r="25" spans="1:20" ht="33.75" customHeight="1">
      <c r="C25" s="768" t="s">
        <v>1046</v>
      </c>
      <c r="D25" s="750"/>
      <c r="E25" s="750"/>
      <c r="F25" s="750"/>
      <c r="G25" s="750"/>
      <c r="H25" s="751"/>
      <c r="I25" s="341">
        <f>I24/I36</f>
        <v>1.2028762424889103E-2</v>
      </c>
      <c r="J25" s="342">
        <f t="shared" ref="J25:T25" si="5">J24/J36</f>
        <v>0.13396882832798221</v>
      </c>
      <c r="K25" s="342">
        <f t="shared" si="5"/>
        <v>-0.10393736020552212</v>
      </c>
      <c r="L25" s="342">
        <f t="shared" si="5"/>
        <v>-3.1910018867404653E-2</v>
      </c>
      <c r="M25" s="342">
        <f t="shared" si="5"/>
        <v>4.7864863322840073E-4</v>
      </c>
      <c r="N25" s="342">
        <f t="shared" si="5"/>
        <v>-0.1152408687108098</v>
      </c>
      <c r="O25" s="342">
        <f t="shared" si="5"/>
        <v>-2.5688377187396506E-2</v>
      </c>
      <c r="P25" s="342">
        <f t="shared" si="5"/>
        <v>0.21916505822113053</v>
      </c>
      <c r="Q25" s="342">
        <f t="shared" si="5"/>
        <v>-7.7271626120481454E-2</v>
      </c>
      <c r="R25" s="342">
        <f t="shared" si="5"/>
        <v>7.4920550911312875E-2</v>
      </c>
      <c r="S25" s="342">
        <f t="shared" si="5"/>
        <v>2.6158932637081161E-2</v>
      </c>
      <c r="T25" s="341">
        <f t="shared" si="5"/>
        <v>-4.7974051062211684E-3</v>
      </c>
    </row>
    <row r="26" spans="1:20" ht="31.5" customHeight="1">
      <c r="C26" s="769" t="s">
        <v>1045</v>
      </c>
      <c r="D26" s="752"/>
      <c r="E26" s="752"/>
      <c r="F26" s="752"/>
      <c r="G26" s="752"/>
      <c r="H26" s="753"/>
      <c r="I26" s="343">
        <f>I24/I45</f>
        <v>1.3176264038754042E-3</v>
      </c>
      <c r="J26" s="344">
        <f t="shared" ref="J26:T26" si="6">J24/J45</f>
        <v>2.3247527134907912E-2</v>
      </c>
      <c r="K26" s="344">
        <f t="shared" si="6"/>
        <v>-9.7588594349161933E-3</v>
      </c>
      <c r="L26" s="344">
        <f t="shared" si="6"/>
        <v>-3.5543149299432884E-3</v>
      </c>
      <c r="M26" s="344">
        <f t="shared" si="6"/>
        <v>7.7448565839469851E-5</v>
      </c>
      <c r="N26" s="344">
        <f t="shared" si="6"/>
        <v>-1.0905382939965357E-2</v>
      </c>
      <c r="O26" s="344">
        <f t="shared" si="6"/>
        <v>-4.818311738246062E-3</v>
      </c>
      <c r="P26" s="344">
        <f t="shared" si="6"/>
        <v>6.0124372135588272E-2</v>
      </c>
      <c r="Q26" s="344">
        <f t="shared" si="6"/>
        <v>-1.581956649374584E-2</v>
      </c>
      <c r="R26" s="344">
        <f t="shared" si="6"/>
        <v>1.1055970235909471E-2</v>
      </c>
      <c r="S26" s="344">
        <f t="shared" si="6"/>
        <v>6.6742531289949308E-3</v>
      </c>
      <c r="T26" s="343">
        <f t="shared" si="6"/>
        <v>-1.4097863534901047E-3</v>
      </c>
    </row>
    <row r="27" spans="1:20">
      <c r="C27" s="465"/>
      <c r="D27" s="465"/>
      <c r="E27" s="465"/>
      <c r="F27" s="465"/>
      <c r="G27" s="465"/>
      <c r="H27" s="465"/>
      <c r="I27" s="300"/>
      <c r="J27" s="300"/>
      <c r="K27" s="300"/>
      <c r="L27" s="300"/>
      <c r="M27" s="300"/>
      <c r="N27" s="300"/>
      <c r="O27" s="300"/>
      <c r="P27" s="300"/>
      <c r="Q27" s="300"/>
      <c r="R27" s="300"/>
      <c r="S27" s="300"/>
      <c r="T27" s="300"/>
    </row>
    <row r="28" spans="1:20">
      <c r="C28" s="465"/>
      <c r="D28" s="465"/>
      <c r="E28" s="465"/>
      <c r="F28" s="465"/>
      <c r="G28" s="465"/>
      <c r="H28" s="465"/>
      <c r="I28" s="345"/>
      <c r="J28" s="345"/>
      <c r="K28" s="345"/>
      <c r="L28" s="345"/>
      <c r="M28" s="345"/>
      <c r="N28" s="345"/>
      <c r="O28" s="345"/>
      <c r="P28" s="345"/>
      <c r="Q28" s="345"/>
      <c r="R28" s="345"/>
      <c r="S28" s="345"/>
      <c r="T28" s="345"/>
    </row>
    <row r="29" spans="1:20">
      <c r="A29" s="5">
        <f>DATA!O1</f>
        <v>15</v>
      </c>
      <c r="C29" s="758" t="s">
        <v>133</v>
      </c>
      <c r="D29" s="758"/>
      <c r="E29" s="758"/>
      <c r="F29" s="758"/>
      <c r="G29" s="758"/>
      <c r="H29" s="759"/>
      <c r="I29" s="27">
        <f>VLOOKUP($I$1&amp;I$8,DATA!$A:$EB,'2312'!$A29,0)/100</f>
        <v>30190.270635449997</v>
      </c>
      <c r="J29" s="28">
        <f>VLOOKUP($I$1&amp;J$8,DATA!$A:$EB,'2312'!$A29,0)/100</f>
        <v>375277.25</v>
      </c>
      <c r="K29" s="28">
        <f>VLOOKUP($I$1&amp;K$8,DATA!$A:$EB,'2312'!$A29,0)/100</f>
        <v>99757.553596950005</v>
      </c>
      <c r="L29" s="28">
        <f>VLOOKUP($I$1&amp;L$8,DATA!$A:$EB,'2312'!$A29,0)/100</f>
        <v>113871.17872621</v>
      </c>
      <c r="M29" s="28">
        <f>VLOOKUP($I$1&amp;M$8,DATA!$A:$EB,'2312'!$A29,0)/100</f>
        <v>84465.49</v>
      </c>
      <c r="N29" s="28">
        <f>VLOOKUP($I$1&amp;N$8,DATA!$A:$EB,'2312'!$A29,0)/100</f>
        <v>29517.468177609997</v>
      </c>
      <c r="O29" s="28">
        <f>VLOOKUP($I$1&amp;O$8,DATA!$A:$EB,'2312'!$A29,0)/100</f>
        <v>53635.06</v>
      </c>
      <c r="P29" s="28">
        <f>VLOOKUP($I$1&amp;P$8,DATA!$A:$EB,'2312'!$A29,0)/100</f>
        <v>159051.75466966</v>
      </c>
      <c r="Q29" s="28">
        <f>VLOOKUP($I$1&amp;Q$8,DATA!$A:$EB,'2312'!$A29,0)/100</f>
        <v>61170.945339739999</v>
      </c>
      <c r="R29" s="28">
        <f>VLOOKUP($I$1&amp;R$8,DATA!$A:$EB,'2312'!$A29,0)/100</f>
        <v>54725.736529829999</v>
      </c>
      <c r="S29" s="28">
        <f>VLOOKUP($I$1&amp;S$8,DATA!$A:$EB,'2312'!$A29,0)/100</f>
        <v>62978.16</v>
      </c>
      <c r="T29" s="27">
        <f>VLOOKUP($I$1&amp;T$8,DATA!$A:$EB,'2312'!$A29,0)/100</f>
        <v>86755.500188200007</v>
      </c>
    </row>
    <row r="30" spans="1:20">
      <c r="C30" s="465"/>
      <c r="D30" s="465"/>
      <c r="E30" s="465"/>
      <c r="F30" s="465"/>
      <c r="G30" s="465"/>
      <c r="H30" s="465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0"/>
    </row>
    <row r="31" spans="1:20">
      <c r="C31" s="465"/>
      <c r="D31" s="465"/>
      <c r="E31" s="465"/>
      <c r="F31" s="465"/>
      <c r="G31" s="465"/>
      <c r="H31" s="465"/>
      <c r="I31" s="300"/>
      <c r="J31" s="300"/>
      <c r="K31" s="300"/>
      <c r="L31" s="300"/>
      <c r="M31" s="300"/>
      <c r="N31" s="300"/>
      <c r="O31" s="300"/>
      <c r="P31" s="300"/>
      <c r="Q31" s="300"/>
      <c r="R31" s="300"/>
      <c r="S31" s="300"/>
      <c r="T31" s="300"/>
    </row>
    <row r="32" spans="1:20">
      <c r="C32" s="465"/>
      <c r="D32" s="465"/>
      <c r="E32" s="465"/>
      <c r="F32" s="465"/>
      <c r="G32" s="465"/>
      <c r="H32" s="465"/>
      <c r="I32" s="300"/>
      <c r="J32" s="300"/>
      <c r="K32" s="300"/>
      <c r="L32" s="300"/>
      <c r="M32" s="300"/>
      <c r="N32" s="300"/>
      <c r="O32" s="300"/>
      <c r="P32" s="300"/>
      <c r="Q32" s="300"/>
      <c r="R32" s="300"/>
      <c r="S32" s="300"/>
      <c r="T32" s="300"/>
    </row>
    <row r="33" spans="1:20">
      <c r="C33" s="20" t="s">
        <v>114</v>
      </c>
      <c r="D33" s="20"/>
      <c r="E33" s="20"/>
      <c r="F33" s="20"/>
      <c r="G33" s="20"/>
      <c r="H33" s="20"/>
      <c r="I33" s="8">
        <f t="shared" ref="I33:T33" si="7">+I22/I9</f>
        <v>5.5010404405097579E-2</v>
      </c>
      <c r="J33" s="8">
        <f t="shared" si="7"/>
        <v>4.7152686635855035E-2</v>
      </c>
      <c r="K33" s="8">
        <f t="shared" si="7"/>
        <v>5.588681481436894E-2</v>
      </c>
      <c r="L33" s="8">
        <f t="shared" si="7"/>
        <v>5.4941961806718981E-2</v>
      </c>
      <c r="M33" s="8">
        <f t="shared" si="7"/>
        <v>0.11331589364691155</v>
      </c>
      <c r="N33" s="8">
        <f t="shared" si="7"/>
        <v>4.0764256408970141E-2</v>
      </c>
      <c r="O33" s="8">
        <f t="shared" si="7"/>
        <v>9.4797967942101033E-2</v>
      </c>
      <c r="P33" s="8">
        <f t="shared" si="7"/>
        <v>0.1444613691886662</v>
      </c>
      <c r="Q33" s="8">
        <f t="shared" si="7"/>
        <v>0.14914767194189996</v>
      </c>
      <c r="R33" s="8">
        <f t="shared" si="7"/>
        <v>0.11541277215791898</v>
      </c>
      <c r="S33" s="8">
        <f t="shared" si="7"/>
        <v>0.14747058097924326</v>
      </c>
      <c r="T33" s="8">
        <f t="shared" si="7"/>
        <v>0.17831386037595959</v>
      </c>
    </row>
    <row r="34" spans="1:20">
      <c r="C34" s="20"/>
      <c r="D34" s="20"/>
      <c r="E34" s="20"/>
      <c r="F34" s="20"/>
      <c r="G34" s="20"/>
      <c r="H34" s="20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>
      <c r="C35" s="20"/>
      <c r="D35" s="20"/>
      <c r="E35" s="20"/>
      <c r="F35" s="20"/>
      <c r="G35" s="20"/>
      <c r="H35" s="20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16.5">
      <c r="A36" s="5">
        <f>DATA!T1</f>
        <v>20</v>
      </c>
      <c r="C36" s="20" t="s">
        <v>883</v>
      </c>
      <c r="D36" s="42"/>
      <c r="F36" s="42"/>
      <c r="G36" s="42"/>
      <c r="H36" s="42"/>
      <c r="I36" s="1">
        <f>VLOOKUP($I$1&amp;I$8,DATA!$A:$EB,'2312'!$A36,0)/100</f>
        <v>28752.4181535399</v>
      </c>
      <c r="J36" s="1">
        <f>VLOOKUP($I$1&amp;J$8,DATA!$A:$EB,'2312'!$A36,0)/100</f>
        <v>350800.56</v>
      </c>
      <c r="K36" s="95">
        <f>VLOOKUP($I$1&amp;K$8,DATA!$A:$EB,'2312'!$A36,0)/100</f>
        <v>88672.563319540001</v>
      </c>
      <c r="L36" s="95">
        <f>VLOOKUP($I$1&amp;L$8,DATA!$A:$EB,'2312'!$A36,0)/100</f>
        <v>108209.0012246</v>
      </c>
      <c r="M36" s="95">
        <f>VLOOKUP($I$1&amp;M$8,DATA!$A:$EB,'2312'!$A36,0)/100</f>
        <v>78345.570000000007</v>
      </c>
      <c r="N36" s="95">
        <f>VLOOKUP($I$1&amp;N$8,DATA!$A:$EB,'2312'!$A36,0)/100</f>
        <v>26706.304572409997</v>
      </c>
      <c r="O36" s="95">
        <f>VLOOKUP($I$1&amp;O$8,DATA!$A:$EB,'2312'!$A36,0)/100</f>
        <v>51036.7</v>
      </c>
      <c r="P36" s="95">
        <f>VLOOKUP($I$1&amp;P$8,DATA!$A:$EB,'2312'!$A36,0)/100</f>
        <v>120873.26328411</v>
      </c>
      <c r="Q36" s="95">
        <f>VLOOKUP($I$1&amp;Q$8,DATA!$A:$EB,'2312'!$A36,0)/100</f>
        <v>59702.494962730001</v>
      </c>
      <c r="R36" s="95">
        <f>VLOOKUP($I$1&amp;R$8,DATA!$A:$EB,'2312'!$A36,0)/100</f>
        <v>33780.932193169996</v>
      </c>
      <c r="S36" s="95">
        <f>VLOOKUP($I$1&amp;S$8,DATA!$A:$EB,'2312'!$A36,0)/100</f>
        <v>57603.65</v>
      </c>
      <c r="T36" s="95">
        <f>VLOOKUP($I$1&amp;T$8,DATA!$A:$EB,'2312'!$A36,0)/100</f>
        <v>74512.136927200001</v>
      </c>
    </row>
    <row r="37" spans="1:20" ht="16.5">
      <c r="C37" s="20" t="s">
        <v>884</v>
      </c>
      <c r="D37" s="42"/>
      <c r="F37" s="42"/>
      <c r="G37" s="42"/>
      <c r="H37" s="42"/>
      <c r="I37" s="1">
        <f t="shared" ref="I37:T37" si="8">I19-I36</f>
        <v>1437.8524819100967</v>
      </c>
      <c r="J37" s="1">
        <f t="shared" si="8"/>
        <v>24476.690000000002</v>
      </c>
      <c r="K37" s="1">
        <f t="shared" si="8"/>
        <v>-4989.4140047199908</v>
      </c>
      <c r="L37" s="1">
        <f t="shared" si="8"/>
        <v>678.73948610998923</v>
      </c>
      <c r="M37" s="1">
        <f t="shared" si="8"/>
        <v>3125.3999999999942</v>
      </c>
      <c r="N37" s="1">
        <f t="shared" si="8"/>
        <v>-634.51000227000259</v>
      </c>
      <c r="O37" s="1">
        <f t="shared" si="8"/>
        <v>2100.3600000000006</v>
      </c>
      <c r="P37" s="1">
        <f t="shared" si="8"/>
        <v>38178.491385550005</v>
      </c>
      <c r="Q37" s="1">
        <f t="shared" si="8"/>
        <v>1468.4503770099982</v>
      </c>
      <c r="R37" s="1">
        <f t="shared" si="8"/>
        <v>18107.507536659999</v>
      </c>
      <c r="S37" s="1">
        <f t="shared" si="8"/>
        <v>5374.510000000002</v>
      </c>
      <c r="T37" s="1">
        <f t="shared" si="8"/>
        <v>12243.363261000006</v>
      </c>
    </row>
    <row r="38" spans="1:20">
      <c r="A38" s="5">
        <f>DATA!BC1</f>
        <v>55</v>
      </c>
      <c r="C38" s="20" t="s">
        <v>874</v>
      </c>
      <c r="I38" s="1">
        <f>VLOOKUP($I$1&amp;I$8,DATA!$A:$EB,'2312'!$A38,0)/100</f>
        <v>3656.33240535</v>
      </c>
      <c r="J38" s="1">
        <f>VLOOKUP($I$1&amp;J$8,DATA!$A:$EB,'2312'!$A38,0)/100</f>
        <v>216543.75</v>
      </c>
      <c r="K38" s="1">
        <f>VLOOKUP($I$1&amp;K$8,DATA!$A:$EB,'2312'!$A38,0)/100</f>
        <v>25918.066610849997</v>
      </c>
      <c r="L38" s="1">
        <f>VLOOKUP($I$1&amp;L$8,DATA!$A:$EB,'2312'!$A38,0)/100</f>
        <v>12182.714827190001</v>
      </c>
      <c r="M38" s="1">
        <f>VLOOKUP($I$1&amp;M$8,DATA!$A:$EB,'2312'!$A38,0)/100</f>
        <v>1136.67</v>
      </c>
      <c r="N38" s="1">
        <f>VLOOKUP($I$1&amp;N$8,DATA!$A:$EB,'2312'!$A38,0)/100</f>
        <v>3641.71241495</v>
      </c>
      <c r="O38" s="1">
        <f>VLOOKUP($I$1&amp;O$8,DATA!$A:$EB,'2312'!$A38,0)/100</f>
        <v>14676.56</v>
      </c>
      <c r="P38" s="1">
        <f>VLOOKUP($I$1&amp;P$8,DATA!$A:$EB,'2312'!$A38,0)/100</f>
        <v>16943.68669894</v>
      </c>
      <c r="Q38" s="1">
        <f>VLOOKUP($I$1&amp;Q$8,DATA!$A:$EB,'2312'!$A38,0)/100</f>
        <v>-365.00597087000028</v>
      </c>
      <c r="R38" s="1">
        <f>VLOOKUP($I$1&amp;R$8,DATA!$A:$EB,'2312'!$A38,0)/100</f>
        <v>2266.4525119199998</v>
      </c>
      <c r="S38" s="1">
        <f>VLOOKUP($I$1&amp;S$8,DATA!$A:$EB,'2312'!$A38,0)/100</f>
        <v>2134.41</v>
      </c>
      <c r="T38" s="1">
        <f>VLOOKUP($I$1&amp;T$8,DATA!$A:$EB,'2312'!$A38,0)/100</f>
        <v>1398.4133614500001</v>
      </c>
    </row>
    <row r="39" spans="1:20">
      <c r="A39" s="5">
        <f>DATA!BN1</f>
        <v>66</v>
      </c>
      <c r="C39" s="20" t="s">
        <v>879</v>
      </c>
      <c r="I39" s="1">
        <f>VLOOKUP($I$1&amp;I$8,DATA!$A:$EB,'2312'!$A39,0)/100</f>
        <v>0</v>
      </c>
      <c r="J39" s="1">
        <f>VLOOKUP($I$1&amp;J$8,DATA!$A:$EB,'2312'!$A39,0)/100</f>
        <v>-5387.25</v>
      </c>
      <c r="K39" s="1">
        <f>VLOOKUP($I$1&amp;K$8,DATA!$A:$EB,'2312'!$A39,0)/100</f>
        <v>-512.5</v>
      </c>
      <c r="L39" s="1">
        <f>VLOOKUP($I$1&amp;L$8,DATA!$A:$EB,'2312'!$A39,0)/100</f>
        <v>-377.65606457000001</v>
      </c>
      <c r="M39" s="1">
        <f>VLOOKUP($I$1&amp;M$8,DATA!$A:$EB,'2312'!$A39,0)/100</f>
        <v>-1622.57</v>
      </c>
      <c r="N39" s="1">
        <f>VLOOKUP($I$1&amp;N$8,DATA!$A:$EB,'2312'!$A39,0)/100</f>
        <v>0</v>
      </c>
      <c r="O39" s="1">
        <f>VLOOKUP($I$1&amp;O$8,DATA!$A:$EB,'2312'!$A39,0)/100</f>
        <v>-1000</v>
      </c>
      <c r="P39" s="1">
        <f>VLOOKUP($I$1&amp;P$8,DATA!$A:$EB,'2312'!$A39,0)/100</f>
        <v>-5866.4472690000002</v>
      </c>
      <c r="Q39" s="1">
        <f>VLOOKUP($I$1&amp;Q$8,DATA!$A:$EB,'2312'!$A39,0)/100</f>
        <v>-1540.8449249999999</v>
      </c>
      <c r="R39" s="1">
        <f>VLOOKUP($I$1&amp;R$8,DATA!$A:$EB,'2312'!$A39,0)/100</f>
        <v>-96.418864250000013</v>
      </c>
      <c r="S39" s="1">
        <f>VLOOKUP($I$1&amp;S$8,DATA!$A:$EB,'2312'!$A39,0)/100</f>
        <v>-3500</v>
      </c>
      <c r="T39" s="1">
        <f>VLOOKUP($I$1&amp;T$8,DATA!$A:$EB,'2312'!$A39,0)/100</f>
        <v>-2761.9995739999999</v>
      </c>
    </row>
    <row r="40" spans="1:20">
      <c r="A40" s="5">
        <f>DATA!BR1</f>
        <v>70</v>
      </c>
      <c r="C40" s="20" t="s">
        <v>880</v>
      </c>
      <c r="I40" s="1">
        <f>VLOOKUP($I$1&amp;I$8,DATA!$A:$EB,'2312'!$A40,0)/100</f>
        <v>0</v>
      </c>
      <c r="J40" s="1">
        <f>VLOOKUP($I$1&amp;J$8,DATA!$A:$EB,'2312'!$A40,0)/100</f>
        <v>0</v>
      </c>
      <c r="K40" s="1">
        <f>VLOOKUP($I$1&amp;K$8,DATA!$A:$EB,'2312'!$A40,0)/100</f>
        <v>-742.44916670000009</v>
      </c>
      <c r="L40" s="1">
        <f>VLOOKUP($I$1&amp;L$8,DATA!$A:$EB,'2312'!$A40,0)/100</f>
        <v>0</v>
      </c>
      <c r="M40" s="1">
        <f>VLOOKUP($I$1&amp;M$8,DATA!$A:$EB,'2312'!$A40,0)/100</f>
        <v>0</v>
      </c>
      <c r="N40" s="1">
        <f>VLOOKUP($I$1&amp;N$8,DATA!$A:$EB,'2312'!$A40,0)/100</f>
        <v>-207.51496177000001</v>
      </c>
      <c r="O40" s="1">
        <f>VLOOKUP($I$1&amp;O$8,DATA!$A:$EB,'2312'!$A40,0)/100</f>
        <v>0</v>
      </c>
      <c r="P40" s="1">
        <f>VLOOKUP($I$1&amp;P$8,DATA!$A:$EB,'2312'!$A40,0)/100</f>
        <v>0</v>
      </c>
      <c r="Q40" s="1">
        <f>VLOOKUP($I$1&amp;Q$8,DATA!$A:$EB,'2312'!$A40,0)/100</f>
        <v>-78.309560000000005</v>
      </c>
      <c r="R40" s="1">
        <f>VLOOKUP($I$1&amp;R$8,DATA!$A:$EB,'2312'!$A40,0)/100</f>
        <v>0</v>
      </c>
      <c r="S40" s="1">
        <f>VLOOKUP($I$1&amp;S$8,DATA!$A:$EB,'2312'!$A40,0)/100</f>
        <v>0</v>
      </c>
      <c r="T40" s="1">
        <f>VLOOKUP($I$1&amp;T$8,DATA!$A:$EB,'2312'!$A40,0)/100</f>
        <v>0</v>
      </c>
    </row>
    <row r="41" spans="1:20">
      <c r="C41" s="20" t="s">
        <v>881</v>
      </c>
      <c r="I41" s="1">
        <f>I39+I40</f>
        <v>0</v>
      </c>
      <c r="J41" s="1">
        <f t="shared" ref="J41:T41" si="9">J39+J40</f>
        <v>-5387.25</v>
      </c>
      <c r="K41" s="1">
        <f t="shared" si="9"/>
        <v>-1254.9491667000002</v>
      </c>
      <c r="L41" s="1">
        <f t="shared" si="9"/>
        <v>-377.65606457000001</v>
      </c>
      <c r="M41" s="1">
        <f t="shared" si="9"/>
        <v>-1622.57</v>
      </c>
      <c r="N41" s="1">
        <f t="shared" si="9"/>
        <v>-207.51496177000001</v>
      </c>
      <c r="O41" s="1">
        <f t="shared" si="9"/>
        <v>-1000</v>
      </c>
      <c r="P41" s="1">
        <f t="shared" si="9"/>
        <v>-5866.4472690000002</v>
      </c>
      <c r="Q41" s="1">
        <f t="shared" si="9"/>
        <v>-1619.1544849999998</v>
      </c>
      <c r="R41" s="1">
        <f t="shared" si="9"/>
        <v>-96.418864250000013</v>
      </c>
      <c r="S41" s="1">
        <f t="shared" si="9"/>
        <v>-3500</v>
      </c>
      <c r="T41" s="1">
        <f t="shared" si="9"/>
        <v>-2761.9995739999999</v>
      </c>
    </row>
    <row r="42" spans="1:20">
      <c r="C42" s="132" t="s">
        <v>882</v>
      </c>
      <c r="I42" s="1">
        <f>I37-I41</f>
        <v>1437.8524819100967</v>
      </c>
      <c r="J42" s="1">
        <f t="shared" ref="J42:T42" si="10">J37-J41</f>
        <v>29863.940000000002</v>
      </c>
      <c r="K42" s="1">
        <f t="shared" si="10"/>
        <v>-3734.4648380199906</v>
      </c>
      <c r="L42" s="1">
        <f t="shared" si="10"/>
        <v>1056.3955506799894</v>
      </c>
      <c r="M42" s="1">
        <f t="shared" si="10"/>
        <v>4747.9699999999939</v>
      </c>
      <c r="N42" s="1">
        <f t="shared" si="10"/>
        <v>-426.99504050000257</v>
      </c>
      <c r="O42" s="1">
        <f t="shared" si="10"/>
        <v>3100.3600000000006</v>
      </c>
      <c r="P42" s="1">
        <f t="shared" si="10"/>
        <v>44044.938654550002</v>
      </c>
      <c r="Q42" s="1">
        <f t="shared" si="10"/>
        <v>3087.6048620099982</v>
      </c>
      <c r="R42" s="1">
        <f t="shared" si="10"/>
        <v>18203.926400910001</v>
      </c>
      <c r="S42" s="1">
        <f t="shared" si="10"/>
        <v>8874.510000000002</v>
      </c>
      <c r="T42" s="1">
        <f t="shared" si="10"/>
        <v>15005.362835000005</v>
      </c>
    </row>
    <row r="43" spans="1:20">
      <c r="C43" s="5" t="s">
        <v>885</v>
      </c>
      <c r="I43" s="133">
        <f>I42/I36</f>
        <v>5.0008054078507939E-2</v>
      </c>
      <c r="J43" s="133">
        <f t="shared" ref="J43:T43" si="11">J42/J36</f>
        <v>8.5130821912028878E-2</v>
      </c>
      <c r="K43" s="133">
        <f t="shared" si="11"/>
        <v>-4.2115223674796587E-2</v>
      </c>
      <c r="L43" s="133">
        <f t="shared" si="11"/>
        <v>9.7625478354367318E-3</v>
      </c>
      <c r="M43" s="133">
        <f t="shared" si="11"/>
        <v>6.0602916029585251E-2</v>
      </c>
      <c r="N43" s="133">
        <f t="shared" si="11"/>
        <v>-1.5988548297360718E-2</v>
      </c>
      <c r="O43" s="133">
        <f t="shared" si="11"/>
        <v>6.0747658057828988E-2</v>
      </c>
      <c r="P43" s="133">
        <f t="shared" si="11"/>
        <v>0.3643894229199664</v>
      </c>
      <c r="Q43" s="133">
        <f t="shared" si="11"/>
        <v>5.171651308605231E-2</v>
      </c>
      <c r="R43" s="133">
        <f t="shared" si="11"/>
        <v>0.53888170689944914</v>
      </c>
      <c r="S43" s="133">
        <f t="shared" si="11"/>
        <v>0.15406159158317229</v>
      </c>
      <c r="T43" s="133">
        <f t="shared" si="11"/>
        <v>0.20138145883080197</v>
      </c>
    </row>
    <row r="44" spans="1:20"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</row>
    <row r="45" spans="1:20">
      <c r="C45" s="5" t="s">
        <v>1051</v>
      </c>
      <c r="I45" s="21">
        <f>전기말!I6</f>
        <v>262484.12</v>
      </c>
      <c r="J45" s="21">
        <f>전기말!J6</f>
        <v>2021562.97</v>
      </c>
      <c r="K45" s="21">
        <f>전기말!K6</f>
        <v>944412.84</v>
      </c>
      <c r="L45" s="21">
        <f>전기말!L6</f>
        <v>971481.52</v>
      </c>
      <c r="M45" s="21">
        <f>전기말!M6</f>
        <v>484192.31000000006</v>
      </c>
      <c r="N45" s="21">
        <f>전기말!N6</f>
        <v>282214.55</v>
      </c>
      <c r="O45" s="21">
        <f>전기말!O6</f>
        <v>272097.38</v>
      </c>
      <c r="P45" s="21">
        <f>전기말!P6</f>
        <v>440606.61</v>
      </c>
      <c r="Q45" s="21">
        <f>전기말!Q6</f>
        <v>291620.43543000001</v>
      </c>
      <c r="R45" s="21">
        <f>전기말!R6</f>
        <v>228915.78</v>
      </c>
      <c r="S45" s="21">
        <f>전기말!S6</f>
        <v>225770.58000000002</v>
      </c>
      <c r="T45" s="21">
        <f>전기말!T6</f>
        <v>253559.63</v>
      </c>
    </row>
    <row r="46" spans="1:20">
      <c r="A46" s="5">
        <f>DATA!M1</f>
        <v>13</v>
      </c>
      <c r="C46" s="5" t="s">
        <v>1087</v>
      </c>
      <c r="I46" s="1">
        <f>VLOOKUP($I$1&amp;I$8,DATA!$A:$EB,'2312'!$A46,0)/100</f>
        <v>256455.33710570997</v>
      </c>
      <c r="J46" s="1">
        <f>VLOOKUP($I$1&amp;J$8,DATA!$A:$EB,'2312'!$A46,0)/100</f>
        <v>1895737.14</v>
      </c>
      <c r="K46" s="1">
        <f>VLOOKUP($I$1&amp;K$8,DATA!$A:$EB,'2312'!$A46,0)/100</f>
        <v>872428.78594423993</v>
      </c>
      <c r="L46" s="1">
        <f>VLOOKUP($I$1&amp;L$8,DATA!$A:$EB,'2312'!$A46,0)/100</f>
        <v>891389.38063814002</v>
      </c>
      <c r="M46" s="1">
        <f>VLOOKUP($I$1&amp;M$8,DATA!$A:$EB,'2312'!$A46,0)/100</f>
        <v>455289.86</v>
      </c>
      <c r="N46" s="1">
        <f>VLOOKUP($I$1&amp;N$8,DATA!$A:$EB,'2312'!$A46,0)/100</f>
        <v>264170.00323931</v>
      </c>
      <c r="O46" s="1">
        <f>VLOOKUP($I$1&amp;O$8,DATA!$A:$EB,'2312'!$A46,0)/100</f>
        <v>240319.27</v>
      </c>
      <c r="P46" s="1">
        <f>VLOOKUP($I$1&amp;P$8,DATA!$A:$EB,'2312'!$A46,0)/100</f>
        <v>516205.36425094004</v>
      </c>
      <c r="Q46" s="1">
        <f>VLOOKUP($I$1&amp;Q$8,DATA!$A:$EB,'2312'!$A46,0)/100</f>
        <v>315267.52742861002</v>
      </c>
      <c r="R46" s="1">
        <f>VLOOKUP($I$1&amp;R$8,DATA!$A:$EB,'2312'!$A46,0)/100</f>
        <v>215493.24737068001</v>
      </c>
      <c r="S46" s="1">
        <f>VLOOKUP($I$1&amp;S$8,DATA!$A:$EB,'2312'!$A46,0)/100</f>
        <v>243387.26</v>
      </c>
      <c r="T46" s="1">
        <f>VLOOKUP($I$1&amp;T$8,DATA!$A:$EB,'2312'!$A46,0)/100</f>
        <v>293950.49529557</v>
      </c>
    </row>
    <row r="47" spans="1:20">
      <c r="I47" s="409">
        <f>I23/I46</f>
        <v>1.5605791080925378E-2</v>
      </c>
      <c r="J47" s="409">
        <f t="shared" ref="J47:T47" si="12">J23/J46</f>
        <v>0.13901721100426404</v>
      </c>
      <c r="K47" s="409">
        <f t="shared" si="12"/>
        <v>1.9143882831288723E-2</v>
      </c>
      <c r="L47" s="409">
        <f t="shared" si="12"/>
        <v>9.7934345484802822E-3</v>
      </c>
      <c r="M47" s="409">
        <f t="shared" si="12"/>
        <v>2.5789504734412493E-3</v>
      </c>
      <c r="N47" s="409">
        <f t="shared" si="12"/>
        <v>2.1351957794353599E-3</v>
      </c>
      <c r="O47" s="409">
        <f t="shared" si="12"/>
        <v>5.5615639977601466E-2</v>
      </c>
      <c r="P47" s="409">
        <f t="shared" si="12"/>
        <v>8.4142640685278214E-2</v>
      </c>
      <c r="Q47" s="409">
        <f t="shared" si="12"/>
        <v>-1.5790763104256915E-2</v>
      </c>
      <c r="R47" s="409">
        <f t="shared" si="12"/>
        <v>2.2262129420129225E-2</v>
      </c>
      <c r="S47" s="409">
        <f t="shared" si="12"/>
        <v>1.4960766639962996E-2</v>
      </c>
      <c r="T47" s="409">
        <f t="shared" si="12"/>
        <v>3.5412372897460727E-3</v>
      </c>
    </row>
    <row r="48" spans="1:20">
      <c r="I48" s="8">
        <f>I72/I46</f>
        <v>3.4594600760221285E-2</v>
      </c>
      <c r="J48" s="8">
        <f t="shared" ref="J48:T48" si="13">J72/J46</f>
        <v>4.7664102840755659E-2</v>
      </c>
      <c r="K48" s="8">
        <f t="shared" si="13"/>
        <v>4.7695285472457452E-2</v>
      </c>
      <c r="L48" s="8">
        <f t="shared" si="13"/>
        <v>4.0578349692819239E-2</v>
      </c>
      <c r="M48" s="8">
        <f t="shared" si="13"/>
        <v>5.1724125812949141E-2</v>
      </c>
      <c r="N48" s="8">
        <f t="shared" si="13"/>
        <v>5.3349433422359267E-2</v>
      </c>
      <c r="O48" s="8">
        <f t="shared" si="13"/>
        <v>6.1450919021183784E-2</v>
      </c>
      <c r="P48" s="8">
        <f t="shared" si="13"/>
        <v>1.8083713666063476E-2</v>
      </c>
      <c r="Q48" s="8">
        <f t="shared" si="13"/>
        <v>7.150426703906157E-2</v>
      </c>
      <c r="R48" s="8">
        <f t="shared" si="13"/>
        <v>7.6372694740128769E-2</v>
      </c>
      <c r="S48" s="8">
        <f t="shared" si="13"/>
        <v>6.7146448010466944E-2</v>
      </c>
      <c r="T48" s="8">
        <f t="shared" si="13"/>
        <v>6.3587373721569973E-2</v>
      </c>
    </row>
    <row r="49" spans="1:20">
      <c r="C49" s="5" t="s">
        <v>1088</v>
      </c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</row>
    <row r="50" spans="1:20"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</row>
    <row r="52" spans="1:20"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</row>
    <row r="54" spans="1:20"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</row>
    <row r="55" spans="1:20">
      <c r="A55" s="5">
        <f>DATA!BM1</f>
        <v>65</v>
      </c>
      <c r="C55" s="5" t="s">
        <v>911</v>
      </c>
      <c r="I55" s="1">
        <f>VLOOKUP($I$1&amp;I$8,DATA!$A:$EB,'2312'!$A55,0)/100</f>
        <v>17086.84794874</v>
      </c>
      <c r="J55" s="1">
        <f>VLOOKUP($I$1&amp;J$8,DATA!$A:$EB,'2312'!$A55,0)/100</f>
        <v>123337.77</v>
      </c>
      <c r="K55" s="1">
        <f>VLOOKUP($I$1&amp;K$8,DATA!$A:$EB,'2312'!$A55,0)/100</f>
        <v>59204.201919589999</v>
      </c>
      <c r="L55" s="1">
        <f>VLOOKUP($I$1&amp;L$8,DATA!$A:$EB,'2312'!$A55,0)/100</f>
        <v>56944.142814929997</v>
      </c>
      <c r="M55" s="1">
        <f>VLOOKUP($I$1&amp;M$8,DATA!$A:$EB,'2312'!$A55,0)/100</f>
        <v>63211.29</v>
      </c>
      <c r="N55" s="1">
        <f>VLOOKUP($I$1&amp;N$8,DATA!$A:$EB,'2312'!$A55,0)/100</f>
        <v>10967.919021870001</v>
      </c>
      <c r="O55" s="1">
        <f>VLOOKUP($I$1&amp;O$8,DATA!$A:$EB,'2312'!$A55,0)/100</f>
        <v>28652.48</v>
      </c>
      <c r="P55" s="1">
        <f>VLOOKUP($I$1&amp;P$8,DATA!$A:$EB,'2312'!$A55,0)/100</f>
        <v>109107.54577966001</v>
      </c>
      <c r="Q55" s="1">
        <f>VLOOKUP($I$1&amp;Q$8,DATA!$A:$EB,'2312'!$A55,0)/100</f>
        <v>59182.96842220999</v>
      </c>
      <c r="R55" s="1">
        <f>VLOOKUP($I$1&amp;R$8,DATA!$A:$EB,'2312'!$A55,0)/100</f>
        <v>31695.824767999999</v>
      </c>
      <c r="S55" s="1">
        <f>VLOOKUP($I$1&amp;S$8,DATA!$A:$EB,'2312'!$A55,0)/100</f>
        <v>51652.2</v>
      </c>
      <c r="T55" s="1">
        <f>VLOOKUP($I$1&amp;T$8,DATA!$A:$EB,'2312'!$A55,0)/100</f>
        <v>73905.515849169999</v>
      </c>
    </row>
    <row r="56" spans="1:20">
      <c r="D56" s="5" t="s">
        <v>117</v>
      </c>
      <c r="I56" s="158">
        <f>+I22-I55</f>
        <v>1091.9964747999984</v>
      </c>
      <c r="J56" s="158">
        <f t="shared" ref="J56:T56" si="14">+J22-J55</f>
        <v>8441.7700000000041</v>
      </c>
      <c r="K56" s="158">
        <f t="shared" si="14"/>
        <v>5067.0569053700019</v>
      </c>
      <c r="L56" s="158">
        <f t="shared" si="14"/>
        <v>6125.439287320005</v>
      </c>
      <c r="M56" s="158">
        <f t="shared" si="14"/>
        <v>3087.9300000000003</v>
      </c>
      <c r="N56" s="158">
        <f t="shared" si="14"/>
        <v>2441.7543042099987</v>
      </c>
      <c r="O56" s="158">
        <f t="shared" si="14"/>
        <v>1336.0400000000009</v>
      </c>
      <c r="P56" s="158">
        <f t="shared" si="14"/>
        <v>11687.295600509999</v>
      </c>
      <c r="Q56" s="158">
        <f t="shared" si="14"/>
        <v>6081.759246230009</v>
      </c>
      <c r="R56" s="158">
        <f t="shared" si="14"/>
        <v>13781.26521564</v>
      </c>
      <c r="S56" s="158">
        <f t="shared" si="14"/>
        <v>3867.6600000000035</v>
      </c>
      <c r="T56" s="158">
        <f t="shared" si="14"/>
        <v>12600.82816717001</v>
      </c>
    </row>
    <row r="57" spans="1:20">
      <c r="I57" s="1" t="e">
        <f>I22-'2406'!I20</f>
        <v>#N/A</v>
      </c>
      <c r="J57" s="1" t="e">
        <f>J22-'2406'!J20</f>
        <v>#N/A</v>
      </c>
      <c r="K57" s="1" t="e">
        <f>K22-'2406'!K20</f>
        <v>#N/A</v>
      </c>
      <c r="L57" s="1" t="e">
        <f>L22-'2406'!L20</f>
        <v>#N/A</v>
      </c>
      <c r="M57" s="1" t="e">
        <f>M22-'2406'!M20</f>
        <v>#N/A</v>
      </c>
      <c r="N57" s="1" t="e">
        <f>N22-'2406'!N20</f>
        <v>#N/A</v>
      </c>
      <c r="O57" s="1" t="e">
        <f>O22-'2406'!O20</f>
        <v>#N/A</v>
      </c>
      <c r="P57" s="1" t="e">
        <f>P22-'2406'!P20</f>
        <v>#N/A</v>
      </c>
      <c r="Q57" s="1" t="e">
        <f>Q22-'2406'!Q20</f>
        <v>#N/A</v>
      </c>
      <c r="R57" s="1" t="e">
        <f>R22-'2406'!R20</f>
        <v>#N/A</v>
      </c>
      <c r="S57" s="1" t="e">
        <f>S22-'2406'!S20</f>
        <v>#N/A</v>
      </c>
      <c r="T57" s="1" t="e">
        <f>T22-'2406'!T20</f>
        <v>#N/A</v>
      </c>
    </row>
    <row r="58" spans="1:20"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</row>
    <row r="59" spans="1:20"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</row>
    <row r="60" spans="1:20" ht="16.5">
      <c r="C60" s="41" t="s">
        <v>1052</v>
      </c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</row>
    <row r="61" spans="1:20" ht="16.5"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2"/>
      <c r="P61" s="43"/>
      <c r="Q61" s="43"/>
      <c r="R61" s="42"/>
      <c r="S61" s="42"/>
      <c r="T61" s="44" t="s">
        <v>104</v>
      </c>
    </row>
    <row r="62" spans="1:20" ht="21.75" customHeight="1">
      <c r="C62" s="729" t="s">
        <v>105</v>
      </c>
      <c r="D62" s="729"/>
      <c r="E62" s="729"/>
      <c r="F62" s="729"/>
      <c r="G62" s="729"/>
      <c r="H62" s="730"/>
      <c r="I62" s="45" t="s">
        <v>124</v>
      </c>
      <c r="J62" s="45" t="s">
        <v>136</v>
      </c>
      <c r="K62" s="45" t="s">
        <v>137</v>
      </c>
      <c r="L62" s="45" t="s">
        <v>138</v>
      </c>
      <c r="M62" s="45" t="s">
        <v>4</v>
      </c>
      <c r="N62" s="45" t="s">
        <v>139</v>
      </c>
      <c r="O62" s="46" t="s">
        <v>6</v>
      </c>
      <c r="P62" s="46" t="s">
        <v>106</v>
      </c>
      <c r="Q62" s="46" t="s">
        <v>107</v>
      </c>
      <c r="R62" s="46" t="s">
        <v>108</v>
      </c>
      <c r="S62" s="46" t="s">
        <v>109</v>
      </c>
      <c r="T62" s="46" t="s">
        <v>110</v>
      </c>
    </row>
    <row r="63" spans="1:20" ht="21.75" customHeight="1">
      <c r="C63" s="740" t="s">
        <v>38</v>
      </c>
      <c r="D63" s="741"/>
      <c r="E63" s="741"/>
      <c r="F63" s="741"/>
      <c r="G63" s="741"/>
      <c r="H63" s="741"/>
      <c r="I63" s="349">
        <f>I22</f>
        <v>18178.844423539998</v>
      </c>
      <c r="J63" s="349">
        <f t="shared" ref="J63:T63" si="15">J22</f>
        <v>131779.54</v>
      </c>
      <c r="K63" s="349">
        <f t="shared" si="15"/>
        <v>64271.258824960001</v>
      </c>
      <c r="L63" s="349">
        <f t="shared" si="15"/>
        <v>63069.582102250002</v>
      </c>
      <c r="M63" s="349">
        <f t="shared" si="15"/>
        <v>66299.22</v>
      </c>
      <c r="N63" s="349">
        <f t="shared" si="15"/>
        <v>13409.673326079999</v>
      </c>
      <c r="O63" s="349">
        <f t="shared" si="15"/>
        <v>29988.52</v>
      </c>
      <c r="P63" s="349">
        <f t="shared" si="15"/>
        <v>120794.84138017001</v>
      </c>
      <c r="Q63" s="349">
        <f t="shared" si="15"/>
        <v>65264.727668439999</v>
      </c>
      <c r="R63" s="349">
        <f t="shared" si="15"/>
        <v>45477.089983639999</v>
      </c>
      <c r="S63" s="349">
        <f t="shared" si="15"/>
        <v>55519.86</v>
      </c>
      <c r="T63" s="348">
        <f t="shared" si="15"/>
        <v>86506.344016340008</v>
      </c>
    </row>
    <row r="64" spans="1:20" ht="21.75" customHeight="1">
      <c r="A64" s="5">
        <f>DATA!CU1</f>
        <v>99</v>
      </c>
      <c r="C64" s="748" t="s">
        <v>1024</v>
      </c>
      <c r="D64" s="748"/>
      <c r="E64" s="748"/>
      <c r="F64" s="748"/>
      <c r="G64" s="748"/>
      <c r="H64" s="749"/>
      <c r="I64" s="354">
        <f>VLOOKUP($I$1&amp;I$8,DATA!$A:$EB,'2312'!$A64,0)/100</f>
        <v>9002.0300000000007</v>
      </c>
      <c r="J64" s="354">
        <f>VLOOKUP($I$1&amp;J$8,DATA!$A:$EB,'2312'!$A64,0)/100</f>
        <v>0</v>
      </c>
      <c r="K64" s="354">
        <f>VLOOKUP($I$1&amp;K$8,DATA!$A:$EB,'2312'!$A64,0)/100</f>
        <v>0</v>
      </c>
      <c r="L64" s="354">
        <f>VLOOKUP($I$1&amp;L$8,DATA!$A:$EB,'2312'!$A64,0)/100</f>
        <v>25047.522204049998</v>
      </c>
      <c r="M64" s="354">
        <f>VLOOKUP($I$1&amp;M$8,DATA!$A:$EB,'2312'!$A64,0)/100</f>
        <v>34492.1</v>
      </c>
      <c r="N64" s="354">
        <f>VLOOKUP($I$1&amp;N$8,DATA!$A:$EB,'2312'!$A64,0)/100</f>
        <v>6402.01</v>
      </c>
      <c r="O64" s="355">
        <f>VLOOKUP($I$1&amp;O$8,DATA!$A:$EB,'2312'!$A64,0)/100</f>
        <v>7205.02</v>
      </c>
      <c r="P64" s="355">
        <f>VLOOKUP($I$1&amp;P$8,DATA!$A:$EB,'2312'!$A64,0)/100</f>
        <v>11800.12136359</v>
      </c>
      <c r="Q64" s="355">
        <f>VLOOKUP($I$1&amp;Q$8,DATA!$A:$EB,'2312'!$A64,0)/100</f>
        <v>34224.25</v>
      </c>
      <c r="R64" s="355">
        <f>VLOOKUP($I$1&amp;R$8,DATA!$A:$EB,'2312'!$A64,0)/100</f>
        <v>10312.549044249999</v>
      </c>
      <c r="S64" s="355">
        <f>VLOOKUP($I$1&amp;S$8,DATA!$A:$EB,'2312'!$A64,0)/100</f>
        <v>27928.53</v>
      </c>
      <c r="T64" s="355">
        <f>VLOOKUP($I$1&amp;T$8,DATA!$A:$EB,'2312'!$A64,0)/100</f>
        <v>26457.799903950003</v>
      </c>
    </row>
    <row r="65" spans="1:20" ht="21.75" customHeight="1">
      <c r="C65" s="750" t="s">
        <v>1063</v>
      </c>
      <c r="D65" s="750"/>
      <c r="E65" s="750"/>
      <c r="F65" s="750"/>
      <c r="G65" s="750"/>
      <c r="H65" s="751"/>
      <c r="I65" s="356">
        <f>I64/I63</f>
        <v>0.49519264207702701</v>
      </c>
      <c r="J65" s="356">
        <f t="shared" ref="J65:T65" si="16">J64/J63</f>
        <v>0</v>
      </c>
      <c r="K65" s="356">
        <f t="shared" si="16"/>
        <v>0</v>
      </c>
      <c r="L65" s="356">
        <f t="shared" si="16"/>
        <v>0.39714108400848958</v>
      </c>
      <c r="M65" s="356">
        <f t="shared" si="16"/>
        <v>0.52024895617173172</v>
      </c>
      <c r="N65" s="356">
        <f t="shared" si="16"/>
        <v>0.47741729752274853</v>
      </c>
      <c r="O65" s="74">
        <f t="shared" si="16"/>
        <v>0.24025927254829516</v>
      </c>
      <c r="P65" s="74">
        <f t="shared" si="16"/>
        <v>9.7687295490146139E-2</v>
      </c>
      <c r="Q65" s="74">
        <f t="shared" si="16"/>
        <v>0.52439121747151318</v>
      </c>
      <c r="R65" s="74">
        <f t="shared" si="16"/>
        <v>0.22676360884040409</v>
      </c>
      <c r="S65" s="74">
        <f t="shared" si="16"/>
        <v>0.50303675117336388</v>
      </c>
      <c r="T65" s="74">
        <f t="shared" si="16"/>
        <v>0.30584808784604794</v>
      </c>
    </row>
    <row r="66" spans="1:20" ht="21.75" customHeight="1">
      <c r="C66" s="752" t="s">
        <v>1064</v>
      </c>
      <c r="D66" s="752"/>
      <c r="E66" s="752"/>
      <c r="F66" s="752"/>
      <c r="G66" s="752"/>
      <c r="H66" s="753"/>
      <c r="I66" s="77">
        <f>I64/I19</f>
        <v>0.29817652543431139</v>
      </c>
      <c r="J66" s="77">
        <f t="shared" ref="J66:T66" si="17">J64/J19</f>
        <v>0</v>
      </c>
      <c r="K66" s="77">
        <f t="shared" si="17"/>
        <v>0</v>
      </c>
      <c r="L66" s="77">
        <f t="shared" si="17"/>
        <v>0.23003069069635285</v>
      </c>
      <c r="M66" s="77">
        <f t="shared" si="17"/>
        <v>0.42336675259911594</v>
      </c>
      <c r="N66" s="77">
        <f t="shared" si="17"/>
        <v>0.24555310079545567</v>
      </c>
      <c r="O66" s="76">
        <f t="shared" si="17"/>
        <v>0.13559312464784468</v>
      </c>
      <c r="P66" s="76">
        <f t="shared" si="17"/>
        <v>7.4190450700138924E-2</v>
      </c>
      <c r="Q66" s="76">
        <f t="shared" si="17"/>
        <v>0.55948538656580238</v>
      </c>
      <c r="R66" s="76">
        <f t="shared" si="17"/>
        <v>0.19874463556709043</v>
      </c>
      <c r="S66" s="76">
        <f t="shared" si="17"/>
        <v>0.44346373409448603</v>
      </c>
      <c r="T66" s="76">
        <f t="shared" si="17"/>
        <v>0.30496971196701883</v>
      </c>
    </row>
    <row r="67" spans="1:20" ht="21.75" customHeight="1">
      <c r="A67" s="5">
        <f>DATA!X1</f>
        <v>24</v>
      </c>
      <c r="C67" s="740" t="s">
        <v>37</v>
      </c>
      <c r="D67" s="741"/>
      <c r="E67" s="741"/>
      <c r="F67" s="741"/>
      <c r="G67" s="741"/>
      <c r="H67" s="741"/>
      <c r="I67" s="349">
        <f>VLOOKUP($I$1&amp;I$8,DATA!$A:$EB,'2312'!$A67,0)/100</f>
        <v>4002.19</v>
      </c>
      <c r="J67" s="349">
        <f>VLOOKUP($I$1&amp;J$8,DATA!$A:$EB,'2312'!$A67,0)/100</f>
        <v>263540.09000000003</v>
      </c>
      <c r="K67" s="349">
        <f>VLOOKUP($I$1&amp;K$8,DATA!$A:$EB,'2312'!$A67,0)/100</f>
        <v>16701.669999999998</v>
      </c>
      <c r="L67" s="349">
        <f>VLOOKUP($I$1&amp;L$8,DATA!$A:$EB,'2312'!$A67,0)/100</f>
        <v>8729.76</v>
      </c>
      <c r="M67" s="349">
        <f>VLOOKUP($I$1&amp;M$8,DATA!$A:$EB,'2312'!$A67,0)/100</f>
        <v>1174.17</v>
      </c>
      <c r="N67" s="349">
        <f>VLOOKUP($I$1&amp;N$8,DATA!$A:$EB,'2312'!$A67,0)/100</f>
        <v>564.05999999999995</v>
      </c>
      <c r="O67" s="349">
        <f>VLOOKUP($I$1&amp;O$8,DATA!$A:$EB,'2312'!$A67,0)/100</f>
        <v>13365.51</v>
      </c>
      <c r="P67" s="349">
        <f>VLOOKUP($I$1&amp;P$8,DATA!$A:$EB,'2312'!$A67,0)/100</f>
        <v>43434.879999999997</v>
      </c>
      <c r="Q67" s="349">
        <f>VLOOKUP($I$1&amp;Q$8,DATA!$A:$EB,'2312'!$A67,0)/100</f>
        <v>-4978.31484</v>
      </c>
      <c r="R67" s="349">
        <f>VLOOKUP($I$1&amp;R$8,DATA!$A:$EB,'2312'!$A67,0)/100</f>
        <v>4797.34</v>
      </c>
      <c r="S67" s="349">
        <f>VLOOKUP($I$1&amp;S$8,DATA!$A:$EB,'2312'!$A67,0)/100</f>
        <v>3641.26</v>
      </c>
      <c r="T67" s="348">
        <f>VLOOKUP($I$1&amp;T$8,DATA!$A:$EB,'2312'!$A67,0)/100</f>
        <v>1040.95</v>
      </c>
    </row>
    <row r="68" spans="1:20" ht="36.75" customHeight="1">
      <c r="C68" s="754" t="s">
        <v>1053</v>
      </c>
      <c r="D68" s="755"/>
      <c r="E68" s="755"/>
      <c r="F68" s="755"/>
      <c r="G68" s="755"/>
      <c r="H68" s="755"/>
      <c r="I68" s="48">
        <f>I79+I80</f>
        <v>-7444.0999999999995</v>
      </c>
      <c r="J68" s="48">
        <f t="shared" ref="J68:T68" si="18">J79+J80</f>
        <v>141920.47</v>
      </c>
      <c r="K68" s="48">
        <f t="shared" si="18"/>
        <v>-32856.51</v>
      </c>
      <c r="L68" s="48">
        <f t="shared" si="18"/>
        <v>-34874.870000000003</v>
      </c>
      <c r="M68" s="48">
        <f t="shared" si="18"/>
        <v>-24517.98</v>
      </c>
      <c r="N68" s="48">
        <f t="shared" si="18"/>
        <v>-12339.2</v>
      </c>
      <c r="O68" s="48">
        <f t="shared" si="18"/>
        <v>-5697.33</v>
      </c>
      <c r="P68" s="48">
        <f t="shared" si="18"/>
        <v>35295.880000000005</v>
      </c>
      <c r="Q68" s="48">
        <f t="shared" si="18"/>
        <v>-28582.525659999999</v>
      </c>
      <c r="R68" s="48">
        <f t="shared" si="18"/>
        <v>-16510.190000000002</v>
      </c>
      <c r="S68" s="48">
        <f t="shared" si="18"/>
        <v>-15366.56</v>
      </c>
      <c r="T68" s="49">
        <f t="shared" si="18"/>
        <v>-21690.91</v>
      </c>
    </row>
    <row r="69" spans="1:20" ht="21.75" customHeight="1">
      <c r="C69" s="350"/>
      <c r="D69" s="736" t="s">
        <v>1055</v>
      </c>
      <c r="E69" s="737"/>
      <c r="F69" s="737"/>
      <c r="G69" s="737"/>
      <c r="H69" s="738"/>
      <c r="I69" s="351">
        <f>+I68-I84</f>
        <v>-2962.6699999999992</v>
      </c>
      <c r="J69" s="351">
        <f t="shared" ref="J69:T69" si="19">+J68-J84</f>
        <v>-12071.619999999995</v>
      </c>
      <c r="K69" s="351">
        <f t="shared" si="19"/>
        <v>-1900.3700000000026</v>
      </c>
      <c r="L69" s="351">
        <f t="shared" si="19"/>
        <v>-13488.020000000004</v>
      </c>
      <c r="M69" s="351">
        <f t="shared" si="19"/>
        <v>-7760.6200000000026</v>
      </c>
      <c r="N69" s="351">
        <f t="shared" si="19"/>
        <v>-2566.9500000000007</v>
      </c>
      <c r="O69" s="351">
        <f t="shared" si="19"/>
        <v>-5066.3500000000004</v>
      </c>
      <c r="P69" s="351">
        <f t="shared" si="19"/>
        <v>10070.390000000007</v>
      </c>
      <c r="Q69" s="351">
        <f t="shared" si="19"/>
        <v>-1835.3906199999983</v>
      </c>
      <c r="R69" s="351">
        <f t="shared" si="19"/>
        <v>-9173.1400000000012</v>
      </c>
      <c r="S69" s="351">
        <f t="shared" si="19"/>
        <v>-6114.0899999999983</v>
      </c>
      <c r="T69" s="352">
        <f t="shared" si="19"/>
        <v>-1748.6599999999999</v>
      </c>
    </row>
    <row r="70" spans="1:20" ht="21.75" customHeight="1">
      <c r="C70" s="350"/>
      <c r="D70" s="464"/>
      <c r="E70" s="465" t="s">
        <v>1071</v>
      </c>
      <c r="F70" s="465"/>
      <c r="G70" s="465"/>
      <c r="H70" s="466"/>
      <c r="I70" s="363">
        <f>I69/I77</f>
        <v>-9.813327067433357E-2</v>
      </c>
      <c r="J70" s="363">
        <f t="shared" ref="J70:T70" si="20">J69/J77</f>
        <v>-3.2167204380228208E-2</v>
      </c>
      <c r="K70" s="363">
        <f t="shared" si="20"/>
        <v>-1.9049885762817111E-2</v>
      </c>
      <c r="L70" s="363">
        <f t="shared" si="20"/>
        <v>-0.11844981452620579</v>
      </c>
      <c r="M70" s="363">
        <f t="shared" si="20"/>
        <v>-9.1879180479507105E-2</v>
      </c>
      <c r="N70" s="363">
        <f t="shared" si="20"/>
        <v>-8.6963759376460323E-2</v>
      </c>
      <c r="O70" s="363">
        <f t="shared" si="20"/>
        <v>-9.445966873160952E-2</v>
      </c>
      <c r="P70" s="363">
        <f t="shared" si="20"/>
        <v>6.3315177005846573E-2</v>
      </c>
      <c r="Q70" s="363">
        <f t="shared" si="20"/>
        <v>-3.0004287326382512E-2</v>
      </c>
      <c r="R70" s="363">
        <f t="shared" si="20"/>
        <v>-0.16762022005861704</v>
      </c>
      <c r="S70" s="363">
        <f t="shared" si="20"/>
        <v>-9.7082702956072353E-2</v>
      </c>
      <c r="T70" s="363">
        <f t="shared" si="20"/>
        <v>-2.0156186019406327E-2</v>
      </c>
    </row>
    <row r="71" spans="1:20" ht="21.75" customHeight="1">
      <c r="C71" s="744" t="s">
        <v>1054</v>
      </c>
      <c r="D71" s="755"/>
      <c r="E71" s="755"/>
      <c r="F71" s="755"/>
      <c r="G71" s="755"/>
      <c r="H71" s="755"/>
      <c r="I71" s="48">
        <f>+I81+I82</f>
        <v>11463.24</v>
      </c>
      <c r="J71" s="48">
        <f t="shared" ref="J71:T71" si="21">+J81+J82</f>
        <v>122966.01</v>
      </c>
      <c r="K71" s="48">
        <f t="shared" si="21"/>
        <v>43955.38</v>
      </c>
      <c r="L71" s="48">
        <f t="shared" si="21"/>
        <v>41566.160000000003</v>
      </c>
      <c r="M71" s="48">
        <f t="shared" si="21"/>
        <v>25853.39</v>
      </c>
      <c r="N71" s="48">
        <f t="shared" si="21"/>
        <v>12864.050000000001</v>
      </c>
      <c r="O71" s="48">
        <f t="shared" si="21"/>
        <v>19126.59</v>
      </c>
      <c r="P71" s="48">
        <f t="shared" si="21"/>
        <v>9089.4500000000007</v>
      </c>
      <c r="Q71" s="48">
        <f t="shared" si="21"/>
        <v>21191.34057</v>
      </c>
      <c r="R71" s="48">
        <f t="shared" si="21"/>
        <v>17608.82</v>
      </c>
      <c r="S71" s="48">
        <f t="shared" si="21"/>
        <v>18648.53</v>
      </c>
      <c r="T71" s="49">
        <f t="shared" si="21"/>
        <v>20420.460000000003</v>
      </c>
    </row>
    <row r="72" spans="1:20" ht="21.75" customHeight="1">
      <c r="C72" s="347"/>
      <c r="D72" s="739" t="s">
        <v>1055</v>
      </c>
      <c r="E72" s="734"/>
      <c r="F72" s="734"/>
      <c r="G72" s="734"/>
      <c r="H72" s="735"/>
      <c r="I72" s="50">
        <f>I71-I85</f>
        <v>8871.9699999999993</v>
      </c>
      <c r="J72" s="50">
        <f t="shared" ref="J72:T72" si="22">J71-J85</f>
        <v>90358.61</v>
      </c>
      <c r="K72" s="50">
        <f t="shared" si="22"/>
        <v>41610.74</v>
      </c>
      <c r="L72" s="50">
        <f t="shared" si="22"/>
        <v>36171.11</v>
      </c>
      <c r="M72" s="50">
        <f t="shared" si="22"/>
        <v>23549.47</v>
      </c>
      <c r="N72" s="50">
        <f t="shared" si="22"/>
        <v>14093.320000000002</v>
      </c>
      <c r="O72" s="50">
        <f t="shared" si="22"/>
        <v>14767.84</v>
      </c>
      <c r="P72" s="50">
        <f t="shared" si="22"/>
        <v>9334.91</v>
      </c>
      <c r="Q72" s="50">
        <f t="shared" si="22"/>
        <v>22542.973470000001</v>
      </c>
      <c r="R72" s="50">
        <f t="shared" si="22"/>
        <v>16457.8</v>
      </c>
      <c r="S72" s="50">
        <f t="shared" si="22"/>
        <v>16342.59</v>
      </c>
      <c r="T72" s="51">
        <f t="shared" si="22"/>
        <v>18691.540000000005</v>
      </c>
    </row>
    <row r="73" spans="1:20" ht="21.75" customHeight="1">
      <c r="C73" s="361"/>
      <c r="D73" s="362" t="s">
        <v>1074</v>
      </c>
      <c r="E73" s="467"/>
      <c r="F73" s="467"/>
      <c r="G73" s="467"/>
      <c r="H73" s="468"/>
      <c r="I73" s="363">
        <f>I72/I45</f>
        <v>3.380002569298287E-2</v>
      </c>
      <c r="J73" s="363">
        <f t="shared" ref="J73:T73" si="23">J72/J45</f>
        <v>4.4697400645402605E-2</v>
      </c>
      <c r="K73" s="363">
        <f t="shared" si="23"/>
        <v>4.4059904988161744E-2</v>
      </c>
      <c r="L73" s="363">
        <f t="shared" si="23"/>
        <v>3.7232936762399763E-2</v>
      </c>
      <c r="M73" s="363">
        <f t="shared" si="23"/>
        <v>4.8636604740789867E-2</v>
      </c>
      <c r="N73" s="363">
        <f t="shared" si="23"/>
        <v>4.993831820506775E-2</v>
      </c>
      <c r="O73" s="363">
        <f t="shared" si="23"/>
        <v>5.4274098486358086E-2</v>
      </c>
      <c r="P73" s="363">
        <f t="shared" si="23"/>
        <v>2.1186495590703916E-2</v>
      </c>
      <c r="Q73" s="363">
        <f t="shared" si="23"/>
        <v>7.730244774087916E-2</v>
      </c>
      <c r="R73" s="363">
        <f t="shared" si="23"/>
        <v>7.1894563144576581E-2</v>
      </c>
      <c r="S73" s="363">
        <f t="shared" si="23"/>
        <v>7.2385826355231928E-2</v>
      </c>
      <c r="T73" s="363">
        <f t="shared" si="23"/>
        <v>7.3716545492671703E-2</v>
      </c>
    </row>
    <row r="74" spans="1:20" ht="21.75" customHeight="1">
      <c r="A74" s="5">
        <f>DATA!V1</f>
        <v>22</v>
      </c>
      <c r="C74" s="740" t="s">
        <v>1040</v>
      </c>
      <c r="D74" s="741"/>
      <c r="E74" s="741"/>
      <c r="F74" s="741"/>
      <c r="G74" s="741"/>
      <c r="H74" s="741"/>
      <c r="I74" s="349">
        <f>VLOOKUP($I$1&amp;I$8,DATA!$A:$EB,'2312'!$A74,0)/100</f>
        <v>196259.64</v>
      </c>
      <c r="J74" s="349">
        <f>VLOOKUP($I$1&amp;J$8,DATA!$A:$EB,'2312'!$A74,0)/100</f>
        <v>2470530.4</v>
      </c>
      <c r="K74" s="349">
        <f>VLOOKUP($I$1&amp;K$8,DATA!$A:$EB,'2312'!$A74,0)/100</f>
        <v>972589.1</v>
      </c>
      <c r="L74" s="349">
        <f>VLOOKUP($I$1&amp;L$8,DATA!$A:$EB,'2312'!$A74,0)/100</f>
        <v>1122570.55</v>
      </c>
      <c r="M74" s="349">
        <f>VLOOKUP($I$1&amp;M$8,DATA!$A:$EB,'2312'!$A74,0)/100</f>
        <v>509319</v>
      </c>
      <c r="N74" s="349">
        <f>VLOOKUP($I$1&amp;N$8,DATA!$A:$EB,'2312'!$A74,0)/100</f>
        <v>311528.44</v>
      </c>
      <c r="O74" s="349">
        <f>VLOOKUP($I$1&amp;O$8,DATA!$A:$EB,'2312'!$A74,0)/100</f>
        <v>252609</v>
      </c>
      <c r="P74" s="349">
        <f>VLOOKUP($I$1&amp;P$8,DATA!$A:$EB,'2312'!$A74,0)/100</f>
        <v>805083.67</v>
      </c>
      <c r="Q74" s="349">
        <f>VLOOKUP($I$1&amp;Q$8,DATA!$A:$EB,'2312'!$A74,0)/100</f>
        <v>414995.25</v>
      </c>
      <c r="R74" s="349">
        <f>VLOOKUP($I$1&amp;R$8,DATA!$A:$EB,'2312'!$A74,0)/100</f>
        <v>376732.27</v>
      </c>
      <c r="S74" s="349">
        <f>VLOOKUP($I$1&amp;S$8,DATA!$A:$EB,'2312'!$A74,0)/100</f>
        <v>349495</v>
      </c>
      <c r="T74" s="348">
        <f>VLOOKUP($I$1&amp;T$8,DATA!$A:$EB,'2312'!$A74,0)/100</f>
        <v>449428.32</v>
      </c>
    </row>
    <row r="75" spans="1:20" ht="21.75" customHeight="1">
      <c r="C75" s="740" t="s">
        <v>1065</v>
      </c>
      <c r="D75" s="741"/>
      <c r="E75" s="741"/>
      <c r="F75" s="741"/>
      <c r="G75" s="741"/>
      <c r="H75" s="741"/>
      <c r="I75" s="358">
        <f>I74/I19</f>
        <v>6.5007578888527142</v>
      </c>
      <c r="J75" s="358">
        <f t="shared" ref="J75:T75" si="24">J74/J19</f>
        <v>6.5832138772067852</v>
      </c>
      <c r="K75" s="358">
        <f t="shared" si="24"/>
        <v>11.622281283189681</v>
      </c>
      <c r="L75" s="358">
        <f t="shared" si="24"/>
        <v>10.309430085269335</v>
      </c>
      <c r="M75" s="358">
        <f t="shared" si="24"/>
        <v>6.2515396588502625</v>
      </c>
      <c r="N75" s="358">
        <f t="shared" si="24"/>
        <v>11.948868312915954</v>
      </c>
      <c r="O75" s="358">
        <f t="shared" si="24"/>
        <v>4.7539137468275436</v>
      </c>
      <c r="P75" s="358">
        <f t="shared" si="24"/>
        <v>5.0617716960878907</v>
      </c>
      <c r="Q75" s="358">
        <f t="shared" si="24"/>
        <v>6.7841889265424893</v>
      </c>
      <c r="R75" s="358">
        <f t="shared" si="24"/>
        <v>7.2604277939662447</v>
      </c>
      <c r="S75" s="358">
        <f t="shared" si="24"/>
        <v>5.5494634965518204</v>
      </c>
      <c r="T75" s="359">
        <f t="shared" si="24"/>
        <v>5.1804014618675289</v>
      </c>
    </row>
    <row r="76" spans="1:20" ht="21.75" customHeight="1">
      <c r="C76" s="346"/>
      <c r="D76" s="467"/>
      <c r="E76" s="467"/>
      <c r="F76" s="467"/>
      <c r="G76" s="467"/>
      <c r="H76" s="467"/>
      <c r="I76" s="357"/>
      <c r="J76" s="357"/>
      <c r="K76" s="357"/>
      <c r="L76" s="357"/>
      <c r="M76" s="357"/>
      <c r="N76" s="357"/>
      <c r="O76" s="357"/>
      <c r="P76" s="357"/>
      <c r="Q76" s="357"/>
      <c r="R76" s="357"/>
      <c r="S76" s="357"/>
      <c r="T76" s="357"/>
    </row>
    <row r="77" spans="1:20" ht="21.75" customHeight="1">
      <c r="C77" s="346"/>
      <c r="D77" s="467" t="s">
        <v>1072</v>
      </c>
      <c r="E77" s="467"/>
      <c r="F77" s="467"/>
      <c r="G77" s="467"/>
      <c r="H77" s="467"/>
      <c r="I77" s="357">
        <f>전기말!I18</f>
        <v>30190.270635449997</v>
      </c>
      <c r="J77" s="357">
        <f>전기말!J18</f>
        <v>375277.25</v>
      </c>
      <c r="K77" s="357">
        <f>전기말!K18</f>
        <v>99757.553596950005</v>
      </c>
      <c r="L77" s="357">
        <f>전기말!L18</f>
        <v>113871.17872621</v>
      </c>
      <c r="M77" s="357">
        <f>전기말!M18</f>
        <v>84465.49</v>
      </c>
      <c r="N77" s="357">
        <f>전기말!N18</f>
        <v>29517.468177609997</v>
      </c>
      <c r="O77" s="357">
        <f>전기말!O18</f>
        <v>53635.06</v>
      </c>
      <c r="P77" s="357">
        <f>전기말!P18</f>
        <v>159051.75466966</v>
      </c>
      <c r="Q77" s="357">
        <f>전기말!Q18</f>
        <v>61170.945339739999</v>
      </c>
      <c r="R77" s="357">
        <f>전기말!R18</f>
        <v>54725.736529829999</v>
      </c>
      <c r="S77" s="357">
        <f>전기말!S18</f>
        <v>62978.16</v>
      </c>
      <c r="T77" s="357">
        <f>전기말!T18</f>
        <v>86755.500188200007</v>
      </c>
    </row>
    <row r="78" spans="1:20"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5">
        <f>DATA!Y1</f>
        <v>25</v>
      </c>
      <c r="C79" s="5" t="s">
        <v>1058</v>
      </c>
      <c r="I79" s="1">
        <f>VLOOKUP($I$1&amp;I$8,DATA!$A:$EB,'2312'!$A79,0)/100</f>
        <v>-8511.31</v>
      </c>
      <c r="J79" s="1">
        <f>VLOOKUP($I$1&amp;J$8,DATA!$A:$EB,'2312'!$A79,0)/100</f>
        <v>141430.9</v>
      </c>
      <c r="K79" s="1">
        <f>VLOOKUP($I$1&amp;K$8,DATA!$A:$EB,'2312'!$A79,0)/100</f>
        <v>-35506.69</v>
      </c>
      <c r="L79" s="1">
        <f>VLOOKUP($I$1&amp;L$8,DATA!$A:$EB,'2312'!$A79,0)/100</f>
        <v>-30024.13</v>
      </c>
      <c r="M79" s="1">
        <f>VLOOKUP($I$1&amp;M$8,DATA!$A:$EB,'2312'!$A79,0)/100</f>
        <v>-24972.6</v>
      </c>
      <c r="N79" s="1">
        <f>VLOOKUP($I$1&amp;N$8,DATA!$A:$EB,'2312'!$A79,0)/100</f>
        <v>-12532.37</v>
      </c>
      <c r="O79" s="1">
        <f>VLOOKUP($I$1&amp;O$8,DATA!$A:$EB,'2312'!$A79,0)/100</f>
        <v>-5669.2</v>
      </c>
      <c r="P79" s="1">
        <f>VLOOKUP($I$1&amp;P$8,DATA!$A:$EB,'2312'!$A79,0)/100</f>
        <v>34176.19</v>
      </c>
      <c r="Q79" s="1">
        <f>VLOOKUP($I$1&amp;Q$8,DATA!$A:$EB,'2312'!$A79,0)/100</f>
        <v>-28668.514500000001</v>
      </c>
      <c r="R79" s="1">
        <f>VLOOKUP($I$1&amp;R$8,DATA!$A:$EB,'2312'!$A79,0)/100</f>
        <v>-17813.22</v>
      </c>
      <c r="S79" s="1">
        <f>VLOOKUP($I$1&amp;S$8,DATA!$A:$EB,'2312'!$A79,0)/100</f>
        <v>-16117.92</v>
      </c>
      <c r="T79" s="1">
        <f>VLOOKUP($I$1&amp;T$8,DATA!$A:$EB,'2312'!$A79,0)/100</f>
        <v>-21882.62</v>
      </c>
    </row>
    <row r="80" spans="1:20">
      <c r="A80" s="5">
        <f>DATA!AB1</f>
        <v>28</v>
      </c>
      <c r="C80" s="5" t="s">
        <v>1059</v>
      </c>
      <c r="I80" s="1">
        <f>VLOOKUP($I$1&amp;I$8,DATA!$A:$EB,'2312'!$A80,0)/100</f>
        <v>1067.21</v>
      </c>
      <c r="J80" s="1">
        <f>VLOOKUP($I$1&amp;J$8,DATA!$A:$EB,'2312'!$A80,0)/100</f>
        <v>489.57</v>
      </c>
      <c r="K80" s="1">
        <f>VLOOKUP($I$1&amp;K$8,DATA!$A:$EB,'2312'!$A80,0)/100</f>
        <v>2650.18</v>
      </c>
      <c r="L80" s="1">
        <f>VLOOKUP($I$1&amp;L$8,DATA!$A:$EB,'2312'!$A80,0)/100</f>
        <v>-4850.74</v>
      </c>
      <c r="M80" s="1">
        <f>VLOOKUP($I$1&amp;M$8,DATA!$A:$EB,'2312'!$A80,0)/100</f>
        <v>454.62</v>
      </c>
      <c r="N80" s="1">
        <f>VLOOKUP($I$1&amp;N$8,DATA!$A:$EB,'2312'!$A80,0)/100</f>
        <v>193.17</v>
      </c>
      <c r="O80" s="1">
        <f>VLOOKUP($I$1&amp;O$8,DATA!$A:$EB,'2312'!$A80,0)/100</f>
        <v>-28.13</v>
      </c>
      <c r="P80" s="1">
        <f>VLOOKUP($I$1&amp;P$8,DATA!$A:$EB,'2312'!$A80,0)/100</f>
        <v>1119.69</v>
      </c>
      <c r="Q80" s="1">
        <f>VLOOKUP($I$1&amp;Q$8,DATA!$A:$EB,'2312'!$A80,0)/100</f>
        <v>85.988839999999996</v>
      </c>
      <c r="R80" s="1">
        <f>VLOOKUP($I$1&amp;R$8,DATA!$A:$EB,'2312'!$A80,0)/100</f>
        <v>1303.03</v>
      </c>
      <c r="S80" s="1">
        <f>VLOOKUP($I$1&amp;S$8,DATA!$A:$EB,'2312'!$A80,0)/100</f>
        <v>751.36</v>
      </c>
      <c r="T80" s="1">
        <f>VLOOKUP($I$1&amp;T$8,DATA!$A:$EB,'2312'!$A80,0)/100</f>
        <v>191.71</v>
      </c>
    </row>
    <row r="81" spans="1:21">
      <c r="A81" s="5">
        <f>+DATA!Z1</f>
        <v>26</v>
      </c>
      <c r="C81" s="5" t="s">
        <v>1056</v>
      </c>
      <c r="I81" s="1">
        <f>VLOOKUP($I$1&amp;I$8,DATA!$A:$EB,'2312'!$A81,0)/100</f>
        <v>11466.03</v>
      </c>
      <c r="J81" s="1">
        <f>VLOOKUP($I$1&amp;J$8,DATA!$A:$EB,'2312'!$A81,0)/100</f>
        <v>120462.36</v>
      </c>
      <c r="K81" s="1">
        <f>VLOOKUP($I$1&amp;K$8,DATA!$A:$EB,'2312'!$A81,0)/100</f>
        <v>43835.34</v>
      </c>
      <c r="L81" s="1">
        <f>VLOOKUP($I$1&amp;L$8,DATA!$A:$EB,'2312'!$A81,0)/100</f>
        <v>41527.18</v>
      </c>
      <c r="M81" s="1">
        <f>VLOOKUP($I$1&amp;M$8,DATA!$A:$EB,'2312'!$A81,0)/100</f>
        <v>25720.59</v>
      </c>
      <c r="N81" s="1">
        <f>VLOOKUP($I$1&amp;N$8,DATA!$A:$EB,'2312'!$A81,0)/100</f>
        <v>13091.52</v>
      </c>
      <c r="O81" s="1">
        <f>VLOOKUP($I$1&amp;O$8,DATA!$A:$EB,'2312'!$A81,0)/100</f>
        <v>19071.43</v>
      </c>
      <c r="P81" s="1">
        <f>VLOOKUP($I$1&amp;P$8,DATA!$A:$EB,'2312'!$A81,0)/100</f>
        <v>9312.76</v>
      </c>
      <c r="Q81" s="1">
        <f>VLOOKUP($I$1&amp;Q$8,DATA!$A:$EB,'2312'!$A81,0)/100</f>
        <v>21198.074970000001</v>
      </c>
      <c r="R81" s="1">
        <f>VLOOKUP($I$1&amp;R$8,DATA!$A:$EB,'2312'!$A81,0)/100</f>
        <v>18165.400000000001</v>
      </c>
      <c r="S81" s="1">
        <f>VLOOKUP($I$1&amp;S$8,DATA!$A:$EB,'2312'!$A81,0)/100</f>
        <v>18954.419999999998</v>
      </c>
      <c r="T81" s="1">
        <f>VLOOKUP($I$1&amp;T$8,DATA!$A:$EB,'2312'!$A81,0)/100</f>
        <v>20514.97</v>
      </c>
    </row>
    <row r="82" spans="1:21">
      <c r="A82" s="5">
        <f>+DATA!AA1</f>
        <v>27</v>
      </c>
      <c r="C82" s="5" t="s">
        <v>1057</v>
      </c>
      <c r="I82" s="1">
        <f>VLOOKUP($I$1&amp;I$8,DATA!$A:$EB,'2312'!$A82,0)/100</f>
        <v>-2.79</v>
      </c>
      <c r="J82" s="1">
        <f>VLOOKUP($I$1&amp;J$8,DATA!$A:$EB,'2312'!$A82,0)/100</f>
        <v>2503.65</v>
      </c>
      <c r="K82" s="1">
        <f>VLOOKUP($I$1&amp;K$8,DATA!$A:$EB,'2312'!$A82,0)/100</f>
        <v>120.04</v>
      </c>
      <c r="L82" s="1">
        <f>VLOOKUP($I$1&amp;L$8,DATA!$A:$EB,'2312'!$A82,0)/100</f>
        <v>38.979999999999997</v>
      </c>
      <c r="M82" s="1">
        <f>VLOOKUP($I$1&amp;M$8,DATA!$A:$EB,'2312'!$A82,0)/100</f>
        <v>132.80000000000001</v>
      </c>
      <c r="N82" s="1">
        <f>VLOOKUP($I$1&amp;N$8,DATA!$A:$EB,'2312'!$A82,0)/100</f>
        <v>-227.47</v>
      </c>
      <c r="O82" s="1">
        <f>VLOOKUP($I$1&amp;O$8,DATA!$A:$EB,'2312'!$A82,0)/100</f>
        <v>55.16</v>
      </c>
      <c r="P82" s="1">
        <f>VLOOKUP($I$1&amp;P$8,DATA!$A:$EB,'2312'!$A82,0)/100</f>
        <v>-223.31</v>
      </c>
      <c r="Q82" s="1">
        <f>VLOOKUP($I$1&amp;Q$8,DATA!$A:$EB,'2312'!$A82,0)/100</f>
        <v>-6.7344000000000008</v>
      </c>
      <c r="R82" s="1">
        <f>VLOOKUP($I$1&amp;R$8,DATA!$A:$EB,'2312'!$A82,0)/100</f>
        <v>-556.58000000000004</v>
      </c>
      <c r="S82" s="1">
        <f>VLOOKUP($I$1&amp;S$8,DATA!$A:$EB,'2312'!$A82,0)/100</f>
        <v>-305.89</v>
      </c>
      <c r="T82" s="1">
        <f>VLOOKUP($I$1&amp;T$8,DATA!$A:$EB,'2312'!$A82,0)/100</f>
        <v>-94.51</v>
      </c>
    </row>
    <row r="83" spans="1:21">
      <c r="I83" s="1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</row>
    <row r="84" spans="1:21" ht="31.5" customHeight="1">
      <c r="C84" s="742" t="s">
        <v>1060</v>
      </c>
      <c r="D84" s="743"/>
      <c r="E84" s="743"/>
      <c r="F84" s="743"/>
      <c r="G84" s="743"/>
      <c r="H84" s="744"/>
      <c r="I84" s="1">
        <f>전기말!I11+전기말!I12</f>
        <v>-4481.43</v>
      </c>
      <c r="J84" s="1">
        <f>전기말!J11+전기말!J12</f>
        <v>153992.09</v>
      </c>
      <c r="K84" s="1">
        <f>전기말!K11+전기말!K12</f>
        <v>-30956.14</v>
      </c>
      <c r="L84" s="1">
        <f>전기말!L11+전기말!L12</f>
        <v>-21386.85</v>
      </c>
      <c r="M84" s="1">
        <f>전기말!M11+전기말!M12</f>
        <v>-16757.359999999997</v>
      </c>
      <c r="N84" s="1">
        <f>전기말!N11+전기말!N12</f>
        <v>-9772.25</v>
      </c>
      <c r="O84" s="1">
        <f>전기말!O11+전기말!O12</f>
        <v>-630.9799999999999</v>
      </c>
      <c r="P84" s="1">
        <f>전기말!P11+전기말!P12</f>
        <v>25225.489999999998</v>
      </c>
      <c r="Q84" s="1">
        <f>전기말!Q11+전기말!Q12</f>
        <v>-26747.135040000001</v>
      </c>
      <c r="R84" s="1">
        <f>전기말!R11+전기말!R12</f>
        <v>-7337.0500000000011</v>
      </c>
      <c r="S84" s="1">
        <f>전기말!S11+전기말!S12</f>
        <v>-9252.4700000000012</v>
      </c>
      <c r="T84" s="1">
        <f>전기말!T11+전기말!T12</f>
        <v>-19942.25</v>
      </c>
    </row>
    <row r="85" spans="1:21">
      <c r="C85" s="734" t="s">
        <v>1061</v>
      </c>
      <c r="D85" s="734"/>
      <c r="E85" s="734"/>
      <c r="F85" s="734"/>
      <c r="G85" s="734"/>
      <c r="H85" s="735"/>
      <c r="I85" s="1">
        <f>+전기말!I13+전기말!I14</f>
        <v>2591.27</v>
      </c>
      <c r="J85" s="1">
        <f>+전기말!J13+전기말!J14</f>
        <v>32607.399999999998</v>
      </c>
      <c r="K85" s="1">
        <f>+전기말!K13+전기말!K14</f>
        <v>2344.6400000000003</v>
      </c>
      <c r="L85" s="1">
        <f>+전기말!L13+전기말!L14</f>
        <v>5395.0499999999993</v>
      </c>
      <c r="M85" s="1">
        <f>+전기말!M13+전기말!M14</f>
        <v>2303.92</v>
      </c>
      <c r="N85" s="1">
        <f>+전기말!N13+전기말!N14</f>
        <v>-1229.27</v>
      </c>
      <c r="O85" s="1">
        <f>+전기말!O13+전기말!O14</f>
        <v>4358.75</v>
      </c>
      <c r="P85" s="1">
        <f>+전기말!P13+전기말!P14</f>
        <v>-245.46</v>
      </c>
      <c r="Q85" s="1">
        <f>+전기말!Q13+전기말!Q14</f>
        <v>-1351.6329000000001</v>
      </c>
      <c r="R85" s="1">
        <f>+전기말!R13+전기말!R14</f>
        <v>1151.02</v>
      </c>
      <c r="S85" s="1">
        <f>+전기말!S13+전기말!S14</f>
        <v>2305.9399999999996</v>
      </c>
      <c r="T85" s="1">
        <f>+전기말!T13+전기말!T14</f>
        <v>1728.9199999999998</v>
      </c>
    </row>
    <row r="86" spans="1:21">
      <c r="I86" s="1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</row>
    <row r="87" spans="1:21"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</row>
    <row r="88" spans="1:21"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</row>
    <row r="89" spans="1:21" ht="16.5">
      <c r="C89" s="41" t="s">
        <v>142</v>
      </c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</row>
    <row r="90" spans="1:21" ht="16.5"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2"/>
      <c r="P90" s="43"/>
      <c r="Q90" s="43"/>
      <c r="R90" s="42"/>
      <c r="S90" s="42"/>
      <c r="T90" s="44" t="s">
        <v>104</v>
      </c>
      <c r="U90" s="42"/>
    </row>
    <row r="91" spans="1:21" ht="16.5">
      <c r="C91" s="729" t="s">
        <v>105</v>
      </c>
      <c r="D91" s="729"/>
      <c r="E91" s="729"/>
      <c r="F91" s="729"/>
      <c r="G91" s="729"/>
      <c r="H91" s="730"/>
      <c r="I91" s="45" t="s">
        <v>124</v>
      </c>
      <c r="J91" s="45" t="s">
        <v>136</v>
      </c>
      <c r="K91" s="45" t="s">
        <v>137</v>
      </c>
      <c r="L91" s="45" t="s">
        <v>138</v>
      </c>
      <c r="M91" s="45" t="s">
        <v>4</v>
      </c>
      <c r="N91" s="45" t="s">
        <v>139</v>
      </c>
      <c r="O91" s="46" t="s">
        <v>6</v>
      </c>
      <c r="P91" s="46" t="s">
        <v>106</v>
      </c>
      <c r="Q91" s="46" t="s">
        <v>107</v>
      </c>
      <c r="R91" s="46" t="s">
        <v>108</v>
      </c>
      <c r="S91" s="46" t="s">
        <v>109</v>
      </c>
      <c r="T91" s="46" t="s">
        <v>110</v>
      </c>
      <c r="U91" s="42"/>
    </row>
    <row r="92" spans="1:21" ht="16.5">
      <c r="A92" s="5">
        <f>DATA!$CN$1</f>
        <v>92</v>
      </c>
      <c r="C92" s="745" t="s">
        <v>65</v>
      </c>
      <c r="D92" s="745"/>
      <c r="E92" s="745"/>
      <c r="F92" s="745"/>
      <c r="G92" s="745"/>
      <c r="H92" s="740"/>
      <c r="I92" s="47">
        <f>VLOOKUP($I$1&amp;I$8,DATA!$A:$EB,'2312'!$A92,0)</f>
        <v>0</v>
      </c>
      <c r="J92" s="47" t="str">
        <f>VLOOKUP($I$1&amp;J$8,DATA!$A:$EB,'2312'!$A92,0)</f>
        <v>미공시</v>
      </c>
      <c r="K92" s="47">
        <f>VLOOKUP($I$1&amp;K$8,DATA!$A:$EB,'2312'!$A92,0)</f>
        <v>0</v>
      </c>
      <c r="L92" s="47">
        <f>VLOOKUP($I$1&amp;L$8,DATA!$A:$EB,'2312'!$A92,0)</f>
        <v>1.8301422720548983</v>
      </c>
      <c r="M92" s="47">
        <f>VLOOKUP($I$1&amp;M$8,DATA!$A:$EB,'2312'!$A92,0)</f>
        <v>2.532</v>
      </c>
      <c r="N92" s="47">
        <f>VLOOKUP($I$1&amp;N$8,DATA!$A:$EB,'2312'!$A92,0)</f>
        <v>1.919</v>
      </c>
      <c r="O92" s="47">
        <f>VLOOKUP($I$1&amp;O$8,DATA!$A:$EB,'2312'!$A92,0)</f>
        <v>3.0794999999999999</v>
      </c>
      <c r="P92" s="47">
        <f>VLOOKUP($I$1&amp;P$8,DATA!$A:$EB,'2312'!$A92,0)</f>
        <v>2.7233000000000001</v>
      </c>
      <c r="Q92" s="47">
        <f>VLOOKUP($I$1&amp;Q$8,DATA!$A:$EB,'2312'!$A92,0)</f>
        <v>1.732</v>
      </c>
      <c r="R92" s="47">
        <f>VLOOKUP($I$1&amp;R$8,DATA!$A:$EB,'2312'!$A92,0)</f>
        <v>2.4060000000000001</v>
      </c>
      <c r="S92" s="47">
        <f>VLOOKUP($I$1&amp;S$8,DATA!$A:$EB,'2312'!$A92,0)</f>
        <v>2.1604000000000001</v>
      </c>
      <c r="T92" s="47">
        <f>VLOOKUP($I$1&amp;T$8,DATA!$A:$EB,'2312'!$A92,0)</f>
        <v>2.3109999999999999</v>
      </c>
      <c r="U92" s="42"/>
    </row>
    <row r="93" spans="1:21" ht="16.5">
      <c r="A93" s="5">
        <f>DATA!$CO$1</f>
        <v>93</v>
      </c>
      <c r="C93" s="743" t="s">
        <v>66</v>
      </c>
      <c r="D93" s="743"/>
      <c r="E93" s="743"/>
      <c r="F93" s="743"/>
      <c r="G93" s="743"/>
      <c r="H93" s="744"/>
      <c r="I93" s="48">
        <f>VLOOKUP($I$1&amp;I$8,DATA!$A:$EB,'2312'!$A93,0)/100</f>
        <v>0</v>
      </c>
      <c r="J93" s="48">
        <f>VLOOKUP($I$1&amp;J$8,DATA!$A:$EB,'2312'!$A93,0)/100</f>
        <v>0</v>
      </c>
      <c r="K93" s="48">
        <f>VLOOKUP($I$1&amp;K$8,DATA!$A:$EB,'2312'!$A93,0)/100</f>
        <v>0</v>
      </c>
      <c r="L93" s="48">
        <f>VLOOKUP($I$1&amp;L$8,DATA!$A:$EB,'2312'!$A93,0)/100</f>
        <v>209469.49108342902</v>
      </c>
      <c r="M93" s="48">
        <f>VLOOKUP($I$1&amp;M$8,DATA!$A:$EB,'2312'!$A93,0)/100</f>
        <v>109737</v>
      </c>
      <c r="N93" s="48">
        <f>VLOOKUP($I$1&amp;N$8,DATA!$A:$EB,'2312'!$A93,0)/100</f>
        <v>42146.82</v>
      </c>
      <c r="O93" s="49">
        <f>VLOOKUP($I$1&amp;O$8,DATA!$A:$EB,'2312'!$A93,0)/100</f>
        <v>68128.929999999993</v>
      </c>
      <c r="P93" s="49">
        <f>VLOOKUP($I$1&amp;P$8,DATA!$A:$EB,'2312'!$A93,0)/100</f>
        <v>238522</v>
      </c>
      <c r="Q93" s="49">
        <f>VLOOKUP($I$1&amp;Q$8,DATA!$A:$EB,'2312'!$A93,0)/100</f>
        <v>120727.82</v>
      </c>
      <c r="R93" s="49">
        <f>VLOOKUP($I$1&amp;R$8,DATA!$A:$EB,'2312'!$A93,0)/100</f>
        <v>129183.37</v>
      </c>
      <c r="S93" s="49">
        <f>VLOOKUP($I$1&amp;S$8,DATA!$A:$EB,'2312'!$A93,0)/100</f>
        <v>116576.8</v>
      </c>
      <c r="T93" s="49">
        <f>VLOOKUP($I$1&amp;T$8,DATA!$A:$EB,'2312'!$A93,0)/100</f>
        <v>195666.51</v>
      </c>
      <c r="U93" s="42"/>
    </row>
    <row r="94" spans="1:21" ht="16.5">
      <c r="A94" s="5">
        <f>DATA!$CP$1</f>
        <v>94</v>
      </c>
      <c r="C94" s="734" t="s">
        <v>67</v>
      </c>
      <c r="D94" s="734"/>
      <c r="E94" s="734"/>
      <c r="F94" s="734"/>
      <c r="G94" s="734"/>
      <c r="H94" s="735"/>
      <c r="I94" s="50">
        <f>VLOOKUP($I$1&amp;I$8,DATA!$A:$EB,'2312'!$A94,0)/100</f>
        <v>0</v>
      </c>
      <c r="J94" s="50">
        <f>VLOOKUP($I$1&amp;J$8,DATA!$A:$EB,'2312'!$A94,0)/100</f>
        <v>0</v>
      </c>
      <c r="K94" s="50">
        <f>VLOOKUP($I$1&amp;K$8,DATA!$A:$EB,'2312'!$A94,0)/100</f>
        <v>0</v>
      </c>
      <c r="L94" s="50">
        <f>VLOOKUP($I$1&amp;L$8,DATA!$A:$EB,'2312'!$A94,0)/100</f>
        <v>114455.30453117997</v>
      </c>
      <c r="M94" s="50">
        <f>VLOOKUP($I$1&amp;M$8,DATA!$A:$EB,'2312'!$A94,0)/100</f>
        <v>43338</v>
      </c>
      <c r="N94" s="50">
        <f>VLOOKUP($I$1&amp;N$8,DATA!$A:$EB,'2312'!$A94,0)/100</f>
        <v>21959.06</v>
      </c>
      <c r="O94" s="51">
        <f>VLOOKUP($I$1&amp;O$8,DATA!$A:$EB,'2312'!$A94,0)/100</f>
        <v>22123.26</v>
      </c>
      <c r="P94" s="51">
        <f>VLOOKUP($I$1&amp;P$8,DATA!$A:$EB,'2312'!$A94,0)/100</f>
        <v>87585</v>
      </c>
      <c r="Q94" s="51">
        <f>VLOOKUP($I$1&amp;Q$8,DATA!$A:$EB,'2312'!$A94,0)/100</f>
        <v>69716.77</v>
      </c>
      <c r="R94" s="51">
        <f>VLOOKUP($I$1&amp;R$8,DATA!$A:$EB,'2312'!$A94,0)/100</f>
        <v>53703.3</v>
      </c>
      <c r="S94" s="51">
        <f>VLOOKUP($I$1&amp;S$8,DATA!$A:$EB,'2312'!$A94,0)/100</f>
        <v>53961.14</v>
      </c>
      <c r="T94" s="51">
        <f>VLOOKUP($I$1&amp;T$8,DATA!$A:$EB,'2312'!$A94,0)/100</f>
        <v>84667.06</v>
      </c>
      <c r="U94" s="42"/>
    </row>
    <row r="95" spans="1:21" ht="16.5">
      <c r="C95" s="52" t="s">
        <v>143</v>
      </c>
      <c r="D95" s="467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42"/>
      <c r="U95" s="42"/>
    </row>
    <row r="96" spans="1:21" ht="16.5">
      <c r="C96" s="55"/>
      <c r="D96" s="467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42"/>
      <c r="U96" s="42"/>
    </row>
    <row r="97" spans="1:21" ht="16.5">
      <c r="C97" s="41" t="s">
        <v>888</v>
      </c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</row>
    <row r="98" spans="1:21" ht="16.5"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2"/>
      <c r="P98" s="43"/>
      <c r="Q98" s="43"/>
      <c r="R98" s="42"/>
      <c r="S98" s="42"/>
      <c r="T98" s="44" t="s">
        <v>104</v>
      </c>
      <c r="U98" s="42"/>
    </row>
    <row r="99" spans="1:21" ht="16.5">
      <c r="C99" s="729" t="s">
        <v>105</v>
      </c>
      <c r="D99" s="729"/>
      <c r="E99" s="729"/>
      <c r="F99" s="729"/>
      <c r="G99" s="729"/>
      <c r="H99" s="730"/>
      <c r="I99" s="45" t="s">
        <v>124</v>
      </c>
      <c r="J99" s="45" t="s">
        <v>136</v>
      </c>
      <c r="K99" s="45" t="s">
        <v>137</v>
      </c>
      <c r="L99" s="45" t="s">
        <v>138</v>
      </c>
      <c r="M99" s="45" t="s">
        <v>4</v>
      </c>
      <c r="N99" s="45" t="s">
        <v>139</v>
      </c>
      <c r="O99" s="46" t="s">
        <v>6</v>
      </c>
      <c r="P99" s="46" t="s">
        <v>106</v>
      </c>
      <c r="Q99" s="46" t="s">
        <v>107</v>
      </c>
      <c r="R99" s="46" t="s">
        <v>108</v>
      </c>
      <c r="S99" s="46" t="s">
        <v>109</v>
      </c>
      <c r="T99" s="46" t="s">
        <v>110</v>
      </c>
      <c r="U99" s="42"/>
    </row>
    <row r="100" spans="1:21" ht="16.5">
      <c r="A100" s="5">
        <f>DATA!$CQ$1</f>
        <v>95</v>
      </c>
      <c r="C100" s="745" t="s">
        <v>65</v>
      </c>
      <c r="D100" s="745"/>
      <c r="E100" s="745"/>
      <c r="F100" s="745"/>
      <c r="G100" s="745"/>
      <c r="H100" s="740"/>
      <c r="I100" s="47">
        <f>VLOOKUP($I$1&amp;I$8,DATA!$A:$EB,'2312'!$A100,0)</f>
        <v>2.1080000000000001</v>
      </c>
      <c r="J100" s="47">
        <f>VLOOKUP($I$1&amp;J$8,DATA!$A:$EB,'2312'!$A100,0)</f>
        <v>2.1883263125444001</v>
      </c>
      <c r="K100" s="47">
        <f>VLOOKUP($I$1&amp;K$8,DATA!$A:$EB,'2312'!$A100,0)</f>
        <v>1.9378</v>
      </c>
      <c r="L100" s="47">
        <f>VLOOKUP($I$1&amp;L$8,DATA!$A:$EB,'2312'!$A100,0)</f>
        <v>1.8380483445623319</v>
      </c>
      <c r="M100" s="47">
        <f>VLOOKUP($I$1&amp;M$8,DATA!$A:$EB,'2312'!$A100,0)</f>
        <v>2.508</v>
      </c>
      <c r="N100" s="47">
        <f>VLOOKUP($I$1&amp;N$8,DATA!$A:$EB,'2312'!$A100,0)</f>
        <v>1.9339999999999999</v>
      </c>
      <c r="O100" s="47">
        <f>VLOOKUP($I$1&amp;O$8,DATA!$A:$EB,'2312'!$A100,0)</f>
        <v>3.2978000000000001</v>
      </c>
      <c r="P100" s="47">
        <f>VLOOKUP($I$1&amp;P$8,DATA!$A:$EB,'2312'!$A100,0)</f>
        <v>2.7301000000000002</v>
      </c>
      <c r="Q100" s="47">
        <f>VLOOKUP($I$1&amp;Q$8,DATA!$A:$EB,'2312'!$A100,0)</f>
        <v>1.732</v>
      </c>
      <c r="R100" s="47">
        <f>VLOOKUP($I$1&amp;R$8,DATA!$A:$EB,'2312'!$A100,0)</f>
        <v>2.4220000000000002</v>
      </c>
      <c r="S100" s="47">
        <f>VLOOKUP($I$1&amp;S$8,DATA!$A:$EB,'2312'!$A100,0)</f>
        <v>2.1594000000000002</v>
      </c>
      <c r="T100" s="47">
        <f>VLOOKUP($I$1&amp;T$8,DATA!$A:$EB,'2312'!$A100,0)</f>
        <v>2.331</v>
      </c>
      <c r="U100" s="42"/>
    </row>
    <row r="101" spans="1:21" ht="16.5">
      <c r="A101" s="5">
        <f>DATA!$CR$1</f>
        <v>96</v>
      </c>
      <c r="C101" s="743" t="s">
        <v>66</v>
      </c>
      <c r="D101" s="743"/>
      <c r="E101" s="743"/>
      <c r="F101" s="743"/>
      <c r="G101" s="743"/>
      <c r="H101" s="744"/>
      <c r="I101" s="48">
        <f>VLOOKUP($I$1&amp;I$8,DATA!$A:$EB,'2312'!$A101,0)/100</f>
        <v>39362.22</v>
      </c>
      <c r="J101" s="48">
        <f>VLOOKUP($I$1&amp;J$8,DATA!$A:$EB,'2312'!$A101,0)/100</f>
        <v>533725.09810061776</v>
      </c>
      <c r="K101" s="48">
        <f>VLOOKUP($I$1&amp;K$8,DATA!$A:$EB,'2312'!$A101,0)/100</f>
        <v>145155.88</v>
      </c>
      <c r="L101" s="48">
        <f>VLOOKUP($I$1&amp;L$8,DATA!$A:$EB,'2312'!$A101,0)/100</f>
        <v>209792.62175659504</v>
      </c>
      <c r="M101" s="48">
        <f>VLOOKUP($I$1&amp;M$8,DATA!$A:$EB,'2312'!$A101,0)/100</f>
        <v>109224</v>
      </c>
      <c r="N101" s="48">
        <f>VLOOKUP($I$1&amp;N$8,DATA!$A:$EB,'2312'!$A101,0)/100</f>
        <v>41897.550000000003</v>
      </c>
      <c r="O101" s="49">
        <f>VLOOKUP($I$1&amp;O$8,DATA!$A:$EB,'2312'!$A101,0)/100</f>
        <v>67589.37</v>
      </c>
      <c r="P101" s="49">
        <f>VLOOKUP($I$1&amp;P$8,DATA!$A:$EB,'2312'!$A101,0)/100</f>
        <v>237622</v>
      </c>
      <c r="Q101" s="49">
        <f>VLOOKUP($I$1&amp;Q$8,DATA!$A:$EB,'2312'!$A101,0)/100</f>
        <v>120727.82</v>
      </c>
      <c r="R101" s="49">
        <f>VLOOKUP($I$1&amp;R$8,DATA!$A:$EB,'2312'!$A101,0)/100</f>
        <v>129497.61</v>
      </c>
      <c r="S101" s="49">
        <f>VLOOKUP($I$1&amp;S$8,DATA!$A:$EB,'2312'!$A101,0)/100</f>
        <v>116688.8</v>
      </c>
      <c r="T101" s="49">
        <f>VLOOKUP($I$1&amp;T$8,DATA!$A:$EB,'2312'!$A101,0)/100</f>
        <v>195752.06</v>
      </c>
      <c r="U101" s="42"/>
    </row>
    <row r="102" spans="1:21" ht="16.5">
      <c r="A102" s="5">
        <f>DATA!$CS$1</f>
        <v>97</v>
      </c>
      <c r="C102" s="734" t="s">
        <v>67</v>
      </c>
      <c r="D102" s="734"/>
      <c r="E102" s="734"/>
      <c r="F102" s="734"/>
      <c r="G102" s="734"/>
      <c r="H102" s="735"/>
      <c r="I102" s="50">
        <f>VLOOKUP($I$1&amp;I$8,DATA!$A:$EB,'2312'!$A102,0)/100</f>
        <v>18676.53</v>
      </c>
      <c r="J102" s="50">
        <f>VLOOKUP($I$1&amp;J$8,DATA!$A:$EB,'2312'!$A102,0)/100</f>
        <v>243896.48611410597</v>
      </c>
      <c r="K102" s="50">
        <f>VLOOKUP($I$1&amp;K$8,DATA!$A:$EB,'2312'!$A102,0)/100</f>
        <v>74908.63</v>
      </c>
      <c r="L102" s="50">
        <f>VLOOKUP($I$1&amp;L$8,DATA!$A:$EB,'2312'!$A102,0)/100</f>
        <v>114139.12960176132</v>
      </c>
      <c r="M102" s="50">
        <f>VLOOKUP($I$1&amp;M$8,DATA!$A:$EB,'2312'!$A102,0)/100</f>
        <v>43542</v>
      </c>
      <c r="N102" s="50">
        <f>VLOOKUP($I$1&amp;N$8,DATA!$A:$EB,'2312'!$A102,0)/100</f>
        <v>21668.22</v>
      </c>
      <c r="O102" s="51">
        <f>VLOOKUP($I$1&amp;O$8,DATA!$A:$EB,'2312'!$A102,0)/100</f>
        <v>20495.38</v>
      </c>
      <c r="P102" s="51">
        <f>VLOOKUP($I$1&amp;P$8,DATA!$A:$EB,'2312'!$A102,0)/100</f>
        <v>87038</v>
      </c>
      <c r="Q102" s="51">
        <f>VLOOKUP($I$1&amp;Q$8,DATA!$A:$EB,'2312'!$A102,0)/100</f>
        <v>69716.77</v>
      </c>
      <c r="R102" s="51">
        <f>VLOOKUP($I$1&amp;R$8,DATA!$A:$EB,'2312'!$A102,0)/100</f>
        <v>53462.99</v>
      </c>
      <c r="S102" s="51">
        <f>VLOOKUP($I$1&amp;S$8,DATA!$A:$EB,'2312'!$A102,0)/100</f>
        <v>54036.56</v>
      </c>
      <c r="T102" s="51">
        <f>VLOOKUP($I$1&amp;T$8,DATA!$A:$EB,'2312'!$A102,0)/100</f>
        <v>83961.7</v>
      </c>
      <c r="U102" s="42"/>
    </row>
    <row r="103" spans="1:21" ht="16.5">
      <c r="C103" s="52" t="s">
        <v>143</v>
      </c>
      <c r="D103" s="467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42"/>
      <c r="U103" s="42"/>
    </row>
    <row r="104" spans="1:21" ht="16.5">
      <c r="C104" s="55" t="s">
        <v>122</v>
      </c>
      <c r="D104" s="467"/>
      <c r="E104" s="54"/>
      <c r="F104" s="54"/>
      <c r="G104" s="54"/>
      <c r="H104" s="54"/>
      <c r="I104" s="54">
        <f>전기말!I16</f>
        <v>1.9239999999999999</v>
      </c>
      <c r="J104" s="54">
        <f>전기말!J16</f>
        <v>1.849</v>
      </c>
      <c r="K104" s="54">
        <f>전기말!K16</f>
        <v>1.6415999999999999</v>
      </c>
      <c r="L104" s="54">
        <f>전기말!L16</f>
        <v>1.637</v>
      </c>
      <c r="M104" s="54">
        <f>전기말!M16</f>
        <v>2.0569999999999999</v>
      </c>
      <c r="N104" s="54">
        <f>전기말!N16</f>
        <v>1.5549999999999999</v>
      </c>
      <c r="O104" s="54">
        <f>전기말!O16</f>
        <v>2.6314000000000002</v>
      </c>
      <c r="P104" s="54">
        <f>전기말!P16</f>
        <v>2.6446000000000001</v>
      </c>
      <c r="Q104" s="54">
        <f>전기말!Q16</f>
        <v>1.57</v>
      </c>
      <c r="R104" s="54">
        <f>전기말!R16</f>
        <v>2.4820000000000002</v>
      </c>
      <c r="S104" s="54">
        <f>전기말!S16</f>
        <v>1.8642000000000001</v>
      </c>
      <c r="T104" s="54">
        <f>전기말!T16</f>
        <v>2.0310000000000001</v>
      </c>
      <c r="U104" s="42"/>
    </row>
    <row r="105" spans="1:21" ht="16.5">
      <c r="C105" s="55"/>
      <c r="D105" s="467"/>
      <c r="E105" s="54"/>
      <c r="F105" s="54"/>
      <c r="G105" s="54"/>
      <c r="H105" s="54"/>
      <c r="I105" s="360">
        <f>+I100-I104</f>
        <v>0.18400000000000016</v>
      </c>
      <c r="J105" s="360">
        <f t="shared" ref="J105:T105" si="25">+J100-J104</f>
        <v>0.33932631254440015</v>
      </c>
      <c r="K105" s="360">
        <f t="shared" si="25"/>
        <v>0.29620000000000002</v>
      </c>
      <c r="L105" s="360">
        <f t="shared" si="25"/>
        <v>0.20104834456233189</v>
      </c>
      <c r="M105" s="360">
        <f t="shared" si="25"/>
        <v>0.45100000000000007</v>
      </c>
      <c r="N105" s="360">
        <f t="shared" si="25"/>
        <v>0.379</v>
      </c>
      <c r="O105" s="360">
        <f t="shared" si="25"/>
        <v>0.66639999999999988</v>
      </c>
      <c r="P105" s="360">
        <f t="shared" si="25"/>
        <v>8.5500000000000131E-2</v>
      </c>
      <c r="Q105" s="360">
        <f t="shared" si="25"/>
        <v>0.16199999999999992</v>
      </c>
      <c r="R105" s="360">
        <f t="shared" si="25"/>
        <v>-6.0000000000000053E-2</v>
      </c>
      <c r="S105" s="360">
        <f t="shared" si="25"/>
        <v>0.29520000000000013</v>
      </c>
      <c r="T105" s="360">
        <f t="shared" si="25"/>
        <v>0.29999999999999982</v>
      </c>
      <c r="U105" s="42"/>
    </row>
    <row r="106" spans="1:21" ht="16.5">
      <c r="C106" s="41" t="s">
        <v>123</v>
      </c>
      <c r="D106" s="42"/>
      <c r="E106" s="42"/>
      <c r="F106" s="42"/>
      <c r="G106" s="42"/>
      <c r="H106" s="42"/>
      <c r="I106" s="42"/>
      <c r="J106" s="54"/>
      <c r="K106" s="54"/>
      <c r="L106" s="54"/>
      <c r="M106" s="54"/>
      <c r="N106" s="54"/>
      <c r="O106" s="54"/>
      <c r="P106" s="54"/>
      <c r="Q106" s="54"/>
      <c r="R106" s="42"/>
      <c r="S106" s="42"/>
      <c r="T106" s="42"/>
      <c r="U106" s="42"/>
    </row>
    <row r="107" spans="1:21" ht="16.5"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2"/>
      <c r="P107" s="43"/>
      <c r="Q107" s="43"/>
      <c r="R107" s="42"/>
      <c r="S107" s="42"/>
      <c r="T107" s="44" t="s">
        <v>104</v>
      </c>
      <c r="U107" s="42"/>
    </row>
    <row r="108" spans="1:21" ht="16.5">
      <c r="C108" s="729" t="s">
        <v>105</v>
      </c>
      <c r="D108" s="729"/>
      <c r="E108" s="729"/>
      <c r="F108" s="729"/>
      <c r="G108" s="729"/>
      <c r="H108" s="730"/>
      <c r="I108" s="45" t="s">
        <v>124</v>
      </c>
      <c r="J108" s="45" t="s">
        <v>136</v>
      </c>
      <c r="K108" s="45" t="s">
        <v>137</v>
      </c>
      <c r="L108" s="45" t="s">
        <v>138</v>
      </c>
      <c r="M108" s="45" t="s">
        <v>4</v>
      </c>
      <c r="N108" s="45" t="s">
        <v>139</v>
      </c>
      <c r="O108" s="46" t="s">
        <v>6</v>
      </c>
      <c r="P108" s="46" t="s">
        <v>106</v>
      </c>
      <c r="Q108" s="46" t="s">
        <v>107</v>
      </c>
      <c r="R108" s="46" t="s">
        <v>108</v>
      </c>
      <c r="S108" s="46" t="s">
        <v>109</v>
      </c>
      <c r="T108" s="46" t="s">
        <v>110</v>
      </c>
      <c r="U108" s="42"/>
    </row>
    <row r="109" spans="1:21" ht="16.5">
      <c r="A109" s="5">
        <f>DATA!AV1</f>
        <v>48</v>
      </c>
      <c r="C109" s="748" t="s">
        <v>32</v>
      </c>
      <c r="D109" s="748"/>
      <c r="E109" s="748"/>
      <c r="F109" s="748"/>
      <c r="G109" s="748"/>
      <c r="H109" s="749"/>
      <c r="I109" s="56">
        <f>VLOOKUP($I$1&amp;I$8,DATA!$A:$EB,'2312'!$A109,0)/100</f>
        <v>1690.01</v>
      </c>
      <c r="J109" s="56">
        <f>VLOOKUP($I$1&amp;J$8,DATA!$A:$EB,'2312'!$A109,0)/100</f>
        <v>14485.44</v>
      </c>
      <c r="K109" s="56">
        <f>VLOOKUP($I$1&amp;K$8,DATA!$A:$EB,'2312'!$A109,0)/100</f>
        <v>2326.8165180599999</v>
      </c>
      <c r="L109" s="56">
        <f>VLOOKUP($I$1&amp;L$8,DATA!$A:$EB,'2312'!$A109,0)/100</f>
        <v>6509.4114013899998</v>
      </c>
      <c r="M109" s="56">
        <f>VLOOKUP($I$1&amp;M$8,DATA!$A:$EB,'2312'!$A109,0)/100</f>
        <v>6636.24</v>
      </c>
      <c r="N109" s="56">
        <f>VLOOKUP($I$1&amp;N$8,DATA!$A:$EB,'2312'!$A109,0)/100</f>
        <v>2341.2826221099999</v>
      </c>
      <c r="O109" s="57">
        <f>VLOOKUP($I$1&amp;O$8,DATA!$A:$EB,'2312'!$A109,0)/100</f>
        <v>2497.94</v>
      </c>
      <c r="P109" s="57">
        <f>VLOOKUP($I$1&amp;P$8,DATA!$A:$EB,'2312'!$A109,0)/100</f>
        <v>18630.787581600001</v>
      </c>
      <c r="Q109" s="57">
        <f>VLOOKUP($I$1&amp;Q$8,DATA!$A:$EB,'2312'!$A109,0)/100</f>
        <v>5265.8962012399998</v>
      </c>
      <c r="R109" s="57">
        <f>VLOOKUP($I$1&amp;R$8,DATA!$A:$EB,'2312'!$A109,0)/100</f>
        <v>14970.572607329999</v>
      </c>
      <c r="S109" s="57">
        <f>VLOOKUP($I$1&amp;S$8,DATA!$A:$EB,'2312'!$A109,0)/100</f>
        <v>8319.7900000000009</v>
      </c>
      <c r="T109" s="57">
        <f>VLOOKUP($I$1&amp;T$8,DATA!$A:$EB,'2312'!$A109,0)/100</f>
        <v>15500.079770100001</v>
      </c>
      <c r="U109" s="42"/>
    </row>
    <row r="110" spans="1:21" ht="16.5">
      <c r="A110" s="5">
        <f>DATA!DC1</f>
        <v>107</v>
      </c>
      <c r="C110" s="469"/>
      <c r="D110" s="770" t="s">
        <v>98</v>
      </c>
      <c r="E110" s="771"/>
      <c r="F110" s="771"/>
      <c r="G110" s="771"/>
      <c r="H110" s="772"/>
      <c r="I110" s="23">
        <f>VLOOKUP($I$1&amp;I$8,DATA!$A:$EB,'2312'!$A110,0)</f>
        <v>0.91300000000000003</v>
      </c>
      <c r="J110" s="23">
        <f>VLOOKUP($I$1&amp;J$8,DATA!$A:$EB,'2312'!$A110,0)</f>
        <v>0.78700000000000003</v>
      </c>
      <c r="K110" s="23">
        <f>VLOOKUP($I$1&amp;K$8,DATA!$A:$EB,'2312'!$A110,0)</f>
        <v>0</v>
      </c>
      <c r="L110" s="23">
        <f>VLOOKUP($I$1&amp;L$8,DATA!$A:$EB,'2312'!$A110,0)</f>
        <v>0.81101437787107877</v>
      </c>
      <c r="M110" s="23">
        <f>VLOOKUP($I$1&amp;M$8,DATA!$A:$EB,'2312'!$A110,0)</f>
        <v>0</v>
      </c>
      <c r="N110" s="23">
        <f>VLOOKUP($I$1&amp;N$8,DATA!$A:$EB,'2312'!$A110,0)</f>
        <v>0.82924197944046418</v>
      </c>
      <c r="O110" s="23">
        <f>VLOOKUP($I$1&amp;O$8,DATA!$A:$EB,'2312'!$A110,0)</f>
        <v>0</v>
      </c>
      <c r="P110" s="23">
        <f>VLOOKUP($I$1&amp;P$8,DATA!$A:$EB,'2312'!$A110,0)</f>
        <v>0.84714225490990103</v>
      </c>
      <c r="Q110" s="23">
        <f>VLOOKUP($I$1&amp;Q$8,DATA!$A:$EB,'2312'!$A110,0)</f>
        <v>0</v>
      </c>
      <c r="R110" s="23">
        <f>VLOOKUP($I$1&amp;R$8,DATA!$A:$EB,'2312'!$A110,0)</f>
        <v>0.90800000000000003</v>
      </c>
      <c r="S110" s="23">
        <f>VLOOKUP($I$1&amp;S$8,DATA!$A:$EB,'2312'!$A110,0)</f>
        <v>0.82199999999999995</v>
      </c>
      <c r="T110" s="23">
        <f>VLOOKUP($I$1&amp;T$8,DATA!$A:$EB,'2312'!$A110,0)</f>
        <v>0</v>
      </c>
      <c r="U110" s="42"/>
    </row>
    <row r="111" spans="1:21" ht="16.5">
      <c r="A111" s="5">
        <f>DATA!CZ1</f>
        <v>104</v>
      </c>
      <c r="C111" s="469"/>
      <c r="D111" s="731" t="s">
        <v>1068</v>
      </c>
      <c r="E111" s="732"/>
      <c r="F111" s="732"/>
      <c r="G111" s="732"/>
      <c r="H111" s="733"/>
      <c r="I111" s="23">
        <f>VLOOKUP($I$1&amp;I$8,DATA!$A:$EB,'2312'!$A111,0)</f>
        <v>0</v>
      </c>
      <c r="J111" s="23">
        <f>VLOOKUP($I$1&amp;J$8,DATA!$A:$EB,'2312'!$A111,0)</f>
        <v>0</v>
      </c>
      <c r="K111" s="23">
        <f>VLOOKUP($I$1&amp;K$8,DATA!$A:$EB,'2312'!$A111,0)</f>
        <v>0</v>
      </c>
      <c r="L111" s="23">
        <f>VLOOKUP($I$1&amp;L$8,DATA!$A:$EB,'2312'!$A111,0)</f>
        <v>1.0439560439560438</v>
      </c>
      <c r="M111" s="23">
        <f>VLOOKUP($I$1&amp;M$8,DATA!$A:$EB,'2312'!$A111,0)</f>
        <v>1.0008673026886383</v>
      </c>
      <c r="N111" s="23">
        <f>VLOOKUP($I$1&amp;N$8,DATA!$A:$EB,'2312'!$A111,0)</f>
        <v>0</v>
      </c>
      <c r="O111" s="23">
        <f>VLOOKUP($I$1&amp;O$8,DATA!$A:$EB,'2312'!$A111,0)</f>
        <v>0</v>
      </c>
      <c r="P111" s="23">
        <f>VLOOKUP($I$1&amp;P$8,DATA!$A:$EB,'2312'!$A111,0)</f>
        <v>0</v>
      </c>
      <c r="Q111" s="23">
        <f>VLOOKUP($I$1&amp;Q$8,DATA!$A:$EB,'2312'!$A111,0)</f>
        <v>0</v>
      </c>
      <c r="R111" s="23">
        <f>VLOOKUP($I$1&amp;R$8,DATA!$A:$EB,'2312'!$A111,0)</f>
        <v>0</v>
      </c>
      <c r="S111" s="23">
        <f>VLOOKUP($I$1&amp;S$8,DATA!$A:$EB,'2312'!$A111,0)</f>
        <v>0</v>
      </c>
      <c r="T111" s="23">
        <f>VLOOKUP($I$1&amp;T$8,DATA!$A:$EB,'2312'!$A111,0)</f>
        <v>0</v>
      </c>
      <c r="U111" s="42"/>
    </row>
    <row r="112" spans="1:21" ht="16.5">
      <c r="C112" s="469"/>
      <c r="D112" s="773" t="s">
        <v>125</v>
      </c>
      <c r="E112" s="771"/>
      <c r="F112" s="770" t="s">
        <v>126</v>
      </c>
      <c r="G112" s="771"/>
      <c r="H112" s="772"/>
      <c r="I112" s="23">
        <f>I123/I125</f>
        <v>-0.14690289522855401</v>
      </c>
      <c r="J112" s="23">
        <f t="shared" ref="J112:T112" si="26">J123/J125</f>
        <v>-0.12229856296096329</v>
      </c>
      <c r="K112" s="23" t="e">
        <f t="shared" si="26"/>
        <v>#DIV/0!</v>
      </c>
      <c r="L112" s="23">
        <f t="shared" si="26"/>
        <v>4.9149071545320243E-2</v>
      </c>
      <c r="M112" s="23" t="e">
        <f t="shared" si="26"/>
        <v>#DIV/0!</v>
      </c>
      <c r="N112" s="23">
        <f t="shared" si="26"/>
        <v>-1.0119155104871889E-3</v>
      </c>
      <c r="O112" s="23" t="e">
        <f t="shared" si="26"/>
        <v>#DIV/0!</v>
      </c>
      <c r="P112" s="23">
        <f t="shared" si="26"/>
        <v>-9.7939650274726273E-2</v>
      </c>
      <c r="Q112" s="23">
        <f t="shared" si="26"/>
        <v>-1.7788578191658098E-2</v>
      </c>
      <c r="R112" s="23">
        <f t="shared" si="26"/>
        <v>-0.11715316185182631</v>
      </c>
      <c r="S112" s="23" t="e">
        <f t="shared" si="26"/>
        <v>#DIV/0!</v>
      </c>
      <c r="T112" s="23" t="e">
        <f t="shared" si="26"/>
        <v>#DIV/0!</v>
      </c>
      <c r="U112" s="42"/>
    </row>
    <row r="113" spans="1:21" ht="16.5">
      <c r="C113" s="471"/>
      <c r="D113" s="774"/>
      <c r="E113" s="775"/>
      <c r="F113" s="776" t="s">
        <v>127</v>
      </c>
      <c r="G113" s="777"/>
      <c r="H113" s="778"/>
      <c r="I113" s="24">
        <f>I123/I126</f>
        <v>-9.3153616851398599E-2</v>
      </c>
      <c r="J113" s="24">
        <f t="shared" ref="J113:T113" si="27">J123/J126</f>
        <v>-0.15123482906214453</v>
      </c>
      <c r="K113" s="24">
        <f t="shared" si="27"/>
        <v>0</v>
      </c>
      <c r="L113" s="24">
        <f t="shared" si="27"/>
        <v>3.366161568036373E-2</v>
      </c>
      <c r="M113" s="24">
        <f t="shared" si="27"/>
        <v>0</v>
      </c>
      <c r="N113" s="24">
        <f t="shared" si="27"/>
        <v>-7.0520909919871548E-4</v>
      </c>
      <c r="O113" s="24">
        <f t="shared" si="27"/>
        <v>0</v>
      </c>
      <c r="P113" s="24">
        <f t="shared" si="27"/>
        <v>-5.5110469845437819E-2</v>
      </c>
      <c r="Q113" s="24">
        <f t="shared" si="27"/>
        <v>-1.263922793724119E-2</v>
      </c>
      <c r="R113" s="24">
        <f t="shared" si="27"/>
        <v>-4.3452704539335904E-2</v>
      </c>
      <c r="S113" s="24">
        <f t="shared" si="27"/>
        <v>0</v>
      </c>
      <c r="T113" s="24">
        <f t="shared" si="27"/>
        <v>-1.2453529696622945E-2</v>
      </c>
      <c r="U113" s="42"/>
    </row>
    <row r="114" spans="1:21" ht="16.5">
      <c r="A114" s="5">
        <f>DATA!AW1</f>
        <v>49</v>
      </c>
      <c r="C114" s="746" t="s">
        <v>33</v>
      </c>
      <c r="D114" s="746"/>
      <c r="E114" s="746"/>
      <c r="F114" s="746"/>
      <c r="G114" s="746"/>
      <c r="H114" s="747"/>
      <c r="I114" s="60">
        <f>VLOOKUP($I$1&amp;I$8,DATA!$A:$EB,'2312'!$A114,0)/100</f>
        <v>-226.24423384000002</v>
      </c>
      <c r="J114" s="60">
        <f>VLOOKUP($I$1&amp;J$8,DATA!$A:$EB,'2312'!$A114,0)/100</f>
        <v>-237.09</v>
      </c>
      <c r="K114" s="60">
        <f>VLOOKUP($I$1&amp;K$8,DATA!$A:$EB,'2312'!$A114,0)/100</f>
        <v>6038.53458701</v>
      </c>
      <c r="L114" s="60">
        <f>VLOOKUP($I$1&amp;L$8,DATA!$A:$EB,'2312'!$A114,0)/100</f>
        <v>151.43933153</v>
      </c>
      <c r="M114" s="60">
        <f>VLOOKUP($I$1&amp;M$8,DATA!$A:$EB,'2312'!$A114,0)/100</f>
        <v>26.93</v>
      </c>
      <c r="N114" s="60">
        <f>VLOOKUP($I$1&amp;N$8,DATA!$A:$EB,'2312'!$A114,0)/100</f>
        <v>849.54043343000001</v>
      </c>
      <c r="O114" s="61">
        <f>VLOOKUP($I$1&amp;O$8,DATA!$A:$EB,'2312'!$A114,0)/100</f>
        <v>760.08</v>
      </c>
      <c r="P114" s="61">
        <f>VLOOKUP($I$1&amp;P$8,DATA!$A:$EB,'2312'!$A114,0)/100</f>
        <v>5131.4617923299993</v>
      </c>
      <c r="Q114" s="61">
        <f>VLOOKUP($I$1&amp;Q$8,DATA!$A:$EB,'2312'!$A114,0)/100</f>
        <v>4550.4612193700004</v>
      </c>
      <c r="R114" s="61">
        <f>VLOOKUP($I$1&amp;R$8,DATA!$A:$EB,'2312'!$A114,0)/100</f>
        <v>6094.5177871800006</v>
      </c>
      <c r="S114" s="61">
        <f>VLOOKUP($I$1&amp;S$8,DATA!$A:$EB,'2312'!$A114,0)/100</f>
        <v>1577.18</v>
      </c>
      <c r="T114" s="61">
        <f>VLOOKUP($I$1&amp;T$8,DATA!$A:$EB,'2312'!$A114,0)/100</f>
        <v>4667.5471368400003</v>
      </c>
      <c r="U114" s="42"/>
    </row>
    <row r="115" spans="1:21" ht="16.5">
      <c r="C115" s="746" t="s">
        <v>128</v>
      </c>
      <c r="D115" s="746"/>
      <c r="E115" s="746"/>
      <c r="F115" s="746"/>
      <c r="G115" s="746"/>
      <c r="H115" s="747"/>
      <c r="I115" s="62">
        <f>I109+I114</f>
        <v>1463.7657661599999</v>
      </c>
      <c r="J115" s="62">
        <f t="shared" ref="J115:T115" si="28">J109+J114</f>
        <v>14248.35</v>
      </c>
      <c r="K115" s="62">
        <f t="shared" si="28"/>
        <v>8365.3511050699999</v>
      </c>
      <c r="L115" s="62">
        <f t="shared" si="28"/>
        <v>6660.8507329200002</v>
      </c>
      <c r="M115" s="62">
        <f t="shared" si="28"/>
        <v>6663.17</v>
      </c>
      <c r="N115" s="62">
        <f t="shared" si="28"/>
        <v>3190.82305554</v>
      </c>
      <c r="O115" s="63">
        <f t="shared" si="28"/>
        <v>3258.02</v>
      </c>
      <c r="P115" s="63">
        <f t="shared" si="28"/>
        <v>23762.249373930001</v>
      </c>
      <c r="Q115" s="63">
        <f t="shared" si="28"/>
        <v>9816.3574206100002</v>
      </c>
      <c r="R115" s="63">
        <f t="shared" si="28"/>
        <v>21065.09039451</v>
      </c>
      <c r="S115" s="63">
        <f t="shared" si="28"/>
        <v>9896.9700000000012</v>
      </c>
      <c r="T115" s="63">
        <f t="shared" si="28"/>
        <v>20167.62690694</v>
      </c>
      <c r="U115" s="42"/>
    </row>
    <row r="116" spans="1:21" ht="16.5">
      <c r="A116" s="5">
        <f>DATA!AX1</f>
        <v>50</v>
      </c>
      <c r="C116" s="782" t="s">
        <v>34</v>
      </c>
      <c r="D116" s="782"/>
      <c r="E116" s="782"/>
      <c r="F116" s="782"/>
      <c r="G116" s="782"/>
      <c r="H116" s="783"/>
      <c r="I116" s="60">
        <f>VLOOKUP($I$1&amp;I$8,DATA!$A:$EB,'2312'!$A116,0)/100</f>
        <v>-40.17126837</v>
      </c>
      <c r="J116" s="60">
        <f>VLOOKUP($I$1&amp;J$8,DATA!$A:$EB,'2312'!$A116,0)/100</f>
        <v>2563.48</v>
      </c>
      <c r="K116" s="60">
        <f>VLOOKUP($I$1&amp;K$8,DATA!$A:$EB,'2312'!$A116,0)/100</f>
        <v>30.186094830000002</v>
      </c>
      <c r="L116" s="60">
        <f>VLOOKUP($I$1&amp;L$8,DATA!$A:$EB,'2312'!$A116,0)/100</f>
        <v>873.52291100999992</v>
      </c>
      <c r="M116" s="60">
        <f>VLOOKUP($I$1&amp;M$8,DATA!$A:$EB,'2312'!$A116,0)/100</f>
        <v>-239.43</v>
      </c>
      <c r="N116" s="60">
        <f>VLOOKUP($I$1&amp;N$8,DATA!$A:$EB,'2312'!$A116,0)/100</f>
        <v>136.74699973</v>
      </c>
      <c r="O116" s="61">
        <f>VLOOKUP($I$1&amp;O$8,DATA!$A:$EB,'2312'!$A116,0)/100</f>
        <v>-57.67</v>
      </c>
      <c r="P116" s="61">
        <f>VLOOKUP($I$1&amp;P$8,DATA!$A:$EB,'2312'!$A116,0)/100</f>
        <v>-151.68518919000002</v>
      </c>
      <c r="Q116" s="61">
        <f>VLOOKUP($I$1&amp;Q$8,DATA!$A:$EB,'2312'!$A116,0)/100</f>
        <v>-286.98156488000001</v>
      </c>
      <c r="R116" s="61">
        <f>VLOOKUP($I$1&amp;R$8,DATA!$A:$EB,'2312'!$A116,0)/100</f>
        <v>129.78156515000001</v>
      </c>
      <c r="S116" s="61">
        <f>VLOOKUP($I$1&amp;S$8,DATA!$A:$EB,'2312'!$A116,0)/100</f>
        <v>-10.67</v>
      </c>
      <c r="T116" s="61">
        <f>VLOOKUP($I$1&amp;T$8,DATA!$A:$EB,'2312'!$A116,0)/100</f>
        <v>85.237291530000007</v>
      </c>
      <c r="U116" s="42"/>
    </row>
    <row r="117" spans="1:21" ht="16.5">
      <c r="A117" s="5">
        <f>DATA!AY1</f>
        <v>51</v>
      </c>
      <c r="C117" s="745" t="s">
        <v>129</v>
      </c>
      <c r="D117" s="745"/>
      <c r="E117" s="745"/>
      <c r="F117" s="745"/>
      <c r="G117" s="745"/>
      <c r="H117" s="740"/>
      <c r="I117" s="25">
        <f>VLOOKUP($I$1&amp;I$8,DATA!$A:$EB,'2312'!$A117,0)/100</f>
        <v>1423.5944977900001</v>
      </c>
      <c r="J117" s="25">
        <f>VLOOKUP($I$1&amp;J$8,DATA!$A:$EB,'2312'!$A117,0)/100</f>
        <v>16811.830000000002</v>
      </c>
      <c r="K117" s="25">
        <f>VLOOKUP($I$1&amp;K$8,DATA!$A:$EB,'2312'!$A117,0)/100</f>
        <v>8395.5371998999999</v>
      </c>
      <c r="L117" s="25">
        <f>VLOOKUP($I$1&amp;L$8,DATA!$A:$EB,'2312'!$A117,0)/100</f>
        <v>7534.3736439300001</v>
      </c>
      <c r="M117" s="25">
        <f>VLOOKUP($I$1&amp;M$8,DATA!$A:$EB,'2312'!$A117,0)/100</f>
        <v>6423.74</v>
      </c>
      <c r="N117" s="25">
        <f>VLOOKUP($I$1&amp;N$8,DATA!$A:$EB,'2312'!$A117,0)/100</f>
        <v>3327.5700552699996</v>
      </c>
      <c r="O117" s="25">
        <f>VLOOKUP($I$1&amp;O$8,DATA!$A:$EB,'2312'!$A117,0)/100</f>
        <v>3200.35</v>
      </c>
      <c r="P117" s="25">
        <f>VLOOKUP($I$1&amp;P$8,DATA!$A:$EB,'2312'!$A117,0)/100</f>
        <v>23610.56418474</v>
      </c>
      <c r="Q117" s="25">
        <f>VLOOKUP($I$1&amp;Q$8,DATA!$A:$EB,'2312'!$A117,0)/100</f>
        <v>9529.3758557300007</v>
      </c>
      <c r="R117" s="25">
        <f>VLOOKUP($I$1&amp;R$8,DATA!$A:$EB,'2312'!$A117,0)/100</f>
        <v>21194.871959660002</v>
      </c>
      <c r="S117" s="25">
        <f>VLOOKUP($I$1&amp;S$8,DATA!$A:$EB,'2312'!$A117,0)/100</f>
        <v>9886.2999999999993</v>
      </c>
      <c r="T117" s="25">
        <f>VLOOKUP($I$1&amp;T$8,DATA!$A:$EB,'2312'!$A117,0)/100</f>
        <v>20252.864198470001</v>
      </c>
      <c r="U117" s="42"/>
    </row>
    <row r="118" spans="1:21" ht="16.5">
      <c r="A118" s="5">
        <f>DATA!AR1</f>
        <v>44</v>
      </c>
      <c r="C118" s="752" t="s">
        <v>130</v>
      </c>
      <c r="D118" s="752"/>
      <c r="E118" s="752"/>
      <c r="F118" s="752"/>
      <c r="G118" s="752"/>
      <c r="H118" s="753"/>
      <c r="I118" s="26">
        <f>VLOOKUP($I$1&amp;I$8,DATA!$A:$EB,'2312'!$A118,0)/100</f>
        <v>1091.9985487500001</v>
      </c>
      <c r="J118" s="26">
        <f>VLOOKUP($I$1&amp;J$8,DATA!$A:$EB,'2312'!$A118,0)/100</f>
        <v>13829.02</v>
      </c>
      <c r="K118" s="26">
        <f>VLOOKUP($I$1&amp;K$8,DATA!$A:$EB,'2312'!$A118,0)/100</f>
        <v>6322.0060720700003</v>
      </c>
      <c r="L118" s="26">
        <f>VLOOKUP($I$1&amp;L$8,DATA!$A:$EB,'2312'!$A118,0)/100</f>
        <v>6162.6156797399999</v>
      </c>
      <c r="M118" s="26">
        <f>VLOOKUP($I$1&amp;M$8,DATA!$A:$EB,'2312'!$A118,0)/100</f>
        <v>4818.51</v>
      </c>
      <c r="N118" s="26">
        <f>VLOOKUP($I$1&amp;N$8,DATA!$A:$EB,'2312'!$A118,0)/100</f>
        <v>2649.26926598</v>
      </c>
      <c r="O118" s="26">
        <f>VLOOKUP($I$1&amp;O$8,DATA!$A:$EB,'2312'!$A118,0)/100</f>
        <v>2364.0300000000002</v>
      </c>
      <c r="P118" s="26">
        <f>VLOOKUP($I$1&amp;P$8,DATA!$A:$EB,'2312'!$A118,0)/100</f>
        <v>17553.742869510002</v>
      </c>
      <c r="Q118" s="26">
        <f>VLOOKUP($I$1&amp;Q$8,DATA!$A:$EB,'2312'!$A118,0)/100</f>
        <v>7723.3801647</v>
      </c>
      <c r="R118" s="26">
        <f>VLOOKUP($I$1&amp;R$8,DATA!$A:$EB,'2312'!$A118,0)/100</f>
        <v>15669.8263253</v>
      </c>
      <c r="S118" s="26">
        <f>VLOOKUP($I$1&amp;S$8,DATA!$A:$EB,'2312'!$A118,0)/100</f>
        <v>7367.66</v>
      </c>
      <c r="T118" s="26">
        <f>VLOOKUP($I$1&amp;T$8,DATA!$A:$EB,'2312'!$A118,0)/100</f>
        <v>15367.459526879999</v>
      </c>
      <c r="U118" s="42"/>
    </row>
    <row r="119" spans="1:21" ht="16.5">
      <c r="A119" s="22"/>
      <c r="C119" s="64" t="s">
        <v>144</v>
      </c>
      <c r="D119" s="467"/>
      <c r="E119" s="54"/>
      <c r="F119" s="54"/>
      <c r="G119" s="54"/>
      <c r="H119" s="54"/>
      <c r="I119" s="54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</row>
    <row r="120" spans="1:21" ht="16.5">
      <c r="C120" s="52"/>
      <c r="D120" s="467"/>
      <c r="E120" s="54"/>
      <c r="F120" s="54"/>
      <c r="G120" s="54"/>
      <c r="H120" s="54"/>
      <c r="I120" s="54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</row>
    <row r="121" spans="1:21" ht="16.5">
      <c r="C121" s="55"/>
      <c r="D121" s="467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42"/>
    </row>
    <row r="122" spans="1:21" ht="16.5">
      <c r="C122" s="55" t="s">
        <v>161</v>
      </c>
      <c r="D122" s="467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42"/>
    </row>
    <row r="123" spans="1:21" ht="16.5">
      <c r="A123" s="5">
        <f>DATA!DK1</f>
        <v>115</v>
      </c>
      <c r="C123" s="55"/>
      <c r="D123" s="467"/>
      <c r="E123" s="5" t="s">
        <v>71</v>
      </c>
      <c r="I123" s="1">
        <f>VLOOKUP($I$1&amp;I$8,DATA!$A:$EB,'2312'!$A123,0)/100</f>
        <v>-184.22431882999993</v>
      </c>
      <c r="J123" s="1">
        <f>VLOOKUP($I$1&amp;J$8,DATA!$A:$EB,'2312'!$A123,0)/100</f>
        <v>-2093.5059300000012</v>
      </c>
      <c r="K123" s="95">
        <f>VLOOKUP($I$1&amp;K$8,DATA!$A:$EB,'2312'!$A123,0)/100</f>
        <v>0</v>
      </c>
      <c r="L123" s="95">
        <f>VLOOKUP($I$1&amp;L$8,DATA!$A:$EB,'2312'!$A123,0)/100</f>
        <v>298.81719194000004</v>
      </c>
      <c r="M123" s="95">
        <f>VLOOKUP($I$1&amp;M$8,DATA!$A:$EB,'2312'!$A123,0)/100</f>
        <v>0</v>
      </c>
      <c r="N123" s="95">
        <f>VLOOKUP($I$1&amp;N$8,DATA!$A:$EB,'2312'!$A123,0)/100</f>
        <v>-1.8174296299999697</v>
      </c>
      <c r="O123" s="95">
        <f>VLOOKUP($I$1&amp;O$8,DATA!$A:$EB,'2312'!$A123,0)/100</f>
        <v>0</v>
      </c>
      <c r="P123" s="95">
        <f>VLOOKUP($I$1&amp;P$8,DATA!$A:$EB,'2312'!$A123,0)/100</f>
        <v>-847.89662275999899</v>
      </c>
      <c r="Q123" s="95">
        <f>VLOOKUP($I$1&amp;Q$8,DATA!$A:$EB,'2312'!$A123,0)/100</f>
        <v>-111.29406967000028</v>
      </c>
      <c r="R123" s="95">
        <f>VLOOKUP($I$1&amp;R$8,DATA!$A:$EB,'2312'!$A123,0)/100</f>
        <v>-464.83965207999978</v>
      </c>
      <c r="S123" s="95">
        <f>VLOOKUP($I$1&amp;S$8,DATA!$A:$EB,'2312'!$A123,0)/100</f>
        <v>0</v>
      </c>
      <c r="T123" s="95">
        <f>VLOOKUP($I$1&amp;T$8,DATA!$A:$EB,'2312'!$A123,0)/100</f>
        <v>-157.15457823</v>
      </c>
      <c r="U123" s="42"/>
    </row>
    <row r="124" spans="1:21" ht="16.5">
      <c r="A124" s="5">
        <f>DATA!DI1</f>
        <v>113</v>
      </c>
      <c r="C124" s="55"/>
      <c r="D124" s="467"/>
      <c r="E124" s="5" t="s">
        <v>72</v>
      </c>
      <c r="I124" s="1">
        <f>VLOOKUP($I$1&amp;I$8,DATA!$A:$EB,'2312'!$A124,0)/100</f>
        <v>4350.9485386000006</v>
      </c>
      <c r="J124" s="1">
        <f>VLOOKUP($I$1&amp;J$8,DATA!$A:$EB,'2312'!$A124,0)/100</f>
        <v>44615.430630000003</v>
      </c>
      <c r="K124" s="95">
        <f>VLOOKUP($I$1&amp;K$8,DATA!$A:$EB,'2312'!$A124,0)/100</f>
        <v>0</v>
      </c>
      <c r="L124" s="95">
        <f>VLOOKUP($I$1&amp;L$8,DATA!$A:$EB,'2312'!$A124,0)/100</f>
        <v>23127.139965039998</v>
      </c>
      <c r="M124" s="95">
        <f>VLOOKUP($I$1&amp;M$8,DATA!$A:$EB,'2312'!$A124,0)/100</f>
        <v>0</v>
      </c>
      <c r="N124" s="95">
        <f>VLOOKUP($I$1&amp;N$8,DATA!$A:$EB,'2312'!$A124,0)/100</f>
        <v>5241.7615323099999</v>
      </c>
      <c r="O124" s="95">
        <f>VLOOKUP($I$1&amp;O$8,DATA!$A:$EB,'2312'!$A124,0)/100</f>
        <v>0</v>
      </c>
      <c r="P124" s="95">
        <f>VLOOKUP($I$1&amp;P$8,DATA!$A:$EB,'2312'!$A124,0)/100</f>
        <v>46285.677066030003</v>
      </c>
      <c r="Q124" s="95">
        <f>VLOOKUP($I$1&amp;Q$8,DATA!$A:$EB,'2312'!$A124,0)/100</f>
        <v>46769.523375129997</v>
      </c>
      <c r="R124" s="95">
        <f>VLOOKUP($I$1&amp;R$8,DATA!$A:$EB,'2312'!$A124,0)/100</f>
        <v>46249.452669459999</v>
      </c>
      <c r="S124" s="95">
        <f>VLOOKUP($I$1&amp;S$8,DATA!$A:$EB,'2312'!$A124,0)/100</f>
        <v>0</v>
      </c>
      <c r="T124" s="95">
        <f>VLOOKUP($I$1&amp;T$8,DATA!$A:$EB,'2312'!$A124,0)/100</f>
        <v>0</v>
      </c>
      <c r="U124" s="42"/>
    </row>
    <row r="125" spans="1:21" ht="16.5">
      <c r="A125" s="5">
        <f>DATA!DL1</f>
        <v>116</v>
      </c>
      <c r="C125" s="55"/>
      <c r="D125" s="467"/>
      <c r="E125" s="5" t="s">
        <v>74</v>
      </c>
      <c r="I125" s="1">
        <f>VLOOKUP($I$1&amp;I$8,DATA!$A:$EB,'2312'!$A125,0)/100</f>
        <v>1254.0550582300002</v>
      </c>
      <c r="J125" s="1">
        <f>VLOOKUP($I$1&amp;J$8,DATA!$A:$EB,'2312'!$A125,0)/100</f>
        <v>17117.992879999998</v>
      </c>
      <c r="K125" s="95">
        <f>VLOOKUP($I$1&amp;K$8,DATA!$A:$EB,'2312'!$A125,0)/100</f>
        <v>0</v>
      </c>
      <c r="L125" s="95">
        <f>VLOOKUP($I$1&amp;L$8,DATA!$A:$EB,'2312'!$A125,0)/100</f>
        <v>6079.8135660500002</v>
      </c>
      <c r="M125" s="95">
        <f>VLOOKUP($I$1&amp;M$8,DATA!$A:$EB,'2312'!$A125,0)/100</f>
        <v>0</v>
      </c>
      <c r="N125" s="95">
        <f>VLOOKUP($I$1&amp;N$8,DATA!$A:$EB,'2312'!$A125,0)/100</f>
        <v>1796.0290272899999</v>
      </c>
      <c r="O125" s="95">
        <f>VLOOKUP($I$1&amp;O$8,DATA!$A:$EB,'2312'!$A125,0)/100</f>
        <v>0</v>
      </c>
      <c r="P125" s="95">
        <f>VLOOKUP($I$1&amp;P$8,DATA!$A:$EB,'2312'!$A125,0)/100</f>
        <v>8657.3376602999997</v>
      </c>
      <c r="Q125" s="95">
        <f>VLOOKUP($I$1&amp;Q$8,DATA!$A:$EB,'2312'!$A125,0)/100</f>
        <v>6256.4904553300003</v>
      </c>
      <c r="R125" s="95">
        <f>VLOOKUP($I$1&amp;R$8,DATA!$A:$EB,'2312'!$A125,0)/100</f>
        <v>3967.79433634</v>
      </c>
      <c r="S125" s="95">
        <f>VLOOKUP($I$1&amp;S$8,DATA!$A:$EB,'2312'!$A125,0)/100</f>
        <v>0</v>
      </c>
      <c r="T125" s="95">
        <f>VLOOKUP($I$1&amp;T$8,DATA!$A:$EB,'2312'!$A125,0)/100</f>
        <v>0</v>
      </c>
      <c r="U125" s="42"/>
    </row>
    <row r="126" spans="1:21" ht="16.5">
      <c r="A126" s="5">
        <f>DATA!BY1</f>
        <v>77</v>
      </c>
      <c r="C126" s="55"/>
      <c r="D126" s="467"/>
      <c r="E126" s="54" t="s">
        <v>134</v>
      </c>
      <c r="F126" s="54"/>
      <c r="G126" s="54"/>
      <c r="H126" s="54"/>
      <c r="I126" s="1">
        <f>VLOOKUP($I$1&amp;I$8,DATA!$A:$EB,'2312'!$A126,0)/100</f>
        <v>1977.64</v>
      </c>
      <c r="J126" s="1">
        <f>VLOOKUP($I$1&amp;J$8,DATA!$A:$EB,'2312'!$A126,0)/100</f>
        <v>13842.75</v>
      </c>
      <c r="K126" s="95">
        <f>VLOOKUP($I$1&amp;K$8,DATA!$A:$EB,'2312'!$A126,0)/100</f>
        <v>6277.01</v>
      </c>
      <c r="L126" s="95">
        <f>VLOOKUP($I$1&amp;L$8,DATA!$A:$EB,'2312'!$A126,0)/100</f>
        <v>8877.09</v>
      </c>
      <c r="M126" s="95">
        <f>VLOOKUP($I$1&amp;M$8,DATA!$A:$EB,'2312'!$A126,0)/100</f>
        <v>6968.25</v>
      </c>
      <c r="N126" s="95">
        <f>VLOOKUP($I$1&amp;N$8,DATA!$A:$EB,'2312'!$A126,0)/100</f>
        <v>2577.15</v>
      </c>
      <c r="O126" s="95">
        <f>VLOOKUP($I$1&amp;O$8,DATA!$A:$EB,'2312'!$A126,0)/100</f>
        <v>3002.13</v>
      </c>
      <c r="P126" s="95">
        <f>VLOOKUP($I$1&amp;P$8,DATA!$A:$EB,'2312'!$A126,0)/100</f>
        <v>15385.4</v>
      </c>
      <c r="Q126" s="95">
        <f>VLOOKUP($I$1&amp;Q$8,DATA!$A:$EB,'2312'!$A126,0)/100</f>
        <v>8805.4484199999988</v>
      </c>
      <c r="R126" s="95">
        <f>VLOOKUP($I$1&amp;R$8,DATA!$A:$EB,'2312'!$A126,0)/100</f>
        <v>10697.6</v>
      </c>
      <c r="S126" s="95">
        <f>VLOOKUP($I$1&amp;S$8,DATA!$A:$EB,'2312'!$A126,0)/100</f>
        <v>8120.94</v>
      </c>
      <c r="T126" s="95">
        <f>VLOOKUP($I$1&amp;T$8,DATA!$A:$EB,'2312'!$A126,0)/100</f>
        <v>12619.28</v>
      </c>
      <c r="U126" s="42"/>
    </row>
    <row r="127" spans="1:21" ht="16.5">
      <c r="A127" s="5">
        <f>DATA!DG1</f>
        <v>111</v>
      </c>
      <c r="C127" s="55"/>
      <c r="D127" s="467"/>
      <c r="E127" s="54" t="s">
        <v>64</v>
      </c>
      <c r="F127" s="54"/>
      <c r="G127" s="54"/>
      <c r="H127" s="54"/>
      <c r="I127" s="1">
        <f>VLOOKUP($I$1&amp;I$8,DATA!$A:$EB,'2312'!$A127,0)/100</f>
        <v>-192.7511951999999</v>
      </c>
      <c r="J127" s="1">
        <f>VLOOKUP($I$1&amp;J$8,DATA!$A:$EB,'2312'!$A127,0)/100</f>
        <v>-1582.4304999999958</v>
      </c>
      <c r="K127" s="95">
        <f>VLOOKUP($I$1&amp;K$8,DATA!$A:$EB,'2312'!$A127,0)/100</f>
        <v>0</v>
      </c>
      <c r="L127" s="95">
        <f>VLOOKUP($I$1&amp;L$8,DATA!$A:$EB,'2312'!$A127,0)/100</f>
        <v>-538.86871653000014</v>
      </c>
      <c r="M127" s="95">
        <f>VLOOKUP($I$1&amp;M$8,DATA!$A:$EB,'2312'!$A127,0)/100</f>
        <v>0</v>
      </c>
      <c r="N127" s="95">
        <f>VLOOKUP($I$1&amp;N$8,DATA!$A:$EB,'2312'!$A127,0)/100</f>
        <v>111.33641797999996</v>
      </c>
      <c r="O127" s="95">
        <f>VLOOKUP($I$1&amp;O$8,DATA!$A:$EB,'2312'!$A127,0)/100</f>
        <v>0</v>
      </c>
      <c r="P127" s="95">
        <f>VLOOKUP($I$1&amp;P$8,DATA!$A:$EB,'2312'!$A127,0)/100</f>
        <v>1413.4245956300001</v>
      </c>
      <c r="Q127" s="95">
        <f>VLOOKUP($I$1&amp;Q$8,DATA!$A:$EB,'2312'!$A127,0)/100</f>
        <v>-2057.03171862</v>
      </c>
      <c r="R127" s="95">
        <f>VLOOKUP($I$1&amp;R$8,DATA!$A:$EB,'2312'!$A127,0)/100</f>
        <v>8633.62352302</v>
      </c>
      <c r="S127" s="95">
        <f>VLOOKUP($I$1&amp;S$8,DATA!$A:$EB,'2312'!$A127,0)/100</f>
        <v>0</v>
      </c>
      <c r="T127" s="95">
        <f>VLOOKUP($I$1&amp;T$8,DATA!$A:$EB,'2312'!$A127,0)/100</f>
        <v>2156.7694482499996</v>
      </c>
      <c r="U127" s="42"/>
    </row>
    <row r="128" spans="1:21" ht="16.5">
      <c r="C128" s="55"/>
      <c r="D128" s="467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42"/>
    </row>
    <row r="129" spans="1:21" ht="16.5">
      <c r="C129" s="55"/>
      <c r="D129" s="467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42"/>
    </row>
    <row r="130" spans="1:21" ht="16.5">
      <c r="C130" s="41" t="s">
        <v>145</v>
      </c>
      <c r="D130" s="467"/>
      <c r="E130" s="54"/>
      <c r="F130" s="54"/>
      <c r="G130" s="54"/>
      <c r="H130" s="54"/>
      <c r="I130" s="54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</row>
    <row r="131" spans="1:21" ht="16.5"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2"/>
      <c r="P131" s="43"/>
      <c r="Q131" s="43"/>
      <c r="R131" s="42"/>
      <c r="S131" s="42"/>
      <c r="T131" s="44" t="s">
        <v>104</v>
      </c>
      <c r="U131" s="42"/>
    </row>
    <row r="132" spans="1:21" ht="16.5">
      <c r="C132" s="729" t="s">
        <v>105</v>
      </c>
      <c r="D132" s="729"/>
      <c r="E132" s="729"/>
      <c r="F132" s="729"/>
      <c r="G132" s="729"/>
      <c r="H132" s="730"/>
      <c r="I132" s="65" t="s">
        <v>124</v>
      </c>
      <c r="J132" s="45" t="s">
        <v>136</v>
      </c>
      <c r="K132" s="45" t="s">
        <v>137</v>
      </c>
      <c r="L132" s="45" t="s">
        <v>138</v>
      </c>
      <c r="M132" s="45" t="s">
        <v>4</v>
      </c>
      <c r="N132" s="45" t="s">
        <v>139</v>
      </c>
      <c r="O132" s="46" t="s">
        <v>6</v>
      </c>
      <c r="P132" s="46" t="s">
        <v>106</v>
      </c>
      <c r="Q132" s="46" t="s">
        <v>107</v>
      </c>
      <c r="R132" s="46" t="s">
        <v>108</v>
      </c>
      <c r="S132" s="46" t="s">
        <v>109</v>
      </c>
      <c r="T132" s="46" t="s">
        <v>110</v>
      </c>
      <c r="U132" s="42"/>
    </row>
    <row r="133" spans="1:21" ht="16.5">
      <c r="A133" s="5">
        <f>DATA!BW1</f>
        <v>75</v>
      </c>
      <c r="C133" s="745" t="s">
        <v>53</v>
      </c>
      <c r="D133" s="745"/>
      <c r="E133" s="745"/>
      <c r="F133" s="745"/>
      <c r="G133" s="745"/>
      <c r="H133" s="740"/>
      <c r="I133" s="25">
        <f>VLOOKUP($I$1&amp;I$8,DATA!$A:$EB,'2312'!$A133,0)/100</f>
        <v>20214.52</v>
      </c>
      <c r="J133" s="66">
        <f>VLOOKUP($I$1&amp;J$8,DATA!$A:$EB,'2312'!$A133,0)/100</f>
        <v>123925.7</v>
      </c>
      <c r="K133" s="66">
        <f>VLOOKUP($I$1&amp;K$8,DATA!$A:$EB,'2312'!$A133,0)/100</f>
        <v>58249.23</v>
      </c>
      <c r="L133" s="66">
        <f>VLOOKUP($I$1&amp;L$8,DATA!$A:$EB,'2312'!$A133,0)/100</f>
        <v>92384.87</v>
      </c>
      <c r="M133" s="66">
        <f>VLOOKUP($I$1&amp;M$8,DATA!$A:$EB,'2312'!$A133,0)/100</f>
        <v>71687.25</v>
      </c>
      <c r="N133" s="66">
        <f>VLOOKUP($I$1&amp;N$8,DATA!$A:$EB,'2312'!$A133,0)/100</f>
        <v>25418.03</v>
      </c>
      <c r="O133" s="25">
        <f>VLOOKUP($I$1&amp;O$8,DATA!$A:$EB,'2312'!$A133,0)/100</f>
        <v>31798.25</v>
      </c>
      <c r="P133" s="25">
        <f>VLOOKUP($I$1&amp;P$8,DATA!$A:$EB,'2312'!$A133,0)/100</f>
        <v>133028.18</v>
      </c>
      <c r="Q133" s="25">
        <f>VLOOKUP($I$1&amp;Q$8,DATA!$A:$EB,'2312'!$A133,0)/100</f>
        <v>91422.711410000004</v>
      </c>
      <c r="R133" s="25">
        <f>VLOOKUP($I$1&amp;R$8,DATA!$A:$EB,'2312'!$A133,0)/100</f>
        <v>104687.26</v>
      </c>
      <c r="S133" s="25">
        <f>VLOOKUP($I$1&amp;S$8,DATA!$A:$EB,'2312'!$A133,0)/100</f>
        <v>85179.21</v>
      </c>
      <c r="T133" s="25">
        <f>VLOOKUP($I$1&amp;T$8,DATA!$A:$EB,'2312'!$A133,0)/100</f>
        <v>121524.09</v>
      </c>
      <c r="U133" s="42"/>
    </row>
    <row r="134" spans="1:21" ht="16.5">
      <c r="C134" s="743" t="s">
        <v>117</v>
      </c>
      <c r="D134" s="743"/>
      <c r="E134" s="743"/>
      <c r="F134" s="743"/>
      <c r="G134" s="743"/>
      <c r="H134" s="744"/>
      <c r="I134" s="67">
        <f>+I133-I147</f>
        <v>419.56999999999971</v>
      </c>
      <c r="J134" s="68">
        <f t="shared" ref="J134:T134" si="29">+J133-J147</f>
        <v>16438.800000000003</v>
      </c>
      <c r="K134" s="68">
        <f t="shared" si="29"/>
        <v>3871.6000000000058</v>
      </c>
      <c r="L134" s="68">
        <f t="shared" si="29"/>
        <v>-5244.5900000000111</v>
      </c>
      <c r="M134" s="68">
        <f t="shared" si="29"/>
        <v>2438.1199999999953</v>
      </c>
      <c r="N134" s="68">
        <f t="shared" si="29"/>
        <v>1675.75</v>
      </c>
      <c r="O134" s="67">
        <f t="shared" si="29"/>
        <v>-1797.4499999999971</v>
      </c>
      <c r="P134" s="67">
        <f t="shared" si="29"/>
        <v>11586.479999999996</v>
      </c>
      <c r="Q134" s="67">
        <f t="shared" si="29"/>
        <v>7907.3391100000008</v>
      </c>
      <c r="R134" s="67">
        <f t="shared" si="29"/>
        <v>8310.8699999999953</v>
      </c>
      <c r="S134" s="67">
        <f t="shared" si="29"/>
        <v>5727.3899999999994</v>
      </c>
      <c r="T134" s="67">
        <f t="shared" si="29"/>
        <v>5089.1699999999983</v>
      </c>
      <c r="U134" s="42"/>
    </row>
    <row r="135" spans="1:21" ht="16.5">
      <c r="C135" s="784" t="s">
        <v>118</v>
      </c>
      <c r="D135" s="784"/>
      <c r="E135" s="784"/>
      <c r="F135" s="784"/>
      <c r="G135" s="784"/>
      <c r="H135" s="785"/>
      <c r="I135" s="69">
        <f>I134/(I133-I134)</f>
        <v>2.1195810042460309E-2</v>
      </c>
      <c r="J135" s="70">
        <f t="shared" ref="J135:T135" si="30">J134/(J133-J134)</f>
        <v>0.15293770682752972</v>
      </c>
      <c r="K135" s="70">
        <f t="shared" si="30"/>
        <v>7.1198395369566597E-2</v>
      </c>
      <c r="L135" s="70">
        <f t="shared" si="30"/>
        <v>-5.3719338404616915E-2</v>
      </c>
      <c r="M135" s="70">
        <f t="shared" si="30"/>
        <v>3.5207951348991608E-2</v>
      </c>
      <c r="N135" s="70">
        <f t="shared" si="30"/>
        <v>7.058083722372073E-2</v>
      </c>
      <c r="O135" s="71">
        <f t="shared" si="30"/>
        <v>-5.350238274541079E-2</v>
      </c>
      <c r="P135" s="71">
        <f t="shared" si="30"/>
        <v>9.540775532621823E-2</v>
      </c>
      <c r="Q135" s="71">
        <f t="shared" si="30"/>
        <v>9.4681241216235362E-2</v>
      </c>
      <c r="R135" s="71">
        <f t="shared" si="30"/>
        <v>8.6233464440824095E-2</v>
      </c>
      <c r="S135" s="71">
        <f t="shared" si="30"/>
        <v>7.2086328544770886E-2</v>
      </c>
      <c r="T135" s="71">
        <f t="shared" si="30"/>
        <v>4.3708279268796668E-2</v>
      </c>
      <c r="U135" s="42"/>
    </row>
    <row r="136" spans="1:21" ht="16.5">
      <c r="A136" s="5">
        <f>DATA!BX1</f>
        <v>76</v>
      </c>
      <c r="C136" s="745" t="s">
        <v>119</v>
      </c>
      <c r="D136" s="745"/>
      <c r="E136" s="745"/>
      <c r="F136" s="745"/>
      <c r="G136" s="745"/>
      <c r="H136" s="740"/>
      <c r="I136" s="25">
        <f>VLOOKUP($I$1&amp;I$8,DATA!$A:$EB,'2312'!$A136,0)/100</f>
        <v>2920.54</v>
      </c>
      <c r="J136" s="66">
        <f>VLOOKUP($I$1&amp;J$8,DATA!$A:$EB,'2312'!$A136,0)/100</f>
        <v>36281.54</v>
      </c>
      <c r="K136" s="25">
        <f>VLOOKUP($I$1&amp;K$8,DATA!$A:$EB,'2312'!$A136,0)/100</f>
        <v>13728.88</v>
      </c>
      <c r="L136" s="25">
        <f>VLOOKUP($I$1&amp;L$8,DATA!$A:$EB,'2312'!$A136,0)/100</f>
        <v>25412.16</v>
      </c>
      <c r="M136" s="25">
        <f>VLOOKUP($I$1&amp;M$8,DATA!$A:$EB,'2312'!$A136,0)/100</f>
        <v>9017.77</v>
      </c>
      <c r="N136" s="25">
        <f>VLOOKUP($I$1&amp;N$8,DATA!$A:$EB,'2312'!$A136,0)/100</f>
        <v>7601.62</v>
      </c>
      <c r="O136" s="25">
        <f>VLOOKUP($I$1&amp;O$8,DATA!$A:$EB,'2312'!$A136,0)/100</f>
        <v>6346.68</v>
      </c>
      <c r="P136" s="25">
        <f>VLOOKUP($I$1&amp;P$8,DATA!$A:$EB,'2312'!$A136,0)/100</f>
        <v>34995.33</v>
      </c>
      <c r="Q136" s="25">
        <f>VLOOKUP($I$1&amp;Q$8,DATA!$A:$EB,'2312'!$A136,0)/100</f>
        <v>16792.368849999999</v>
      </c>
      <c r="R136" s="25">
        <f>VLOOKUP($I$1&amp;R$8,DATA!$A:$EB,'2312'!$A136,0)/100</f>
        <v>16006.48</v>
      </c>
      <c r="S136" s="25">
        <f>VLOOKUP($I$1&amp;S$8,DATA!$A:$EB,'2312'!$A136,0)/100</f>
        <v>18369.68</v>
      </c>
      <c r="T136" s="25">
        <f>VLOOKUP($I$1&amp;T$8,DATA!$A:$EB,'2312'!$A136,0)/100</f>
        <v>28261.200000000001</v>
      </c>
      <c r="U136" s="42"/>
    </row>
    <row r="137" spans="1:21" ht="16.5">
      <c r="A137" s="5">
        <f>DATA!BY1</f>
        <v>77</v>
      </c>
      <c r="C137" s="750" t="s">
        <v>120</v>
      </c>
      <c r="D137" s="750"/>
      <c r="E137" s="750"/>
      <c r="F137" s="750"/>
      <c r="G137" s="750"/>
      <c r="H137" s="751"/>
      <c r="I137" s="72">
        <f>VLOOKUP($I$1&amp;I$8,DATA!$A:$EB,'2312'!$A137,0)/100</f>
        <v>1977.64</v>
      </c>
      <c r="J137" s="73">
        <f>VLOOKUP($I$1&amp;J$8,DATA!$A:$EB,'2312'!$A137,0)/100</f>
        <v>13842.75</v>
      </c>
      <c r="K137" s="72">
        <f>VLOOKUP($I$1&amp;K$8,DATA!$A:$EB,'2312'!$A137,0)/100</f>
        <v>6277.01</v>
      </c>
      <c r="L137" s="72">
        <f>VLOOKUP($I$1&amp;L$8,DATA!$A:$EB,'2312'!$A137,0)/100</f>
        <v>8877.09</v>
      </c>
      <c r="M137" s="72">
        <f>VLOOKUP($I$1&amp;M$8,DATA!$A:$EB,'2312'!$A137,0)/100</f>
        <v>6968.25</v>
      </c>
      <c r="N137" s="72">
        <f>VLOOKUP($I$1&amp;N$8,DATA!$A:$EB,'2312'!$A137,0)/100</f>
        <v>2577.15</v>
      </c>
      <c r="O137" s="72">
        <f>VLOOKUP($I$1&amp;O$8,DATA!$A:$EB,'2312'!$A137,0)/100</f>
        <v>3002.13</v>
      </c>
      <c r="P137" s="72">
        <f>VLOOKUP($I$1&amp;P$8,DATA!$A:$EB,'2312'!$A137,0)/100</f>
        <v>15385.4</v>
      </c>
      <c r="Q137" s="72">
        <f>VLOOKUP($I$1&amp;Q$8,DATA!$A:$EB,'2312'!$A137,0)/100</f>
        <v>8805.4484199999988</v>
      </c>
      <c r="R137" s="72">
        <f>VLOOKUP($I$1&amp;R$8,DATA!$A:$EB,'2312'!$A137,0)/100</f>
        <v>10697.6</v>
      </c>
      <c r="S137" s="72">
        <f>VLOOKUP($I$1&amp;S$8,DATA!$A:$EB,'2312'!$A137,0)/100</f>
        <v>8120.94</v>
      </c>
      <c r="T137" s="72">
        <f>VLOOKUP($I$1&amp;T$8,DATA!$A:$EB,'2312'!$A137,0)/100</f>
        <v>12619.28</v>
      </c>
      <c r="U137" s="42"/>
    </row>
    <row r="138" spans="1:21" ht="16.5">
      <c r="A138" s="22"/>
      <c r="B138" s="22"/>
      <c r="C138" s="750" t="s">
        <v>146</v>
      </c>
      <c r="D138" s="750"/>
      <c r="E138" s="750"/>
      <c r="F138" s="750"/>
      <c r="G138" s="750"/>
      <c r="H138" s="751"/>
      <c r="I138" s="74">
        <f>+I137/(I133+I137)*(4/$J$1)</f>
        <v>8.911435389795315E-2</v>
      </c>
      <c r="J138" s="75">
        <f t="shared" ref="J138:T138" si="31">+J137/(J133+J137)*(4/$J$1)</f>
        <v>0.10047837512870327</v>
      </c>
      <c r="K138" s="74">
        <f t="shared" si="31"/>
        <v>9.7278409527658816E-2</v>
      </c>
      <c r="L138" s="74">
        <f t="shared" si="31"/>
        <v>8.7664607716461354E-2</v>
      </c>
      <c r="M138" s="74">
        <f t="shared" si="31"/>
        <v>8.8592024715372739E-2</v>
      </c>
      <c r="N138" s="74">
        <f t="shared" si="31"/>
        <v>9.2056918369519333E-2</v>
      </c>
      <c r="O138" s="74">
        <f t="shared" si="31"/>
        <v>8.6267161450535895E-2</v>
      </c>
      <c r="P138" s="74">
        <f t="shared" si="31"/>
        <v>0.10366571576536325</v>
      </c>
      <c r="Q138" s="74">
        <f t="shared" si="31"/>
        <v>8.7854036579492076E-2</v>
      </c>
      <c r="R138" s="74">
        <f t="shared" si="31"/>
        <v>9.2712336783179361E-2</v>
      </c>
      <c r="S138" s="74">
        <f t="shared" si="31"/>
        <v>8.7041017618942729E-2</v>
      </c>
      <c r="T138" s="74">
        <f t="shared" si="31"/>
        <v>9.4073080167883072E-2</v>
      </c>
      <c r="U138" s="42"/>
    </row>
    <row r="139" spans="1:21" ht="16.5">
      <c r="B139" s="22"/>
      <c r="C139" s="752" t="s">
        <v>121</v>
      </c>
      <c r="D139" s="752"/>
      <c r="E139" s="752"/>
      <c r="F139" s="752"/>
      <c r="G139" s="752"/>
      <c r="H139" s="753"/>
      <c r="I139" s="76">
        <f>+I136/I137</f>
        <v>1.4767804049270847</v>
      </c>
      <c r="J139" s="77">
        <f t="shared" ref="J139:T139" si="32">+J136/J137</f>
        <v>2.6209777681457802</v>
      </c>
      <c r="K139" s="76">
        <f t="shared" si="32"/>
        <v>2.1871687316094763</v>
      </c>
      <c r="L139" s="76">
        <f t="shared" si="32"/>
        <v>2.8626678337157783</v>
      </c>
      <c r="M139" s="76">
        <f t="shared" si="32"/>
        <v>1.294122627632476</v>
      </c>
      <c r="N139" s="76">
        <f t="shared" si="32"/>
        <v>2.9496226451700522</v>
      </c>
      <c r="O139" s="76">
        <f t="shared" si="32"/>
        <v>2.114059018097151</v>
      </c>
      <c r="P139" s="76">
        <f t="shared" si="32"/>
        <v>2.2745804463972341</v>
      </c>
      <c r="Q139" s="76">
        <f t="shared" si="32"/>
        <v>1.9070430089464996</v>
      </c>
      <c r="R139" s="76">
        <f t="shared" si="32"/>
        <v>1.4962683218665869</v>
      </c>
      <c r="S139" s="76">
        <f t="shared" si="32"/>
        <v>2.2620140033050364</v>
      </c>
      <c r="T139" s="76">
        <f t="shared" si="32"/>
        <v>2.2395255513785255</v>
      </c>
      <c r="U139" s="42"/>
    </row>
    <row r="140" spans="1:21" ht="16.5">
      <c r="A140" s="5">
        <f>DATA!CE1</f>
        <v>83</v>
      </c>
      <c r="C140" s="786" t="s">
        <v>147</v>
      </c>
      <c r="D140" s="748"/>
      <c r="E140" s="749"/>
      <c r="F140" s="787" t="s">
        <v>148</v>
      </c>
      <c r="G140" s="748"/>
      <c r="H140" s="749"/>
      <c r="I140" s="78">
        <f>VLOOKUP($I$1&amp;I$8,DATA!$A:$EB,'2312'!$A140,0)/100</f>
        <v>1758.78</v>
      </c>
      <c r="J140" s="79">
        <f>VLOOKUP($I$1&amp;J$8,DATA!$A:$EB,'2312'!$A140,0)/100</f>
        <v>10299.700000000001</v>
      </c>
      <c r="K140" s="78">
        <f>VLOOKUP($I$1&amp;K$8,DATA!$A:$EB,'2312'!$A140,0)/100</f>
        <v>5696.52</v>
      </c>
      <c r="L140" s="78">
        <f>VLOOKUP($I$1&amp;L$8,DATA!$A:$EB,'2312'!$A140,0)/100</f>
        <v>5111.09</v>
      </c>
      <c r="M140" s="78">
        <f>VLOOKUP($I$1&amp;M$8,DATA!$A:$EB,'2312'!$A140,0)/100</f>
        <v>4457.32</v>
      </c>
      <c r="N140" s="78">
        <f>VLOOKUP($I$1&amp;N$8,DATA!$A:$EB,'2312'!$A140,0)/100</f>
        <v>1328.82</v>
      </c>
      <c r="O140" s="78">
        <f>VLOOKUP($I$1&amp;O$8,DATA!$A:$EB,'2312'!$A140,0)/100</f>
        <v>1435.52</v>
      </c>
      <c r="P140" s="78">
        <f>VLOOKUP($I$1&amp;P$8,DATA!$A:$EB,'2312'!$A140,0)/100</f>
        <v>10641.59</v>
      </c>
      <c r="Q140" s="78">
        <f>VLOOKUP($I$1&amp;Q$8,DATA!$A:$EB,'2312'!$A140,0)/100</f>
        <v>6300.66356</v>
      </c>
      <c r="R140" s="78">
        <f>VLOOKUP($I$1&amp;R$8,DATA!$A:$EB,'2312'!$A140,0)/100</f>
        <v>10518.71</v>
      </c>
      <c r="S140" s="78">
        <f>VLOOKUP($I$1&amp;S$8,DATA!$A:$EB,'2312'!$A140,0)/100</f>
        <v>4915.22</v>
      </c>
      <c r="T140" s="78">
        <f>VLOOKUP($I$1&amp;T$8,DATA!$A:$EB,'2312'!$A140,0)/100</f>
        <v>0</v>
      </c>
      <c r="U140" s="42"/>
    </row>
    <row r="141" spans="1:21" ht="16.5">
      <c r="A141" s="5">
        <f>DATA!CF1</f>
        <v>84</v>
      </c>
      <c r="C141" s="750"/>
      <c r="D141" s="750"/>
      <c r="E141" s="751"/>
      <c r="F141" s="788" t="s">
        <v>149</v>
      </c>
      <c r="G141" s="750"/>
      <c r="H141" s="751"/>
      <c r="I141" s="80">
        <f>VLOOKUP($I$1&amp;I$8,DATA!$A:$EB,'2312'!$A141,0)/100+VLOOKUP($I$1&amp;I$8,DATA!$A:$EB,'2312'!$A141+1,0)/100</f>
        <v>5206.78</v>
      </c>
      <c r="J141" s="472">
        <f>VLOOKUP($I$1&amp;J$8,DATA!$A:$EB,'2312'!$A141,0)/100+VLOOKUP($I$1&amp;J$8,DATA!$A:$EB,'2312'!$A141+1,0)/100</f>
        <v>27883.03</v>
      </c>
      <c r="K141" s="80">
        <f>VLOOKUP($I$1&amp;K$8,DATA!$A:$EB,'2312'!$A141,0)/100+VLOOKUP($I$1&amp;K$8,DATA!$A:$EB,'2312'!$A141+1,0)/100</f>
        <v>16874.260000000002</v>
      </c>
      <c r="L141" s="80">
        <f>VLOOKUP($I$1&amp;L$8,DATA!$A:$EB,'2312'!$A141,0)/100+VLOOKUP($I$1&amp;L$8,DATA!$A:$EB,'2312'!$A141+1,0)/100</f>
        <v>15448.619999999999</v>
      </c>
      <c r="M141" s="80">
        <f>VLOOKUP($I$1&amp;M$8,DATA!$A:$EB,'2312'!$A141,0)/100+VLOOKUP($I$1&amp;M$8,DATA!$A:$EB,'2312'!$A141+1,0)/100</f>
        <v>13459.11</v>
      </c>
      <c r="N141" s="80">
        <f>VLOOKUP($I$1&amp;N$8,DATA!$A:$EB,'2312'!$A141,0)/100+VLOOKUP($I$1&amp;N$8,DATA!$A:$EB,'2312'!$A141+1,0)/100</f>
        <v>4020.38</v>
      </c>
      <c r="O141" s="80">
        <f>VLOOKUP($I$1&amp;O$8,DATA!$A:$EB,'2312'!$A141,0)/100+VLOOKUP($I$1&amp;O$8,DATA!$A:$EB,'2312'!$A141+1,0)/100</f>
        <v>4939.67</v>
      </c>
      <c r="P141" s="80">
        <f>VLOOKUP($I$1&amp;P$8,DATA!$A:$EB,'2312'!$A141,0)/100+VLOOKUP($I$1&amp;P$8,DATA!$A:$EB,'2312'!$A141+1,0)/100</f>
        <v>30078.97</v>
      </c>
      <c r="Q141" s="80">
        <f>VLOOKUP($I$1&amp;Q$8,DATA!$A:$EB,'2312'!$A141,0)/100+VLOOKUP($I$1&amp;Q$8,DATA!$A:$EB,'2312'!$A141+1,0)/100</f>
        <v>18013.815060000001</v>
      </c>
      <c r="R141" s="80">
        <f>VLOOKUP($I$1&amp;R$8,DATA!$A:$EB,'2312'!$A141,0)/100+VLOOKUP($I$1&amp;R$8,DATA!$A:$EB,'2312'!$A141+1,0)/100</f>
        <v>30568.339999999997</v>
      </c>
      <c r="S141" s="80">
        <f>VLOOKUP($I$1&amp;S$8,DATA!$A:$EB,'2312'!$A141,0)/100+VLOOKUP($I$1&amp;S$8,DATA!$A:$EB,'2312'!$A141+1,0)/100</f>
        <v>15231.55</v>
      </c>
      <c r="T141" s="80">
        <f>VLOOKUP($I$1&amp;T$8,DATA!$A:$EB,'2312'!$A141,0)/100+VLOOKUP($I$1&amp;T$8,DATA!$A:$EB,'2312'!$A141+1,0)/100</f>
        <v>0</v>
      </c>
      <c r="U141" s="42"/>
    </row>
    <row r="142" spans="1:21" ht="16.5">
      <c r="A142" s="5">
        <f>DATA!CH1</f>
        <v>86</v>
      </c>
      <c r="C142" s="750"/>
      <c r="D142" s="750"/>
      <c r="E142" s="751"/>
      <c r="F142" s="788" t="s">
        <v>58</v>
      </c>
      <c r="G142" s="750"/>
      <c r="H142" s="751"/>
      <c r="I142" s="80">
        <f>VLOOKUP($I$1&amp;I$8,DATA!$A:$EB,'2312'!$A142,0)/100</f>
        <v>4283.3</v>
      </c>
      <c r="J142" s="779">
        <f>VLOOKUP($I$1&amp;J$8,DATA!$A:$EB,'2312'!$A142,0)/100</f>
        <v>85742.97</v>
      </c>
      <c r="K142" s="80">
        <f>VLOOKUP($I$1&amp;K$8,DATA!$A:$EB,'2312'!$A142,0)/100</f>
        <v>13438.69</v>
      </c>
      <c r="L142" s="80">
        <f>VLOOKUP($I$1&amp;L$8,DATA!$A:$EB,'2312'!$A142,0)/100</f>
        <v>14390.24</v>
      </c>
      <c r="M142" s="80">
        <f>VLOOKUP($I$1&amp;M$8,DATA!$A:$EB,'2312'!$A142,0)/100</f>
        <v>12376.3</v>
      </c>
      <c r="N142" s="80">
        <f>VLOOKUP($I$1&amp;N$8,DATA!$A:$EB,'2312'!$A142,0)/100</f>
        <v>3449.44</v>
      </c>
      <c r="O142" s="80">
        <f>VLOOKUP($I$1&amp;O$8,DATA!$A:$EB,'2312'!$A142,0)/100</f>
        <v>5033.3900000000003</v>
      </c>
      <c r="P142" s="779">
        <f>VLOOKUP($I$1&amp;P$8,DATA!$A:$EB,'2312'!$A142,0)/100</f>
        <v>92307.62</v>
      </c>
      <c r="Q142" s="80">
        <f>VLOOKUP($I$1&amp;Q$8,DATA!$A:$EB,'2312'!$A142,0)/100</f>
        <v>15948.07891</v>
      </c>
      <c r="R142" s="80">
        <f>VLOOKUP($I$1&amp;R$8,DATA!$A:$EB,'2312'!$A142,0)/100</f>
        <v>23567.3</v>
      </c>
      <c r="S142" s="80">
        <f>VLOOKUP($I$1&amp;S$8,DATA!$A:$EB,'2312'!$A142,0)/100</f>
        <v>13729.23</v>
      </c>
      <c r="T142" s="80">
        <f>VLOOKUP($I$1&amp;T$8,DATA!$A:$EB,'2312'!$A142,0)/100</f>
        <v>0</v>
      </c>
      <c r="U142" s="42"/>
    </row>
    <row r="143" spans="1:21" ht="16.5">
      <c r="A143" s="5">
        <f>DATA!CI1</f>
        <v>87</v>
      </c>
      <c r="C143" s="752"/>
      <c r="D143" s="752"/>
      <c r="E143" s="753"/>
      <c r="F143" s="781" t="s">
        <v>150</v>
      </c>
      <c r="G143" s="752"/>
      <c r="H143" s="753"/>
      <c r="I143" s="82">
        <f>VLOOKUP($I$1&amp;I$8,DATA!$A:$EB,'2312'!$A143,0)/100</f>
        <v>8965.66</v>
      </c>
      <c r="J143" s="780"/>
      <c r="K143" s="82">
        <f>VLOOKUP($I$1&amp;K$8,DATA!$A:$EB,'2312'!$A143,0)/100</f>
        <v>22239.77</v>
      </c>
      <c r="L143" s="82">
        <f>VLOOKUP($I$1&amp;L$8,DATA!$A:$EB,'2312'!$A143,0)/100</f>
        <v>57434.92</v>
      </c>
      <c r="M143" s="82">
        <f>VLOOKUP($I$1&amp;M$8,DATA!$A:$EB,'2312'!$A143,0)/100</f>
        <v>41394.51</v>
      </c>
      <c r="N143" s="82">
        <f>VLOOKUP($I$1&amp;N$8,DATA!$A:$EB,'2312'!$A143,0)/100</f>
        <v>16619.38</v>
      </c>
      <c r="O143" s="82">
        <f>VLOOKUP($I$1&amp;O$8,DATA!$A:$EB,'2312'!$A143,0)/100</f>
        <v>20389.599999999999</v>
      </c>
      <c r="P143" s="780"/>
      <c r="Q143" s="82">
        <f>VLOOKUP($I$1&amp;Q$8,DATA!$A:$EB,'2312'!$A143,0)/100</f>
        <v>51160.153880000005</v>
      </c>
      <c r="R143" s="82">
        <f>VLOOKUP($I$1&amp;R$8,DATA!$A:$EB,'2312'!$A143,0)/100</f>
        <v>40032.910000000003</v>
      </c>
      <c r="S143" s="82">
        <f>VLOOKUP($I$1&amp;S$8,DATA!$A:$EB,'2312'!$A143,0)/100</f>
        <v>51303.21</v>
      </c>
      <c r="T143" s="82">
        <f>VLOOKUP($I$1&amp;T$8,DATA!$A:$EB,'2312'!$A143,0)/100</f>
        <v>0</v>
      </c>
      <c r="U143" s="42"/>
    </row>
    <row r="144" spans="1:21" ht="16.5">
      <c r="C144" s="83" t="s">
        <v>151</v>
      </c>
      <c r="D144" s="467"/>
      <c r="E144" s="54"/>
      <c r="F144" s="54"/>
      <c r="G144" s="54"/>
      <c r="H144" s="54"/>
      <c r="I144" s="84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42"/>
    </row>
    <row r="145" spans="1:21" ht="16.5">
      <c r="C145" s="52" t="s">
        <v>152</v>
      </c>
      <c r="D145" s="467"/>
      <c r="E145" s="54"/>
      <c r="F145" s="54"/>
      <c r="G145" s="54"/>
      <c r="H145" s="54"/>
      <c r="I145" s="84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42"/>
    </row>
    <row r="146" spans="1:21" ht="16.5">
      <c r="C146" s="55"/>
      <c r="D146" s="467"/>
      <c r="E146" s="54"/>
      <c r="F146" s="54"/>
      <c r="G146" s="54"/>
      <c r="H146" s="54"/>
      <c r="I146" s="135">
        <f>+I136/I133</f>
        <v>0.14447733609306576</v>
      </c>
      <c r="J146" s="135">
        <f t="shared" ref="J146:T146" si="33">+J136/J133</f>
        <v>0.2927684895062122</v>
      </c>
      <c r="K146" s="135">
        <f t="shared" si="33"/>
        <v>0.23569204262442608</v>
      </c>
      <c r="L146" s="135">
        <f t="shared" si="33"/>
        <v>0.27506841758829126</v>
      </c>
      <c r="M146" s="135">
        <f t="shared" si="33"/>
        <v>0.12579321985429767</v>
      </c>
      <c r="N146" s="135">
        <f t="shared" si="33"/>
        <v>0.29906408954588537</v>
      </c>
      <c r="O146" s="135">
        <f t="shared" si="33"/>
        <v>0.19959211591832884</v>
      </c>
      <c r="P146" s="135">
        <f t="shared" si="33"/>
        <v>0.2630670433888519</v>
      </c>
      <c r="Q146" s="135">
        <f t="shared" si="33"/>
        <v>0.18367830696567172</v>
      </c>
      <c r="R146" s="135">
        <f t="shared" si="33"/>
        <v>0.15289806992751553</v>
      </c>
      <c r="S146" s="135">
        <f t="shared" si="33"/>
        <v>0.21565919665138944</v>
      </c>
      <c r="T146" s="135">
        <f t="shared" si="33"/>
        <v>0.23255635981310374</v>
      </c>
      <c r="U146" s="42"/>
    </row>
    <row r="147" spans="1:21" ht="16.5">
      <c r="A147" s="5">
        <f>DATA!CB1</f>
        <v>80</v>
      </c>
      <c r="C147" s="55"/>
      <c r="D147" s="467"/>
      <c r="E147" s="54" t="s">
        <v>122</v>
      </c>
      <c r="F147" s="54"/>
      <c r="G147" s="54"/>
      <c r="H147" s="54"/>
      <c r="I147" s="1">
        <f>VLOOKUP($I$1&amp;I$8,DATA!$A:$EB,'2312'!$A147,0)/100</f>
        <v>19794.95</v>
      </c>
      <c r="J147" s="1">
        <f>VLOOKUP($I$1&amp;J$8,DATA!$A:$EB,'2312'!$A147,0)/100</f>
        <v>107486.9</v>
      </c>
      <c r="K147" s="95">
        <f>VLOOKUP($I$1&amp;K$8,DATA!$A:$EB,'2312'!$A147,0)/100</f>
        <v>54377.63</v>
      </c>
      <c r="L147" s="95">
        <f>VLOOKUP($I$1&amp;L$8,DATA!$A:$EB,'2312'!$A147,0)/100</f>
        <v>97629.46</v>
      </c>
      <c r="M147" s="95">
        <f>VLOOKUP($I$1&amp;M$8,DATA!$A:$EB,'2312'!$A147,0)/100</f>
        <v>69249.13</v>
      </c>
      <c r="N147" s="95">
        <f>VLOOKUP($I$1&amp;N$8,DATA!$A:$EB,'2312'!$A147,0)/100</f>
        <v>23742.28</v>
      </c>
      <c r="O147" s="95">
        <f>VLOOKUP($I$1&amp;O$8,DATA!$A:$EB,'2312'!$A147,0)/100</f>
        <v>33595.699999999997</v>
      </c>
      <c r="P147" s="95">
        <f>VLOOKUP($I$1&amp;P$8,DATA!$A:$EB,'2312'!$A147,0)/100</f>
        <v>121441.7</v>
      </c>
      <c r="Q147" s="95">
        <f>VLOOKUP($I$1&amp;Q$8,DATA!$A:$EB,'2312'!$A147,0)/100</f>
        <v>83515.372300000003</v>
      </c>
      <c r="R147" s="95">
        <f>VLOOKUP($I$1&amp;R$8,DATA!$A:$EB,'2312'!$A147,0)/100</f>
        <v>96376.39</v>
      </c>
      <c r="S147" s="95">
        <f>VLOOKUP($I$1&amp;S$8,DATA!$A:$EB,'2312'!$A147,0)/100</f>
        <v>79451.820000000007</v>
      </c>
      <c r="T147" s="95">
        <f>VLOOKUP($I$1&amp;T$8,DATA!$A:$EB,'2312'!$A147,0)/100</f>
        <v>116434.92</v>
      </c>
      <c r="U147" s="42"/>
    </row>
    <row r="148" spans="1:21" ht="16.5">
      <c r="C148" s="55"/>
      <c r="D148" s="467"/>
      <c r="E148" s="54"/>
      <c r="F148" s="54"/>
      <c r="G148" s="54"/>
      <c r="H148" s="54"/>
      <c r="I148" s="86">
        <f>I133-SUM(I140:I143)</f>
        <v>0</v>
      </c>
      <c r="J148" s="86">
        <f t="shared" ref="J148:T148" si="34">J133-SUM(J140:J143)</f>
        <v>0</v>
      </c>
      <c r="K148" s="86">
        <f t="shared" si="34"/>
        <v>-1.0000000002037268E-2</v>
      </c>
      <c r="L148" s="86">
        <f t="shared" si="34"/>
        <v>0</v>
      </c>
      <c r="M148" s="86">
        <f t="shared" si="34"/>
        <v>9.9999999947613105E-3</v>
      </c>
      <c r="N148" s="86">
        <f t="shared" si="34"/>
        <v>9.9999999983992893E-3</v>
      </c>
      <c r="O148" s="86">
        <f t="shared" si="34"/>
        <v>6.9999999999708962E-2</v>
      </c>
      <c r="P148" s="86">
        <f t="shared" si="34"/>
        <v>0</v>
      </c>
      <c r="Q148" s="86">
        <f t="shared" si="34"/>
        <v>0</v>
      </c>
      <c r="R148" s="86">
        <f t="shared" si="34"/>
        <v>0</v>
      </c>
      <c r="S148" s="86">
        <f t="shared" si="34"/>
        <v>0</v>
      </c>
      <c r="T148" s="86">
        <f t="shared" si="34"/>
        <v>121524.09</v>
      </c>
      <c r="U148" s="42"/>
    </row>
    <row r="149" spans="1:21" ht="16.5">
      <c r="A149" s="5">
        <f>DATA!BZ1</f>
        <v>78</v>
      </c>
      <c r="C149" s="55"/>
      <c r="D149" s="467"/>
      <c r="E149" s="54" t="s">
        <v>886</v>
      </c>
      <c r="F149" s="54"/>
      <c r="G149" s="54"/>
      <c r="H149" s="54"/>
      <c r="I149" s="136">
        <f>VLOOKUP($I$1&amp;I$8,DATA!$A:$EB,'2312'!$A149,0)/100</f>
        <v>-977.84</v>
      </c>
      <c r="J149" s="136">
        <f>VLOOKUP($I$1&amp;J$8,DATA!$A:$EB,'2312'!$A149,0)/100</f>
        <v>-10016.209999999999</v>
      </c>
      <c r="K149" s="137">
        <f>VLOOKUP($I$1&amp;K$8,DATA!$A:$EB,'2312'!$A149,0)/100</f>
        <v>-18106.27</v>
      </c>
      <c r="L149" s="137">
        <f>VLOOKUP($I$1&amp;L$8,DATA!$A:$EB,'2312'!$A149,0)/100</f>
        <v>-25308.21</v>
      </c>
      <c r="M149" s="137">
        <f>VLOOKUP($I$1&amp;M$8,DATA!$A:$EB,'2312'!$A149,0)/100</f>
        <v>-2008.46</v>
      </c>
      <c r="N149" s="137">
        <f>VLOOKUP($I$1&amp;N$8,DATA!$A:$EB,'2312'!$A149,0)/100</f>
        <v>-4057.81</v>
      </c>
      <c r="O149" s="137">
        <f>VLOOKUP($I$1&amp;O$8,DATA!$A:$EB,'2312'!$A149,0)/100</f>
        <v>-6213.8</v>
      </c>
      <c r="P149" s="137">
        <f>VLOOKUP($I$1&amp;P$8,DATA!$A:$EB,'2312'!$A149,0)/100</f>
        <v>-12002.44</v>
      </c>
      <c r="Q149" s="137">
        <f>VLOOKUP($I$1&amp;Q$8,DATA!$A:$EB,'2312'!$A149,0)/100</f>
        <v>-2715.9045500000002</v>
      </c>
      <c r="R149" s="137">
        <f>VLOOKUP($I$1&amp;R$8,DATA!$A:$EB,'2312'!$A149,0)/100</f>
        <v>21.64</v>
      </c>
      <c r="S149" s="137">
        <f>VLOOKUP($I$1&amp;S$8,DATA!$A:$EB,'2312'!$A149,0)/100</f>
        <v>-7431</v>
      </c>
      <c r="T149" s="137">
        <f>VLOOKUP($I$1&amp;T$8,DATA!$A:$EB,'2312'!$A149,0)/100</f>
        <v>-14196.78</v>
      </c>
      <c r="U149" s="42"/>
    </row>
    <row r="150" spans="1:21" ht="16.5">
      <c r="C150" s="55"/>
      <c r="D150" s="467"/>
      <c r="E150" s="54"/>
      <c r="F150" s="54"/>
      <c r="G150" s="54"/>
      <c r="H150" s="54"/>
      <c r="I150" s="135">
        <f>I149/I133</f>
        <v>-4.8373149597418091E-2</v>
      </c>
      <c r="J150" s="135">
        <f t="shared" ref="J150:T150" si="35">J149/J133</f>
        <v>-8.0824316505777247E-2</v>
      </c>
      <c r="K150" s="135">
        <f t="shared" si="35"/>
        <v>-0.31084136219483072</v>
      </c>
      <c r="L150" s="135">
        <f t="shared" si="35"/>
        <v>-0.27394323334546017</v>
      </c>
      <c r="M150" s="135">
        <f t="shared" si="35"/>
        <v>-2.8016976519534505E-2</v>
      </c>
      <c r="N150" s="135">
        <f t="shared" si="35"/>
        <v>-0.1596429778389592</v>
      </c>
      <c r="O150" s="135">
        <f t="shared" si="35"/>
        <v>-0.19541326959816971</v>
      </c>
      <c r="P150" s="135">
        <f t="shared" si="35"/>
        <v>-9.022479297243638E-2</v>
      </c>
      <c r="Q150" s="135">
        <f t="shared" si="35"/>
        <v>-2.9707110061744778E-2</v>
      </c>
      <c r="R150" s="135">
        <f t="shared" si="35"/>
        <v>2.0671092165369502E-4</v>
      </c>
      <c r="S150" s="135">
        <f t="shared" si="35"/>
        <v>-8.7239597549683773E-2</v>
      </c>
      <c r="T150" s="135">
        <f t="shared" si="35"/>
        <v>-0.11682276328915527</v>
      </c>
      <c r="U150" s="42"/>
    </row>
    <row r="151" spans="1:21" ht="16.5">
      <c r="C151" s="41" t="s">
        <v>153</v>
      </c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</row>
    <row r="152" spans="1:21" ht="16.5"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2"/>
      <c r="P152" s="43"/>
      <c r="Q152" s="43"/>
      <c r="R152" s="42"/>
      <c r="S152" s="42"/>
      <c r="T152" s="42"/>
      <c r="U152" s="42"/>
    </row>
    <row r="153" spans="1:21" ht="16.5">
      <c r="C153" s="729" t="s">
        <v>105</v>
      </c>
      <c r="D153" s="729"/>
      <c r="E153" s="729"/>
      <c r="F153" s="729"/>
      <c r="G153" s="729"/>
      <c r="H153" s="730"/>
      <c r="I153" s="45" t="s">
        <v>124</v>
      </c>
      <c r="J153" s="45" t="s">
        <v>136</v>
      </c>
      <c r="K153" s="45" t="s">
        <v>137</v>
      </c>
      <c r="L153" s="45" t="s">
        <v>138</v>
      </c>
      <c r="M153" s="45" t="s">
        <v>4</v>
      </c>
      <c r="N153" s="45" t="s">
        <v>139</v>
      </c>
      <c r="O153" s="46" t="s">
        <v>6</v>
      </c>
      <c r="P153" s="46" t="s">
        <v>106</v>
      </c>
      <c r="Q153" s="46" t="s">
        <v>107</v>
      </c>
      <c r="R153" s="46" t="s">
        <v>108</v>
      </c>
      <c r="S153" s="46" t="s">
        <v>109</v>
      </c>
      <c r="T153" s="46" t="s">
        <v>110</v>
      </c>
      <c r="U153" s="42"/>
    </row>
    <row r="154" spans="1:21" ht="16.5">
      <c r="C154" s="748" t="s">
        <v>131</v>
      </c>
      <c r="D154" s="748"/>
      <c r="E154" s="748"/>
      <c r="F154" s="748"/>
      <c r="G154" s="748"/>
      <c r="H154" s="749"/>
      <c r="I154" s="87">
        <f>I118/AVERAGE(I164,I165)*(4/$J$1)</f>
        <v>3.7052892264866556E-2</v>
      </c>
      <c r="J154" s="87">
        <f t="shared" ref="J154:T154" si="36">J118/AVERAGE(J164,J165)*(4/$J$1)</f>
        <v>3.9789077624827696E-2</v>
      </c>
      <c r="K154" s="87">
        <f t="shared" si="36"/>
        <v>6.359634029768374E-2</v>
      </c>
      <c r="L154" s="87">
        <f t="shared" si="36"/>
        <v>5.1859926384228351E-2</v>
      </c>
      <c r="M154" s="87">
        <f t="shared" si="36"/>
        <v>5.8122410596796556E-2</v>
      </c>
      <c r="N154" s="87">
        <f t="shared" si="36"/>
        <v>8.8798115012184084E-2</v>
      </c>
      <c r="O154" s="88">
        <f t="shared" si="36"/>
        <v>4.801811015385303E-2</v>
      </c>
      <c r="P154" s="88">
        <f t="shared" si="36"/>
        <v>0.12541746356096709</v>
      </c>
      <c r="Q154" s="88">
        <f t="shared" si="36"/>
        <v>0.12271659765778953</v>
      </c>
      <c r="R154" s="88">
        <f t="shared" si="36"/>
        <v>0.34309494306669686</v>
      </c>
      <c r="S154" s="88">
        <f t="shared" si="36"/>
        <v>0.12220184785748364</v>
      </c>
      <c r="T154" s="88">
        <f t="shared" si="36"/>
        <v>0.19058330365296222</v>
      </c>
      <c r="U154" s="42"/>
    </row>
    <row r="155" spans="1:21" ht="16.5">
      <c r="C155" s="789" t="s">
        <v>154</v>
      </c>
      <c r="D155" s="789"/>
      <c r="E155" s="789"/>
      <c r="F155" s="789"/>
      <c r="G155" s="789"/>
      <c r="H155" s="790"/>
      <c r="I155" s="89">
        <f>+I136/(I102*150%)*(4/$J$1)</f>
        <v>0.10424991508950895</v>
      </c>
      <c r="J155" s="89">
        <f t="shared" ref="J155:T155" si="37">+J136/(J102*150%)*(4/$J$1)</f>
        <v>9.9171963150043993E-2</v>
      </c>
      <c r="K155" s="89">
        <f t="shared" si="37"/>
        <v>0.12218334078018335</v>
      </c>
      <c r="L155" s="89">
        <f t="shared" si="37"/>
        <v>0.14842797609469918</v>
      </c>
      <c r="M155" s="89">
        <f t="shared" si="37"/>
        <v>0.13807006262153018</v>
      </c>
      <c r="N155" s="89">
        <f t="shared" si="37"/>
        <v>0.23387923265808941</v>
      </c>
      <c r="O155" s="71">
        <f t="shared" si="37"/>
        <v>0.20644262267886715</v>
      </c>
      <c r="P155" s="71">
        <f t="shared" si="37"/>
        <v>0.26804637055079394</v>
      </c>
      <c r="Q155" s="71">
        <f t="shared" si="37"/>
        <v>0.16057704002446851</v>
      </c>
      <c r="R155" s="71">
        <f t="shared" si="37"/>
        <v>0.19959577020788899</v>
      </c>
      <c r="S155" s="71">
        <f t="shared" si="37"/>
        <v>0.22663273408472587</v>
      </c>
      <c r="T155" s="71">
        <f t="shared" si="37"/>
        <v>0.22439755269366868</v>
      </c>
      <c r="U155" s="42"/>
    </row>
    <row r="156" spans="1:21" ht="16.5">
      <c r="C156" s="791" t="s">
        <v>53</v>
      </c>
      <c r="D156" s="791"/>
      <c r="E156" s="793" t="s">
        <v>155</v>
      </c>
      <c r="F156" s="794"/>
      <c r="G156" s="794"/>
      <c r="H156" s="795"/>
      <c r="I156" s="90">
        <f>I133/I165</f>
        <v>0.6695706787160669</v>
      </c>
      <c r="J156" s="90">
        <f t="shared" ref="J156:T156" si="38">J133/J165</f>
        <v>0.33022438743622212</v>
      </c>
      <c r="K156" s="90">
        <f t="shared" si="38"/>
        <v>0.58390796385549015</v>
      </c>
      <c r="L156" s="90">
        <f t="shared" si="38"/>
        <v>0.81131038629299401</v>
      </c>
      <c r="M156" s="90">
        <f t="shared" si="38"/>
        <v>0.84871644028821702</v>
      </c>
      <c r="N156" s="90">
        <f t="shared" si="38"/>
        <v>0.86111823165377166</v>
      </c>
      <c r="O156" s="90">
        <f t="shared" si="38"/>
        <v>0.59286313840238081</v>
      </c>
      <c r="P156" s="90">
        <f t="shared" si="38"/>
        <v>0.83638297657445371</v>
      </c>
      <c r="Q156" s="90">
        <f t="shared" si="38"/>
        <v>1.4945446878782629</v>
      </c>
      <c r="R156" s="90">
        <f t="shared" si="38"/>
        <v>1.9129438293249261</v>
      </c>
      <c r="S156" s="90">
        <f t="shared" si="38"/>
        <v>1.3525198259206048</v>
      </c>
      <c r="T156" s="90">
        <f t="shared" si="38"/>
        <v>1.4007652510374093</v>
      </c>
      <c r="U156" s="42"/>
    </row>
    <row r="157" spans="1:21" ht="16.5">
      <c r="C157" s="792"/>
      <c r="D157" s="792"/>
      <c r="E157" s="796" t="s">
        <v>156</v>
      </c>
      <c r="F157" s="797"/>
      <c r="G157" s="797"/>
      <c r="H157" s="798"/>
      <c r="I157" s="91">
        <f>I133/(I102*150%)</f>
        <v>0.72156587260410088</v>
      </c>
      <c r="J157" s="91">
        <f t="shared" ref="J157:T157" si="39">J133/(J102*150%)</f>
        <v>0.33873851423460544</v>
      </c>
      <c r="K157" s="91">
        <f t="shared" si="39"/>
        <v>0.51840248580170267</v>
      </c>
      <c r="L157" s="91">
        <f t="shared" si="39"/>
        <v>0.53960384618512913</v>
      </c>
      <c r="M157" s="91">
        <f t="shared" si="39"/>
        <v>1.0975954251067934</v>
      </c>
      <c r="N157" s="91">
        <f t="shared" si="39"/>
        <v>0.7820371647201908</v>
      </c>
      <c r="O157" s="91">
        <f t="shared" si="39"/>
        <v>1.0343225318746632</v>
      </c>
      <c r="P157" s="91">
        <f t="shared" si="39"/>
        <v>1.0189279778181177</v>
      </c>
      <c r="Q157" s="91">
        <f t="shared" si="39"/>
        <v>0.87422974806970166</v>
      </c>
      <c r="R157" s="91">
        <f t="shared" si="39"/>
        <v>1.3054171992001693</v>
      </c>
      <c r="S157" s="91">
        <f t="shared" si="39"/>
        <v>1.0508836980000209</v>
      </c>
      <c r="T157" s="91">
        <f t="shared" si="39"/>
        <v>0.9649168609020542</v>
      </c>
      <c r="U157" s="42"/>
    </row>
    <row r="158" spans="1:21" ht="16.5">
      <c r="C158" s="470"/>
      <c r="D158" s="470"/>
      <c r="E158" s="799" t="s">
        <v>157</v>
      </c>
      <c r="F158" s="800"/>
      <c r="G158" s="800"/>
      <c r="H158" s="801"/>
      <c r="I158" s="93">
        <f>I133/(I102*180%)</f>
        <v>0.60130489383675068</v>
      </c>
      <c r="J158" s="93">
        <f t="shared" ref="J158:T158" si="40">J133/(J102*180%)</f>
        <v>0.28228209519550451</v>
      </c>
      <c r="K158" s="93">
        <f t="shared" si="40"/>
        <v>0.43200207150141889</v>
      </c>
      <c r="L158" s="93">
        <f t="shared" si="40"/>
        <v>0.44966987182094087</v>
      </c>
      <c r="M158" s="93">
        <f t="shared" si="40"/>
        <v>0.91466285425566118</v>
      </c>
      <c r="N158" s="93">
        <f t="shared" si="40"/>
        <v>0.65169763726682561</v>
      </c>
      <c r="O158" s="93">
        <f t="shared" si="40"/>
        <v>0.86193544322888593</v>
      </c>
      <c r="P158" s="93">
        <f t="shared" si="40"/>
        <v>0.84910664818176473</v>
      </c>
      <c r="Q158" s="93">
        <f t="shared" si="40"/>
        <v>0.72852479005808468</v>
      </c>
      <c r="R158" s="93">
        <f t="shared" si="40"/>
        <v>1.0878476660001413</v>
      </c>
      <c r="S158" s="93">
        <f t="shared" si="40"/>
        <v>0.87573641500001731</v>
      </c>
      <c r="T158" s="93">
        <f t="shared" si="40"/>
        <v>0.80409738408504516</v>
      </c>
      <c r="U158" s="42"/>
    </row>
    <row r="159" spans="1:21" ht="16.5">
      <c r="C159" s="786" t="s">
        <v>158</v>
      </c>
      <c r="D159" s="802"/>
      <c r="E159" s="805" t="s">
        <v>159</v>
      </c>
      <c r="F159" s="806"/>
      <c r="G159" s="806"/>
      <c r="H159" s="807"/>
      <c r="I159" s="90">
        <f>I137/I165*(4/$J$1)</f>
        <v>6.5505871871112578E-2</v>
      </c>
      <c r="J159" s="90">
        <f t="shared" ref="J159:T159" si="41">J137/J165*(4/$J$1)</f>
        <v>3.6886728412127298E-2</v>
      </c>
      <c r="K159" s="90">
        <f t="shared" si="41"/>
        <v>6.2922653710625012E-2</v>
      </c>
      <c r="L159" s="90">
        <f t="shared" si="41"/>
        <v>7.7957303149938678E-2</v>
      </c>
      <c r="M159" s="90">
        <f t="shared" si="41"/>
        <v>8.2498189497272792E-2</v>
      </c>
      <c r="N159" s="90">
        <f t="shared" si="41"/>
        <v>8.7309317468998102E-2</v>
      </c>
      <c r="O159" s="90">
        <f t="shared" si="41"/>
        <v>5.597327568944642E-2</v>
      </c>
      <c r="P159" s="90">
        <f t="shared" si="41"/>
        <v>9.6732035631763136E-2</v>
      </c>
      <c r="Q159" s="90">
        <f t="shared" si="41"/>
        <v>0.14394821546561087</v>
      </c>
      <c r="R159" s="90">
        <f t="shared" si="41"/>
        <v>0.19547658338355911</v>
      </c>
      <c r="S159" s="90">
        <f t="shared" si="41"/>
        <v>0.12894851167452334</v>
      </c>
      <c r="T159" s="90">
        <f t="shared" si="41"/>
        <v>0.14545798217547945</v>
      </c>
      <c r="U159" s="42"/>
    </row>
    <row r="160" spans="1:21" ht="16.5">
      <c r="C160" s="768"/>
      <c r="D160" s="803"/>
      <c r="E160" s="796" t="s">
        <v>156</v>
      </c>
      <c r="F160" s="797"/>
      <c r="G160" s="797"/>
      <c r="H160" s="798"/>
      <c r="I160" s="91">
        <f>I137/(I102*150%)*(4/$J$1)</f>
        <v>7.0592699321911881E-2</v>
      </c>
      <c r="J160" s="91">
        <f t="shared" ref="J160:T160" si="42">J137/(J102*150%)*(4/$J$1)</f>
        <v>3.7837773503971203E-2</v>
      </c>
      <c r="K160" s="91">
        <f t="shared" si="42"/>
        <v>5.5863701329650982E-2</v>
      </c>
      <c r="L160" s="91">
        <f t="shared" si="42"/>
        <v>5.1849528033449076E-2</v>
      </c>
      <c r="M160" s="91">
        <f t="shared" si="42"/>
        <v>0.10669009232465206</v>
      </c>
      <c r="N160" s="91">
        <f t="shared" si="42"/>
        <v>7.9291238505054873E-2</v>
      </c>
      <c r="O160" s="91">
        <f t="shared" si="42"/>
        <v>9.765225138543418E-2</v>
      </c>
      <c r="P160" s="91">
        <f t="shared" si="42"/>
        <v>0.11784431321185382</v>
      </c>
      <c r="Q160" s="91">
        <f t="shared" si="42"/>
        <v>8.420210727873173E-2</v>
      </c>
      <c r="R160" s="91">
        <f t="shared" si="42"/>
        <v>0.13339570669978118</v>
      </c>
      <c r="S160" s="91">
        <f t="shared" si="42"/>
        <v>0.10019068571352432</v>
      </c>
      <c r="T160" s="91">
        <f t="shared" si="42"/>
        <v>0.10019870170962873</v>
      </c>
      <c r="U160" s="42"/>
    </row>
    <row r="161" spans="1:21" ht="16.5">
      <c r="C161" s="769"/>
      <c r="D161" s="804"/>
      <c r="E161" s="726" t="s">
        <v>157</v>
      </c>
      <c r="F161" s="727"/>
      <c r="G161" s="727"/>
      <c r="H161" s="728"/>
      <c r="I161" s="93">
        <f>I137/(I102*180%)*(4/$J$1)</f>
        <v>5.8827249434926558E-2</v>
      </c>
      <c r="J161" s="93">
        <f t="shared" ref="J161:T161" si="43">J137/(J102*180%)*(4/$J$1)</f>
        <v>3.1531477919976E-2</v>
      </c>
      <c r="K161" s="93">
        <f t="shared" si="43"/>
        <v>4.6553084441375812E-2</v>
      </c>
      <c r="L161" s="93">
        <f t="shared" si="43"/>
        <v>4.3207940027874224E-2</v>
      </c>
      <c r="M161" s="93">
        <f t="shared" si="43"/>
        <v>8.8908410270543373E-2</v>
      </c>
      <c r="N161" s="93">
        <f t="shared" si="43"/>
        <v>6.6076032087545727E-2</v>
      </c>
      <c r="O161" s="93">
        <f t="shared" si="43"/>
        <v>8.1376876154528488E-2</v>
      </c>
      <c r="P161" s="93">
        <f t="shared" si="43"/>
        <v>9.820359434321152E-2</v>
      </c>
      <c r="Q161" s="93">
        <f t="shared" si="43"/>
        <v>7.0168422732276428E-2</v>
      </c>
      <c r="R161" s="93">
        <f t="shared" si="43"/>
        <v>0.11116308891648431</v>
      </c>
      <c r="S161" s="93">
        <f t="shared" si="43"/>
        <v>8.3492238094603599E-2</v>
      </c>
      <c r="T161" s="93">
        <f t="shared" si="43"/>
        <v>8.3498918091357274E-2</v>
      </c>
      <c r="U161" s="42"/>
    </row>
    <row r="162" spans="1:21" ht="16.5">
      <c r="C162" s="83" t="s">
        <v>160</v>
      </c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</row>
    <row r="163" spans="1:21" ht="16.5"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</row>
    <row r="164" spans="1:21" ht="16.5">
      <c r="A164" s="5">
        <f>DATA!S1</f>
        <v>19</v>
      </c>
      <c r="C164" s="42"/>
      <c r="D164" s="42"/>
      <c r="E164" s="5" t="s">
        <v>132</v>
      </c>
      <c r="F164" s="42"/>
      <c r="G164" s="42"/>
      <c r="H164" s="42"/>
      <c r="I164" s="1">
        <f>VLOOKUP($I$1&amp;I$8,DATA!$A:$EB,'2312'!$A164,0)/100</f>
        <v>28752.4181535399</v>
      </c>
      <c r="J164" s="1">
        <f>VLOOKUP($I$1&amp;J$8,DATA!$A:$EB,'2312'!$A164,0)/100</f>
        <v>319839.14</v>
      </c>
      <c r="K164" s="95">
        <f>VLOOKUP($I$1&amp;K$8,DATA!$A:$EB,'2312'!$A164,0)/100</f>
        <v>99059.109200870007</v>
      </c>
      <c r="L164" s="95">
        <f>VLOOKUP($I$1&amp;L$8,DATA!$A:$EB,'2312'!$A164,0)/100</f>
        <v>123792.70201598</v>
      </c>
      <c r="M164" s="95">
        <f>VLOOKUP($I$1&amp;M$8,DATA!$A:$EB,'2312'!$A164,0)/100</f>
        <v>81340.09</v>
      </c>
      <c r="N164" s="95">
        <f>VLOOKUP($I$1&amp;N$8,DATA!$A:$EB,'2312'!$A164,0)/100</f>
        <v>30152.025158290002</v>
      </c>
      <c r="O164" s="95">
        <f>VLOOKUP($I$1&amp;O$8,DATA!$A:$EB,'2312'!$A164,0)/100</f>
        <v>44829.04</v>
      </c>
      <c r="P164" s="95">
        <f>VLOOKUP($I$1&amp;P$8,DATA!$A:$EB,'2312'!$A164,0)/100</f>
        <v>120873.26328411</v>
      </c>
      <c r="Q164" s="95">
        <f>VLOOKUP($I$1&amp;Q$8,DATA!$A:$EB,'2312'!$A164,0)/100</f>
        <v>64702.494962730001</v>
      </c>
      <c r="R164" s="95">
        <f>VLOOKUP($I$1&amp;R$8,DATA!$A:$EB,'2312'!$A164,0)/100</f>
        <v>36618.22899317</v>
      </c>
      <c r="S164" s="95">
        <f>VLOOKUP($I$1&amp;S$8,DATA!$A:$EB,'2312'!$A164,0)/100</f>
        <v>57603.65</v>
      </c>
      <c r="T164" s="95">
        <f>VLOOKUP($I$1&amp;T$8,DATA!$A:$EB,'2312'!$A164,0)/100</f>
        <v>74512.136927200001</v>
      </c>
      <c r="U164" s="42"/>
    </row>
    <row r="165" spans="1:21" ht="16.5">
      <c r="A165" s="5">
        <f>DATA!O1</f>
        <v>15</v>
      </c>
      <c r="C165"/>
      <c r="D165"/>
      <c r="E165" s="5" t="s">
        <v>133</v>
      </c>
      <c r="F165"/>
      <c r="G165"/>
      <c r="H165"/>
      <c r="I165" s="1">
        <f>VLOOKUP($I$1&amp;I$8,DATA!$A:$EB,'2312'!$A165,0)/100</f>
        <v>30190.270635449997</v>
      </c>
      <c r="J165" s="1">
        <f>VLOOKUP($I$1&amp;J$8,DATA!$A:$EB,'2312'!$A165,0)/100</f>
        <v>375277.25</v>
      </c>
      <c r="K165" s="95">
        <f>VLOOKUP($I$1&amp;K$8,DATA!$A:$EB,'2312'!$A165,0)/100</f>
        <v>99757.553596950005</v>
      </c>
      <c r="L165" s="95">
        <f>VLOOKUP($I$1&amp;L$8,DATA!$A:$EB,'2312'!$A165,0)/100</f>
        <v>113871.17872621</v>
      </c>
      <c r="M165" s="95">
        <f>VLOOKUP($I$1&amp;M$8,DATA!$A:$EB,'2312'!$A165,0)/100</f>
        <v>84465.49</v>
      </c>
      <c r="N165" s="95">
        <f>VLOOKUP($I$1&amp;N$8,DATA!$A:$EB,'2312'!$A165,0)/100</f>
        <v>29517.468177609997</v>
      </c>
      <c r="O165" s="95">
        <f>VLOOKUP($I$1&amp;O$8,DATA!$A:$EB,'2312'!$A165,0)/100</f>
        <v>53635.06</v>
      </c>
      <c r="P165" s="95">
        <f>VLOOKUP($I$1&amp;P$8,DATA!$A:$EB,'2312'!$A165,0)/100</f>
        <v>159051.75466966</v>
      </c>
      <c r="Q165" s="95">
        <f>VLOOKUP($I$1&amp;Q$8,DATA!$A:$EB,'2312'!$A165,0)/100</f>
        <v>61170.945339739999</v>
      </c>
      <c r="R165" s="95">
        <f>VLOOKUP($I$1&amp;R$8,DATA!$A:$EB,'2312'!$A165,0)/100</f>
        <v>54725.736529829999</v>
      </c>
      <c r="S165" s="95">
        <f>VLOOKUP($I$1&amp;S$8,DATA!$A:$EB,'2312'!$A165,0)/100</f>
        <v>62978.16</v>
      </c>
      <c r="T165" s="95">
        <f>VLOOKUP($I$1&amp;T$8,DATA!$A:$EB,'2312'!$A165,0)/100</f>
        <v>86755.500188200007</v>
      </c>
      <c r="U165"/>
    </row>
    <row r="166" spans="1:21" ht="16.5"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</row>
    <row r="167" spans="1:21" ht="16.5">
      <c r="C167"/>
      <c r="D167"/>
      <c r="E167"/>
      <c r="F167"/>
      <c r="G167"/>
      <c r="H167"/>
      <c r="I167"/>
      <c r="J167"/>
      <c r="K167"/>
      <c r="L167"/>
      <c r="M167"/>
      <c r="N167"/>
      <c r="O167" s="94"/>
      <c r="P167"/>
      <c r="Q167"/>
      <c r="R167"/>
      <c r="S167"/>
      <c r="T167" s="94"/>
      <c r="U167"/>
    </row>
    <row r="168" spans="1:21">
      <c r="I168" s="8" t="e">
        <f>'2403'!I110</f>
        <v>#N/A</v>
      </c>
      <c r="J168" s="8" t="e">
        <f>'2403'!J110</f>
        <v>#N/A</v>
      </c>
      <c r="K168" s="16" t="e">
        <f>'2403'!K110</f>
        <v>#N/A</v>
      </c>
      <c r="L168" s="16" t="e">
        <f>'2403'!L110</f>
        <v>#N/A</v>
      </c>
      <c r="M168" s="16" t="e">
        <f>'2403'!M110</f>
        <v>#N/A</v>
      </c>
      <c r="N168" s="16" t="e">
        <f>'2403'!N110</f>
        <v>#N/A</v>
      </c>
      <c r="O168" s="8" t="e">
        <f>'2403'!O110</f>
        <v>#N/A</v>
      </c>
      <c r="P168" s="8" t="e">
        <f>'2403'!P110</f>
        <v>#N/A</v>
      </c>
      <c r="Q168" s="8" t="e">
        <f>'2403'!Q110</f>
        <v>#N/A</v>
      </c>
      <c r="R168" s="8" t="e">
        <f>'2403'!R110</f>
        <v>#N/A</v>
      </c>
      <c r="S168" s="8" t="e">
        <f>'2403'!S110</f>
        <v>#N/A</v>
      </c>
      <c r="T168" s="8" t="e">
        <f>'2403'!T110</f>
        <v>#N/A</v>
      </c>
    </row>
    <row r="171" spans="1:21">
      <c r="C171" s="5" t="s">
        <v>1013</v>
      </c>
    </row>
    <row r="173" spans="1:21" ht="16.5">
      <c r="C173" s="729" t="s">
        <v>105</v>
      </c>
      <c r="D173" s="729"/>
      <c r="E173" s="729"/>
      <c r="F173" s="729"/>
      <c r="G173" s="729"/>
      <c r="H173" s="730"/>
      <c r="I173" s="45" t="s">
        <v>124</v>
      </c>
      <c r="J173" s="45" t="s">
        <v>136</v>
      </c>
      <c r="K173" s="45" t="s">
        <v>137</v>
      </c>
      <c r="L173" s="45" t="s">
        <v>138</v>
      </c>
      <c r="M173" s="45" t="s">
        <v>4</v>
      </c>
      <c r="N173" s="45" t="s">
        <v>139</v>
      </c>
      <c r="O173" s="46" t="s">
        <v>6</v>
      </c>
      <c r="P173" s="46" t="s">
        <v>106</v>
      </c>
      <c r="Q173" s="46" t="s">
        <v>107</v>
      </c>
      <c r="R173" s="46" t="s">
        <v>108</v>
      </c>
      <c r="S173" s="46" t="s">
        <v>109</v>
      </c>
      <c r="T173" s="46" t="s">
        <v>110</v>
      </c>
      <c r="U173" s="42"/>
    </row>
    <row r="174" spans="1:21" ht="16.5">
      <c r="C174" s="748" t="s">
        <v>131</v>
      </c>
      <c r="D174" s="748"/>
      <c r="E174" s="748"/>
      <c r="F174" s="748"/>
      <c r="G174" s="748"/>
      <c r="H174" s="749"/>
      <c r="I174" s="87"/>
      <c r="J174" s="87"/>
      <c r="K174" s="87"/>
      <c r="L174" s="87"/>
      <c r="M174" s="87"/>
      <c r="N174" s="87"/>
      <c r="O174" s="88"/>
      <c r="P174" s="88"/>
      <c r="Q174" s="88"/>
      <c r="R174" s="88"/>
      <c r="S174" s="88"/>
      <c r="T174" s="88"/>
      <c r="U174" s="42"/>
    </row>
    <row r="175" spans="1:21" ht="16.5">
      <c r="C175" s="789" t="s">
        <v>154</v>
      </c>
      <c r="D175" s="789"/>
      <c r="E175" s="789"/>
      <c r="F175" s="789"/>
      <c r="G175" s="789"/>
      <c r="H175" s="790"/>
      <c r="I175" s="89"/>
      <c r="J175" s="89"/>
      <c r="K175" s="89"/>
      <c r="L175" s="89"/>
      <c r="M175" s="89"/>
      <c r="N175" s="89"/>
      <c r="O175" s="71"/>
      <c r="P175" s="71"/>
      <c r="Q175" s="71"/>
      <c r="R175" s="71"/>
      <c r="S175" s="71"/>
      <c r="T175" s="71"/>
      <c r="U175" s="42"/>
    </row>
    <row r="176" spans="1:21" ht="16.5">
      <c r="C176" s="791" t="s">
        <v>53</v>
      </c>
      <c r="D176" s="791"/>
      <c r="E176" s="793" t="s">
        <v>155</v>
      </c>
      <c r="F176" s="794"/>
      <c r="G176" s="794"/>
      <c r="H176" s="795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42"/>
    </row>
    <row r="177" spans="3:21" ht="16.5">
      <c r="C177" s="792"/>
      <c r="D177" s="792"/>
      <c r="E177" s="796" t="s">
        <v>156</v>
      </c>
      <c r="F177" s="797"/>
      <c r="G177" s="797"/>
      <c r="H177" s="798"/>
      <c r="I177" s="91">
        <f>I133/(I102*150%)</f>
        <v>0.72156587260410088</v>
      </c>
      <c r="J177" s="91">
        <f t="shared" ref="J177:T177" si="44">J133/(J102*150%)</f>
        <v>0.33873851423460544</v>
      </c>
      <c r="K177" s="91">
        <f t="shared" si="44"/>
        <v>0.51840248580170267</v>
      </c>
      <c r="L177" s="91">
        <f t="shared" si="44"/>
        <v>0.53960384618512913</v>
      </c>
      <c r="M177" s="91">
        <f t="shared" si="44"/>
        <v>1.0975954251067934</v>
      </c>
      <c r="N177" s="91">
        <f t="shared" si="44"/>
        <v>0.7820371647201908</v>
      </c>
      <c r="O177" s="91">
        <f t="shared" si="44"/>
        <v>1.0343225318746632</v>
      </c>
      <c r="P177" s="91">
        <f t="shared" si="44"/>
        <v>1.0189279778181177</v>
      </c>
      <c r="Q177" s="91">
        <f t="shared" si="44"/>
        <v>0.87422974806970166</v>
      </c>
      <c r="R177" s="91">
        <f t="shared" si="44"/>
        <v>1.3054171992001693</v>
      </c>
      <c r="S177" s="91">
        <f t="shared" si="44"/>
        <v>1.0508836980000209</v>
      </c>
      <c r="T177" s="91">
        <f t="shared" si="44"/>
        <v>0.9649168609020542</v>
      </c>
      <c r="U177" s="42"/>
    </row>
    <row r="178" spans="3:21" ht="16.5">
      <c r="C178" s="470"/>
      <c r="D178" s="470"/>
      <c r="E178" s="799" t="s">
        <v>157</v>
      </c>
      <c r="F178" s="800"/>
      <c r="G178" s="800"/>
      <c r="H178" s="801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42"/>
    </row>
    <row r="179" spans="3:21" ht="16.5">
      <c r="C179" s="786" t="s">
        <v>158</v>
      </c>
      <c r="D179" s="802"/>
      <c r="E179" s="805" t="s">
        <v>159</v>
      </c>
      <c r="F179" s="806"/>
      <c r="G179" s="806"/>
      <c r="H179" s="807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42"/>
    </row>
    <row r="180" spans="3:21" ht="16.5">
      <c r="C180" s="768"/>
      <c r="D180" s="803"/>
      <c r="E180" s="796" t="s">
        <v>156</v>
      </c>
      <c r="F180" s="797"/>
      <c r="G180" s="797"/>
      <c r="H180" s="798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42"/>
    </row>
    <row r="181" spans="3:21" ht="16.5">
      <c r="C181" s="769"/>
      <c r="D181" s="804"/>
      <c r="E181" s="726" t="s">
        <v>157</v>
      </c>
      <c r="F181" s="727"/>
      <c r="G181" s="727"/>
      <c r="H181" s="728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42"/>
    </row>
    <row r="182" spans="3:21" ht="16.5">
      <c r="C182" s="83" t="s">
        <v>160</v>
      </c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</row>
    <row r="183" spans="3:21">
      <c r="C183" s="5" t="s">
        <v>133</v>
      </c>
      <c r="E183" s="796" t="s">
        <v>156</v>
      </c>
      <c r="F183" s="797"/>
      <c r="G183" s="797"/>
      <c r="H183" s="798"/>
      <c r="I183" s="8">
        <f>I165/(I102*150%)</f>
        <v>1.0776545263119006</v>
      </c>
      <c r="J183" s="8">
        <f t="shared" ref="J183:T183" si="45">J165/(J102*150%)</f>
        <v>1.0257828528791735</v>
      </c>
      <c r="K183" s="8">
        <f t="shared" si="45"/>
        <v>0.88781540566554218</v>
      </c>
      <c r="L183" s="8">
        <f t="shared" si="45"/>
        <v>0.66510161252916378</v>
      </c>
      <c r="M183" s="8">
        <f t="shared" si="45"/>
        <v>1.2932416211167763</v>
      </c>
      <c r="N183" s="8">
        <f t="shared" si="45"/>
        <v>0.90816468165851483</v>
      </c>
      <c r="O183" s="8">
        <f t="shared" si="45"/>
        <v>1.7446227718962355</v>
      </c>
      <c r="P183" s="8">
        <f t="shared" si="45"/>
        <v>1.218255280602802</v>
      </c>
      <c r="Q183" s="8">
        <f t="shared" si="45"/>
        <v>0.58494721178983666</v>
      </c>
      <c r="R183" s="8">
        <f t="shared" si="45"/>
        <v>0.68241271865303454</v>
      </c>
      <c r="S183" s="8">
        <f t="shared" si="45"/>
        <v>0.77698210248764921</v>
      </c>
      <c r="T183" s="8">
        <f t="shared" si="45"/>
        <v>0.68884979848510308</v>
      </c>
    </row>
    <row r="186" spans="3:21">
      <c r="N186" s="298">
        <f>AVERAGE(J177:O177)</f>
        <v>0.7184499946538474</v>
      </c>
      <c r="O186" s="298">
        <f>AVERAGE(P177:T177)</f>
        <v>1.0428750967980127</v>
      </c>
    </row>
    <row r="187" spans="3:21">
      <c r="N187" s="298">
        <f>AVERAGE(J183:O183)</f>
        <v>1.087454824290901</v>
      </c>
      <c r="O187" s="298">
        <f>AVERAGE(P183:T183)</f>
        <v>0.79028942240368516</v>
      </c>
    </row>
    <row r="189" spans="3:21" ht="15" customHeight="1"/>
    <row r="190" spans="3:21" ht="15" customHeight="1"/>
  </sheetData>
  <mergeCells count="92">
    <mergeCell ref="C13:H13"/>
    <mergeCell ref="C8:H8"/>
    <mergeCell ref="C9:H9"/>
    <mergeCell ref="C10:H10"/>
    <mergeCell ref="C11:H11"/>
    <mergeCell ref="C12:H12"/>
    <mergeCell ref="C25:H25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D72:H72"/>
    <mergeCell ref="C26:H26"/>
    <mergeCell ref="C29:H29"/>
    <mergeCell ref="C62:H62"/>
    <mergeCell ref="C63:H63"/>
    <mergeCell ref="C64:H64"/>
    <mergeCell ref="C65:H65"/>
    <mergeCell ref="C66:H66"/>
    <mergeCell ref="C67:H67"/>
    <mergeCell ref="C68:H68"/>
    <mergeCell ref="D69:H69"/>
    <mergeCell ref="C71:H71"/>
    <mergeCell ref="C102:H102"/>
    <mergeCell ref="C74:H74"/>
    <mergeCell ref="C75:H75"/>
    <mergeCell ref="C84:H84"/>
    <mergeCell ref="C85:H85"/>
    <mergeCell ref="C91:H91"/>
    <mergeCell ref="C92:H92"/>
    <mergeCell ref="C93:H93"/>
    <mergeCell ref="C94:H94"/>
    <mergeCell ref="C99:H99"/>
    <mergeCell ref="C100:H100"/>
    <mergeCell ref="C101:H101"/>
    <mergeCell ref="C108:H108"/>
    <mergeCell ref="C109:H109"/>
    <mergeCell ref="D110:H110"/>
    <mergeCell ref="D111:H111"/>
    <mergeCell ref="D112:E113"/>
    <mergeCell ref="F112:H112"/>
    <mergeCell ref="F113:H113"/>
    <mergeCell ref="C138:H138"/>
    <mergeCell ref="C114:H114"/>
    <mergeCell ref="C115:H115"/>
    <mergeCell ref="C116:H116"/>
    <mergeCell ref="C117:H117"/>
    <mergeCell ref="C118:H118"/>
    <mergeCell ref="C132:H132"/>
    <mergeCell ref="C133:H133"/>
    <mergeCell ref="C134:H134"/>
    <mergeCell ref="C135:H135"/>
    <mergeCell ref="C136:H136"/>
    <mergeCell ref="C137:H137"/>
    <mergeCell ref="C156:D157"/>
    <mergeCell ref="E156:H156"/>
    <mergeCell ref="E157:H157"/>
    <mergeCell ref="C139:H139"/>
    <mergeCell ref="C140:E143"/>
    <mergeCell ref="F140:H140"/>
    <mergeCell ref="F141:H141"/>
    <mergeCell ref="F142:H142"/>
    <mergeCell ref="P142:P143"/>
    <mergeCell ref="F143:H143"/>
    <mergeCell ref="C153:H153"/>
    <mergeCell ref="C154:H154"/>
    <mergeCell ref="C155:H155"/>
    <mergeCell ref="J142:J143"/>
    <mergeCell ref="E178:H178"/>
    <mergeCell ref="E158:H158"/>
    <mergeCell ref="C159:D161"/>
    <mergeCell ref="E159:H159"/>
    <mergeCell ref="E160:H160"/>
    <mergeCell ref="E161:H161"/>
    <mergeCell ref="C173:H173"/>
    <mergeCell ref="C174:H174"/>
    <mergeCell ref="C175:H175"/>
    <mergeCell ref="C176:D177"/>
    <mergeCell ref="E176:H176"/>
    <mergeCell ref="E177:H177"/>
    <mergeCell ref="C179:D181"/>
    <mergeCell ref="E179:H179"/>
    <mergeCell ref="E180:H180"/>
    <mergeCell ref="E181:H181"/>
    <mergeCell ref="E183:H183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4"/>
  <sheetViews>
    <sheetView showGridLines="0" workbookViewId="0">
      <selection activeCell="I141" sqref="I141"/>
    </sheetView>
  </sheetViews>
  <sheetFormatPr defaultRowHeight="15"/>
  <cols>
    <col min="1" max="2" width="9" style="5"/>
    <col min="3" max="8" width="5.25" style="5" customWidth="1"/>
    <col min="9" max="15" width="16.625" style="5" customWidth="1"/>
    <col min="16" max="20" width="14" style="5" customWidth="1"/>
    <col min="21" max="16384" width="9" style="5"/>
  </cols>
  <sheetData>
    <row r="1" spans="1:20">
      <c r="C1" s="5" t="s">
        <v>102</v>
      </c>
      <c r="I1" s="17">
        <v>2406</v>
      </c>
      <c r="J1" s="5">
        <f>ROUNDUP(RIGHT(I1,2)/3,0)</f>
        <v>2</v>
      </c>
    </row>
    <row r="4" spans="1:20" ht="18.75">
      <c r="C4" s="7" t="s">
        <v>103</v>
      </c>
    </row>
    <row r="7" spans="1:20">
      <c r="O7" s="5" t="s">
        <v>104</v>
      </c>
    </row>
    <row r="8" spans="1:20" ht="16.5" customHeight="1">
      <c r="C8" s="756" t="s">
        <v>105</v>
      </c>
      <c r="D8" s="756"/>
      <c r="E8" s="756"/>
      <c r="F8" s="756"/>
      <c r="G8" s="756"/>
      <c r="H8" s="757"/>
      <c r="I8" s="18" t="s">
        <v>0</v>
      </c>
      <c r="J8" s="18" t="s">
        <v>1</v>
      </c>
      <c r="K8" s="18" t="s">
        <v>2</v>
      </c>
      <c r="L8" s="18" t="s">
        <v>3</v>
      </c>
      <c r="M8" s="18" t="s">
        <v>4</v>
      </c>
      <c r="N8" s="18" t="s">
        <v>5</v>
      </c>
      <c r="O8" s="19" t="s">
        <v>6</v>
      </c>
      <c r="P8" s="18" t="s">
        <v>106</v>
      </c>
      <c r="Q8" s="18" t="s">
        <v>107</v>
      </c>
      <c r="R8" s="18" t="s">
        <v>108</v>
      </c>
      <c r="S8" s="18" t="s">
        <v>109</v>
      </c>
      <c r="T8" s="19" t="s">
        <v>110</v>
      </c>
    </row>
    <row r="9" spans="1:20">
      <c r="A9" s="5">
        <f>DATA!D$1</f>
        <v>4</v>
      </c>
      <c r="C9" s="758" t="s">
        <v>140</v>
      </c>
      <c r="D9" s="758"/>
      <c r="E9" s="758"/>
      <c r="F9" s="758"/>
      <c r="G9" s="758"/>
      <c r="H9" s="759"/>
      <c r="I9" s="27" t="e">
        <f>VLOOKUP($I$1&amp;I$8,DATA!$A:$EB,'2406'!$A9,0)/100</f>
        <v>#N/A</v>
      </c>
      <c r="J9" s="28" t="e">
        <f>VLOOKUP($I$1&amp;J$8,DATA!$A:$EB,'2406'!$A9,0)/100</f>
        <v>#N/A</v>
      </c>
      <c r="K9" s="28" t="e">
        <f>VLOOKUP($I$1&amp;K$8,DATA!$A:$EB,'2406'!$A9,0)/100</f>
        <v>#N/A</v>
      </c>
      <c r="L9" s="28" t="e">
        <f>VLOOKUP($I$1&amp;L$8,DATA!$A:$EB,'2406'!$A9,0)/100</f>
        <v>#N/A</v>
      </c>
      <c r="M9" s="28" t="e">
        <f>VLOOKUP($I$1&amp;M$8,DATA!$A:$EB,'2406'!$A9,0)/100</f>
        <v>#N/A</v>
      </c>
      <c r="N9" s="28" t="e">
        <f>VLOOKUP($I$1&amp;N$8,DATA!$A:$EB,'2406'!$A9,0)/100</f>
        <v>#N/A</v>
      </c>
      <c r="O9" s="28" t="e">
        <f>VLOOKUP($I$1&amp;O$8,DATA!$A:$EB,'2406'!$A9,0)/100</f>
        <v>#N/A</v>
      </c>
      <c r="P9" s="28" t="e">
        <f>VLOOKUP($I$1&amp;P$8,DATA!$A:$EB,'2406'!$A9,0)/100</f>
        <v>#N/A</v>
      </c>
      <c r="Q9" s="28" t="e">
        <f>VLOOKUP($I$1&amp;Q$8,DATA!$A:$EB,'2406'!$A9,0)/100</f>
        <v>#N/A</v>
      </c>
      <c r="R9" s="28" t="e">
        <f>VLOOKUP($I$1&amp;R$8,DATA!$A:$EB,'2406'!$A9,0)/100</f>
        <v>#N/A</v>
      </c>
      <c r="S9" s="28" t="e">
        <f>VLOOKUP($I$1&amp;S$8,DATA!$A:$EB,'2406'!$A9,0)/100</f>
        <v>#N/A</v>
      </c>
      <c r="T9" s="27" t="e">
        <f>VLOOKUP($I$1&amp;T$8,DATA!$A:$EB,'2406'!$A9,0)/100</f>
        <v>#N/A</v>
      </c>
    </row>
    <row r="10" spans="1:20">
      <c r="A10" s="21">
        <f>DATA!E1</f>
        <v>5</v>
      </c>
      <c r="C10" s="737" t="s">
        <v>111</v>
      </c>
      <c r="D10" s="737"/>
      <c r="E10" s="737"/>
      <c r="F10" s="737"/>
      <c r="G10" s="737"/>
      <c r="H10" s="738"/>
      <c r="I10" s="29" t="e">
        <f>VLOOKUP($I$1&amp;I$8,DATA!$A:$EB,'2406'!$A10,0)/100</f>
        <v>#N/A</v>
      </c>
      <c r="J10" s="30" t="e">
        <f>VLOOKUP($I$1&amp;J$8,DATA!$A:$EB,'2406'!$A10,0)/100</f>
        <v>#N/A</v>
      </c>
      <c r="K10" s="30" t="e">
        <f>VLOOKUP($I$1&amp;K$8,DATA!$A:$EB,'2406'!$A10,0)/100</f>
        <v>#N/A</v>
      </c>
      <c r="L10" s="30" t="e">
        <f>VLOOKUP($I$1&amp;L$8,DATA!$A:$EB,'2406'!$A10,0)/100</f>
        <v>#N/A</v>
      </c>
      <c r="M10" s="30" t="e">
        <f>VLOOKUP($I$1&amp;M$8,DATA!$A:$EB,'2406'!$A10,0)/100</f>
        <v>#N/A</v>
      </c>
      <c r="N10" s="30" t="e">
        <f>VLOOKUP($I$1&amp;N$8,DATA!$A:$EB,'2406'!$A10,0)/100</f>
        <v>#N/A</v>
      </c>
      <c r="O10" s="30" t="e">
        <f>VLOOKUP($I$1&amp;O$8,DATA!$A:$EB,'2406'!$A10,0)/100</f>
        <v>#N/A</v>
      </c>
      <c r="P10" s="30" t="e">
        <f>VLOOKUP($I$1&amp;P$8,DATA!$A:$EB,'2406'!$A10,0)/100</f>
        <v>#N/A</v>
      </c>
      <c r="Q10" s="30" t="e">
        <f>VLOOKUP($I$1&amp;Q$8,DATA!$A:$EB,'2406'!$A10,0)/100</f>
        <v>#N/A</v>
      </c>
      <c r="R10" s="30" t="e">
        <f>VLOOKUP($I$1&amp;R$8,DATA!$A:$EB,'2406'!$A10,0)/100</f>
        <v>#N/A</v>
      </c>
      <c r="S10" s="30" t="e">
        <f>VLOOKUP($I$1&amp;S$8,DATA!$A:$EB,'2406'!$A10,0)/100</f>
        <v>#N/A</v>
      </c>
      <c r="T10" s="29" t="e">
        <f>VLOOKUP($I$1&amp;T$8,DATA!$A:$EB,'2406'!$A10,0)/100</f>
        <v>#N/A</v>
      </c>
    </row>
    <row r="11" spans="1:20">
      <c r="C11" s="737" t="s">
        <v>116</v>
      </c>
      <c r="D11" s="737"/>
      <c r="E11" s="737"/>
      <c r="F11" s="737"/>
      <c r="G11" s="737"/>
      <c r="H11" s="738"/>
      <c r="I11" s="31" t="e">
        <f>I10/I9</f>
        <v>#N/A</v>
      </c>
      <c r="J11" s="32" t="e">
        <f t="shared" ref="J11:T11" si="0">J10/J9</f>
        <v>#N/A</v>
      </c>
      <c r="K11" s="32" t="e">
        <f t="shared" si="0"/>
        <v>#N/A</v>
      </c>
      <c r="L11" s="32" t="e">
        <f t="shared" si="0"/>
        <v>#N/A</v>
      </c>
      <c r="M11" s="32" t="e">
        <f t="shared" si="0"/>
        <v>#N/A</v>
      </c>
      <c r="N11" s="32" t="e">
        <f t="shared" si="0"/>
        <v>#N/A</v>
      </c>
      <c r="O11" s="32" t="e">
        <f t="shared" si="0"/>
        <v>#N/A</v>
      </c>
      <c r="P11" s="32" t="e">
        <f t="shared" si="0"/>
        <v>#N/A</v>
      </c>
      <c r="Q11" s="32" t="e">
        <f t="shared" si="0"/>
        <v>#N/A</v>
      </c>
      <c r="R11" s="32" t="e">
        <f t="shared" si="0"/>
        <v>#N/A</v>
      </c>
      <c r="S11" s="32" t="e">
        <f t="shared" si="0"/>
        <v>#N/A</v>
      </c>
      <c r="T11" s="31" t="e">
        <f t="shared" si="0"/>
        <v>#N/A</v>
      </c>
    </row>
    <row r="12" spans="1:20">
      <c r="A12" s="5">
        <f>DATA!F1</f>
        <v>6</v>
      </c>
      <c r="C12" s="737" t="s">
        <v>112</v>
      </c>
      <c r="D12" s="737"/>
      <c r="E12" s="737"/>
      <c r="F12" s="737"/>
      <c r="G12" s="737"/>
      <c r="H12" s="738"/>
      <c r="I12" s="29" t="e">
        <f>VLOOKUP($I$1&amp;I$8,DATA!$A:$EB,'2406'!$A12,0)/100</f>
        <v>#N/A</v>
      </c>
      <c r="J12" s="30" t="e">
        <f>VLOOKUP($I$1&amp;J$8,DATA!$A:$EB,'2406'!$A12,0)/100</f>
        <v>#N/A</v>
      </c>
      <c r="K12" s="30" t="e">
        <f>VLOOKUP($I$1&amp;K$8,DATA!$A:$EB,'2406'!$A12,0)/100</f>
        <v>#N/A</v>
      </c>
      <c r="L12" s="30" t="e">
        <f>VLOOKUP($I$1&amp;L$8,DATA!$A:$EB,'2406'!$A12,0)/100</f>
        <v>#N/A</v>
      </c>
      <c r="M12" s="30" t="e">
        <f>VLOOKUP($I$1&amp;M$8,DATA!$A:$EB,'2406'!$A12,0)/100</f>
        <v>#N/A</v>
      </c>
      <c r="N12" s="30" t="e">
        <f>VLOOKUP($I$1&amp;N$8,DATA!$A:$EB,'2406'!$A12,0)/100</f>
        <v>#N/A</v>
      </c>
      <c r="O12" s="30" t="e">
        <f>VLOOKUP($I$1&amp;O$8,DATA!$A:$EB,'2406'!$A12,0)/100</f>
        <v>#N/A</v>
      </c>
      <c r="P12" s="30" t="e">
        <f>VLOOKUP($I$1&amp;P$8,DATA!$A:$EB,'2406'!$A12,0)/100</f>
        <v>#N/A</v>
      </c>
      <c r="Q12" s="30" t="e">
        <f>VLOOKUP($I$1&amp;Q$8,DATA!$A:$EB,'2406'!$A12,0)/100</f>
        <v>#N/A</v>
      </c>
      <c r="R12" s="30" t="e">
        <f>VLOOKUP($I$1&amp;R$8,DATA!$A:$EB,'2406'!$A12,0)/100</f>
        <v>#N/A</v>
      </c>
      <c r="S12" s="30" t="e">
        <f>VLOOKUP($I$1&amp;S$8,DATA!$A:$EB,'2406'!$A12,0)/100</f>
        <v>#N/A</v>
      </c>
      <c r="T12" s="29" t="e">
        <f>VLOOKUP($I$1&amp;T$8,DATA!$A:$EB,'2406'!$A12,0)/100</f>
        <v>#N/A</v>
      </c>
    </row>
    <row r="13" spans="1:20" ht="15" customHeight="1">
      <c r="A13" s="5">
        <f>DATA!G1</f>
        <v>7</v>
      </c>
      <c r="C13" s="760" t="s">
        <v>113</v>
      </c>
      <c r="D13" s="760"/>
      <c r="E13" s="760"/>
      <c r="F13" s="760"/>
      <c r="G13" s="760"/>
      <c r="H13" s="761"/>
      <c r="I13" s="33" t="e">
        <f>VLOOKUP($I$1&amp;I$8,DATA!$A:$EB,'2406'!$A13,0)/100</f>
        <v>#N/A</v>
      </c>
      <c r="J13" s="34" t="e">
        <f>VLOOKUP($I$1&amp;J$8,DATA!$A:$EB,'2406'!$A13,0)/100</f>
        <v>#N/A</v>
      </c>
      <c r="K13" s="34" t="e">
        <f>VLOOKUP($I$1&amp;K$8,DATA!$A:$EB,'2406'!$A13,0)/100</f>
        <v>#N/A</v>
      </c>
      <c r="L13" s="34" t="e">
        <f>VLOOKUP($I$1&amp;L$8,DATA!$A:$EB,'2406'!$A13,0)/100</f>
        <v>#N/A</v>
      </c>
      <c r="M13" s="34" t="e">
        <f>VLOOKUP($I$1&amp;M$8,DATA!$A:$EB,'2406'!$A13,0)/100</f>
        <v>#N/A</v>
      </c>
      <c r="N13" s="34" t="e">
        <f>VLOOKUP($I$1&amp;N$8,DATA!$A:$EB,'2406'!$A13,0)/100</f>
        <v>#N/A</v>
      </c>
      <c r="O13" s="34" t="e">
        <f>VLOOKUP($I$1&amp;O$8,DATA!$A:$EB,'2406'!$A13,0)/100</f>
        <v>#N/A</v>
      </c>
      <c r="P13" s="34" t="e">
        <f>VLOOKUP($I$1&amp;P$8,DATA!$A:$EB,'2406'!$A13,0)/100</f>
        <v>#N/A</v>
      </c>
      <c r="Q13" s="34" t="e">
        <f>VLOOKUP($I$1&amp;Q$8,DATA!$A:$EB,'2406'!$A13,0)/100</f>
        <v>#N/A</v>
      </c>
      <c r="R13" s="34" t="e">
        <f>VLOOKUP($I$1&amp;R$8,DATA!$A:$EB,'2406'!$A13,0)/100</f>
        <v>#N/A</v>
      </c>
      <c r="S13" s="34" t="e">
        <f>VLOOKUP($I$1&amp;S$8,DATA!$A:$EB,'2406'!$A13,0)/100</f>
        <v>#N/A</v>
      </c>
      <c r="T13" s="33" t="e">
        <f>VLOOKUP($I$1&amp;T$8,DATA!$A:$EB,'2406'!$A13,0)/100</f>
        <v>#N/A</v>
      </c>
    </row>
    <row r="14" spans="1:20">
      <c r="A14" s="5">
        <f>DATA!L1</f>
        <v>12</v>
      </c>
      <c r="C14" s="758" t="s">
        <v>115</v>
      </c>
      <c r="D14" s="758"/>
      <c r="E14" s="758"/>
      <c r="F14" s="758"/>
      <c r="G14" s="758"/>
      <c r="H14" s="759"/>
      <c r="I14" s="27" t="e">
        <f>VLOOKUP($I$1&amp;I$8,DATA!$A:$EB,'2406'!$A14,0)/100</f>
        <v>#N/A</v>
      </c>
      <c r="J14" s="28" t="e">
        <f>VLOOKUP($I$1&amp;J$8,DATA!$A:$EB,'2406'!$A14,0)/100</f>
        <v>#N/A</v>
      </c>
      <c r="K14" s="28" t="e">
        <f>VLOOKUP($I$1&amp;K$8,DATA!$A:$EB,'2406'!$A14,0)/100</f>
        <v>#N/A</v>
      </c>
      <c r="L14" s="28" t="e">
        <f>VLOOKUP($I$1&amp;L$8,DATA!$A:$EB,'2406'!$A14,0)/100</f>
        <v>#N/A</v>
      </c>
      <c r="M14" s="28" t="e">
        <f>VLOOKUP($I$1&amp;M$8,DATA!$A:$EB,'2406'!$A14,0)/100</f>
        <v>#N/A</v>
      </c>
      <c r="N14" s="28" t="e">
        <f>VLOOKUP($I$1&amp;N$8,DATA!$A:$EB,'2406'!$A14,0)/100</f>
        <v>#N/A</v>
      </c>
      <c r="O14" s="28" t="e">
        <f>VLOOKUP($I$1&amp;O$8,DATA!$A:$EB,'2406'!$A14,0)/100</f>
        <v>#N/A</v>
      </c>
      <c r="P14" s="28" t="e">
        <f>VLOOKUP($I$1&amp;P$8,DATA!$A:$EB,'2406'!$A14,0)/100</f>
        <v>#N/A</v>
      </c>
      <c r="Q14" s="28" t="e">
        <f>VLOOKUP($I$1&amp;Q$8,DATA!$A:$EB,'2406'!$A14,0)/100</f>
        <v>#N/A</v>
      </c>
      <c r="R14" s="28" t="e">
        <f>VLOOKUP($I$1&amp;R$8,DATA!$A:$EB,'2406'!$A14,0)/100</f>
        <v>#N/A</v>
      </c>
      <c r="S14" s="28" t="e">
        <f>VLOOKUP($I$1&amp;S$8,DATA!$A:$EB,'2406'!$A14,0)/100</f>
        <v>#N/A</v>
      </c>
      <c r="T14" s="27" t="e">
        <f>VLOOKUP($I$1&amp;T$8,DATA!$A:$EB,'2406'!$A14,0)/100</f>
        <v>#N/A</v>
      </c>
    </row>
    <row r="15" spans="1:20">
      <c r="A15" s="5">
        <f>DATA!BU1</f>
        <v>73</v>
      </c>
      <c r="C15" s="762" t="s">
        <v>51</v>
      </c>
      <c r="D15" s="762"/>
      <c r="E15" s="762"/>
      <c r="F15" s="762"/>
      <c r="G15" s="762"/>
      <c r="H15" s="763"/>
      <c r="I15" s="35" t="e">
        <f>VLOOKUP($I$1&amp;I$8,DATA!$A:$EB,'2406'!$A15,0)/100</f>
        <v>#N/A</v>
      </c>
      <c r="J15" s="36" t="e">
        <f>VLOOKUP($I$1&amp;J$8,DATA!$A:$EB,'2406'!$A15,0)/100</f>
        <v>#N/A</v>
      </c>
      <c r="K15" s="36" t="e">
        <f>VLOOKUP($I$1&amp;K$8,DATA!$A:$EB,'2406'!$A15,0)/100</f>
        <v>#N/A</v>
      </c>
      <c r="L15" s="36" t="e">
        <f>VLOOKUP($I$1&amp;L$8,DATA!$A:$EB,'2406'!$A15,0)/100</f>
        <v>#N/A</v>
      </c>
      <c r="M15" s="36" t="e">
        <f>VLOOKUP($I$1&amp;M$8,DATA!$A:$EB,'2406'!$A15,0)/100</f>
        <v>#N/A</v>
      </c>
      <c r="N15" s="36" t="e">
        <f>VLOOKUP($I$1&amp;N$8,DATA!$A:$EB,'2406'!$A15,0)/100</f>
        <v>#N/A</v>
      </c>
      <c r="O15" s="36" t="e">
        <f>VLOOKUP($I$1&amp;O$8,DATA!$A:$EB,'2406'!$A15,0)/100</f>
        <v>#N/A</v>
      </c>
      <c r="P15" s="36" t="e">
        <f>VLOOKUP($I$1&amp;P$8,DATA!$A:$EB,'2406'!$A15,0)/100</f>
        <v>#N/A</v>
      </c>
      <c r="Q15" s="36" t="e">
        <f>VLOOKUP($I$1&amp;Q$8,DATA!$A:$EB,'2406'!$A15,0)/100</f>
        <v>#N/A</v>
      </c>
      <c r="R15" s="36" t="e">
        <f>VLOOKUP($I$1&amp;R$8,DATA!$A:$EB,'2406'!$A15,0)/100</f>
        <v>#N/A</v>
      </c>
      <c r="S15" s="36" t="e">
        <f>VLOOKUP($I$1&amp;S$8,DATA!$A:$EB,'2406'!$A15,0)/100</f>
        <v>#N/A</v>
      </c>
      <c r="T15" s="35" t="e">
        <f>VLOOKUP($I$1&amp;T$8,DATA!$A:$EB,'2406'!$A15,0)/100</f>
        <v>#N/A</v>
      </c>
    </row>
    <row r="16" spans="1:20" ht="16.5">
      <c r="A16" s="5">
        <f>DATA!BW1</f>
        <v>75</v>
      </c>
      <c r="C16" s="762" t="s">
        <v>53</v>
      </c>
      <c r="D16" s="762"/>
      <c r="E16" s="762"/>
      <c r="F16" s="762"/>
      <c r="G16" s="762"/>
      <c r="H16" s="763"/>
      <c r="I16" s="35" t="e">
        <f>VLOOKUP($I$1&amp;I$8,DATA!$A:$EB,'2406'!$A16,0)/100</f>
        <v>#N/A</v>
      </c>
      <c r="J16" s="37" t="e">
        <f>VLOOKUP($I$1&amp;J$8,DATA!$A:$EB,'2406'!$A16,0)/100</f>
        <v>#N/A</v>
      </c>
      <c r="K16" s="36" t="e">
        <f>VLOOKUP($I$1&amp;K$8,DATA!$A:$EB,'2406'!$A16,0)/100</f>
        <v>#N/A</v>
      </c>
      <c r="L16" s="36" t="e">
        <f>VLOOKUP($I$1&amp;L$8,DATA!$A:$EB,'2406'!$A16,0)/100</f>
        <v>#N/A</v>
      </c>
      <c r="M16" s="36" t="e">
        <f>VLOOKUP($I$1&amp;M$8,DATA!$A:$EB,'2406'!$A16,0)/100</f>
        <v>#N/A</v>
      </c>
      <c r="N16" s="36" t="e">
        <f>VLOOKUP($I$1&amp;N$8,DATA!$A:$EB,'2406'!$A16,0)/100</f>
        <v>#N/A</v>
      </c>
      <c r="O16" s="36" t="e">
        <f>VLOOKUP($I$1&amp;O$8,DATA!$A:$EB,'2406'!$A16,0)/100</f>
        <v>#N/A</v>
      </c>
      <c r="P16" s="36" t="e">
        <f>VLOOKUP($I$1&amp;P$8,DATA!$A:$EB,'2406'!$A16,0)/100</f>
        <v>#N/A</v>
      </c>
      <c r="Q16" s="36" t="e">
        <f>VLOOKUP($I$1&amp;Q$8,DATA!$A:$EB,'2406'!$A16,0)/100</f>
        <v>#N/A</v>
      </c>
      <c r="R16" s="36" t="e">
        <f>VLOOKUP($I$1&amp;R$8,DATA!$A:$EB,'2406'!$A16,0)/100</f>
        <v>#N/A</v>
      </c>
      <c r="S16" s="36" t="e">
        <f>VLOOKUP($I$1&amp;S$8,DATA!$A:$EB,'2406'!$A16,0)/100</f>
        <v>#N/A</v>
      </c>
      <c r="T16" s="35" t="e">
        <f>VLOOKUP($I$1&amp;T$8,DATA!$A:$EB,'2406'!$A16,0)/100</f>
        <v>#N/A</v>
      </c>
    </row>
    <row r="17" spans="1:20">
      <c r="C17" s="762" t="s">
        <v>116</v>
      </c>
      <c r="D17" s="762"/>
      <c r="E17" s="762"/>
      <c r="F17" s="762"/>
      <c r="G17" s="762"/>
      <c r="H17" s="763"/>
      <c r="I17" s="38" t="e">
        <f>I16/I14</f>
        <v>#N/A</v>
      </c>
      <c r="J17" s="38" t="e">
        <f t="shared" ref="J17:T17" si="1">J16/J14</f>
        <v>#N/A</v>
      </c>
      <c r="K17" s="38" t="e">
        <f t="shared" si="1"/>
        <v>#N/A</v>
      </c>
      <c r="L17" s="38" t="e">
        <f t="shared" si="1"/>
        <v>#N/A</v>
      </c>
      <c r="M17" s="38" t="e">
        <f t="shared" si="1"/>
        <v>#N/A</v>
      </c>
      <c r="N17" s="38" t="e">
        <f t="shared" si="1"/>
        <v>#N/A</v>
      </c>
      <c r="O17" s="38" t="e">
        <f t="shared" si="1"/>
        <v>#N/A</v>
      </c>
      <c r="P17" s="38" t="e">
        <f t="shared" si="1"/>
        <v>#N/A</v>
      </c>
      <c r="Q17" s="38" t="e">
        <f t="shared" si="1"/>
        <v>#N/A</v>
      </c>
      <c r="R17" s="38" t="e">
        <f t="shared" si="1"/>
        <v>#N/A</v>
      </c>
      <c r="S17" s="38" t="e">
        <f t="shared" si="1"/>
        <v>#N/A</v>
      </c>
      <c r="T17" s="38" t="e">
        <f t="shared" si="1"/>
        <v>#N/A</v>
      </c>
    </row>
    <row r="18" spans="1:20">
      <c r="A18" s="5">
        <f>DATA!BV1</f>
        <v>74</v>
      </c>
      <c r="C18" s="764" t="s">
        <v>52</v>
      </c>
      <c r="D18" s="764"/>
      <c r="E18" s="764"/>
      <c r="F18" s="764"/>
      <c r="G18" s="764"/>
      <c r="H18" s="765"/>
      <c r="I18" s="39" t="e">
        <f>VLOOKUP($I$1&amp;I$8,DATA!$A:$EB,'2406'!$A18,0)/100</f>
        <v>#N/A</v>
      </c>
      <c r="J18" s="40" t="e">
        <f>VLOOKUP($I$1&amp;J$8,DATA!$A:$EB,'2406'!$A18,0)/100</f>
        <v>#N/A</v>
      </c>
      <c r="K18" s="40" t="e">
        <f>VLOOKUP($I$1&amp;K$8,DATA!$A:$EB,'2406'!$A18,0)/100</f>
        <v>#N/A</v>
      </c>
      <c r="L18" s="40" t="e">
        <f>VLOOKUP($I$1&amp;L$8,DATA!$A:$EB,'2406'!$A18,0)/100</f>
        <v>#N/A</v>
      </c>
      <c r="M18" s="40" t="e">
        <f>VLOOKUP($I$1&amp;M$8,DATA!$A:$EB,'2406'!$A18,0)/100</f>
        <v>#N/A</v>
      </c>
      <c r="N18" s="40" t="e">
        <f>VLOOKUP($I$1&amp;N$8,DATA!$A:$EB,'2406'!$A18,0)/100</f>
        <v>#N/A</v>
      </c>
      <c r="O18" s="40" t="e">
        <f>VLOOKUP($I$1&amp;O$8,DATA!$A:$EB,'2406'!$A18,0)/100</f>
        <v>#N/A</v>
      </c>
      <c r="P18" s="40" t="e">
        <f>VLOOKUP($I$1&amp;P$8,DATA!$A:$EB,'2406'!$A18,0)/100</f>
        <v>#N/A</v>
      </c>
      <c r="Q18" s="40" t="e">
        <f>VLOOKUP($I$1&amp;Q$8,DATA!$A:$EB,'2406'!$A18,0)/100</f>
        <v>#N/A</v>
      </c>
      <c r="R18" s="40" t="e">
        <f>VLOOKUP($I$1&amp;R$8,DATA!$A:$EB,'2406'!$A18,0)/100</f>
        <v>#N/A</v>
      </c>
      <c r="S18" s="40" t="e">
        <f>VLOOKUP($I$1&amp;S$8,DATA!$A:$EB,'2406'!$A18,0)/100</f>
        <v>#N/A</v>
      </c>
      <c r="T18" s="39" t="e">
        <f>VLOOKUP($I$1&amp;T$8,DATA!$A:$EB,'2406'!$A18,0)/100</f>
        <v>#N/A</v>
      </c>
    </row>
    <row r="19" spans="1:20">
      <c r="A19" s="5">
        <f>DATA!N1</f>
        <v>14</v>
      </c>
      <c r="C19" s="758" t="s">
        <v>133</v>
      </c>
      <c r="D19" s="758"/>
      <c r="E19" s="758"/>
      <c r="F19" s="758"/>
      <c r="G19" s="758"/>
      <c r="H19" s="759"/>
      <c r="I19" s="27" t="e">
        <f>VLOOKUP($I$1&amp;I$8,DATA!$A:$EB,'2406'!$A19,0)/100</f>
        <v>#N/A</v>
      </c>
      <c r="J19" s="28" t="e">
        <f>VLOOKUP($I$1&amp;J$8,DATA!$A:$EB,'2406'!$A19,0)/100</f>
        <v>#N/A</v>
      </c>
      <c r="K19" s="28" t="e">
        <f>VLOOKUP($I$1&amp;K$8,DATA!$A:$EB,'2406'!$A19,0)/100</f>
        <v>#N/A</v>
      </c>
      <c r="L19" s="28" t="e">
        <f>VLOOKUP($I$1&amp;L$8,DATA!$A:$EB,'2406'!$A19,0)/100</f>
        <v>#N/A</v>
      </c>
      <c r="M19" s="28" t="e">
        <f>VLOOKUP($I$1&amp;M$8,DATA!$A:$EB,'2406'!$A19,0)/100</f>
        <v>#N/A</v>
      </c>
      <c r="N19" s="28" t="e">
        <f>VLOOKUP($I$1&amp;N$8,DATA!$A:$EB,'2406'!$A19,0)/100</f>
        <v>#N/A</v>
      </c>
      <c r="O19" s="28" t="e">
        <f>VLOOKUP($I$1&amp;O$8,DATA!$A:$EB,'2406'!$A19,0)/100</f>
        <v>#N/A</v>
      </c>
      <c r="P19" s="28" t="e">
        <f>VLOOKUP($I$1&amp;P$8,DATA!$A:$EB,'2406'!$A19,0)/100</f>
        <v>#N/A</v>
      </c>
      <c r="Q19" s="28" t="e">
        <f>VLOOKUP($I$1&amp;Q$8,DATA!$A:$EB,'2406'!$A19,0)/100</f>
        <v>#N/A</v>
      </c>
      <c r="R19" s="28" t="e">
        <f>VLOOKUP($I$1&amp;R$8,DATA!$A:$EB,'2406'!$A19,0)/100</f>
        <v>#N/A</v>
      </c>
      <c r="S19" s="28" t="e">
        <f>VLOOKUP($I$1&amp;S$8,DATA!$A:$EB,'2406'!$A19,0)/100</f>
        <v>#N/A</v>
      </c>
      <c r="T19" s="27" t="e">
        <f>VLOOKUP($I$1&amp;T$8,DATA!$A:$EB,'2406'!$A19,0)/100</f>
        <v>#N/A</v>
      </c>
    </row>
    <row r="20" spans="1:20">
      <c r="A20" s="5">
        <f>DATA!R1</f>
        <v>18</v>
      </c>
      <c r="C20" s="737" t="s">
        <v>38</v>
      </c>
      <c r="D20" s="737"/>
      <c r="E20" s="737"/>
      <c r="F20" s="737"/>
      <c r="G20" s="737"/>
      <c r="H20" s="738"/>
      <c r="I20" s="29" t="e">
        <f>VLOOKUP($I$1&amp;I$8,DATA!$A:$EB,'2406'!$A20,0)/100</f>
        <v>#N/A</v>
      </c>
      <c r="J20" s="30" t="e">
        <f>VLOOKUP($I$1&amp;J$8,DATA!$A:$EB,'2406'!$A20,0)/100</f>
        <v>#N/A</v>
      </c>
      <c r="K20" s="30" t="e">
        <f>VLOOKUP($I$1&amp;K$8,DATA!$A:$EB,'2406'!$A20,0)/100</f>
        <v>#N/A</v>
      </c>
      <c r="L20" s="30" t="e">
        <f>VLOOKUP($I$1&amp;L$8,DATA!$A:$EB,'2406'!$A20,0)/100</f>
        <v>#N/A</v>
      </c>
      <c r="M20" s="30" t="e">
        <f>VLOOKUP($I$1&amp;M$8,DATA!$A:$EB,'2406'!$A20,0)/100</f>
        <v>#N/A</v>
      </c>
      <c r="N20" s="30" t="e">
        <f>VLOOKUP($I$1&amp;N$8,DATA!$A:$EB,'2406'!$A20,0)/100</f>
        <v>#N/A</v>
      </c>
      <c r="O20" s="30" t="e">
        <f>VLOOKUP($I$1&amp;O$8,DATA!$A:$EB,'2406'!$A20,0)/100</f>
        <v>#N/A</v>
      </c>
      <c r="P20" s="30" t="e">
        <f>VLOOKUP($I$1&amp;P$8,DATA!$A:$EB,'2406'!$A20,0)/100</f>
        <v>#N/A</v>
      </c>
      <c r="Q20" s="30" t="e">
        <f>VLOOKUP($I$1&amp;Q$8,DATA!$A:$EB,'2406'!$A20,0)/100</f>
        <v>#N/A</v>
      </c>
      <c r="R20" s="30" t="e">
        <f>VLOOKUP($I$1&amp;R$8,DATA!$A:$EB,'2406'!$A20,0)/100</f>
        <v>#N/A</v>
      </c>
      <c r="S20" s="30" t="e">
        <f>VLOOKUP($I$1&amp;S$8,DATA!$A:$EB,'2406'!$A20,0)/100</f>
        <v>#N/A</v>
      </c>
      <c r="T20" s="29" t="e">
        <f>VLOOKUP($I$1&amp;T$8,DATA!$A:$EB,'2406'!$A20,0)/100</f>
        <v>#N/A</v>
      </c>
    </row>
    <row r="21" spans="1:20">
      <c r="A21" s="5">
        <f>DATA!Q1</f>
        <v>17</v>
      </c>
      <c r="C21" s="760" t="s">
        <v>141</v>
      </c>
      <c r="D21" s="760"/>
      <c r="E21" s="760"/>
      <c r="F21" s="760"/>
      <c r="G21" s="760"/>
      <c r="H21" s="761"/>
      <c r="I21" s="33" t="e">
        <f>VLOOKUP($I$1&amp;I$8,DATA!$A:$EB,'2406'!$A21,0)/100</f>
        <v>#N/A</v>
      </c>
      <c r="J21" s="34" t="e">
        <f>VLOOKUP($I$1&amp;J$8,DATA!$A:$EB,'2406'!$A21,0)/100</f>
        <v>#N/A</v>
      </c>
      <c r="K21" s="34" t="e">
        <f>VLOOKUP($I$1&amp;K$8,DATA!$A:$EB,'2406'!$A21,0)/100</f>
        <v>#N/A</v>
      </c>
      <c r="L21" s="34" t="e">
        <f>VLOOKUP($I$1&amp;L$8,DATA!$A:$EB,'2406'!$A21,0)/100</f>
        <v>#N/A</v>
      </c>
      <c r="M21" s="34" t="e">
        <f>VLOOKUP($I$1&amp;M$8,DATA!$A:$EB,'2406'!$A21,0)/100</f>
        <v>#N/A</v>
      </c>
      <c r="N21" s="34" t="e">
        <f>VLOOKUP($I$1&amp;N$8,DATA!$A:$EB,'2406'!$A21,0)/100</f>
        <v>#N/A</v>
      </c>
      <c r="O21" s="34" t="e">
        <f>VLOOKUP($I$1&amp;O$8,DATA!$A:$EB,'2406'!$A21,0)/100</f>
        <v>#N/A</v>
      </c>
      <c r="P21" s="34" t="e">
        <f>VLOOKUP($I$1&amp;P$8,DATA!$A:$EB,'2406'!$A21,0)/100</f>
        <v>#N/A</v>
      </c>
      <c r="Q21" s="34" t="e">
        <f>VLOOKUP($I$1&amp;Q$8,DATA!$A:$EB,'2406'!$A21,0)/100</f>
        <v>#N/A</v>
      </c>
      <c r="R21" s="34" t="e">
        <f>VLOOKUP($I$1&amp;R$8,DATA!$A:$EB,'2406'!$A21,0)/100</f>
        <v>#N/A</v>
      </c>
      <c r="S21" s="34" t="e">
        <f>VLOOKUP($I$1&amp;S$8,DATA!$A:$EB,'2406'!$A21,0)/100</f>
        <v>#N/A</v>
      </c>
      <c r="T21" s="33" t="e">
        <f>VLOOKUP($I$1&amp;T$8,DATA!$A:$EB,'2406'!$A21,0)/100</f>
        <v>#N/A</v>
      </c>
    </row>
    <row r="22" spans="1:20">
      <c r="C22" s="20" t="s">
        <v>114</v>
      </c>
      <c r="D22" s="20"/>
      <c r="E22" s="20"/>
      <c r="F22" s="20"/>
      <c r="G22" s="20"/>
      <c r="H22" s="20"/>
      <c r="I22" s="8" t="e">
        <f t="shared" ref="I22:T22" si="2">+I20/I9</f>
        <v>#N/A</v>
      </c>
      <c r="J22" s="8" t="e">
        <f t="shared" si="2"/>
        <v>#N/A</v>
      </c>
      <c r="K22" s="8" t="e">
        <f t="shared" si="2"/>
        <v>#N/A</v>
      </c>
      <c r="L22" s="8" t="e">
        <f t="shared" si="2"/>
        <v>#N/A</v>
      </c>
      <c r="M22" s="8" t="e">
        <f t="shared" si="2"/>
        <v>#N/A</v>
      </c>
      <c r="N22" s="8" t="e">
        <f t="shared" si="2"/>
        <v>#N/A</v>
      </c>
      <c r="O22" s="8" t="e">
        <f t="shared" si="2"/>
        <v>#N/A</v>
      </c>
      <c r="P22" s="8" t="e">
        <f t="shared" si="2"/>
        <v>#N/A</v>
      </c>
      <c r="Q22" s="8" t="e">
        <f t="shared" si="2"/>
        <v>#N/A</v>
      </c>
      <c r="R22" s="8" t="e">
        <f t="shared" si="2"/>
        <v>#N/A</v>
      </c>
      <c r="S22" s="8" t="e">
        <f t="shared" si="2"/>
        <v>#N/A</v>
      </c>
      <c r="T22" s="8" t="e">
        <f t="shared" si="2"/>
        <v>#N/A</v>
      </c>
    </row>
    <row r="23" spans="1:20">
      <c r="C23" s="20"/>
      <c r="D23" s="20"/>
      <c r="E23" s="20"/>
      <c r="F23" s="20"/>
      <c r="G23" s="20"/>
      <c r="H23" s="20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>
      <c r="C24" s="20"/>
      <c r="D24" s="20"/>
      <c r="E24" s="20"/>
      <c r="F24" s="20"/>
      <c r="G24" s="20"/>
      <c r="H24" s="20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ht="16.5">
      <c r="A25" s="5">
        <f>DATA!T1</f>
        <v>20</v>
      </c>
      <c r="C25" s="20" t="s">
        <v>883</v>
      </c>
      <c r="D25" s="42"/>
      <c r="F25" s="42"/>
      <c r="G25" s="42"/>
      <c r="H25" s="42"/>
      <c r="I25" s="1" t="e">
        <f>VLOOKUP($I$1&amp;I$8,DATA!$A:$EB,'2406'!$A25,0)/100</f>
        <v>#N/A</v>
      </c>
      <c r="J25" s="1" t="e">
        <f>VLOOKUP($I$1&amp;J$8,DATA!$A:$EB,'2406'!$A25,0)/100</f>
        <v>#N/A</v>
      </c>
      <c r="K25" s="95" t="e">
        <f>VLOOKUP($I$1&amp;K$8,DATA!$A:$EB,'2406'!$A25,0)/100</f>
        <v>#N/A</v>
      </c>
      <c r="L25" s="95" t="e">
        <f>VLOOKUP($I$1&amp;L$8,DATA!$A:$EB,'2406'!$A25,0)/100</f>
        <v>#N/A</v>
      </c>
      <c r="M25" s="95" t="e">
        <f>VLOOKUP($I$1&amp;M$8,DATA!$A:$EB,'2406'!$A25,0)/100</f>
        <v>#N/A</v>
      </c>
      <c r="N25" s="95" t="e">
        <f>VLOOKUP($I$1&amp;N$8,DATA!$A:$EB,'2406'!$A25,0)/100</f>
        <v>#N/A</v>
      </c>
      <c r="O25" s="95" t="e">
        <f>VLOOKUP($I$1&amp;O$8,DATA!$A:$EB,'2406'!$A25,0)/100</f>
        <v>#N/A</v>
      </c>
      <c r="P25" s="95" t="e">
        <f>VLOOKUP($I$1&amp;P$8,DATA!$A:$EB,'2406'!$A25,0)/100</f>
        <v>#N/A</v>
      </c>
      <c r="Q25" s="95" t="e">
        <f>VLOOKUP($I$1&amp;Q$8,DATA!$A:$EB,'2406'!$A25,0)/100</f>
        <v>#N/A</v>
      </c>
      <c r="R25" s="95" t="e">
        <f>VLOOKUP($I$1&amp;R$8,DATA!$A:$EB,'2406'!$A25,0)/100</f>
        <v>#N/A</v>
      </c>
      <c r="S25" s="95" t="e">
        <f>VLOOKUP($I$1&amp;S$8,DATA!$A:$EB,'2406'!$A25,0)/100</f>
        <v>#N/A</v>
      </c>
      <c r="T25" s="95" t="e">
        <f>VLOOKUP($I$1&amp;T$8,DATA!$A:$EB,'2406'!$A25,0)/100</f>
        <v>#N/A</v>
      </c>
    </row>
    <row r="26" spans="1:20" ht="16.5">
      <c r="C26" s="20" t="s">
        <v>884</v>
      </c>
      <c r="D26" s="42"/>
      <c r="F26" s="42"/>
      <c r="G26" s="42"/>
      <c r="H26" s="42"/>
      <c r="I26" s="1" t="e">
        <f>I19-I25</f>
        <v>#N/A</v>
      </c>
      <c r="J26" s="1" t="e">
        <f t="shared" ref="J26:T26" si="3">J19-J25</f>
        <v>#N/A</v>
      </c>
      <c r="K26" s="1" t="e">
        <f t="shared" si="3"/>
        <v>#N/A</v>
      </c>
      <c r="L26" s="1" t="e">
        <f t="shared" si="3"/>
        <v>#N/A</v>
      </c>
      <c r="M26" s="1" t="e">
        <f t="shared" si="3"/>
        <v>#N/A</v>
      </c>
      <c r="N26" s="1" t="e">
        <f t="shared" si="3"/>
        <v>#N/A</v>
      </c>
      <c r="O26" s="1" t="e">
        <f t="shared" si="3"/>
        <v>#N/A</v>
      </c>
      <c r="P26" s="1" t="e">
        <f t="shared" si="3"/>
        <v>#N/A</v>
      </c>
      <c r="Q26" s="1" t="e">
        <f t="shared" si="3"/>
        <v>#N/A</v>
      </c>
      <c r="R26" s="1" t="e">
        <f t="shared" si="3"/>
        <v>#N/A</v>
      </c>
      <c r="S26" s="1" t="e">
        <f t="shared" si="3"/>
        <v>#N/A</v>
      </c>
      <c r="T26" s="1" t="e">
        <f t="shared" si="3"/>
        <v>#N/A</v>
      </c>
    </row>
    <row r="27" spans="1:20">
      <c r="A27" s="5">
        <f>DATA!BC1</f>
        <v>55</v>
      </c>
      <c r="C27" s="20" t="s">
        <v>874</v>
      </c>
      <c r="I27" s="1" t="e">
        <f>VLOOKUP($I$1&amp;I$8,DATA!$A:$EB,'2406'!$A27,0)/100</f>
        <v>#N/A</v>
      </c>
      <c r="J27" s="1" t="e">
        <f>VLOOKUP($I$1&amp;J$8,DATA!$A:$EB,'2406'!$A27,0)/100</f>
        <v>#N/A</v>
      </c>
      <c r="K27" s="1" t="e">
        <f>VLOOKUP($I$1&amp;K$8,DATA!$A:$EB,'2406'!$A27,0)/100</f>
        <v>#N/A</v>
      </c>
      <c r="L27" s="1" t="e">
        <f>VLOOKUP($I$1&amp;L$8,DATA!$A:$EB,'2406'!$A27,0)/100</f>
        <v>#N/A</v>
      </c>
      <c r="M27" s="1" t="e">
        <f>VLOOKUP($I$1&amp;M$8,DATA!$A:$EB,'2406'!$A27,0)/100</f>
        <v>#N/A</v>
      </c>
      <c r="N27" s="1" t="e">
        <f>VLOOKUP($I$1&amp;N$8,DATA!$A:$EB,'2406'!$A27,0)/100</f>
        <v>#N/A</v>
      </c>
      <c r="O27" s="1" t="e">
        <f>VLOOKUP($I$1&amp;O$8,DATA!$A:$EB,'2406'!$A27,0)/100</f>
        <v>#N/A</v>
      </c>
      <c r="P27" s="1" t="e">
        <f>VLOOKUP($I$1&amp;P$8,DATA!$A:$EB,'2406'!$A27,0)/100</f>
        <v>#N/A</v>
      </c>
      <c r="Q27" s="1" t="e">
        <f>VLOOKUP($I$1&amp;Q$8,DATA!$A:$EB,'2406'!$A27,0)/100</f>
        <v>#N/A</v>
      </c>
      <c r="R27" s="1" t="e">
        <f>VLOOKUP($I$1&amp;R$8,DATA!$A:$EB,'2406'!$A27,0)/100</f>
        <v>#N/A</v>
      </c>
      <c r="S27" s="1" t="e">
        <f>VLOOKUP($I$1&amp;S$8,DATA!$A:$EB,'2406'!$A27,0)/100</f>
        <v>#N/A</v>
      </c>
      <c r="T27" s="1" t="e">
        <f>VLOOKUP($I$1&amp;T$8,DATA!$A:$EB,'2406'!$A27,0)/100</f>
        <v>#N/A</v>
      </c>
    </row>
    <row r="28" spans="1:20">
      <c r="A28" s="5">
        <f>DATA!BN1</f>
        <v>66</v>
      </c>
      <c r="C28" s="20" t="s">
        <v>879</v>
      </c>
      <c r="I28" s="1" t="e">
        <f>VLOOKUP($I$1&amp;I$8,DATA!$A:$EB,'2406'!$A28,0)/100</f>
        <v>#N/A</v>
      </c>
      <c r="J28" s="1" t="e">
        <f>VLOOKUP($I$1&amp;J$8,DATA!$A:$EB,'2406'!$A28,0)/100</f>
        <v>#N/A</v>
      </c>
      <c r="K28" s="1" t="e">
        <f>VLOOKUP($I$1&amp;K$8,DATA!$A:$EB,'2406'!$A28,0)/100</f>
        <v>#N/A</v>
      </c>
      <c r="L28" s="1" t="e">
        <f>VLOOKUP($I$1&amp;L$8,DATA!$A:$EB,'2406'!$A28,0)/100</f>
        <v>#N/A</v>
      </c>
      <c r="M28" s="1" t="e">
        <f>VLOOKUP($I$1&amp;M$8,DATA!$A:$EB,'2406'!$A28,0)/100</f>
        <v>#N/A</v>
      </c>
      <c r="N28" s="1" t="e">
        <f>VLOOKUP($I$1&amp;N$8,DATA!$A:$EB,'2406'!$A28,0)/100</f>
        <v>#N/A</v>
      </c>
      <c r="O28" s="1" t="e">
        <f>VLOOKUP($I$1&amp;O$8,DATA!$A:$EB,'2406'!$A28,0)/100</f>
        <v>#N/A</v>
      </c>
      <c r="P28" s="1" t="e">
        <f>VLOOKUP($I$1&amp;P$8,DATA!$A:$EB,'2406'!$A28,0)/100</f>
        <v>#N/A</v>
      </c>
      <c r="Q28" s="1" t="e">
        <f>VLOOKUP($I$1&amp;Q$8,DATA!$A:$EB,'2406'!$A28,0)/100</f>
        <v>#N/A</v>
      </c>
      <c r="R28" s="1" t="e">
        <f>VLOOKUP($I$1&amp;R$8,DATA!$A:$EB,'2406'!$A28,0)/100</f>
        <v>#N/A</v>
      </c>
      <c r="S28" s="1" t="e">
        <f>VLOOKUP($I$1&amp;S$8,DATA!$A:$EB,'2406'!$A28,0)/100</f>
        <v>#N/A</v>
      </c>
      <c r="T28" s="1" t="e">
        <f>VLOOKUP($I$1&amp;T$8,DATA!$A:$EB,'2406'!$A28,0)/100</f>
        <v>#N/A</v>
      </c>
    </row>
    <row r="29" spans="1:20">
      <c r="A29" s="5">
        <f>DATA!BR1</f>
        <v>70</v>
      </c>
      <c r="C29" s="20" t="s">
        <v>880</v>
      </c>
      <c r="I29" s="1" t="e">
        <f>VLOOKUP($I$1&amp;I$8,DATA!$A:$EB,'2406'!$A29,0)/100</f>
        <v>#N/A</v>
      </c>
      <c r="J29" s="1" t="e">
        <f>VLOOKUP($I$1&amp;J$8,DATA!$A:$EB,'2406'!$A29,0)/100</f>
        <v>#N/A</v>
      </c>
      <c r="K29" s="1" t="e">
        <f>VLOOKUP($I$1&amp;K$8,DATA!$A:$EB,'2406'!$A29,0)/100</f>
        <v>#N/A</v>
      </c>
      <c r="L29" s="1" t="e">
        <f>VLOOKUP($I$1&amp;L$8,DATA!$A:$EB,'2406'!$A29,0)/100</f>
        <v>#N/A</v>
      </c>
      <c r="M29" s="1" t="e">
        <f>VLOOKUP($I$1&amp;M$8,DATA!$A:$EB,'2406'!$A29,0)/100</f>
        <v>#N/A</v>
      </c>
      <c r="N29" s="1" t="e">
        <f>VLOOKUP($I$1&amp;N$8,DATA!$A:$EB,'2406'!$A29,0)/100</f>
        <v>#N/A</v>
      </c>
      <c r="O29" s="1" t="e">
        <f>VLOOKUP($I$1&amp;O$8,DATA!$A:$EB,'2406'!$A29,0)/100</f>
        <v>#N/A</v>
      </c>
      <c r="P29" s="1" t="e">
        <f>VLOOKUP($I$1&amp;P$8,DATA!$A:$EB,'2406'!$A29,0)/100</f>
        <v>#N/A</v>
      </c>
      <c r="Q29" s="1" t="e">
        <f>VLOOKUP($I$1&amp;Q$8,DATA!$A:$EB,'2406'!$A29,0)/100</f>
        <v>#N/A</v>
      </c>
      <c r="R29" s="1" t="e">
        <f>VLOOKUP($I$1&amp;R$8,DATA!$A:$EB,'2406'!$A29,0)/100</f>
        <v>#N/A</v>
      </c>
      <c r="S29" s="1" t="e">
        <f>VLOOKUP($I$1&amp;S$8,DATA!$A:$EB,'2406'!$A29,0)/100</f>
        <v>#N/A</v>
      </c>
      <c r="T29" s="1" t="e">
        <f>VLOOKUP($I$1&amp;T$8,DATA!$A:$EB,'2406'!$A29,0)/100</f>
        <v>#N/A</v>
      </c>
    </row>
    <row r="30" spans="1:20">
      <c r="C30" s="20" t="s">
        <v>881</v>
      </c>
      <c r="I30" s="1" t="e">
        <f>I28+I29</f>
        <v>#N/A</v>
      </c>
      <c r="J30" s="1" t="e">
        <f t="shared" ref="J30:T30" si="4">J28+J29</f>
        <v>#N/A</v>
      </c>
      <c r="K30" s="1" t="e">
        <f t="shared" si="4"/>
        <v>#N/A</v>
      </c>
      <c r="L30" s="1" t="e">
        <f t="shared" si="4"/>
        <v>#N/A</v>
      </c>
      <c r="M30" s="1" t="e">
        <f t="shared" si="4"/>
        <v>#N/A</v>
      </c>
      <c r="N30" s="1" t="e">
        <f t="shared" si="4"/>
        <v>#N/A</v>
      </c>
      <c r="O30" s="1" t="e">
        <f t="shared" si="4"/>
        <v>#N/A</v>
      </c>
      <c r="P30" s="1" t="e">
        <f t="shared" si="4"/>
        <v>#N/A</v>
      </c>
      <c r="Q30" s="1" t="e">
        <f t="shared" si="4"/>
        <v>#N/A</v>
      </c>
      <c r="R30" s="1" t="e">
        <f t="shared" si="4"/>
        <v>#N/A</v>
      </c>
      <c r="S30" s="1" t="e">
        <f t="shared" si="4"/>
        <v>#N/A</v>
      </c>
      <c r="T30" s="1" t="e">
        <f t="shared" si="4"/>
        <v>#N/A</v>
      </c>
    </row>
    <row r="31" spans="1:20">
      <c r="C31" s="132" t="s">
        <v>882</v>
      </c>
      <c r="I31" s="1" t="e">
        <f>I26-I30</f>
        <v>#N/A</v>
      </c>
      <c r="J31" s="1" t="e">
        <f t="shared" ref="J31:T31" si="5">J26-J30</f>
        <v>#N/A</v>
      </c>
      <c r="K31" s="1" t="e">
        <f t="shared" si="5"/>
        <v>#N/A</v>
      </c>
      <c r="L31" s="1" t="e">
        <f t="shared" si="5"/>
        <v>#N/A</v>
      </c>
      <c r="M31" s="1" t="e">
        <f t="shared" si="5"/>
        <v>#N/A</v>
      </c>
      <c r="N31" s="1" t="e">
        <f t="shared" si="5"/>
        <v>#N/A</v>
      </c>
      <c r="O31" s="1" t="e">
        <f t="shared" si="5"/>
        <v>#N/A</v>
      </c>
      <c r="P31" s="1" t="e">
        <f t="shared" si="5"/>
        <v>#N/A</v>
      </c>
      <c r="Q31" s="1" t="e">
        <f t="shared" si="5"/>
        <v>#N/A</v>
      </c>
      <c r="R31" s="1" t="e">
        <f t="shared" si="5"/>
        <v>#N/A</v>
      </c>
      <c r="S31" s="1" t="e">
        <f t="shared" si="5"/>
        <v>#N/A</v>
      </c>
      <c r="T31" s="1" t="e">
        <f t="shared" si="5"/>
        <v>#N/A</v>
      </c>
    </row>
    <row r="32" spans="1:20">
      <c r="C32" s="5" t="s">
        <v>885</v>
      </c>
      <c r="I32" s="133" t="e">
        <f>I31/I25</f>
        <v>#N/A</v>
      </c>
      <c r="J32" s="133" t="e">
        <f t="shared" ref="J32:T32" si="6">J31/J25</f>
        <v>#N/A</v>
      </c>
      <c r="K32" s="133" t="e">
        <f t="shared" si="6"/>
        <v>#N/A</v>
      </c>
      <c r="L32" s="133" t="e">
        <f t="shared" si="6"/>
        <v>#N/A</v>
      </c>
      <c r="M32" s="133" t="e">
        <f t="shared" si="6"/>
        <v>#N/A</v>
      </c>
      <c r="N32" s="133" t="e">
        <f t="shared" si="6"/>
        <v>#N/A</v>
      </c>
      <c r="O32" s="133" t="e">
        <f t="shared" si="6"/>
        <v>#N/A</v>
      </c>
      <c r="P32" s="133" t="e">
        <f t="shared" si="6"/>
        <v>#N/A</v>
      </c>
      <c r="Q32" s="133" t="e">
        <f t="shared" si="6"/>
        <v>#N/A</v>
      </c>
      <c r="R32" s="133" t="e">
        <f t="shared" si="6"/>
        <v>#N/A</v>
      </c>
      <c r="S32" s="133" t="e">
        <f t="shared" si="6"/>
        <v>#N/A</v>
      </c>
      <c r="T32" s="133" t="e">
        <f t="shared" si="6"/>
        <v>#N/A</v>
      </c>
    </row>
    <row r="33" spans="1:21"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</row>
    <row r="34" spans="1:21"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</row>
    <row r="35" spans="1:21">
      <c r="A35" s="5">
        <f>DATA!$BF$1</f>
        <v>58</v>
      </c>
      <c r="C35" s="5" t="s">
        <v>908</v>
      </c>
      <c r="I35" s="1" t="e">
        <f>VLOOKUP($I$1&amp;I$8,DATA!$A:$EB,'2406'!$A35,0)/100</f>
        <v>#N/A</v>
      </c>
      <c r="J35" s="1" t="e">
        <f>VLOOKUP($I$1&amp;J$8,DATA!$A:$EB,'2406'!$A35,0)/100</f>
        <v>#N/A</v>
      </c>
      <c r="K35" s="1" t="e">
        <f>VLOOKUP($I$1&amp;K$8,DATA!$A:$EB,'2406'!$A35,0)/100</f>
        <v>#N/A</v>
      </c>
      <c r="L35" s="1" t="e">
        <f>VLOOKUP($I$1&amp;L$8,DATA!$A:$EB,'2406'!$A35,0)/100</f>
        <v>#N/A</v>
      </c>
      <c r="M35" s="1" t="e">
        <f>VLOOKUP($I$1&amp;M$8,DATA!$A:$EB,'2406'!$A35,0)/100</f>
        <v>#N/A</v>
      </c>
      <c r="N35" s="1" t="e">
        <f>VLOOKUP($I$1&amp;N$8,DATA!$A:$EB,'2406'!$A35,0)/100</f>
        <v>#N/A</v>
      </c>
      <c r="O35" s="1" t="e">
        <f>VLOOKUP($I$1&amp;O$8,DATA!$A:$EB,'2406'!$A35,0)/100</f>
        <v>#N/A</v>
      </c>
      <c r="P35" s="1" t="e">
        <f>VLOOKUP($I$1&amp;P$8,DATA!$A:$EB,'2406'!$A35,0)/100</f>
        <v>#N/A</v>
      </c>
      <c r="Q35" s="1" t="e">
        <f>VLOOKUP($I$1&amp;Q$8,DATA!$A:$EB,'2406'!$A35,0)/100</f>
        <v>#N/A</v>
      </c>
      <c r="R35" s="1" t="e">
        <f>VLOOKUP($I$1&amp;R$8,DATA!$A:$EB,'2406'!$A35,0)/100</f>
        <v>#N/A</v>
      </c>
      <c r="S35" s="1" t="e">
        <f>VLOOKUP($I$1&amp;S$8,DATA!$A:$EB,'2406'!$A35,0)/100</f>
        <v>#N/A</v>
      </c>
      <c r="T35" s="1" t="e">
        <f>VLOOKUP($I$1&amp;T$8,DATA!$A:$EB,'2406'!$A35,0)/100</f>
        <v>#N/A</v>
      </c>
    </row>
    <row r="36" spans="1:21">
      <c r="C36" s="5" t="s">
        <v>909</v>
      </c>
      <c r="I36" s="133" t="e">
        <f>I35/(I15+I16+I18)</f>
        <v>#N/A</v>
      </c>
      <c r="J36" s="133" t="e">
        <f t="shared" ref="J36:T36" si="7">J35/(J15+J16+J18)</f>
        <v>#N/A</v>
      </c>
      <c r="K36" s="133" t="e">
        <f t="shared" si="7"/>
        <v>#N/A</v>
      </c>
      <c r="L36" s="133" t="e">
        <f t="shared" si="7"/>
        <v>#N/A</v>
      </c>
      <c r="M36" s="133" t="e">
        <f t="shared" si="7"/>
        <v>#N/A</v>
      </c>
      <c r="N36" s="133" t="e">
        <f t="shared" si="7"/>
        <v>#N/A</v>
      </c>
      <c r="O36" s="133" t="e">
        <f t="shared" si="7"/>
        <v>#N/A</v>
      </c>
      <c r="P36" s="133" t="e">
        <f t="shared" si="7"/>
        <v>#N/A</v>
      </c>
      <c r="Q36" s="133" t="e">
        <f t="shared" si="7"/>
        <v>#N/A</v>
      </c>
      <c r="R36" s="133" t="e">
        <f t="shared" si="7"/>
        <v>#N/A</v>
      </c>
      <c r="S36" s="133" t="e">
        <f t="shared" si="7"/>
        <v>#N/A</v>
      </c>
      <c r="T36" s="133" t="e">
        <f t="shared" si="7"/>
        <v>#N/A</v>
      </c>
    </row>
    <row r="37" spans="1:21">
      <c r="A37" s="5">
        <f>DATA!$BD$1</f>
        <v>56</v>
      </c>
      <c r="C37" s="5" t="s">
        <v>910</v>
      </c>
      <c r="I37" s="1" t="e">
        <f>VLOOKUP($I$1&amp;I$8,DATA!$A:$EB,'2406'!$A37,0)/100</f>
        <v>#N/A</v>
      </c>
      <c r="J37" s="1" t="e">
        <f>VLOOKUP($I$1&amp;J$8,DATA!$A:$EB,'2406'!$A37,0)/100</f>
        <v>#N/A</v>
      </c>
      <c r="K37" s="1" t="e">
        <f>VLOOKUP($I$1&amp;K$8,DATA!$A:$EB,'2406'!$A37,0)/100</f>
        <v>#N/A</v>
      </c>
      <c r="L37" s="1" t="e">
        <f>VLOOKUP($I$1&amp;L$8,DATA!$A:$EB,'2406'!$A37,0)/100</f>
        <v>#N/A</v>
      </c>
      <c r="M37" s="1" t="e">
        <f>VLOOKUP($I$1&amp;M$8,DATA!$A:$EB,'2406'!$A37,0)/100</f>
        <v>#N/A</v>
      </c>
      <c r="N37" s="1" t="e">
        <f>VLOOKUP($I$1&amp;N$8,DATA!$A:$EB,'2406'!$A37,0)/100</f>
        <v>#N/A</v>
      </c>
      <c r="O37" s="1" t="e">
        <f>VLOOKUP($I$1&amp;O$8,DATA!$A:$EB,'2406'!$A37,0)/100</f>
        <v>#N/A</v>
      </c>
      <c r="P37" s="1" t="e">
        <f>VLOOKUP($I$1&amp;P$8,DATA!$A:$EB,'2406'!$A37,0)/100</f>
        <v>#N/A</v>
      </c>
      <c r="Q37" s="1" t="e">
        <f>VLOOKUP($I$1&amp;Q$8,DATA!$A:$EB,'2406'!$A37,0)/100</f>
        <v>#N/A</v>
      </c>
      <c r="R37" s="1" t="e">
        <f>VLOOKUP($I$1&amp;R$8,DATA!$A:$EB,'2406'!$A37,0)/100</f>
        <v>#N/A</v>
      </c>
      <c r="S37" s="1" t="e">
        <f>VLOOKUP($I$1&amp;S$8,DATA!$A:$EB,'2406'!$A37,0)/100</f>
        <v>#N/A</v>
      </c>
      <c r="T37" s="1" t="e">
        <f>VLOOKUP($I$1&amp;T$8,DATA!$A:$EB,'2406'!$A37,0)/100</f>
        <v>#N/A</v>
      </c>
    </row>
    <row r="38" spans="1:21">
      <c r="C38" s="5" t="s">
        <v>909</v>
      </c>
      <c r="I38" s="133" t="e">
        <f>I37/(I15+I16+I18)</f>
        <v>#N/A</v>
      </c>
      <c r="J38" s="133" t="e">
        <f t="shared" ref="J38:T38" si="8">J37/(J15+J16+J18)</f>
        <v>#N/A</v>
      </c>
      <c r="K38" s="133" t="e">
        <f t="shared" si="8"/>
        <v>#N/A</v>
      </c>
      <c r="L38" s="133" t="e">
        <f t="shared" si="8"/>
        <v>#N/A</v>
      </c>
      <c r="M38" s="133" t="e">
        <f t="shared" si="8"/>
        <v>#N/A</v>
      </c>
      <c r="N38" s="133" t="e">
        <f t="shared" si="8"/>
        <v>#N/A</v>
      </c>
      <c r="O38" s="133" t="e">
        <f>O37/(O15+O16+O18)</f>
        <v>#N/A</v>
      </c>
      <c r="P38" s="133" t="e">
        <f t="shared" si="8"/>
        <v>#N/A</v>
      </c>
      <c r="Q38" s="133" t="e">
        <f t="shared" si="8"/>
        <v>#N/A</v>
      </c>
      <c r="R38" s="133" t="e">
        <f t="shared" si="8"/>
        <v>#N/A</v>
      </c>
      <c r="S38" s="133" t="e">
        <f t="shared" si="8"/>
        <v>#N/A</v>
      </c>
      <c r="T38" s="133" t="e">
        <f t="shared" si="8"/>
        <v>#N/A</v>
      </c>
    </row>
    <row r="39" spans="1:21"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</row>
    <row r="40" spans="1:21">
      <c r="A40" s="5">
        <f>DATA!BM1</f>
        <v>65</v>
      </c>
      <c r="C40" s="5" t="s">
        <v>911</v>
      </c>
      <c r="I40" s="1" t="e">
        <f>VLOOKUP($I$1&amp;I$8,DATA!$A:$EB,'2406'!$A40,0)/100</f>
        <v>#N/A</v>
      </c>
      <c r="J40" s="1" t="e">
        <f>VLOOKUP($I$1&amp;J$8,DATA!$A:$EB,'2406'!$A40,0)/100</f>
        <v>#N/A</v>
      </c>
      <c r="K40" s="1" t="e">
        <f>VLOOKUP($I$1&amp;K$8,DATA!$A:$EB,'2406'!$A40,0)/100</f>
        <v>#N/A</v>
      </c>
      <c r="L40" s="1" t="e">
        <f>VLOOKUP($I$1&amp;L$8,DATA!$A:$EB,'2406'!$A40,0)/100</f>
        <v>#N/A</v>
      </c>
      <c r="M40" s="1" t="e">
        <f>VLOOKUP($I$1&amp;M$8,DATA!$A:$EB,'2406'!$A40,0)/100</f>
        <v>#N/A</v>
      </c>
      <c r="N40" s="1" t="e">
        <f>VLOOKUP($I$1&amp;N$8,DATA!$A:$EB,'2406'!$A40,0)/100</f>
        <v>#N/A</v>
      </c>
      <c r="O40" s="1" t="e">
        <f>VLOOKUP($I$1&amp;O$8,DATA!$A:$EB,'2406'!$A40,0)/100</f>
        <v>#N/A</v>
      </c>
      <c r="P40" s="1" t="e">
        <f>VLOOKUP($I$1&amp;P$8,DATA!$A:$EB,'2406'!$A40,0)/100</f>
        <v>#N/A</v>
      </c>
      <c r="Q40" s="1" t="e">
        <f>VLOOKUP($I$1&amp;Q$8,DATA!$A:$EB,'2406'!$A40,0)/100</f>
        <v>#N/A</v>
      </c>
      <c r="R40" s="1" t="e">
        <f>VLOOKUP($I$1&amp;R$8,DATA!$A:$EB,'2406'!$A40,0)/100</f>
        <v>#N/A</v>
      </c>
      <c r="S40" s="1" t="e">
        <f>VLOOKUP($I$1&amp;S$8,DATA!$A:$EB,'2406'!$A40,0)/100</f>
        <v>#N/A</v>
      </c>
      <c r="T40" s="1" t="e">
        <f>VLOOKUP($I$1&amp;T$8,DATA!$A:$EB,'2406'!$A40,0)/100</f>
        <v>#N/A</v>
      </c>
    </row>
    <row r="41" spans="1:21">
      <c r="D41" s="5" t="s">
        <v>928</v>
      </c>
      <c r="I41" s="158" t="e">
        <f>+I20-I40</f>
        <v>#N/A</v>
      </c>
      <c r="J41" s="158" t="e">
        <f t="shared" ref="J41:T41" si="9">+J20-J40</f>
        <v>#N/A</v>
      </c>
      <c r="K41" s="158" t="e">
        <f t="shared" si="9"/>
        <v>#N/A</v>
      </c>
      <c r="L41" s="158" t="e">
        <f t="shared" si="9"/>
        <v>#N/A</v>
      </c>
      <c r="M41" s="158" t="e">
        <f t="shared" si="9"/>
        <v>#N/A</v>
      </c>
      <c r="N41" s="158" t="e">
        <f t="shared" si="9"/>
        <v>#N/A</v>
      </c>
      <c r="O41" s="158" t="e">
        <f t="shared" si="9"/>
        <v>#N/A</v>
      </c>
      <c r="P41" s="158" t="e">
        <f t="shared" si="9"/>
        <v>#N/A</v>
      </c>
      <c r="Q41" s="158" t="e">
        <f t="shared" si="9"/>
        <v>#N/A</v>
      </c>
      <c r="R41" s="158" t="e">
        <f t="shared" si="9"/>
        <v>#N/A</v>
      </c>
      <c r="S41" s="158" t="e">
        <f t="shared" si="9"/>
        <v>#N/A</v>
      </c>
      <c r="T41" s="158" t="e">
        <f t="shared" si="9"/>
        <v>#N/A</v>
      </c>
    </row>
    <row r="42" spans="1:21">
      <c r="D42" s="5" t="s">
        <v>929</v>
      </c>
      <c r="I42" s="1" t="e">
        <f>+I20-'2403'!I20</f>
        <v>#N/A</v>
      </c>
      <c r="J42" s="1" t="e">
        <f>+J20-'2403'!J20</f>
        <v>#N/A</v>
      </c>
      <c r="K42" s="1" t="e">
        <f>+K20-'2403'!K20</f>
        <v>#N/A</v>
      </c>
      <c r="L42" s="1" t="e">
        <f>+L20-'2403'!L20</f>
        <v>#N/A</v>
      </c>
      <c r="M42" s="1" t="e">
        <f>+M20-'2403'!M20</f>
        <v>#N/A</v>
      </c>
      <c r="N42" s="1" t="e">
        <f>+N20-'2403'!N20</f>
        <v>#N/A</v>
      </c>
      <c r="O42" s="1" t="e">
        <f>+O20-'2403'!O20</f>
        <v>#N/A</v>
      </c>
      <c r="P42" s="1" t="e">
        <f>+P20-'2403'!P20</f>
        <v>#N/A</v>
      </c>
      <c r="Q42" s="1" t="e">
        <f>+Q20-'2403'!Q20</f>
        <v>#N/A</v>
      </c>
      <c r="R42" s="1" t="e">
        <f>+R20-'2403'!R20</f>
        <v>#N/A</v>
      </c>
      <c r="S42" s="1" t="e">
        <f>+S20-'2403'!S20</f>
        <v>#N/A</v>
      </c>
      <c r="T42" s="1" t="e">
        <f>+T20-'2403'!T20</f>
        <v>#N/A</v>
      </c>
    </row>
    <row r="43" spans="1:21"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</row>
    <row r="44" spans="1:21"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</row>
    <row r="45" spans="1:21"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</row>
    <row r="46" spans="1:21"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</row>
    <row r="47" spans="1:21" ht="16.5">
      <c r="C47" s="41" t="s">
        <v>142</v>
      </c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</row>
    <row r="48" spans="1:21" ht="16.5"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2"/>
      <c r="P48" s="43"/>
      <c r="Q48" s="43"/>
      <c r="R48" s="42"/>
      <c r="S48" s="42"/>
      <c r="T48" s="44" t="s">
        <v>104</v>
      </c>
      <c r="U48" s="42"/>
    </row>
    <row r="49" spans="1:21" ht="16.5">
      <c r="C49" s="729" t="s">
        <v>105</v>
      </c>
      <c r="D49" s="729"/>
      <c r="E49" s="729"/>
      <c r="F49" s="729"/>
      <c r="G49" s="729"/>
      <c r="H49" s="730"/>
      <c r="I49" s="45" t="s">
        <v>124</v>
      </c>
      <c r="J49" s="45" t="s">
        <v>136</v>
      </c>
      <c r="K49" s="45" t="s">
        <v>137</v>
      </c>
      <c r="L49" s="45" t="s">
        <v>138</v>
      </c>
      <c r="M49" s="45" t="s">
        <v>4</v>
      </c>
      <c r="N49" s="45" t="s">
        <v>139</v>
      </c>
      <c r="O49" s="46" t="s">
        <v>6</v>
      </c>
      <c r="P49" s="46" t="s">
        <v>106</v>
      </c>
      <c r="Q49" s="46" t="s">
        <v>107</v>
      </c>
      <c r="R49" s="46" t="s">
        <v>108</v>
      </c>
      <c r="S49" s="46" t="s">
        <v>109</v>
      </c>
      <c r="T49" s="46" t="s">
        <v>110</v>
      </c>
      <c r="U49" s="42"/>
    </row>
    <row r="50" spans="1:21" ht="16.5">
      <c r="A50" s="5">
        <f>DATA!$CN$1</f>
        <v>92</v>
      </c>
      <c r="C50" s="745" t="s">
        <v>65</v>
      </c>
      <c r="D50" s="745"/>
      <c r="E50" s="745"/>
      <c r="F50" s="745"/>
      <c r="G50" s="745"/>
      <c r="H50" s="740"/>
      <c r="I50" s="47" t="e">
        <f>VLOOKUP($I$1&amp;I$8,DATA!$A:$EB,'2406'!$A50,0)</f>
        <v>#N/A</v>
      </c>
      <c r="J50" s="47" t="e">
        <f>VLOOKUP($I$1&amp;J$8,DATA!$A:$EB,'2406'!$A50,0)</f>
        <v>#N/A</v>
      </c>
      <c r="K50" s="47" t="e">
        <f>VLOOKUP($I$1&amp;K$8,DATA!$A:$EB,'2406'!$A50,0)</f>
        <v>#N/A</v>
      </c>
      <c r="L50" s="47" t="e">
        <f>VLOOKUP($I$1&amp;L$8,DATA!$A:$EB,'2406'!$A50,0)</f>
        <v>#N/A</v>
      </c>
      <c r="M50" s="47" t="e">
        <f>VLOOKUP($I$1&amp;M$8,DATA!$A:$EB,'2406'!$A50,0)</f>
        <v>#N/A</v>
      </c>
      <c r="N50" s="47" t="e">
        <f>VLOOKUP($I$1&amp;N$8,DATA!$A:$EB,'2406'!$A50,0)</f>
        <v>#N/A</v>
      </c>
      <c r="O50" s="47" t="e">
        <f>VLOOKUP($I$1&amp;O$8,DATA!$A:$EB,'2406'!$A50,0)</f>
        <v>#N/A</v>
      </c>
      <c r="P50" s="47" t="e">
        <f>VLOOKUP($I$1&amp;P$8,DATA!$A:$EB,'2406'!$A50,0)</f>
        <v>#N/A</v>
      </c>
      <c r="Q50" s="47" t="e">
        <f>VLOOKUP($I$1&amp;Q$8,DATA!$A:$EB,'2406'!$A50,0)</f>
        <v>#N/A</v>
      </c>
      <c r="R50" s="47" t="e">
        <f>VLOOKUP($I$1&amp;R$8,DATA!$A:$EB,'2406'!$A50,0)</f>
        <v>#N/A</v>
      </c>
      <c r="S50" s="47" t="e">
        <f>VLOOKUP($I$1&amp;S$8,DATA!$A:$EB,'2406'!$A50,0)</f>
        <v>#N/A</v>
      </c>
      <c r="T50" s="47" t="e">
        <f>VLOOKUP($I$1&amp;T$8,DATA!$A:$EB,'2406'!$A50,0)</f>
        <v>#N/A</v>
      </c>
      <c r="U50" s="42"/>
    </row>
    <row r="51" spans="1:21" ht="16.5">
      <c r="A51" s="5">
        <f>DATA!$CO$1</f>
        <v>93</v>
      </c>
      <c r="C51" s="743" t="s">
        <v>66</v>
      </c>
      <c r="D51" s="743"/>
      <c r="E51" s="743"/>
      <c r="F51" s="743"/>
      <c r="G51" s="743"/>
      <c r="H51" s="744"/>
      <c r="I51" s="48" t="e">
        <f>VLOOKUP($I$1&amp;I$8,DATA!$A:$EB,'2406'!$A51,0)/100</f>
        <v>#N/A</v>
      </c>
      <c r="J51" s="48" t="e">
        <f>VLOOKUP($I$1&amp;J$8,DATA!$A:$EB,'2406'!$A51,0)/100</f>
        <v>#N/A</v>
      </c>
      <c r="K51" s="48" t="e">
        <f>VLOOKUP($I$1&amp;K$8,DATA!$A:$EB,'2406'!$A51,0)/100</f>
        <v>#N/A</v>
      </c>
      <c r="L51" s="48" t="e">
        <f>VLOOKUP($I$1&amp;L$8,DATA!$A:$EB,'2406'!$A51,0)/100</f>
        <v>#N/A</v>
      </c>
      <c r="M51" s="48" t="e">
        <f>VLOOKUP($I$1&amp;M$8,DATA!$A:$EB,'2406'!$A51,0)/100</f>
        <v>#N/A</v>
      </c>
      <c r="N51" s="48" t="e">
        <f>VLOOKUP($I$1&amp;N$8,DATA!$A:$EB,'2406'!$A51,0)/100</f>
        <v>#N/A</v>
      </c>
      <c r="O51" s="49" t="e">
        <f>VLOOKUP($I$1&amp;O$8,DATA!$A:$EB,'2406'!$A51,0)/100</f>
        <v>#N/A</v>
      </c>
      <c r="P51" s="49" t="e">
        <f>VLOOKUP($I$1&amp;P$8,DATA!$A:$EB,'2406'!$A51,0)/100</f>
        <v>#N/A</v>
      </c>
      <c r="Q51" s="49" t="e">
        <f>VLOOKUP($I$1&amp;Q$8,DATA!$A:$EB,'2406'!$A51,0)/100</f>
        <v>#N/A</v>
      </c>
      <c r="R51" s="49" t="e">
        <f>VLOOKUP($I$1&amp;R$8,DATA!$A:$EB,'2406'!$A51,0)/100</f>
        <v>#N/A</v>
      </c>
      <c r="S51" s="49" t="e">
        <f>VLOOKUP($I$1&amp;S$8,DATA!$A:$EB,'2406'!$A51,0)/100</f>
        <v>#N/A</v>
      </c>
      <c r="T51" s="49" t="e">
        <f>VLOOKUP($I$1&amp;T$8,DATA!$A:$EB,'2406'!$A51,0)/100</f>
        <v>#N/A</v>
      </c>
      <c r="U51" s="42"/>
    </row>
    <row r="52" spans="1:21" ht="16.5">
      <c r="A52" s="5">
        <f>DATA!$CP$1</f>
        <v>94</v>
      </c>
      <c r="C52" s="734" t="s">
        <v>67</v>
      </c>
      <c r="D52" s="734"/>
      <c r="E52" s="734"/>
      <c r="F52" s="734"/>
      <c r="G52" s="734"/>
      <c r="H52" s="735"/>
      <c r="I52" s="50" t="e">
        <f>VLOOKUP($I$1&amp;I$8,DATA!$A:$EB,'2406'!$A52,0)/100</f>
        <v>#N/A</v>
      </c>
      <c r="J52" s="50" t="e">
        <f>VLOOKUP($I$1&amp;J$8,DATA!$A:$EB,'2406'!$A52,0)/100</f>
        <v>#N/A</v>
      </c>
      <c r="K52" s="50" t="e">
        <f>VLOOKUP($I$1&amp;K$8,DATA!$A:$EB,'2406'!$A52,0)/100</f>
        <v>#N/A</v>
      </c>
      <c r="L52" s="50" t="e">
        <f>VLOOKUP($I$1&amp;L$8,DATA!$A:$EB,'2406'!$A52,0)/100</f>
        <v>#N/A</v>
      </c>
      <c r="M52" s="50" t="e">
        <f>VLOOKUP($I$1&amp;M$8,DATA!$A:$EB,'2406'!$A52,0)/100</f>
        <v>#N/A</v>
      </c>
      <c r="N52" s="50" t="e">
        <f>VLOOKUP($I$1&amp;N$8,DATA!$A:$EB,'2406'!$A52,0)/100</f>
        <v>#N/A</v>
      </c>
      <c r="O52" s="51" t="e">
        <f>VLOOKUP($I$1&amp;O$8,DATA!$A:$EB,'2406'!$A52,0)/100</f>
        <v>#N/A</v>
      </c>
      <c r="P52" s="51" t="e">
        <f>VLOOKUP($I$1&amp;P$8,DATA!$A:$EB,'2406'!$A52,0)/100</f>
        <v>#N/A</v>
      </c>
      <c r="Q52" s="51" t="e">
        <f>VLOOKUP($I$1&amp;Q$8,DATA!$A:$EB,'2406'!$A52,0)/100</f>
        <v>#N/A</v>
      </c>
      <c r="R52" s="51" t="e">
        <f>VLOOKUP($I$1&amp;R$8,DATA!$A:$EB,'2406'!$A52,0)/100</f>
        <v>#N/A</v>
      </c>
      <c r="S52" s="51" t="e">
        <f>VLOOKUP($I$1&amp;S$8,DATA!$A:$EB,'2406'!$A52,0)/100</f>
        <v>#N/A</v>
      </c>
      <c r="T52" s="51" t="e">
        <f>VLOOKUP($I$1&amp;T$8,DATA!$A:$EB,'2406'!$A52,0)/100</f>
        <v>#N/A</v>
      </c>
      <c r="U52" s="42"/>
    </row>
    <row r="53" spans="1:21" ht="16.5">
      <c r="C53" s="52" t="s">
        <v>143</v>
      </c>
      <c r="D53" s="148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42"/>
      <c r="U53" s="42"/>
    </row>
    <row r="54" spans="1:21" ht="16.5">
      <c r="C54" s="55"/>
      <c r="D54" s="148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42"/>
      <c r="U54" s="42"/>
    </row>
    <row r="55" spans="1:21" ht="16.5">
      <c r="C55" s="41" t="s">
        <v>888</v>
      </c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</row>
    <row r="56" spans="1:21" ht="16.5"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2"/>
      <c r="P56" s="43"/>
      <c r="Q56" s="43"/>
      <c r="R56" s="42"/>
      <c r="S56" s="42"/>
      <c r="T56" s="44" t="s">
        <v>104</v>
      </c>
      <c r="U56" s="42"/>
    </row>
    <row r="57" spans="1:21" ht="16.5">
      <c r="C57" s="729" t="s">
        <v>105</v>
      </c>
      <c r="D57" s="729"/>
      <c r="E57" s="729"/>
      <c r="F57" s="729"/>
      <c r="G57" s="729"/>
      <c r="H57" s="730"/>
      <c r="I57" s="45" t="s">
        <v>124</v>
      </c>
      <c r="J57" s="45" t="s">
        <v>136</v>
      </c>
      <c r="K57" s="45" t="s">
        <v>137</v>
      </c>
      <c r="L57" s="45" t="s">
        <v>138</v>
      </c>
      <c r="M57" s="45" t="s">
        <v>4</v>
      </c>
      <c r="N57" s="45" t="s">
        <v>139</v>
      </c>
      <c r="O57" s="46" t="s">
        <v>6</v>
      </c>
      <c r="P57" s="46" t="s">
        <v>106</v>
      </c>
      <c r="Q57" s="46" t="s">
        <v>107</v>
      </c>
      <c r="R57" s="46" t="s">
        <v>108</v>
      </c>
      <c r="S57" s="46" t="s">
        <v>109</v>
      </c>
      <c r="T57" s="46" t="s">
        <v>110</v>
      </c>
      <c r="U57" s="42"/>
    </row>
    <row r="58" spans="1:21" ht="16.5">
      <c r="A58" s="5">
        <f>DATA!$CQ$1</f>
        <v>95</v>
      </c>
      <c r="C58" s="745" t="s">
        <v>65</v>
      </c>
      <c r="D58" s="745"/>
      <c r="E58" s="745"/>
      <c r="F58" s="745"/>
      <c r="G58" s="745"/>
      <c r="H58" s="740"/>
      <c r="I58" s="47" t="e">
        <f>VLOOKUP($I$1&amp;I$8,DATA!$A:$EB,'2406'!$A58,0)</f>
        <v>#N/A</v>
      </c>
      <c r="J58" s="47" t="e">
        <f>VLOOKUP($I$1&amp;J$8,DATA!$A:$EB,'2406'!$A58,0)</f>
        <v>#N/A</v>
      </c>
      <c r="K58" s="47" t="e">
        <f>VLOOKUP($I$1&amp;K$8,DATA!$A:$EB,'2406'!$A58,0)</f>
        <v>#N/A</v>
      </c>
      <c r="L58" s="47" t="e">
        <f>VLOOKUP($I$1&amp;L$8,DATA!$A:$EB,'2406'!$A58,0)</f>
        <v>#N/A</v>
      </c>
      <c r="M58" s="47" t="e">
        <f>VLOOKUP($I$1&amp;M$8,DATA!$A:$EB,'2406'!$A58,0)</f>
        <v>#N/A</v>
      </c>
      <c r="N58" s="47" t="e">
        <f>VLOOKUP($I$1&amp;N$8,DATA!$A:$EB,'2406'!$A58,0)</f>
        <v>#N/A</v>
      </c>
      <c r="O58" s="47" t="e">
        <f>VLOOKUP($I$1&amp;O$8,DATA!$A:$EB,'2406'!$A58,0)</f>
        <v>#N/A</v>
      </c>
      <c r="P58" s="47" t="e">
        <f>VLOOKUP($I$1&amp;P$8,DATA!$A:$EB,'2406'!$A58,0)</f>
        <v>#N/A</v>
      </c>
      <c r="Q58" s="47" t="e">
        <f>VLOOKUP($I$1&amp;Q$8,DATA!$A:$EB,'2406'!$A58,0)</f>
        <v>#N/A</v>
      </c>
      <c r="R58" s="47" t="e">
        <f>VLOOKUP($I$1&amp;R$8,DATA!$A:$EB,'2406'!$A58,0)</f>
        <v>#N/A</v>
      </c>
      <c r="S58" s="47" t="e">
        <f>VLOOKUP($I$1&amp;S$8,DATA!$A:$EB,'2406'!$A58,0)</f>
        <v>#N/A</v>
      </c>
      <c r="T58" s="47" t="e">
        <f>VLOOKUP($I$1&amp;T$8,DATA!$A:$EB,'2406'!$A58,0)</f>
        <v>#N/A</v>
      </c>
      <c r="U58" s="42"/>
    </row>
    <row r="59" spans="1:21" ht="16.5">
      <c r="A59" s="5">
        <f>DATA!$CR$1</f>
        <v>96</v>
      </c>
      <c r="C59" s="743" t="s">
        <v>66</v>
      </c>
      <c r="D59" s="743"/>
      <c r="E59" s="743"/>
      <c r="F59" s="743"/>
      <c r="G59" s="743"/>
      <c r="H59" s="744"/>
      <c r="I59" s="48" t="e">
        <f>VLOOKUP($I$1&amp;I$8,DATA!$A:$EB,'2406'!$A59,0)/100</f>
        <v>#N/A</v>
      </c>
      <c r="J59" s="48" t="e">
        <f>VLOOKUP($I$1&amp;J$8,DATA!$A:$EB,'2406'!$A59,0)/100</f>
        <v>#N/A</v>
      </c>
      <c r="K59" s="48" t="e">
        <f>VLOOKUP($I$1&amp;K$8,DATA!$A:$EB,'2406'!$A59,0)/100</f>
        <v>#N/A</v>
      </c>
      <c r="L59" s="48" t="e">
        <f>VLOOKUP($I$1&amp;L$8,DATA!$A:$EB,'2406'!$A59,0)/100</f>
        <v>#N/A</v>
      </c>
      <c r="M59" s="48" t="e">
        <f>VLOOKUP($I$1&amp;M$8,DATA!$A:$EB,'2406'!$A59,0)/100</f>
        <v>#N/A</v>
      </c>
      <c r="N59" s="48" t="e">
        <f>VLOOKUP($I$1&amp;N$8,DATA!$A:$EB,'2406'!$A59,0)/100</f>
        <v>#N/A</v>
      </c>
      <c r="O59" s="49" t="e">
        <f>VLOOKUP($I$1&amp;O$8,DATA!$A:$EB,'2406'!$A59,0)/100</f>
        <v>#N/A</v>
      </c>
      <c r="P59" s="49" t="e">
        <f>VLOOKUP($I$1&amp;P$8,DATA!$A:$EB,'2406'!$A59,0)/100</f>
        <v>#N/A</v>
      </c>
      <c r="Q59" s="49" t="e">
        <f>VLOOKUP($I$1&amp;Q$8,DATA!$A:$EB,'2406'!$A59,0)/100</f>
        <v>#N/A</v>
      </c>
      <c r="R59" s="49" t="e">
        <f>VLOOKUP($I$1&amp;R$8,DATA!$A:$EB,'2406'!$A59,0)/100</f>
        <v>#N/A</v>
      </c>
      <c r="S59" s="49" t="e">
        <f>VLOOKUP($I$1&amp;S$8,DATA!$A:$EB,'2406'!$A59,0)/100</f>
        <v>#N/A</v>
      </c>
      <c r="T59" s="49" t="e">
        <f>VLOOKUP($I$1&amp;T$8,DATA!$A:$EB,'2406'!$A59,0)/100</f>
        <v>#N/A</v>
      </c>
      <c r="U59" s="42"/>
    </row>
    <row r="60" spans="1:21" ht="16.5">
      <c r="A60" s="5">
        <f>DATA!$CS$1</f>
        <v>97</v>
      </c>
      <c r="C60" s="734" t="s">
        <v>67</v>
      </c>
      <c r="D60" s="734"/>
      <c r="E60" s="734"/>
      <c r="F60" s="734"/>
      <c r="G60" s="734"/>
      <c r="H60" s="735"/>
      <c r="I60" s="50" t="e">
        <f>VLOOKUP($I$1&amp;I$8,DATA!$A:$EB,'2406'!$A60,0)/100</f>
        <v>#N/A</v>
      </c>
      <c r="J60" s="50" t="e">
        <f>VLOOKUP($I$1&amp;J$8,DATA!$A:$EB,'2406'!$A60,0)/100</f>
        <v>#N/A</v>
      </c>
      <c r="K60" s="50" t="e">
        <f>VLOOKUP($I$1&amp;K$8,DATA!$A:$EB,'2406'!$A60,0)/100</f>
        <v>#N/A</v>
      </c>
      <c r="L60" s="50" t="e">
        <f>VLOOKUP($I$1&amp;L$8,DATA!$A:$EB,'2406'!$A60,0)/100</f>
        <v>#N/A</v>
      </c>
      <c r="M60" s="50" t="e">
        <f>VLOOKUP($I$1&amp;M$8,DATA!$A:$EB,'2406'!$A60,0)/100</f>
        <v>#N/A</v>
      </c>
      <c r="N60" s="50" t="e">
        <f>VLOOKUP($I$1&amp;N$8,DATA!$A:$EB,'2406'!$A60,0)/100</f>
        <v>#N/A</v>
      </c>
      <c r="O60" s="51" t="e">
        <f>VLOOKUP($I$1&amp;O$8,DATA!$A:$EB,'2406'!$A60,0)/100</f>
        <v>#N/A</v>
      </c>
      <c r="P60" s="51" t="e">
        <f>VLOOKUP($I$1&amp;P$8,DATA!$A:$EB,'2406'!$A60,0)/100</f>
        <v>#N/A</v>
      </c>
      <c r="Q60" s="51" t="e">
        <f>VLOOKUP($I$1&amp;Q$8,DATA!$A:$EB,'2406'!$A60,0)/100</f>
        <v>#N/A</v>
      </c>
      <c r="R60" s="51" t="e">
        <f>VLOOKUP($I$1&amp;R$8,DATA!$A:$EB,'2406'!$A60,0)/100</f>
        <v>#N/A</v>
      </c>
      <c r="S60" s="51" t="e">
        <f>VLOOKUP($I$1&amp;S$8,DATA!$A:$EB,'2406'!$A60,0)/100</f>
        <v>#N/A</v>
      </c>
      <c r="T60" s="51" t="e">
        <f>VLOOKUP($I$1&amp;T$8,DATA!$A:$EB,'2406'!$A60,0)/100</f>
        <v>#N/A</v>
      </c>
      <c r="U60" s="42"/>
    </row>
    <row r="61" spans="1:21" ht="16.5">
      <c r="C61" s="52" t="s">
        <v>143</v>
      </c>
      <c r="D61" s="148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42"/>
      <c r="U61" s="42"/>
    </row>
    <row r="62" spans="1:21" ht="16.5">
      <c r="C62" s="55"/>
      <c r="D62" s="148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42"/>
      <c r="S62" s="42"/>
      <c r="T62" s="42"/>
      <c r="U62" s="42"/>
    </row>
    <row r="63" spans="1:21" ht="16.5">
      <c r="C63" s="41" t="s">
        <v>123</v>
      </c>
      <c r="D63" s="42"/>
      <c r="E63" s="42"/>
      <c r="F63" s="42"/>
      <c r="G63" s="42"/>
      <c r="H63" s="42"/>
      <c r="I63" s="42"/>
      <c r="J63" s="54"/>
      <c r="K63" s="54"/>
      <c r="L63" s="54"/>
      <c r="M63" s="54"/>
      <c r="N63" s="54"/>
      <c r="O63" s="54"/>
      <c r="P63" s="54"/>
      <c r="Q63" s="54"/>
      <c r="R63" s="42"/>
      <c r="S63" s="42"/>
      <c r="T63" s="42"/>
      <c r="U63" s="42"/>
    </row>
    <row r="64" spans="1:21" ht="16.5"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2"/>
      <c r="P64" s="43"/>
      <c r="Q64" s="43"/>
      <c r="R64" s="42"/>
      <c r="S64" s="42"/>
      <c r="T64" s="44" t="s">
        <v>104</v>
      </c>
      <c r="U64" s="42"/>
    </row>
    <row r="65" spans="1:21" ht="16.5">
      <c r="C65" s="729" t="s">
        <v>105</v>
      </c>
      <c r="D65" s="729"/>
      <c r="E65" s="729"/>
      <c r="F65" s="729"/>
      <c r="G65" s="729"/>
      <c r="H65" s="730"/>
      <c r="I65" s="45" t="s">
        <v>124</v>
      </c>
      <c r="J65" s="45" t="s">
        <v>136</v>
      </c>
      <c r="K65" s="45" t="s">
        <v>137</v>
      </c>
      <c r="L65" s="45" t="s">
        <v>138</v>
      </c>
      <c r="M65" s="45" t="s">
        <v>4</v>
      </c>
      <c r="N65" s="45" t="s">
        <v>139</v>
      </c>
      <c r="O65" s="46" t="s">
        <v>6</v>
      </c>
      <c r="P65" s="46" t="s">
        <v>106</v>
      </c>
      <c r="Q65" s="46" t="s">
        <v>107</v>
      </c>
      <c r="R65" s="46" t="s">
        <v>108</v>
      </c>
      <c r="S65" s="46" t="s">
        <v>109</v>
      </c>
      <c r="T65" s="46" t="s">
        <v>110</v>
      </c>
      <c r="U65" s="42"/>
    </row>
    <row r="66" spans="1:21" ht="16.5">
      <c r="A66" s="5">
        <f>DATA!AV1</f>
        <v>48</v>
      </c>
      <c r="C66" s="748" t="s">
        <v>32</v>
      </c>
      <c r="D66" s="748"/>
      <c r="E66" s="748"/>
      <c r="F66" s="748"/>
      <c r="G66" s="748"/>
      <c r="H66" s="749"/>
      <c r="I66" s="56" t="e">
        <f>VLOOKUP($I$1&amp;I$8,DATA!$A:$EB,'2406'!$A66,0)/100</f>
        <v>#N/A</v>
      </c>
      <c r="J66" s="56" t="e">
        <f>VLOOKUP($I$1&amp;J$8,DATA!$A:$EB,'2406'!$A66,0)/100</f>
        <v>#N/A</v>
      </c>
      <c r="K66" s="56" t="e">
        <f>VLOOKUP($I$1&amp;K$8,DATA!$A:$EB,'2406'!$A66,0)/100</f>
        <v>#N/A</v>
      </c>
      <c r="L66" s="56" t="e">
        <f>VLOOKUP($I$1&amp;L$8,DATA!$A:$EB,'2406'!$A66,0)/100</f>
        <v>#N/A</v>
      </c>
      <c r="M66" s="56" t="e">
        <f>VLOOKUP($I$1&amp;M$8,DATA!$A:$EB,'2406'!$A66,0)/100</f>
        <v>#N/A</v>
      </c>
      <c r="N66" s="56" t="e">
        <f>VLOOKUP($I$1&amp;N$8,DATA!$A:$EB,'2406'!$A66,0)/100</f>
        <v>#N/A</v>
      </c>
      <c r="O66" s="57" t="e">
        <f>VLOOKUP($I$1&amp;O$8,DATA!$A:$EB,'2406'!$A66,0)/100</f>
        <v>#N/A</v>
      </c>
      <c r="P66" s="57" t="e">
        <f>VLOOKUP($I$1&amp;P$8,DATA!$A:$EB,'2406'!$A66,0)/100</f>
        <v>#N/A</v>
      </c>
      <c r="Q66" s="57" t="e">
        <f>VLOOKUP($I$1&amp;Q$8,DATA!$A:$EB,'2406'!$A66,0)/100</f>
        <v>#N/A</v>
      </c>
      <c r="R66" s="57" t="e">
        <f>VLOOKUP($I$1&amp;R$8,DATA!$A:$EB,'2406'!$A66,0)/100</f>
        <v>#N/A</v>
      </c>
      <c r="S66" s="57" t="e">
        <f>VLOOKUP($I$1&amp;S$8,DATA!$A:$EB,'2406'!$A66,0)/100</f>
        <v>#N/A</v>
      </c>
      <c r="T66" s="57" t="e">
        <f>VLOOKUP($I$1&amp;T$8,DATA!$A:$EB,'2406'!$A66,0)/100</f>
        <v>#N/A</v>
      </c>
      <c r="U66" s="42"/>
    </row>
    <row r="67" spans="1:21" ht="16.5">
      <c r="A67" s="5">
        <f>DATA!DC1</f>
        <v>107</v>
      </c>
      <c r="C67" s="150"/>
      <c r="D67" s="770" t="s">
        <v>98</v>
      </c>
      <c r="E67" s="771"/>
      <c r="F67" s="771"/>
      <c r="G67" s="771"/>
      <c r="H67" s="772"/>
      <c r="I67" s="23" t="e">
        <f>VLOOKUP($I$1&amp;I$8,DATA!$A:$EB,'2406'!$A67,0)</f>
        <v>#N/A</v>
      </c>
      <c r="J67" s="23" t="e">
        <f>VLOOKUP($I$1&amp;J$8,DATA!$A:$EB,'2406'!$A67,0)</f>
        <v>#N/A</v>
      </c>
      <c r="K67" s="23" t="e">
        <f>VLOOKUP($I$1&amp;K$8,DATA!$A:$EB,'2406'!$A67,0)</f>
        <v>#N/A</v>
      </c>
      <c r="L67" s="23" t="e">
        <f>VLOOKUP($I$1&amp;L$8,DATA!$A:$EB,'2406'!$A67,0)</f>
        <v>#N/A</v>
      </c>
      <c r="M67" s="23" t="e">
        <f>VLOOKUP($I$1&amp;M$8,DATA!$A:$EB,'2406'!$A67,0)</f>
        <v>#N/A</v>
      </c>
      <c r="N67" s="23" t="e">
        <f>VLOOKUP($I$1&amp;N$8,DATA!$A:$EB,'2406'!$A67,0)</f>
        <v>#N/A</v>
      </c>
      <c r="O67" s="23" t="e">
        <f>VLOOKUP($I$1&amp;O$8,DATA!$A:$EB,'2406'!$A67,0)</f>
        <v>#N/A</v>
      </c>
      <c r="P67" s="23" t="e">
        <f>VLOOKUP($I$1&amp;P$8,DATA!$A:$EB,'2406'!$A67,0)</f>
        <v>#N/A</v>
      </c>
      <c r="Q67" s="23" t="e">
        <f>VLOOKUP($I$1&amp;Q$8,DATA!$A:$EB,'2406'!$A67,0)</f>
        <v>#N/A</v>
      </c>
      <c r="R67" s="23" t="e">
        <f>VLOOKUP($I$1&amp;R$8,DATA!$A:$EB,'2406'!$A67,0)</f>
        <v>#N/A</v>
      </c>
      <c r="S67" s="23" t="e">
        <f>VLOOKUP($I$1&amp;S$8,DATA!$A:$EB,'2406'!$A67,0)</f>
        <v>#N/A</v>
      </c>
      <c r="T67" s="23" t="e">
        <f>VLOOKUP($I$1&amp;T$8,DATA!$A:$EB,'2406'!$A67,0)</f>
        <v>#N/A</v>
      </c>
      <c r="U67" s="42"/>
    </row>
    <row r="68" spans="1:21" ht="16.5">
      <c r="C68" s="150"/>
      <c r="D68" s="773" t="s">
        <v>125</v>
      </c>
      <c r="E68" s="771"/>
      <c r="F68" s="770" t="s">
        <v>126</v>
      </c>
      <c r="G68" s="771"/>
      <c r="H68" s="772"/>
      <c r="I68" s="23" t="e">
        <f>I79/I81</f>
        <v>#N/A</v>
      </c>
      <c r="J68" s="23" t="e">
        <f t="shared" ref="J68:T68" si="10">J79/J81</f>
        <v>#N/A</v>
      </c>
      <c r="K68" s="23" t="e">
        <f t="shared" si="10"/>
        <v>#N/A</v>
      </c>
      <c r="L68" s="23" t="e">
        <f t="shared" si="10"/>
        <v>#N/A</v>
      </c>
      <c r="M68" s="23" t="e">
        <f t="shared" si="10"/>
        <v>#N/A</v>
      </c>
      <c r="N68" s="23" t="e">
        <f t="shared" si="10"/>
        <v>#N/A</v>
      </c>
      <c r="O68" s="23" t="e">
        <f t="shared" si="10"/>
        <v>#N/A</v>
      </c>
      <c r="P68" s="23" t="e">
        <f t="shared" si="10"/>
        <v>#N/A</v>
      </c>
      <c r="Q68" s="23" t="e">
        <f t="shared" si="10"/>
        <v>#N/A</v>
      </c>
      <c r="R68" s="23" t="e">
        <f t="shared" si="10"/>
        <v>#N/A</v>
      </c>
      <c r="S68" s="23" t="e">
        <f t="shared" si="10"/>
        <v>#N/A</v>
      </c>
      <c r="T68" s="23" t="e">
        <f t="shared" si="10"/>
        <v>#N/A</v>
      </c>
      <c r="U68" s="42"/>
    </row>
    <row r="69" spans="1:21" ht="16.5">
      <c r="C69" s="149"/>
      <c r="D69" s="774"/>
      <c r="E69" s="775"/>
      <c r="F69" s="776" t="s">
        <v>127</v>
      </c>
      <c r="G69" s="777"/>
      <c r="H69" s="778"/>
      <c r="I69" s="24" t="e">
        <f>I79/I82</f>
        <v>#N/A</v>
      </c>
      <c r="J69" s="24" t="e">
        <f t="shared" ref="J69:T69" si="11">J79/J82</f>
        <v>#N/A</v>
      </c>
      <c r="K69" s="24" t="e">
        <f t="shared" si="11"/>
        <v>#N/A</v>
      </c>
      <c r="L69" s="24" t="e">
        <f t="shared" si="11"/>
        <v>#N/A</v>
      </c>
      <c r="M69" s="24" t="e">
        <f t="shared" si="11"/>
        <v>#N/A</v>
      </c>
      <c r="N69" s="24" t="e">
        <f t="shared" si="11"/>
        <v>#N/A</v>
      </c>
      <c r="O69" s="24" t="e">
        <f t="shared" si="11"/>
        <v>#N/A</v>
      </c>
      <c r="P69" s="24" t="e">
        <f t="shared" si="11"/>
        <v>#N/A</v>
      </c>
      <c r="Q69" s="24" t="e">
        <f t="shared" si="11"/>
        <v>#N/A</v>
      </c>
      <c r="R69" s="24" t="e">
        <f t="shared" si="11"/>
        <v>#N/A</v>
      </c>
      <c r="S69" s="24" t="e">
        <f t="shared" si="11"/>
        <v>#N/A</v>
      </c>
      <c r="T69" s="24" t="e">
        <f t="shared" si="11"/>
        <v>#N/A</v>
      </c>
      <c r="U69" s="42"/>
    </row>
    <row r="70" spans="1:21" ht="16.5">
      <c r="A70" s="5">
        <f>DATA!AW1</f>
        <v>49</v>
      </c>
      <c r="C70" s="746" t="s">
        <v>33</v>
      </c>
      <c r="D70" s="746"/>
      <c r="E70" s="746"/>
      <c r="F70" s="746"/>
      <c r="G70" s="746"/>
      <c r="H70" s="747"/>
      <c r="I70" s="60" t="e">
        <f>VLOOKUP($I$1&amp;I$8,DATA!$A:$EB,'2406'!$A70,0)/100</f>
        <v>#N/A</v>
      </c>
      <c r="J70" s="60" t="e">
        <f>VLOOKUP($I$1&amp;J$8,DATA!$A:$EB,'2406'!$A70,0)/100</f>
        <v>#N/A</v>
      </c>
      <c r="K70" s="60" t="e">
        <f>VLOOKUP($I$1&amp;K$8,DATA!$A:$EB,'2406'!$A70,0)/100</f>
        <v>#N/A</v>
      </c>
      <c r="L70" s="60" t="e">
        <f>VLOOKUP($I$1&amp;L$8,DATA!$A:$EB,'2406'!$A70,0)/100</f>
        <v>#N/A</v>
      </c>
      <c r="M70" s="60" t="e">
        <f>VLOOKUP($I$1&amp;M$8,DATA!$A:$EB,'2406'!$A70,0)/100</f>
        <v>#N/A</v>
      </c>
      <c r="N70" s="60" t="e">
        <f>VLOOKUP($I$1&amp;N$8,DATA!$A:$EB,'2406'!$A70,0)/100</f>
        <v>#N/A</v>
      </c>
      <c r="O70" s="61" t="e">
        <f>VLOOKUP($I$1&amp;O$8,DATA!$A:$EB,'2406'!$A70,0)/100</f>
        <v>#N/A</v>
      </c>
      <c r="P70" s="61" t="e">
        <f>VLOOKUP($I$1&amp;P$8,DATA!$A:$EB,'2406'!$A70,0)/100</f>
        <v>#N/A</v>
      </c>
      <c r="Q70" s="61" t="e">
        <f>VLOOKUP($I$1&amp;Q$8,DATA!$A:$EB,'2406'!$A70,0)/100</f>
        <v>#N/A</v>
      </c>
      <c r="R70" s="61" t="e">
        <f>VLOOKUP($I$1&amp;R$8,DATA!$A:$EB,'2406'!$A70,0)/100</f>
        <v>#N/A</v>
      </c>
      <c r="S70" s="61" t="e">
        <f>VLOOKUP($I$1&amp;S$8,DATA!$A:$EB,'2406'!$A70,0)/100</f>
        <v>#N/A</v>
      </c>
      <c r="T70" s="61" t="e">
        <f>VLOOKUP($I$1&amp;T$8,DATA!$A:$EB,'2406'!$A70,0)/100</f>
        <v>#N/A</v>
      </c>
      <c r="U70" s="42"/>
    </row>
    <row r="71" spans="1:21" ht="16.5">
      <c r="C71" s="746" t="s">
        <v>128</v>
      </c>
      <c r="D71" s="746"/>
      <c r="E71" s="746"/>
      <c r="F71" s="746"/>
      <c r="G71" s="746"/>
      <c r="H71" s="747"/>
      <c r="I71" s="62" t="e">
        <f>I66+I70</f>
        <v>#N/A</v>
      </c>
      <c r="J71" s="62" t="e">
        <f t="shared" ref="J71:T71" si="12">J66+J70</f>
        <v>#N/A</v>
      </c>
      <c r="K71" s="62" t="e">
        <f t="shared" si="12"/>
        <v>#N/A</v>
      </c>
      <c r="L71" s="62" t="e">
        <f t="shared" si="12"/>
        <v>#N/A</v>
      </c>
      <c r="M71" s="62" t="e">
        <f t="shared" si="12"/>
        <v>#N/A</v>
      </c>
      <c r="N71" s="62" t="e">
        <f t="shared" si="12"/>
        <v>#N/A</v>
      </c>
      <c r="O71" s="63" t="e">
        <f t="shared" si="12"/>
        <v>#N/A</v>
      </c>
      <c r="P71" s="63" t="e">
        <f t="shared" si="12"/>
        <v>#N/A</v>
      </c>
      <c r="Q71" s="63" t="e">
        <f t="shared" si="12"/>
        <v>#N/A</v>
      </c>
      <c r="R71" s="63" t="e">
        <f t="shared" si="12"/>
        <v>#N/A</v>
      </c>
      <c r="S71" s="63" t="e">
        <f t="shared" si="12"/>
        <v>#N/A</v>
      </c>
      <c r="T71" s="63" t="e">
        <f t="shared" si="12"/>
        <v>#N/A</v>
      </c>
      <c r="U71" s="42"/>
    </row>
    <row r="72" spans="1:21" ht="16.5">
      <c r="A72" s="5">
        <f>DATA!AX1</f>
        <v>50</v>
      </c>
      <c r="C72" s="782" t="s">
        <v>34</v>
      </c>
      <c r="D72" s="782"/>
      <c r="E72" s="782"/>
      <c r="F72" s="782"/>
      <c r="G72" s="782"/>
      <c r="H72" s="783"/>
      <c r="I72" s="60" t="e">
        <f>VLOOKUP($I$1&amp;I$8,DATA!$A:$EB,'2406'!$A72,0)/100</f>
        <v>#N/A</v>
      </c>
      <c r="J72" s="60" t="e">
        <f>VLOOKUP($I$1&amp;J$8,DATA!$A:$EB,'2406'!$A72,0)/100</f>
        <v>#N/A</v>
      </c>
      <c r="K72" s="60" t="e">
        <f>VLOOKUP($I$1&amp;K$8,DATA!$A:$EB,'2406'!$A72,0)/100</f>
        <v>#N/A</v>
      </c>
      <c r="L72" s="60" t="e">
        <f>VLOOKUP($I$1&amp;L$8,DATA!$A:$EB,'2406'!$A72,0)/100</f>
        <v>#N/A</v>
      </c>
      <c r="M72" s="60" t="e">
        <f>VLOOKUP($I$1&amp;M$8,DATA!$A:$EB,'2406'!$A72,0)/100</f>
        <v>#N/A</v>
      </c>
      <c r="N72" s="60" t="e">
        <f>VLOOKUP($I$1&amp;N$8,DATA!$A:$EB,'2406'!$A72,0)/100</f>
        <v>#N/A</v>
      </c>
      <c r="O72" s="61" t="e">
        <f>VLOOKUP($I$1&amp;O$8,DATA!$A:$EB,'2406'!$A72,0)/100</f>
        <v>#N/A</v>
      </c>
      <c r="P72" s="61" t="e">
        <f>VLOOKUP($I$1&amp;P$8,DATA!$A:$EB,'2406'!$A72,0)/100</f>
        <v>#N/A</v>
      </c>
      <c r="Q72" s="61" t="e">
        <f>VLOOKUP($I$1&amp;Q$8,DATA!$A:$EB,'2406'!$A72,0)/100</f>
        <v>#N/A</v>
      </c>
      <c r="R72" s="61" t="e">
        <f>VLOOKUP($I$1&amp;R$8,DATA!$A:$EB,'2406'!$A72,0)/100</f>
        <v>#N/A</v>
      </c>
      <c r="S72" s="61" t="e">
        <f>VLOOKUP($I$1&amp;S$8,DATA!$A:$EB,'2406'!$A72,0)/100</f>
        <v>#N/A</v>
      </c>
      <c r="T72" s="61" t="e">
        <f>VLOOKUP($I$1&amp;T$8,DATA!$A:$EB,'2406'!$A72,0)/100</f>
        <v>#N/A</v>
      </c>
      <c r="U72" s="42"/>
    </row>
    <row r="73" spans="1:21" ht="16.5">
      <c r="A73" s="5">
        <f>DATA!AY1</f>
        <v>51</v>
      </c>
      <c r="C73" s="745" t="s">
        <v>129</v>
      </c>
      <c r="D73" s="745"/>
      <c r="E73" s="745"/>
      <c r="F73" s="745"/>
      <c r="G73" s="745"/>
      <c r="H73" s="740"/>
      <c r="I73" s="25" t="e">
        <f>VLOOKUP($I$1&amp;I$8,DATA!$A:$EB,'2406'!$A73,0)/100</f>
        <v>#N/A</v>
      </c>
      <c r="J73" s="25" t="e">
        <f>VLOOKUP($I$1&amp;J$8,DATA!$A:$EB,'2406'!$A73,0)/100</f>
        <v>#N/A</v>
      </c>
      <c r="K73" s="25" t="e">
        <f>VLOOKUP($I$1&amp;K$8,DATA!$A:$EB,'2406'!$A73,0)/100</f>
        <v>#N/A</v>
      </c>
      <c r="L73" s="25" t="e">
        <f>VLOOKUP($I$1&amp;L$8,DATA!$A:$EB,'2406'!$A73,0)/100</f>
        <v>#N/A</v>
      </c>
      <c r="M73" s="25" t="e">
        <f>VLOOKUP($I$1&amp;M$8,DATA!$A:$EB,'2406'!$A73,0)/100</f>
        <v>#N/A</v>
      </c>
      <c r="N73" s="25" t="e">
        <f>VLOOKUP($I$1&amp;N$8,DATA!$A:$EB,'2406'!$A73,0)/100</f>
        <v>#N/A</v>
      </c>
      <c r="O73" s="25" t="e">
        <f>VLOOKUP($I$1&amp;O$8,DATA!$A:$EB,'2406'!$A73,0)/100</f>
        <v>#N/A</v>
      </c>
      <c r="P73" s="25" t="e">
        <f>VLOOKUP($I$1&amp;P$8,DATA!$A:$EB,'2406'!$A73,0)/100</f>
        <v>#N/A</v>
      </c>
      <c r="Q73" s="25" t="e">
        <f>VLOOKUP($I$1&amp;Q$8,DATA!$A:$EB,'2406'!$A73,0)/100</f>
        <v>#N/A</v>
      </c>
      <c r="R73" s="25" t="e">
        <f>VLOOKUP($I$1&amp;R$8,DATA!$A:$EB,'2406'!$A73,0)/100</f>
        <v>#N/A</v>
      </c>
      <c r="S73" s="25" t="e">
        <f>VLOOKUP($I$1&amp;S$8,DATA!$A:$EB,'2406'!$A73,0)/100</f>
        <v>#N/A</v>
      </c>
      <c r="T73" s="25" t="e">
        <f>VLOOKUP($I$1&amp;T$8,DATA!$A:$EB,'2406'!$A73,0)/100</f>
        <v>#N/A</v>
      </c>
      <c r="U73" s="42"/>
    </row>
    <row r="74" spans="1:21" ht="16.5">
      <c r="A74" s="5">
        <f>DATA!AR1</f>
        <v>44</v>
      </c>
      <c r="C74" s="752" t="s">
        <v>130</v>
      </c>
      <c r="D74" s="752"/>
      <c r="E74" s="752"/>
      <c r="F74" s="752"/>
      <c r="G74" s="752"/>
      <c r="H74" s="753"/>
      <c r="I74" s="26" t="e">
        <f>VLOOKUP($I$1&amp;I$8,DATA!$A:$EB,'2406'!$A74,0)/100</f>
        <v>#N/A</v>
      </c>
      <c r="J74" s="26" t="e">
        <f>VLOOKUP($I$1&amp;J$8,DATA!$A:$EB,'2406'!$A74,0)/100</f>
        <v>#N/A</v>
      </c>
      <c r="K74" s="26" t="e">
        <f>VLOOKUP($I$1&amp;K$8,DATA!$A:$EB,'2406'!$A74,0)/100</f>
        <v>#N/A</v>
      </c>
      <c r="L74" s="26" t="e">
        <f>VLOOKUP($I$1&amp;L$8,DATA!$A:$EB,'2406'!$A74,0)/100</f>
        <v>#N/A</v>
      </c>
      <c r="M74" s="26" t="e">
        <f>VLOOKUP($I$1&amp;M$8,DATA!$A:$EB,'2406'!$A74,0)/100</f>
        <v>#N/A</v>
      </c>
      <c r="N74" s="26" t="e">
        <f>VLOOKUP($I$1&amp;N$8,DATA!$A:$EB,'2406'!$A74,0)/100</f>
        <v>#N/A</v>
      </c>
      <c r="O74" s="26" t="e">
        <f>VLOOKUP($I$1&amp;O$8,DATA!$A:$EB,'2406'!$A74,0)/100</f>
        <v>#N/A</v>
      </c>
      <c r="P74" s="26" t="e">
        <f>VLOOKUP($I$1&amp;P$8,DATA!$A:$EB,'2406'!$A74,0)/100</f>
        <v>#N/A</v>
      </c>
      <c r="Q74" s="26" t="e">
        <f>VLOOKUP($I$1&amp;Q$8,DATA!$A:$EB,'2406'!$A74,0)/100</f>
        <v>#N/A</v>
      </c>
      <c r="R74" s="26" t="e">
        <f>VLOOKUP($I$1&amp;R$8,DATA!$A:$EB,'2406'!$A74,0)/100</f>
        <v>#N/A</v>
      </c>
      <c r="S74" s="26" t="e">
        <f>VLOOKUP($I$1&amp;S$8,DATA!$A:$EB,'2406'!$A74,0)/100</f>
        <v>#N/A</v>
      </c>
      <c r="T74" s="26" t="e">
        <f>VLOOKUP($I$1&amp;T$8,DATA!$A:$EB,'2406'!$A74,0)/100</f>
        <v>#N/A</v>
      </c>
      <c r="U74" s="42"/>
    </row>
    <row r="75" spans="1:21" ht="16.5">
      <c r="A75" s="22"/>
      <c r="C75" s="64" t="s">
        <v>144</v>
      </c>
      <c r="D75" s="148"/>
      <c r="E75" s="54"/>
      <c r="F75" s="54"/>
      <c r="G75" s="54"/>
      <c r="H75" s="54"/>
      <c r="I75" s="54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</row>
    <row r="76" spans="1:21" ht="16.5">
      <c r="C76" s="52"/>
      <c r="D76" s="148"/>
      <c r="E76" s="54"/>
      <c r="F76" s="54"/>
      <c r="G76" s="54"/>
      <c r="H76" s="54"/>
      <c r="I76" s="54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</row>
    <row r="77" spans="1:21" ht="16.5">
      <c r="C77" s="55"/>
      <c r="D77" s="148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42"/>
    </row>
    <row r="78" spans="1:21" ht="16.5">
      <c r="C78" s="55" t="s">
        <v>161</v>
      </c>
      <c r="D78" s="148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42"/>
    </row>
    <row r="79" spans="1:21" ht="16.5">
      <c r="A79" s="5">
        <f>DATA!DK1</f>
        <v>115</v>
      </c>
      <c r="C79" s="55"/>
      <c r="D79" s="148"/>
      <c r="E79" s="5" t="s">
        <v>71</v>
      </c>
      <c r="I79" s="1" t="e">
        <f>VLOOKUP($I$1&amp;I$8,DATA!$A:$EB,'2406'!$A79,0)/100</f>
        <v>#N/A</v>
      </c>
      <c r="J79" s="1" t="e">
        <f>VLOOKUP($I$1&amp;J$8,DATA!$A:$EB,'2406'!$A79,0)/100</f>
        <v>#N/A</v>
      </c>
      <c r="K79" s="95" t="e">
        <f>VLOOKUP($I$1&amp;K$8,DATA!$A:$EB,'2406'!$A79,0)/100</f>
        <v>#N/A</v>
      </c>
      <c r="L79" s="95" t="e">
        <f>VLOOKUP($I$1&amp;L$8,DATA!$A:$EB,'2406'!$A79,0)/100</f>
        <v>#N/A</v>
      </c>
      <c r="M79" s="95" t="e">
        <f>VLOOKUP($I$1&amp;M$8,DATA!$A:$EB,'2406'!$A79,0)/100</f>
        <v>#N/A</v>
      </c>
      <c r="N79" s="95" t="e">
        <f>VLOOKUP($I$1&amp;N$8,DATA!$A:$EB,'2406'!$A79,0)/100</f>
        <v>#N/A</v>
      </c>
      <c r="O79" s="95" t="e">
        <f>VLOOKUP($I$1&amp;O$8,DATA!$A:$EB,'2406'!$A79,0)/100</f>
        <v>#N/A</v>
      </c>
      <c r="P79" s="95" t="e">
        <f>VLOOKUP($I$1&amp;P$8,DATA!$A:$EB,'2406'!$A79,0)/100</f>
        <v>#N/A</v>
      </c>
      <c r="Q79" s="95" t="e">
        <f>VLOOKUP($I$1&amp;Q$8,DATA!$A:$EB,'2406'!$A79,0)/100</f>
        <v>#N/A</v>
      </c>
      <c r="R79" s="95" t="e">
        <f>VLOOKUP($I$1&amp;R$8,DATA!$A:$EB,'2406'!$A79,0)/100</f>
        <v>#N/A</v>
      </c>
      <c r="S79" s="95" t="e">
        <f>VLOOKUP($I$1&amp;S$8,DATA!$A:$EB,'2406'!$A79,0)/100</f>
        <v>#N/A</v>
      </c>
      <c r="T79" s="95" t="e">
        <f>VLOOKUP($I$1&amp;T$8,DATA!$A:$EB,'2406'!$A79,0)/100</f>
        <v>#N/A</v>
      </c>
      <c r="U79" s="42"/>
    </row>
    <row r="80" spans="1:21" ht="16.5">
      <c r="A80" s="5">
        <f>DATA!DI1</f>
        <v>113</v>
      </c>
      <c r="C80" s="55"/>
      <c r="D80" s="148"/>
      <c r="E80" s="5" t="s">
        <v>72</v>
      </c>
      <c r="I80" s="1" t="e">
        <f>VLOOKUP($I$1&amp;I$8,DATA!$A:$EB,'2406'!$A80,0)/100</f>
        <v>#N/A</v>
      </c>
      <c r="J80" s="1" t="e">
        <f>VLOOKUP($I$1&amp;J$8,DATA!$A:$EB,'2406'!$A80,0)/100</f>
        <v>#N/A</v>
      </c>
      <c r="K80" s="95" t="e">
        <f>VLOOKUP($I$1&amp;K$8,DATA!$A:$EB,'2406'!$A80,0)/100</f>
        <v>#N/A</v>
      </c>
      <c r="L80" s="95" t="e">
        <f>VLOOKUP($I$1&amp;L$8,DATA!$A:$EB,'2406'!$A80,0)/100</f>
        <v>#N/A</v>
      </c>
      <c r="M80" s="95" t="e">
        <f>VLOOKUP($I$1&amp;M$8,DATA!$A:$EB,'2406'!$A80,0)/100</f>
        <v>#N/A</v>
      </c>
      <c r="N80" s="95" t="e">
        <f>VLOOKUP($I$1&amp;N$8,DATA!$A:$EB,'2406'!$A80,0)/100</f>
        <v>#N/A</v>
      </c>
      <c r="O80" s="95" t="e">
        <f>VLOOKUP($I$1&amp;O$8,DATA!$A:$EB,'2406'!$A80,0)/100</f>
        <v>#N/A</v>
      </c>
      <c r="P80" s="95" t="e">
        <f>VLOOKUP($I$1&amp;P$8,DATA!$A:$EB,'2406'!$A80,0)/100</f>
        <v>#N/A</v>
      </c>
      <c r="Q80" s="95" t="e">
        <f>VLOOKUP($I$1&amp;Q$8,DATA!$A:$EB,'2406'!$A80,0)/100</f>
        <v>#N/A</v>
      </c>
      <c r="R80" s="95" t="e">
        <f>VLOOKUP($I$1&amp;R$8,DATA!$A:$EB,'2406'!$A80,0)/100</f>
        <v>#N/A</v>
      </c>
      <c r="S80" s="95" t="e">
        <f>VLOOKUP($I$1&amp;S$8,DATA!$A:$EB,'2406'!$A80,0)/100</f>
        <v>#N/A</v>
      </c>
      <c r="T80" s="95" t="e">
        <f>VLOOKUP($I$1&amp;T$8,DATA!$A:$EB,'2406'!$A80,0)/100</f>
        <v>#N/A</v>
      </c>
      <c r="U80" s="42"/>
    </row>
    <row r="81" spans="1:21" ht="16.5">
      <c r="A81" s="5">
        <f>DATA!DL1</f>
        <v>116</v>
      </c>
      <c r="C81" s="55"/>
      <c r="D81" s="148"/>
      <c r="E81" s="5" t="s">
        <v>74</v>
      </c>
      <c r="I81" s="1" t="e">
        <f>VLOOKUP($I$1&amp;I$8,DATA!$A:$EB,'2406'!$A81,0)/100</f>
        <v>#N/A</v>
      </c>
      <c r="J81" s="1" t="e">
        <f>VLOOKUP($I$1&amp;J$8,DATA!$A:$EB,'2406'!$A81,0)/100</f>
        <v>#N/A</v>
      </c>
      <c r="K81" s="95" t="e">
        <f>VLOOKUP($I$1&amp;K$8,DATA!$A:$EB,'2406'!$A81,0)/100</f>
        <v>#N/A</v>
      </c>
      <c r="L81" s="95" t="e">
        <f>VLOOKUP($I$1&amp;L$8,DATA!$A:$EB,'2406'!$A81,0)/100</f>
        <v>#N/A</v>
      </c>
      <c r="M81" s="95" t="e">
        <f>VLOOKUP($I$1&amp;M$8,DATA!$A:$EB,'2406'!$A81,0)/100</f>
        <v>#N/A</v>
      </c>
      <c r="N81" s="95" t="e">
        <f>VLOOKUP($I$1&amp;N$8,DATA!$A:$EB,'2406'!$A81,0)/100</f>
        <v>#N/A</v>
      </c>
      <c r="O81" s="95" t="e">
        <f>VLOOKUP($I$1&amp;O$8,DATA!$A:$EB,'2406'!$A81,0)/100</f>
        <v>#N/A</v>
      </c>
      <c r="P81" s="95" t="e">
        <f>VLOOKUP($I$1&amp;P$8,DATA!$A:$EB,'2406'!$A81,0)/100</f>
        <v>#N/A</v>
      </c>
      <c r="Q81" s="95" t="e">
        <f>VLOOKUP($I$1&amp;Q$8,DATA!$A:$EB,'2406'!$A81,0)/100</f>
        <v>#N/A</v>
      </c>
      <c r="R81" s="95" t="e">
        <f>VLOOKUP($I$1&amp;R$8,DATA!$A:$EB,'2406'!$A81,0)/100</f>
        <v>#N/A</v>
      </c>
      <c r="S81" s="95" t="e">
        <f>VLOOKUP($I$1&amp;S$8,DATA!$A:$EB,'2406'!$A81,0)/100</f>
        <v>#N/A</v>
      </c>
      <c r="T81" s="95" t="e">
        <f>VLOOKUP($I$1&amp;T$8,DATA!$A:$EB,'2406'!$A81,0)/100</f>
        <v>#N/A</v>
      </c>
      <c r="U81" s="42"/>
    </row>
    <row r="82" spans="1:21" ht="16.5">
      <c r="A82" s="5">
        <f>DATA!BY1</f>
        <v>77</v>
      </c>
      <c r="C82" s="55"/>
      <c r="D82" s="148"/>
      <c r="E82" s="54" t="s">
        <v>134</v>
      </c>
      <c r="F82" s="54"/>
      <c r="G82" s="54"/>
      <c r="H82" s="54"/>
      <c r="I82" s="1" t="e">
        <f>VLOOKUP($I$1&amp;I$8,DATA!$A:$EB,'2406'!$A82,0)/100</f>
        <v>#N/A</v>
      </c>
      <c r="J82" s="1" t="e">
        <f>VLOOKUP($I$1&amp;J$8,DATA!$A:$EB,'2406'!$A82,0)/100</f>
        <v>#N/A</v>
      </c>
      <c r="K82" s="95" t="e">
        <f>VLOOKUP($I$1&amp;K$8,DATA!$A:$EB,'2406'!$A82,0)/100</f>
        <v>#N/A</v>
      </c>
      <c r="L82" s="95" t="e">
        <f>VLOOKUP($I$1&amp;L$8,DATA!$A:$EB,'2406'!$A82,0)/100</f>
        <v>#N/A</v>
      </c>
      <c r="M82" s="95" t="e">
        <f>VLOOKUP($I$1&amp;M$8,DATA!$A:$EB,'2406'!$A82,0)/100</f>
        <v>#N/A</v>
      </c>
      <c r="N82" s="95" t="e">
        <f>VLOOKUP($I$1&amp;N$8,DATA!$A:$EB,'2406'!$A82,0)/100</f>
        <v>#N/A</v>
      </c>
      <c r="O82" s="95" t="e">
        <f>VLOOKUP($I$1&amp;O$8,DATA!$A:$EB,'2406'!$A82,0)/100</f>
        <v>#N/A</v>
      </c>
      <c r="P82" s="95" t="e">
        <f>VLOOKUP($I$1&amp;P$8,DATA!$A:$EB,'2406'!$A82,0)/100</f>
        <v>#N/A</v>
      </c>
      <c r="Q82" s="95" t="e">
        <f>VLOOKUP($I$1&amp;Q$8,DATA!$A:$EB,'2406'!$A82,0)/100</f>
        <v>#N/A</v>
      </c>
      <c r="R82" s="95" t="e">
        <f>VLOOKUP($I$1&amp;R$8,DATA!$A:$EB,'2406'!$A82,0)/100</f>
        <v>#N/A</v>
      </c>
      <c r="S82" s="95" t="e">
        <f>VLOOKUP($I$1&amp;S$8,DATA!$A:$EB,'2406'!$A82,0)/100</f>
        <v>#N/A</v>
      </c>
      <c r="T82" s="95" t="e">
        <f>VLOOKUP($I$1&amp;T$8,DATA!$A:$EB,'2406'!$A82,0)/100</f>
        <v>#N/A</v>
      </c>
      <c r="U82" s="42"/>
    </row>
    <row r="83" spans="1:21" ht="16.5">
      <c r="A83" s="5">
        <f>DATA!DG1</f>
        <v>111</v>
      </c>
      <c r="C83" s="55"/>
      <c r="D83" s="148"/>
      <c r="E83" s="54" t="s">
        <v>64</v>
      </c>
      <c r="F83" s="54"/>
      <c r="G83" s="54"/>
      <c r="H83" s="54"/>
      <c r="I83" s="1" t="e">
        <f>VLOOKUP($I$1&amp;I$8,DATA!$A:$EB,'2406'!$A83,0)/100</f>
        <v>#N/A</v>
      </c>
      <c r="J83" s="1" t="e">
        <f>VLOOKUP($I$1&amp;J$8,DATA!$A:$EB,'2406'!$A83,0)/100</f>
        <v>#N/A</v>
      </c>
      <c r="K83" s="95" t="e">
        <f>VLOOKUP($I$1&amp;K$8,DATA!$A:$EB,'2406'!$A83,0)/100</f>
        <v>#N/A</v>
      </c>
      <c r="L83" s="95" t="e">
        <f>VLOOKUP($I$1&amp;L$8,DATA!$A:$EB,'2406'!$A83,0)/100</f>
        <v>#N/A</v>
      </c>
      <c r="M83" s="95" t="e">
        <f>VLOOKUP($I$1&amp;M$8,DATA!$A:$EB,'2406'!$A83,0)/100</f>
        <v>#N/A</v>
      </c>
      <c r="N83" s="95" t="e">
        <f>VLOOKUP($I$1&amp;N$8,DATA!$A:$EB,'2406'!$A83,0)/100</f>
        <v>#N/A</v>
      </c>
      <c r="O83" s="95" t="e">
        <f>VLOOKUP($I$1&amp;O$8,DATA!$A:$EB,'2406'!$A83,0)/100</f>
        <v>#N/A</v>
      </c>
      <c r="P83" s="95" t="e">
        <f>VLOOKUP($I$1&amp;P$8,DATA!$A:$EB,'2406'!$A83,0)/100</f>
        <v>#N/A</v>
      </c>
      <c r="Q83" s="95" t="e">
        <f>VLOOKUP($I$1&amp;Q$8,DATA!$A:$EB,'2406'!$A83,0)/100</f>
        <v>#N/A</v>
      </c>
      <c r="R83" s="95" t="e">
        <f>VLOOKUP($I$1&amp;R$8,DATA!$A:$EB,'2406'!$A83,0)/100</f>
        <v>#N/A</v>
      </c>
      <c r="S83" s="95" t="e">
        <f>VLOOKUP($I$1&amp;S$8,DATA!$A:$EB,'2406'!$A83,0)/100</f>
        <v>#N/A</v>
      </c>
      <c r="T83" s="95" t="e">
        <f>VLOOKUP($I$1&amp;T$8,DATA!$A:$EB,'2406'!$A83,0)/100</f>
        <v>#N/A</v>
      </c>
      <c r="U83" s="42"/>
    </row>
    <row r="84" spans="1:21" ht="16.5">
      <c r="C84" s="55"/>
      <c r="D84" s="148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42"/>
    </row>
    <row r="85" spans="1:21" ht="16.5">
      <c r="C85" s="55"/>
      <c r="D85" s="148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42"/>
    </row>
    <row r="86" spans="1:21" ht="16.5">
      <c r="C86" s="41" t="s">
        <v>145</v>
      </c>
      <c r="D86" s="148"/>
      <c r="E86" s="54"/>
      <c r="F86" s="54"/>
      <c r="G86" s="54"/>
      <c r="H86" s="54"/>
      <c r="I86" s="54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</row>
    <row r="87" spans="1:21" ht="16.5"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2"/>
      <c r="P87" s="43"/>
      <c r="Q87" s="43"/>
      <c r="R87" s="42"/>
      <c r="S87" s="42"/>
      <c r="T87" s="44" t="s">
        <v>104</v>
      </c>
      <c r="U87" s="42"/>
    </row>
    <row r="88" spans="1:21" ht="16.5">
      <c r="C88" s="729" t="s">
        <v>105</v>
      </c>
      <c r="D88" s="729"/>
      <c r="E88" s="729"/>
      <c r="F88" s="729"/>
      <c r="G88" s="729"/>
      <c r="H88" s="730"/>
      <c r="I88" s="65" t="s">
        <v>124</v>
      </c>
      <c r="J88" s="45" t="s">
        <v>136</v>
      </c>
      <c r="K88" s="45" t="s">
        <v>137</v>
      </c>
      <c r="L88" s="45" t="s">
        <v>138</v>
      </c>
      <c r="M88" s="45" t="s">
        <v>4</v>
      </c>
      <c r="N88" s="45" t="s">
        <v>139</v>
      </c>
      <c r="O88" s="46" t="s">
        <v>6</v>
      </c>
      <c r="P88" s="46" t="s">
        <v>106</v>
      </c>
      <c r="Q88" s="46" t="s">
        <v>107</v>
      </c>
      <c r="R88" s="46" t="s">
        <v>108</v>
      </c>
      <c r="S88" s="46" t="s">
        <v>109</v>
      </c>
      <c r="T88" s="46" t="s">
        <v>110</v>
      </c>
      <c r="U88" s="42"/>
    </row>
    <row r="89" spans="1:21" ht="16.5">
      <c r="A89" s="5">
        <f>DATA!BW1</f>
        <v>75</v>
      </c>
      <c r="C89" s="745" t="s">
        <v>53</v>
      </c>
      <c r="D89" s="745"/>
      <c r="E89" s="745"/>
      <c r="F89" s="745"/>
      <c r="G89" s="745"/>
      <c r="H89" s="740"/>
      <c r="I89" s="25" t="e">
        <f>VLOOKUP($I$1&amp;I$8,DATA!$A:$EB,'2406'!$A89,0)/100</f>
        <v>#N/A</v>
      </c>
      <c r="J89" s="66" t="e">
        <f>VLOOKUP($I$1&amp;J$8,DATA!$A:$EB,'2406'!$A89,0)/100</f>
        <v>#N/A</v>
      </c>
      <c r="K89" s="66" t="e">
        <f>VLOOKUP($I$1&amp;K$8,DATA!$A:$EB,'2406'!$A89,0)/100</f>
        <v>#N/A</v>
      </c>
      <c r="L89" s="66" t="e">
        <f>VLOOKUP($I$1&amp;L$8,DATA!$A:$EB,'2406'!$A89,0)/100</f>
        <v>#N/A</v>
      </c>
      <c r="M89" s="66" t="e">
        <f>VLOOKUP($I$1&amp;M$8,DATA!$A:$EB,'2406'!$A89,0)/100</f>
        <v>#N/A</v>
      </c>
      <c r="N89" s="66" t="e">
        <f>VLOOKUP($I$1&amp;N$8,DATA!$A:$EB,'2406'!$A89,0)/100</f>
        <v>#N/A</v>
      </c>
      <c r="O89" s="25" t="e">
        <f>VLOOKUP($I$1&amp;O$8,DATA!$A:$EB,'2406'!$A89,0)/100</f>
        <v>#N/A</v>
      </c>
      <c r="P89" s="25" t="e">
        <f>VLOOKUP($I$1&amp;P$8,DATA!$A:$EB,'2406'!$A89,0)/100</f>
        <v>#N/A</v>
      </c>
      <c r="Q89" s="25" t="e">
        <f>VLOOKUP($I$1&amp;Q$8,DATA!$A:$EB,'2406'!$A89,0)/100</f>
        <v>#N/A</v>
      </c>
      <c r="R89" s="25" t="e">
        <f>VLOOKUP($I$1&amp;R$8,DATA!$A:$EB,'2406'!$A89,0)/100</f>
        <v>#N/A</v>
      </c>
      <c r="S89" s="25" t="e">
        <f>VLOOKUP($I$1&amp;S$8,DATA!$A:$EB,'2406'!$A89,0)/100</f>
        <v>#N/A</v>
      </c>
      <c r="T89" s="25" t="e">
        <f>VLOOKUP($I$1&amp;T$8,DATA!$A:$EB,'2406'!$A89,0)/100</f>
        <v>#N/A</v>
      </c>
      <c r="U89" s="42"/>
    </row>
    <row r="90" spans="1:21" ht="16.5">
      <c r="C90" s="743" t="s">
        <v>117</v>
      </c>
      <c r="D90" s="743"/>
      <c r="E90" s="743"/>
      <c r="F90" s="743"/>
      <c r="G90" s="743"/>
      <c r="H90" s="744"/>
      <c r="I90" s="67" t="e">
        <f>+I89-I103</f>
        <v>#N/A</v>
      </c>
      <c r="J90" s="68" t="e">
        <f t="shared" ref="J90:T90" si="13">+J89-J103</f>
        <v>#N/A</v>
      </c>
      <c r="K90" s="68" t="e">
        <f t="shared" si="13"/>
        <v>#N/A</v>
      </c>
      <c r="L90" s="68" t="e">
        <f t="shared" si="13"/>
        <v>#N/A</v>
      </c>
      <c r="M90" s="68" t="e">
        <f t="shared" si="13"/>
        <v>#N/A</v>
      </c>
      <c r="N90" s="68" t="e">
        <f t="shared" si="13"/>
        <v>#N/A</v>
      </c>
      <c r="O90" s="67" t="e">
        <f t="shared" si="13"/>
        <v>#N/A</v>
      </c>
      <c r="P90" s="67" t="e">
        <f t="shared" si="13"/>
        <v>#N/A</v>
      </c>
      <c r="Q90" s="67" t="e">
        <f t="shared" si="13"/>
        <v>#N/A</v>
      </c>
      <c r="R90" s="67" t="e">
        <f t="shared" si="13"/>
        <v>#N/A</v>
      </c>
      <c r="S90" s="67" t="e">
        <f t="shared" si="13"/>
        <v>#N/A</v>
      </c>
      <c r="T90" s="67" t="e">
        <f t="shared" si="13"/>
        <v>#N/A</v>
      </c>
      <c r="U90" s="42"/>
    </row>
    <row r="91" spans="1:21" ht="16.5">
      <c r="C91" s="784" t="s">
        <v>118</v>
      </c>
      <c r="D91" s="784"/>
      <c r="E91" s="784"/>
      <c r="F91" s="784"/>
      <c r="G91" s="784"/>
      <c r="H91" s="785"/>
      <c r="I91" s="69" t="e">
        <f>+I90/I89</f>
        <v>#N/A</v>
      </c>
      <c r="J91" s="70" t="e">
        <f t="shared" ref="J91:T91" si="14">+J90/J89</f>
        <v>#N/A</v>
      </c>
      <c r="K91" s="70" t="e">
        <f t="shared" si="14"/>
        <v>#N/A</v>
      </c>
      <c r="L91" s="70" t="e">
        <f t="shared" si="14"/>
        <v>#N/A</v>
      </c>
      <c r="M91" s="70" t="e">
        <f t="shared" si="14"/>
        <v>#N/A</v>
      </c>
      <c r="N91" s="70" t="e">
        <f t="shared" si="14"/>
        <v>#N/A</v>
      </c>
      <c r="O91" s="71" t="e">
        <f t="shared" si="14"/>
        <v>#N/A</v>
      </c>
      <c r="P91" s="71" t="e">
        <f t="shared" si="14"/>
        <v>#N/A</v>
      </c>
      <c r="Q91" s="71" t="e">
        <f t="shared" si="14"/>
        <v>#N/A</v>
      </c>
      <c r="R91" s="71" t="e">
        <f t="shared" si="14"/>
        <v>#N/A</v>
      </c>
      <c r="S91" s="71" t="e">
        <f t="shared" si="14"/>
        <v>#N/A</v>
      </c>
      <c r="T91" s="71" t="e">
        <f t="shared" si="14"/>
        <v>#N/A</v>
      </c>
      <c r="U91" s="42"/>
    </row>
    <row r="92" spans="1:21" ht="16.5">
      <c r="A92" s="5">
        <f>DATA!BX1</f>
        <v>76</v>
      </c>
      <c r="C92" s="745" t="s">
        <v>119</v>
      </c>
      <c r="D92" s="745"/>
      <c r="E92" s="745"/>
      <c r="F92" s="745"/>
      <c r="G92" s="745"/>
      <c r="H92" s="740"/>
      <c r="I92" s="25" t="e">
        <f>VLOOKUP($I$1&amp;I$8,DATA!$A:$EB,'2406'!$A92,0)/100</f>
        <v>#N/A</v>
      </c>
      <c r="J92" s="66" t="e">
        <f>VLOOKUP($I$1&amp;J$8,DATA!$A:$EB,'2406'!$A92,0)/100</f>
        <v>#N/A</v>
      </c>
      <c r="K92" s="25" t="e">
        <f>VLOOKUP($I$1&amp;K$8,DATA!$A:$EB,'2406'!$A92,0)/100</f>
        <v>#N/A</v>
      </c>
      <c r="L92" s="25" t="e">
        <f>VLOOKUP($I$1&amp;L$8,DATA!$A:$EB,'2406'!$A92,0)/100</f>
        <v>#N/A</v>
      </c>
      <c r="M92" s="25" t="e">
        <f>VLOOKUP($I$1&amp;M$8,DATA!$A:$EB,'2406'!$A92,0)/100</f>
        <v>#N/A</v>
      </c>
      <c r="N92" s="25" t="e">
        <f>VLOOKUP($I$1&amp;N$8,DATA!$A:$EB,'2406'!$A92,0)/100</f>
        <v>#N/A</v>
      </c>
      <c r="O92" s="25" t="e">
        <f>VLOOKUP($I$1&amp;O$8,DATA!$A:$EB,'2406'!$A92,0)/100</f>
        <v>#N/A</v>
      </c>
      <c r="P92" s="25" t="e">
        <f>VLOOKUP($I$1&amp;P$8,DATA!$A:$EB,'2406'!$A92,0)/100</f>
        <v>#N/A</v>
      </c>
      <c r="Q92" s="25" t="e">
        <f>VLOOKUP($I$1&amp;Q$8,DATA!$A:$EB,'2406'!$A92,0)/100</f>
        <v>#N/A</v>
      </c>
      <c r="R92" s="25" t="e">
        <f>VLOOKUP($I$1&amp;R$8,DATA!$A:$EB,'2406'!$A92,0)/100</f>
        <v>#N/A</v>
      </c>
      <c r="S92" s="25" t="e">
        <f>VLOOKUP($I$1&amp;S$8,DATA!$A:$EB,'2406'!$A92,0)/100</f>
        <v>#N/A</v>
      </c>
      <c r="T92" s="25" t="e">
        <f>VLOOKUP($I$1&amp;T$8,DATA!$A:$EB,'2406'!$A92,0)/100</f>
        <v>#N/A</v>
      </c>
      <c r="U92" s="42"/>
    </row>
    <row r="93" spans="1:21" ht="16.5">
      <c r="A93" s="5">
        <f>DATA!BY1</f>
        <v>77</v>
      </c>
      <c r="C93" s="750" t="s">
        <v>120</v>
      </c>
      <c r="D93" s="750"/>
      <c r="E93" s="750"/>
      <c r="F93" s="750"/>
      <c r="G93" s="750"/>
      <c r="H93" s="751"/>
      <c r="I93" s="72" t="e">
        <f>VLOOKUP($I$1&amp;I$8,DATA!$A:$EB,'2406'!$A93,0)/100</f>
        <v>#N/A</v>
      </c>
      <c r="J93" s="73" t="e">
        <f>VLOOKUP($I$1&amp;J$8,DATA!$A:$EB,'2406'!$A93,0)/100</f>
        <v>#N/A</v>
      </c>
      <c r="K93" s="72" t="e">
        <f>VLOOKUP($I$1&amp;K$8,DATA!$A:$EB,'2406'!$A93,0)/100</f>
        <v>#N/A</v>
      </c>
      <c r="L93" s="72" t="e">
        <f>VLOOKUP($I$1&amp;L$8,DATA!$A:$EB,'2406'!$A93,0)/100</f>
        <v>#N/A</v>
      </c>
      <c r="M93" s="72" t="e">
        <f>VLOOKUP($I$1&amp;M$8,DATA!$A:$EB,'2406'!$A93,0)/100</f>
        <v>#N/A</v>
      </c>
      <c r="N93" s="72" t="e">
        <f>VLOOKUP($I$1&amp;N$8,DATA!$A:$EB,'2406'!$A93,0)/100</f>
        <v>#N/A</v>
      </c>
      <c r="O93" s="72" t="e">
        <f>VLOOKUP($I$1&amp;O$8,DATA!$A:$EB,'2406'!$A93,0)/100</f>
        <v>#N/A</v>
      </c>
      <c r="P93" s="72" t="e">
        <f>VLOOKUP($I$1&amp;P$8,DATA!$A:$EB,'2406'!$A93,0)/100</f>
        <v>#N/A</v>
      </c>
      <c r="Q93" s="72" t="e">
        <f>VLOOKUP($I$1&amp;Q$8,DATA!$A:$EB,'2406'!$A93,0)/100</f>
        <v>#N/A</v>
      </c>
      <c r="R93" s="72" t="e">
        <f>VLOOKUP($I$1&amp;R$8,DATA!$A:$EB,'2406'!$A93,0)/100</f>
        <v>#N/A</v>
      </c>
      <c r="S93" s="72" t="e">
        <f>VLOOKUP($I$1&amp;S$8,DATA!$A:$EB,'2406'!$A93,0)/100</f>
        <v>#N/A</v>
      </c>
      <c r="T93" s="72" t="e">
        <f>VLOOKUP($I$1&amp;T$8,DATA!$A:$EB,'2406'!$A93,0)/100</f>
        <v>#N/A</v>
      </c>
      <c r="U93" s="42"/>
    </row>
    <row r="94" spans="1:21" ht="16.5">
      <c r="A94" s="22"/>
      <c r="B94" s="22"/>
      <c r="C94" s="750" t="s">
        <v>146</v>
      </c>
      <c r="D94" s="750"/>
      <c r="E94" s="750"/>
      <c r="F94" s="750"/>
      <c r="G94" s="750"/>
      <c r="H94" s="751"/>
      <c r="I94" s="74" t="e">
        <f>+I93/(I89+I93)*(4/$J$1)</f>
        <v>#N/A</v>
      </c>
      <c r="J94" s="75" t="e">
        <f t="shared" ref="J94:T94" si="15">+J93/(J89+J93)*(4/$J$1)</f>
        <v>#N/A</v>
      </c>
      <c r="K94" s="74" t="e">
        <f t="shared" si="15"/>
        <v>#N/A</v>
      </c>
      <c r="L94" s="74" t="e">
        <f t="shared" si="15"/>
        <v>#N/A</v>
      </c>
      <c r="M94" s="74" t="e">
        <f t="shared" si="15"/>
        <v>#N/A</v>
      </c>
      <c r="N94" s="74" t="e">
        <f t="shared" si="15"/>
        <v>#N/A</v>
      </c>
      <c r="O94" s="74" t="e">
        <f t="shared" si="15"/>
        <v>#N/A</v>
      </c>
      <c r="P94" s="74" t="e">
        <f t="shared" si="15"/>
        <v>#N/A</v>
      </c>
      <c r="Q94" s="74" t="e">
        <f t="shared" si="15"/>
        <v>#N/A</v>
      </c>
      <c r="R94" s="74" t="e">
        <f t="shared" si="15"/>
        <v>#N/A</v>
      </c>
      <c r="S94" s="74" t="e">
        <f t="shared" si="15"/>
        <v>#N/A</v>
      </c>
      <c r="T94" s="74" t="e">
        <f t="shared" si="15"/>
        <v>#N/A</v>
      </c>
      <c r="U94" s="42"/>
    </row>
    <row r="95" spans="1:21" ht="16.5">
      <c r="B95" s="22"/>
      <c r="C95" s="752" t="s">
        <v>121</v>
      </c>
      <c r="D95" s="752"/>
      <c r="E95" s="752"/>
      <c r="F95" s="752"/>
      <c r="G95" s="752"/>
      <c r="H95" s="753"/>
      <c r="I95" s="76" t="e">
        <f>+I92/I93</f>
        <v>#N/A</v>
      </c>
      <c r="J95" s="77" t="e">
        <f t="shared" ref="J95:T95" si="16">+J92/J93</f>
        <v>#N/A</v>
      </c>
      <c r="K95" s="76" t="e">
        <f t="shared" si="16"/>
        <v>#N/A</v>
      </c>
      <c r="L95" s="76" t="e">
        <f t="shared" si="16"/>
        <v>#N/A</v>
      </c>
      <c r="M95" s="76" t="e">
        <f t="shared" si="16"/>
        <v>#N/A</v>
      </c>
      <c r="N95" s="76" t="e">
        <f t="shared" si="16"/>
        <v>#N/A</v>
      </c>
      <c r="O95" s="76" t="e">
        <f t="shared" si="16"/>
        <v>#N/A</v>
      </c>
      <c r="P95" s="76" t="e">
        <f t="shared" si="16"/>
        <v>#N/A</v>
      </c>
      <c r="Q95" s="76" t="e">
        <f t="shared" si="16"/>
        <v>#N/A</v>
      </c>
      <c r="R95" s="76" t="e">
        <f t="shared" si="16"/>
        <v>#N/A</v>
      </c>
      <c r="S95" s="76" t="e">
        <f t="shared" si="16"/>
        <v>#N/A</v>
      </c>
      <c r="T95" s="76" t="e">
        <f t="shared" si="16"/>
        <v>#N/A</v>
      </c>
      <c r="U95" s="42"/>
    </row>
    <row r="96" spans="1:21" ht="16.5">
      <c r="A96" s="5">
        <f>DATA!CE1</f>
        <v>83</v>
      </c>
      <c r="C96" s="786" t="s">
        <v>147</v>
      </c>
      <c r="D96" s="748"/>
      <c r="E96" s="749"/>
      <c r="F96" s="787" t="s">
        <v>148</v>
      </c>
      <c r="G96" s="748"/>
      <c r="H96" s="749"/>
      <c r="I96" s="78" t="e">
        <f>VLOOKUP($I$1&amp;I$8,DATA!$A:$EB,'2406'!$A96,0)/100</f>
        <v>#N/A</v>
      </c>
      <c r="J96" s="79" t="e">
        <f>VLOOKUP($I$1&amp;J$8,DATA!$A:$EB,'2406'!$A96,0)/100</f>
        <v>#N/A</v>
      </c>
      <c r="K96" s="78" t="e">
        <f>VLOOKUP($I$1&amp;K$8,DATA!$A:$EB,'2406'!$A96,0)/100</f>
        <v>#N/A</v>
      </c>
      <c r="L96" s="78" t="e">
        <f>VLOOKUP($I$1&amp;L$8,DATA!$A:$EB,'2406'!$A96,0)/100</f>
        <v>#N/A</v>
      </c>
      <c r="M96" s="78" t="e">
        <f>VLOOKUP($I$1&amp;M$8,DATA!$A:$EB,'2406'!$A96,0)/100</f>
        <v>#N/A</v>
      </c>
      <c r="N96" s="78" t="e">
        <f>VLOOKUP($I$1&amp;N$8,DATA!$A:$EB,'2406'!$A96,0)/100</f>
        <v>#N/A</v>
      </c>
      <c r="O96" s="78" t="e">
        <f>VLOOKUP($I$1&amp;O$8,DATA!$A:$EB,'2406'!$A96,0)/100</f>
        <v>#N/A</v>
      </c>
      <c r="P96" s="78" t="e">
        <f>VLOOKUP($I$1&amp;P$8,DATA!$A:$EB,'2406'!$A96,0)/100</f>
        <v>#N/A</v>
      </c>
      <c r="Q96" s="78" t="e">
        <f>VLOOKUP($I$1&amp;Q$8,DATA!$A:$EB,'2406'!$A96,0)/100</f>
        <v>#N/A</v>
      </c>
      <c r="R96" s="78" t="e">
        <f>VLOOKUP($I$1&amp;R$8,DATA!$A:$EB,'2406'!$A96,0)/100</f>
        <v>#N/A</v>
      </c>
      <c r="S96" s="78" t="e">
        <f>VLOOKUP($I$1&amp;S$8,DATA!$A:$EB,'2406'!$A96,0)/100</f>
        <v>#N/A</v>
      </c>
      <c r="T96" s="78" t="e">
        <f>VLOOKUP($I$1&amp;T$8,DATA!$A:$EB,'2406'!$A96,0)/100</f>
        <v>#N/A</v>
      </c>
      <c r="U96" s="42"/>
    </row>
    <row r="97" spans="1:21" ht="16.5">
      <c r="A97" s="5">
        <f>DATA!CF1</f>
        <v>84</v>
      </c>
      <c r="C97" s="750"/>
      <c r="D97" s="750"/>
      <c r="E97" s="751"/>
      <c r="F97" s="788" t="s">
        <v>149</v>
      </c>
      <c r="G97" s="750"/>
      <c r="H97" s="751"/>
      <c r="I97" s="80" t="e">
        <f>VLOOKUP($I$1&amp;I$8,DATA!$A:$EB,'2406'!$A97,0)/100+VLOOKUP($I$1&amp;I$8,DATA!$A:$EB,'2406'!$A97+1,0)/100</f>
        <v>#N/A</v>
      </c>
      <c r="J97" s="151" t="e">
        <f>VLOOKUP($I$1&amp;J$8,DATA!$A:$EB,'2406'!$A97,0)/100+VLOOKUP($I$1&amp;J$8,DATA!$A:$EB,'2406'!$A97+1,0)/100</f>
        <v>#N/A</v>
      </c>
      <c r="K97" s="80" t="e">
        <f>VLOOKUP($I$1&amp;K$8,DATA!$A:$EB,'2406'!$A97,0)/100+VLOOKUP($I$1&amp;K$8,DATA!$A:$EB,'2406'!$A97+1,0)/100</f>
        <v>#N/A</v>
      </c>
      <c r="L97" s="80" t="e">
        <f>VLOOKUP($I$1&amp;L$8,DATA!$A:$EB,'2406'!$A97,0)/100+VLOOKUP($I$1&amp;L$8,DATA!$A:$EB,'2406'!$A97+1,0)/100</f>
        <v>#N/A</v>
      </c>
      <c r="M97" s="80" t="e">
        <f>VLOOKUP($I$1&amp;M$8,DATA!$A:$EB,'2406'!$A97,0)/100+VLOOKUP($I$1&amp;M$8,DATA!$A:$EB,'2406'!$A97+1,0)/100</f>
        <v>#N/A</v>
      </c>
      <c r="N97" s="80" t="e">
        <f>VLOOKUP($I$1&amp;N$8,DATA!$A:$EB,'2406'!$A97,0)/100+VLOOKUP($I$1&amp;N$8,DATA!$A:$EB,'2406'!$A97+1,0)/100</f>
        <v>#N/A</v>
      </c>
      <c r="O97" s="80" t="e">
        <f>VLOOKUP($I$1&amp;O$8,DATA!$A:$EB,'2406'!$A97,0)/100+VLOOKUP($I$1&amp;O$8,DATA!$A:$EB,'2406'!$A97+1,0)/100</f>
        <v>#N/A</v>
      </c>
      <c r="P97" s="80" t="e">
        <f>VLOOKUP($I$1&amp;P$8,DATA!$A:$EB,'2406'!$A97,0)/100+VLOOKUP($I$1&amp;P$8,DATA!$A:$EB,'2406'!$A97+1,0)/100</f>
        <v>#N/A</v>
      </c>
      <c r="Q97" s="80" t="e">
        <f>VLOOKUP($I$1&amp;Q$8,DATA!$A:$EB,'2406'!$A97,0)/100+VLOOKUP($I$1&amp;Q$8,DATA!$A:$EB,'2406'!$A97+1,0)/100</f>
        <v>#N/A</v>
      </c>
      <c r="R97" s="80" t="e">
        <f>VLOOKUP($I$1&amp;R$8,DATA!$A:$EB,'2406'!$A97,0)/100+VLOOKUP($I$1&amp;R$8,DATA!$A:$EB,'2406'!$A97+1,0)/100</f>
        <v>#N/A</v>
      </c>
      <c r="S97" s="80" t="e">
        <f>VLOOKUP($I$1&amp;S$8,DATA!$A:$EB,'2406'!$A97,0)/100+VLOOKUP($I$1&amp;S$8,DATA!$A:$EB,'2406'!$A97+1,0)/100</f>
        <v>#N/A</v>
      </c>
      <c r="T97" s="80" t="e">
        <f>VLOOKUP($I$1&amp;T$8,DATA!$A:$EB,'2406'!$A97,0)/100+VLOOKUP($I$1&amp;T$8,DATA!$A:$EB,'2406'!$A97+1,0)/100</f>
        <v>#N/A</v>
      </c>
      <c r="U97" s="42"/>
    </row>
    <row r="98" spans="1:21" ht="16.5">
      <c r="A98" s="5">
        <f>DATA!CH1</f>
        <v>86</v>
      </c>
      <c r="C98" s="750"/>
      <c r="D98" s="750"/>
      <c r="E98" s="751"/>
      <c r="F98" s="788" t="s">
        <v>58</v>
      </c>
      <c r="G98" s="750"/>
      <c r="H98" s="751"/>
      <c r="I98" s="80" t="e">
        <f>VLOOKUP($I$1&amp;I$8,DATA!$A:$EB,'2406'!$A98,0)/100</f>
        <v>#N/A</v>
      </c>
      <c r="J98" s="808" t="e">
        <f>VLOOKUP($I$1&amp;J$8,DATA!$A:$EB,'2406'!$A98,0)/100</f>
        <v>#N/A</v>
      </c>
      <c r="K98" s="80" t="e">
        <f>VLOOKUP($I$1&amp;K$8,DATA!$A:$EB,'2406'!$A98,0)/100</f>
        <v>#N/A</v>
      </c>
      <c r="L98" s="80" t="e">
        <f>VLOOKUP($I$1&amp;L$8,DATA!$A:$EB,'2406'!$A98,0)/100</f>
        <v>#N/A</v>
      </c>
      <c r="M98" s="80" t="e">
        <f>VLOOKUP($I$1&amp;M$8,DATA!$A:$EB,'2406'!$A98,0)/100</f>
        <v>#N/A</v>
      </c>
      <c r="N98" s="80" t="e">
        <f>VLOOKUP($I$1&amp;N$8,DATA!$A:$EB,'2406'!$A98,0)/100</f>
        <v>#N/A</v>
      </c>
      <c r="O98" s="80" t="e">
        <f>VLOOKUP($I$1&amp;O$8,DATA!$A:$EB,'2406'!$A98,0)/100</f>
        <v>#N/A</v>
      </c>
      <c r="P98" s="808" t="e">
        <f>VLOOKUP($I$1&amp;P$8,DATA!$A:$EB,'2406'!$A98,0)/100</f>
        <v>#N/A</v>
      </c>
      <c r="Q98" s="80" t="e">
        <f>VLOOKUP($I$1&amp;Q$8,DATA!$A:$EB,'2406'!$A98,0)/100</f>
        <v>#N/A</v>
      </c>
      <c r="R98" s="80" t="e">
        <f>VLOOKUP($I$1&amp;R$8,DATA!$A:$EB,'2406'!$A98,0)/100</f>
        <v>#N/A</v>
      </c>
      <c r="S98" s="80" t="e">
        <f>VLOOKUP($I$1&amp;S$8,DATA!$A:$EB,'2406'!$A98,0)/100</f>
        <v>#N/A</v>
      </c>
      <c r="T98" s="80" t="e">
        <f>VLOOKUP($I$1&amp;T$8,DATA!$A:$EB,'2406'!$A98,0)/100</f>
        <v>#N/A</v>
      </c>
      <c r="U98" s="42"/>
    </row>
    <row r="99" spans="1:21" ht="16.5">
      <c r="A99" s="5">
        <f>DATA!CI1</f>
        <v>87</v>
      </c>
      <c r="C99" s="752"/>
      <c r="D99" s="752"/>
      <c r="E99" s="753"/>
      <c r="F99" s="781" t="s">
        <v>150</v>
      </c>
      <c r="G99" s="752"/>
      <c r="H99" s="753"/>
      <c r="I99" s="82" t="e">
        <f>VLOOKUP($I$1&amp;I$8,DATA!$A:$EB,'2406'!$A99,0)/100</f>
        <v>#N/A</v>
      </c>
      <c r="J99" s="809" t="e">
        <f>VLOOKUP($I$1&amp;J$8,DATA!$A:$EB,'2406'!$A99,0)/100</f>
        <v>#N/A</v>
      </c>
      <c r="K99" s="82" t="e">
        <f>VLOOKUP($I$1&amp;K$8,DATA!$A:$EB,'2406'!$A99,0)/100</f>
        <v>#N/A</v>
      </c>
      <c r="L99" s="82" t="e">
        <f>VLOOKUP($I$1&amp;L$8,DATA!$A:$EB,'2406'!$A99,0)/100</f>
        <v>#N/A</v>
      </c>
      <c r="M99" s="82" t="e">
        <f>VLOOKUP($I$1&amp;M$8,DATA!$A:$EB,'2406'!$A99,0)/100</f>
        <v>#N/A</v>
      </c>
      <c r="N99" s="82" t="e">
        <f>VLOOKUP($I$1&amp;N$8,DATA!$A:$EB,'2406'!$A99,0)/100</f>
        <v>#N/A</v>
      </c>
      <c r="O99" s="82" t="e">
        <f>VLOOKUP($I$1&amp;O$8,DATA!$A:$EB,'2406'!$A99,0)/100</f>
        <v>#N/A</v>
      </c>
      <c r="P99" s="809" t="e">
        <f>VLOOKUP($I$1&amp;P$8,DATA!$A:$EB,'2406'!$A99,0)/100</f>
        <v>#N/A</v>
      </c>
      <c r="Q99" s="82" t="e">
        <f>VLOOKUP($I$1&amp;Q$8,DATA!$A:$EB,'2406'!$A99,0)/100</f>
        <v>#N/A</v>
      </c>
      <c r="R99" s="82" t="e">
        <f>VLOOKUP($I$1&amp;R$8,DATA!$A:$EB,'2406'!$A99,0)/100</f>
        <v>#N/A</v>
      </c>
      <c r="S99" s="82" t="e">
        <f>VLOOKUP($I$1&amp;S$8,DATA!$A:$EB,'2406'!$A99,0)/100</f>
        <v>#N/A</v>
      </c>
      <c r="T99" s="82" t="e">
        <f>VLOOKUP($I$1&amp;T$8,DATA!$A:$EB,'2406'!$A99,0)/100</f>
        <v>#N/A</v>
      </c>
      <c r="U99" s="42"/>
    </row>
    <row r="100" spans="1:21" ht="16.5">
      <c r="C100" s="83" t="s">
        <v>151</v>
      </c>
      <c r="D100" s="148"/>
      <c r="E100" s="54"/>
      <c r="F100" s="54"/>
      <c r="G100" s="54"/>
      <c r="H100" s="54"/>
      <c r="I100" s="84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42"/>
    </row>
    <row r="101" spans="1:21" ht="16.5">
      <c r="C101" s="52" t="s">
        <v>152</v>
      </c>
      <c r="D101" s="148"/>
      <c r="E101" s="54"/>
      <c r="F101" s="54"/>
      <c r="G101" s="54"/>
      <c r="H101" s="54"/>
      <c r="I101" s="84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42"/>
    </row>
    <row r="102" spans="1:21" ht="16.5">
      <c r="C102" s="55"/>
      <c r="D102" s="148"/>
      <c r="E102" s="54"/>
      <c r="F102" s="54"/>
      <c r="G102" s="54"/>
      <c r="H102" s="54"/>
      <c r="I102" s="135" t="e">
        <f>+I92/I89</f>
        <v>#N/A</v>
      </c>
      <c r="J102" s="135" t="e">
        <f t="shared" ref="J102:T102" si="17">+J92/J89</f>
        <v>#N/A</v>
      </c>
      <c r="K102" s="135" t="e">
        <f t="shared" si="17"/>
        <v>#N/A</v>
      </c>
      <c r="L102" s="135" t="e">
        <f t="shared" si="17"/>
        <v>#N/A</v>
      </c>
      <c r="M102" s="135" t="e">
        <f t="shared" si="17"/>
        <v>#N/A</v>
      </c>
      <c r="N102" s="135" t="e">
        <f t="shared" si="17"/>
        <v>#N/A</v>
      </c>
      <c r="O102" s="135" t="e">
        <f t="shared" si="17"/>
        <v>#N/A</v>
      </c>
      <c r="P102" s="135" t="e">
        <f t="shared" si="17"/>
        <v>#N/A</v>
      </c>
      <c r="Q102" s="135" t="e">
        <f t="shared" si="17"/>
        <v>#N/A</v>
      </c>
      <c r="R102" s="135" t="e">
        <f t="shared" si="17"/>
        <v>#N/A</v>
      </c>
      <c r="S102" s="135" t="e">
        <f t="shared" si="17"/>
        <v>#N/A</v>
      </c>
      <c r="T102" s="135" t="e">
        <f t="shared" si="17"/>
        <v>#N/A</v>
      </c>
      <c r="U102" s="42"/>
    </row>
    <row r="103" spans="1:21" ht="16.5">
      <c r="A103" s="5">
        <f>DATA!CB1</f>
        <v>80</v>
      </c>
      <c r="C103" s="55"/>
      <c r="D103" s="148"/>
      <c r="E103" s="54" t="s">
        <v>122</v>
      </c>
      <c r="F103" s="54"/>
      <c r="G103" s="54"/>
      <c r="H103" s="54"/>
      <c r="I103" s="1" t="e">
        <f>VLOOKUP($I$1&amp;I$8,DATA!$A:$EB,'2406'!$A103,0)/100</f>
        <v>#N/A</v>
      </c>
      <c r="J103" s="1" t="e">
        <f>VLOOKUP($I$1&amp;J$8,DATA!$A:$EB,'2406'!$A103,0)/100</f>
        <v>#N/A</v>
      </c>
      <c r="K103" s="95" t="e">
        <f>VLOOKUP($I$1&amp;K$8,DATA!$A:$EB,'2406'!$A103,0)/100</f>
        <v>#N/A</v>
      </c>
      <c r="L103" s="95" t="e">
        <f>VLOOKUP($I$1&amp;L$8,DATA!$A:$EB,'2406'!$A103,0)/100</f>
        <v>#N/A</v>
      </c>
      <c r="M103" s="95" t="e">
        <f>VLOOKUP($I$1&amp;M$8,DATA!$A:$EB,'2406'!$A103,0)/100</f>
        <v>#N/A</v>
      </c>
      <c r="N103" s="95" t="e">
        <f>VLOOKUP($I$1&amp;N$8,DATA!$A:$EB,'2406'!$A103,0)/100</f>
        <v>#N/A</v>
      </c>
      <c r="O103" s="95" t="e">
        <f>VLOOKUP($I$1&amp;O$8,DATA!$A:$EB,'2406'!$A103,0)/100</f>
        <v>#N/A</v>
      </c>
      <c r="P103" s="95" t="e">
        <f>VLOOKUP($I$1&amp;P$8,DATA!$A:$EB,'2406'!$A103,0)/100</f>
        <v>#N/A</v>
      </c>
      <c r="Q103" s="95" t="e">
        <f>VLOOKUP($I$1&amp;Q$8,DATA!$A:$EB,'2406'!$A103,0)/100</f>
        <v>#N/A</v>
      </c>
      <c r="R103" s="95" t="e">
        <f>VLOOKUP($I$1&amp;R$8,DATA!$A:$EB,'2406'!$A103,0)/100</f>
        <v>#N/A</v>
      </c>
      <c r="S103" s="95" t="e">
        <f>VLOOKUP($I$1&amp;S$8,DATA!$A:$EB,'2406'!$A103,0)/100</f>
        <v>#N/A</v>
      </c>
      <c r="T103" s="95" t="e">
        <f>VLOOKUP($I$1&amp;T$8,DATA!$A:$EB,'2406'!$A103,0)/100</f>
        <v>#N/A</v>
      </c>
      <c r="U103" s="42"/>
    </row>
    <row r="104" spans="1:21" ht="16.5">
      <c r="C104" s="55"/>
      <c r="D104" s="148"/>
      <c r="E104" s="54"/>
      <c r="F104" s="54"/>
      <c r="G104" s="54"/>
      <c r="H104" s="54"/>
      <c r="I104" s="86" t="e">
        <f>I89-SUM(I96:I99)</f>
        <v>#N/A</v>
      </c>
      <c r="J104" s="86" t="e">
        <f t="shared" ref="J104:T104" si="18">J89-SUM(J96:J99)</f>
        <v>#N/A</v>
      </c>
      <c r="K104" s="86" t="e">
        <f t="shared" si="18"/>
        <v>#N/A</v>
      </c>
      <c r="L104" s="86" t="e">
        <f t="shared" si="18"/>
        <v>#N/A</v>
      </c>
      <c r="M104" s="86" t="e">
        <f t="shared" si="18"/>
        <v>#N/A</v>
      </c>
      <c r="N104" s="86" t="e">
        <f t="shared" si="18"/>
        <v>#N/A</v>
      </c>
      <c r="O104" s="86" t="e">
        <f t="shared" si="18"/>
        <v>#N/A</v>
      </c>
      <c r="P104" s="86" t="e">
        <f t="shared" si="18"/>
        <v>#N/A</v>
      </c>
      <c r="Q104" s="86" t="e">
        <f t="shared" si="18"/>
        <v>#N/A</v>
      </c>
      <c r="R104" s="86" t="e">
        <f t="shared" si="18"/>
        <v>#N/A</v>
      </c>
      <c r="S104" s="86" t="e">
        <f t="shared" si="18"/>
        <v>#N/A</v>
      </c>
      <c r="T104" s="86" t="e">
        <f t="shared" si="18"/>
        <v>#N/A</v>
      </c>
      <c r="U104" s="42"/>
    </row>
    <row r="105" spans="1:21" ht="16.5">
      <c r="A105" s="5">
        <f>DATA!BZ1</f>
        <v>78</v>
      </c>
      <c r="C105" s="55"/>
      <c r="D105" s="148"/>
      <c r="E105" s="54" t="s">
        <v>886</v>
      </c>
      <c r="F105" s="54"/>
      <c r="G105" s="54"/>
      <c r="H105" s="54"/>
      <c r="I105" s="136" t="e">
        <f>VLOOKUP($I$1&amp;I$8,DATA!$A:$EB,'2406'!$A105,0)/100</f>
        <v>#N/A</v>
      </c>
      <c r="J105" s="136" t="e">
        <f>VLOOKUP($I$1&amp;J$8,DATA!$A:$EB,'2406'!$A105,0)/100</f>
        <v>#N/A</v>
      </c>
      <c r="K105" s="137" t="e">
        <f>VLOOKUP($I$1&amp;K$8,DATA!$A:$EB,'2406'!$A105,0)/100</f>
        <v>#N/A</v>
      </c>
      <c r="L105" s="137" t="e">
        <f>VLOOKUP($I$1&amp;L$8,DATA!$A:$EB,'2406'!$A105,0)/100</f>
        <v>#N/A</v>
      </c>
      <c r="M105" s="137" t="e">
        <f>VLOOKUP($I$1&amp;M$8,DATA!$A:$EB,'2406'!$A105,0)/100</f>
        <v>#N/A</v>
      </c>
      <c r="N105" s="137" t="e">
        <f>VLOOKUP($I$1&amp;N$8,DATA!$A:$EB,'2406'!$A105,0)/100</f>
        <v>#N/A</v>
      </c>
      <c r="O105" s="137" t="e">
        <f>VLOOKUP($I$1&amp;O$8,DATA!$A:$EB,'2406'!$A105,0)/100</f>
        <v>#N/A</v>
      </c>
      <c r="P105" s="137" t="e">
        <f>VLOOKUP($I$1&amp;P$8,DATA!$A:$EB,'2406'!$A105,0)/100</f>
        <v>#N/A</v>
      </c>
      <c r="Q105" s="137" t="e">
        <f>VLOOKUP($I$1&amp;Q$8,DATA!$A:$EB,'2406'!$A105,0)/100</f>
        <v>#N/A</v>
      </c>
      <c r="R105" s="137" t="e">
        <f>VLOOKUP($I$1&amp;R$8,DATA!$A:$EB,'2406'!$A105,0)/100</f>
        <v>#N/A</v>
      </c>
      <c r="S105" s="137" t="e">
        <f>VLOOKUP($I$1&amp;S$8,DATA!$A:$EB,'2406'!$A105,0)/100</f>
        <v>#N/A</v>
      </c>
      <c r="T105" s="137" t="e">
        <f>VLOOKUP($I$1&amp;T$8,DATA!$A:$EB,'2406'!$A105,0)/100</f>
        <v>#N/A</v>
      </c>
      <c r="U105" s="42"/>
    </row>
    <row r="106" spans="1:21" ht="16.5">
      <c r="C106" s="55"/>
      <c r="D106" s="148"/>
      <c r="E106" s="54"/>
      <c r="F106" s="54"/>
      <c r="G106" s="54"/>
      <c r="H106" s="54"/>
      <c r="I106" s="135" t="e">
        <f>I105/I89</f>
        <v>#N/A</v>
      </c>
      <c r="J106" s="135" t="e">
        <f t="shared" ref="J106:T106" si="19">J105/J89</f>
        <v>#N/A</v>
      </c>
      <c r="K106" s="135" t="e">
        <f t="shared" si="19"/>
        <v>#N/A</v>
      </c>
      <c r="L106" s="135" t="e">
        <f t="shared" si="19"/>
        <v>#N/A</v>
      </c>
      <c r="M106" s="135" t="e">
        <f t="shared" si="19"/>
        <v>#N/A</v>
      </c>
      <c r="N106" s="135" t="e">
        <f t="shared" si="19"/>
        <v>#N/A</v>
      </c>
      <c r="O106" s="135" t="e">
        <f t="shared" si="19"/>
        <v>#N/A</v>
      </c>
      <c r="P106" s="135" t="e">
        <f t="shared" si="19"/>
        <v>#N/A</v>
      </c>
      <c r="Q106" s="135" t="e">
        <f t="shared" si="19"/>
        <v>#N/A</v>
      </c>
      <c r="R106" s="135" t="e">
        <f t="shared" si="19"/>
        <v>#N/A</v>
      </c>
      <c r="S106" s="135" t="e">
        <f t="shared" si="19"/>
        <v>#N/A</v>
      </c>
      <c r="T106" s="135" t="e">
        <f t="shared" si="19"/>
        <v>#N/A</v>
      </c>
      <c r="U106" s="42"/>
    </row>
    <row r="107" spans="1:21" ht="16.5">
      <c r="C107" s="41" t="s">
        <v>153</v>
      </c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</row>
    <row r="108" spans="1:21" ht="16.5"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2"/>
      <c r="P108" s="43"/>
      <c r="Q108" s="43"/>
      <c r="R108" s="42"/>
      <c r="S108" s="42"/>
      <c r="T108" s="42"/>
      <c r="U108" s="42"/>
    </row>
    <row r="109" spans="1:21" ht="16.5">
      <c r="C109" s="729" t="s">
        <v>105</v>
      </c>
      <c r="D109" s="729"/>
      <c r="E109" s="729"/>
      <c r="F109" s="729"/>
      <c r="G109" s="729"/>
      <c r="H109" s="730"/>
      <c r="I109" s="45" t="s">
        <v>124</v>
      </c>
      <c r="J109" s="45" t="s">
        <v>136</v>
      </c>
      <c r="K109" s="45" t="s">
        <v>137</v>
      </c>
      <c r="L109" s="45" t="s">
        <v>138</v>
      </c>
      <c r="M109" s="45" t="s">
        <v>4</v>
      </c>
      <c r="N109" s="45" t="s">
        <v>139</v>
      </c>
      <c r="O109" s="46" t="s">
        <v>6</v>
      </c>
      <c r="P109" s="46" t="s">
        <v>106</v>
      </c>
      <c r="Q109" s="46" t="s">
        <v>107</v>
      </c>
      <c r="R109" s="46" t="s">
        <v>108</v>
      </c>
      <c r="S109" s="46" t="s">
        <v>109</v>
      </c>
      <c r="T109" s="46" t="s">
        <v>110</v>
      </c>
      <c r="U109" s="42"/>
    </row>
    <row r="110" spans="1:21" ht="16.5">
      <c r="C110" s="748" t="s">
        <v>131</v>
      </c>
      <c r="D110" s="748"/>
      <c r="E110" s="748"/>
      <c r="F110" s="748"/>
      <c r="G110" s="748"/>
      <c r="H110" s="749"/>
      <c r="I110" s="87" t="e">
        <f>I74/AVERAGE(I120,I121)*(4/$J$1)</f>
        <v>#N/A</v>
      </c>
      <c r="J110" s="87" t="e">
        <f t="shared" ref="J110:T110" si="20">J74/AVERAGE(J120,J121)*(4/$J$1)</f>
        <v>#N/A</v>
      </c>
      <c r="K110" s="87" t="e">
        <f t="shared" si="20"/>
        <v>#N/A</v>
      </c>
      <c r="L110" s="87" t="e">
        <f t="shared" si="20"/>
        <v>#N/A</v>
      </c>
      <c r="M110" s="87" t="e">
        <f t="shared" si="20"/>
        <v>#N/A</v>
      </c>
      <c r="N110" s="87" t="e">
        <f t="shared" si="20"/>
        <v>#N/A</v>
      </c>
      <c r="O110" s="88" t="e">
        <f t="shared" si="20"/>
        <v>#N/A</v>
      </c>
      <c r="P110" s="88" t="e">
        <f t="shared" si="20"/>
        <v>#N/A</v>
      </c>
      <c r="Q110" s="88" t="e">
        <f t="shared" si="20"/>
        <v>#N/A</v>
      </c>
      <c r="R110" s="88" t="e">
        <f t="shared" si="20"/>
        <v>#N/A</v>
      </c>
      <c r="S110" s="88" t="e">
        <f t="shared" si="20"/>
        <v>#N/A</v>
      </c>
      <c r="T110" s="88" t="e">
        <f t="shared" si="20"/>
        <v>#N/A</v>
      </c>
      <c r="U110" s="42"/>
    </row>
    <row r="111" spans="1:21" ht="16.5">
      <c r="C111" s="789" t="s">
        <v>154</v>
      </c>
      <c r="D111" s="789"/>
      <c r="E111" s="789"/>
      <c r="F111" s="789"/>
      <c r="G111" s="789"/>
      <c r="H111" s="790"/>
      <c r="I111" s="89" t="e">
        <f>+I92/(I52*150%)*(4/$J$1)</f>
        <v>#N/A</v>
      </c>
      <c r="J111" s="89" t="e">
        <f t="shared" ref="J111:T111" si="21">+J92/(J52*150%)*(4/$J$1)</f>
        <v>#N/A</v>
      </c>
      <c r="K111" s="89" t="e">
        <f t="shared" si="21"/>
        <v>#N/A</v>
      </c>
      <c r="L111" s="89" t="e">
        <f t="shared" si="21"/>
        <v>#N/A</v>
      </c>
      <c r="M111" s="89" t="e">
        <f t="shared" si="21"/>
        <v>#N/A</v>
      </c>
      <c r="N111" s="89" t="e">
        <f t="shared" si="21"/>
        <v>#N/A</v>
      </c>
      <c r="O111" s="71" t="e">
        <f t="shared" si="21"/>
        <v>#N/A</v>
      </c>
      <c r="P111" s="71" t="e">
        <f t="shared" si="21"/>
        <v>#N/A</v>
      </c>
      <c r="Q111" s="71" t="e">
        <f t="shared" si="21"/>
        <v>#N/A</v>
      </c>
      <c r="R111" s="71" t="e">
        <f t="shared" si="21"/>
        <v>#N/A</v>
      </c>
      <c r="S111" s="71" t="e">
        <f t="shared" si="21"/>
        <v>#N/A</v>
      </c>
      <c r="T111" s="71" t="e">
        <f t="shared" si="21"/>
        <v>#N/A</v>
      </c>
      <c r="U111" s="42"/>
    </row>
    <row r="112" spans="1:21" ht="16.5">
      <c r="C112" s="791" t="s">
        <v>53</v>
      </c>
      <c r="D112" s="791"/>
      <c r="E112" s="793" t="s">
        <v>155</v>
      </c>
      <c r="F112" s="794"/>
      <c r="G112" s="794"/>
      <c r="H112" s="795"/>
      <c r="I112" s="90" t="e">
        <f>I89/I121</f>
        <v>#N/A</v>
      </c>
      <c r="J112" s="90" t="e">
        <f t="shared" ref="J112:T112" si="22">J89/J121</f>
        <v>#N/A</v>
      </c>
      <c r="K112" s="90" t="e">
        <f t="shared" si="22"/>
        <v>#N/A</v>
      </c>
      <c r="L112" s="90" t="e">
        <f t="shared" si="22"/>
        <v>#N/A</v>
      </c>
      <c r="M112" s="90" t="e">
        <f t="shared" si="22"/>
        <v>#N/A</v>
      </c>
      <c r="N112" s="90" t="e">
        <f t="shared" si="22"/>
        <v>#N/A</v>
      </c>
      <c r="O112" s="90" t="e">
        <f t="shared" si="22"/>
        <v>#N/A</v>
      </c>
      <c r="P112" s="90" t="e">
        <f t="shared" si="22"/>
        <v>#N/A</v>
      </c>
      <c r="Q112" s="90" t="e">
        <f t="shared" si="22"/>
        <v>#N/A</v>
      </c>
      <c r="R112" s="90" t="e">
        <f t="shared" si="22"/>
        <v>#N/A</v>
      </c>
      <c r="S112" s="90" t="e">
        <f t="shared" si="22"/>
        <v>#N/A</v>
      </c>
      <c r="T112" s="90" t="e">
        <f t="shared" si="22"/>
        <v>#N/A</v>
      </c>
      <c r="U112" s="42"/>
    </row>
    <row r="113" spans="1:21" ht="16.5">
      <c r="C113" s="792"/>
      <c r="D113" s="792"/>
      <c r="E113" s="796" t="s">
        <v>156</v>
      </c>
      <c r="F113" s="797"/>
      <c r="G113" s="797"/>
      <c r="H113" s="798"/>
      <c r="I113" s="91" t="e">
        <f>I89/(I52*150%)</f>
        <v>#N/A</v>
      </c>
      <c r="J113" s="91" t="e">
        <f t="shared" ref="J113:T113" si="23">J89/(J52*150%)</f>
        <v>#N/A</v>
      </c>
      <c r="K113" s="91" t="e">
        <f t="shared" si="23"/>
        <v>#N/A</v>
      </c>
      <c r="L113" s="91" t="e">
        <f t="shared" si="23"/>
        <v>#N/A</v>
      </c>
      <c r="M113" s="91" t="e">
        <f t="shared" si="23"/>
        <v>#N/A</v>
      </c>
      <c r="N113" s="91" t="e">
        <f t="shared" si="23"/>
        <v>#N/A</v>
      </c>
      <c r="O113" s="91" t="e">
        <f t="shared" si="23"/>
        <v>#N/A</v>
      </c>
      <c r="P113" s="91" t="e">
        <f t="shared" si="23"/>
        <v>#N/A</v>
      </c>
      <c r="Q113" s="91" t="e">
        <f t="shared" si="23"/>
        <v>#N/A</v>
      </c>
      <c r="R113" s="91" t="e">
        <f t="shared" si="23"/>
        <v>#N/A</v>
      </c>
      <c r="S113" s="91" t="e">
        <f t="shared" si="23"/>
        <v>#N/A</v>
      </c>
      <c r="T113" s="91" t="e">
        <f t="shared" si="23"/>
        <v>#N/A</v>
      </c>
      <c r="U113" s="42"/>
    </row>
    <row r="114" spans="1:21" ht="16.5">
      <c r="C114" s="152"/>
      <c r="D114" s="152"/>
      <c r="E114" s="799" t="s">
        <v>157</v>
      </c>
      <c r="F114" s="800"/>
      <c r="G114" s="800"/>
      <c r="H114" s="801"/>
      <c r="I114" s="93" t="e">
        <f>I89/(I52*180%)</f>
        <v>#N/A</v>
      </c>
      <c r="J114" s="93" t="e">
        <f t="shared" ref="J114:T114" si="24">J89/(J52*180%)</f>
        <v>#N/A</v>
      </c>
      <c r="K114" s="93" t="e">
        <f t="shared" si="24"/>
        <v>#N/A</v>
      </c>
      <c r="L114" s="93" t="e">
        <f t="shared" si="24"/>
        <v>#N/A</v>
      </c>
      <c r="M114" s="93" t="e">
        <f t="shared" si="24"/>
        <v>#N/A</v>
      </c>
      <c r="N114" s="93" t="e">
        <f t="shared" si="24"/>
        <v>#N/A</v>
      </c>
      <c r="O114" s="93" t="e">
        <f t="shared" si="24"/>
        <v>#N/A</v>
      </c>
      <c r="P114" s="93" t="e">
        <f t="shared" si="24"/>
        <v>#N/A</v>
      </c>
      <c r="Q114" s="93" t="e">
        <f t="shared" si="24"/>
        <v>#N/A</v>
      </c>
      <c r="R114" s="93" t="e">
        <f t="shared" si="24"/>
        <v>#N/A</v>
      </c>
      <c r="S114" s="93" t="e">
        <f t="shared" si="24"/>
        <v>#N/A</v>
      </c>
      <c r="T114" s="93" t="e">
        <f t="shared" si="24"/>
        <v>#N/A</v>
      </c>
      <c r="U114" s="42"/>
    </row>
    <row r="115" spans="1:21" ht="16.5">
      <c r="C115" s="786" t="s">
        <v>158</v>
      </c>
      <c r="D115" s="802"/>
      <c r="E115" s="805" t="s">
        <v>159</v>
      </c>
      <c r="F115" s="806"/>
      <c r="G115" s="806"/>
      <c r="H115" s="807"/>
      <c r="I115" s="90" t="e">
        <f>I93/I121*(4/$J$1)</f>
        <v>#N/A</v>
      </c>
      <c r="J115" s="90" t="e">
        <f t="shared" ref="J115:T115" si="25">J93/J121*(4/$J$1)</f>
        <v>#N/A</v>
      </c>
      <c r="K115" s="90" t="e">
        <f t="shared" si="25"/>
        <v>#N/A</v>
      </c>
      <c r="L115" s="90" t="e">
        <f t="shared" si="25"/>
        <v>#N/A</v>
      </c>
      <c r="M115" s="90" t="e">
        <f t="shared" si="25"/>
        <v>#N/A</v>
      </c>
      <c r="N115" s="90" t="e">
        <f t="shared" si="25"/>
        <v>#N/A</v>
      </c>
      <c r="O115" s="90" t="e">
        <f t="shared" si="25"/>
        <v>#N/A</v>
      </c>
      <c r="P115" s="90" t="e">
        <f t="shared" si="25"/>
        <v>#N/A</v>
      </c>
      <c r="Q115" s="90" t="e">
        <f t="shared" si="25"/>
        <v>#N/A</v>
      </c>
      <c r="R115" s="90" t="e">
        <f t="shared" si="25"/>
        <v>#N/A</v>
      </c>
      <c r="S115" s="90" t="e">
        <f t="shared" si="25"/>
        <v>#N/A</v>
      </c>
      <c r="T115" s="90" t="e">
        <f t="shared" si="25"/>
        <v>#N/A</v>
      </c>
      <c r="U115" s="42"/>
    </row>
    <row r="116" spans="1:21" ht="16.5">
      <c r="C116" s="768"/>
      <c r="D116" s="803"/>
      <c r="E116" s="796" t="s">
        <v>156</v>
      </c>
      <c r="F116" s="797"/>
      <c r="G116" s="797"/>
      <c r="H116" s="798"/>
      <c r="I116" s="91" t="e">
        <f>I93/(I52*150%)*(4/$J$1)</f>
        <v>#N/A</v>
      </c>
      <c r="J116" s="91" t="e">
        <f t="shared" ref="J116:T116" si="26">J93/(J52*150%)*(4/$J$1)</f>
        <v>#N/A</v>
      </c>
      <c r="K116" s="91" t="e">
        <f t="shared" si="26"/>
        <v>#N/A</v>
      </c>
      <c r="L116" s="91" t="e">
        <f t="shared" si="26"/>
        <v>#N/A</v>
      </c>
      <c r="M116" s="91" t="e">
        <f t="shared" si="26"/>
        <v>#N/A</v>
      </c>
      <c r="N116" s="91" t="e">
        <f t="shared" si="26"/>
        <v>#N/A</v>
      </c>
      <c r="O116" s="91" t="e">
        <f t="shared" si="26"/>
        <v>#N/A</v>
      </c>
      <c r="P116" s="91" t="e">
        <f t="shared" si="26"/>
        <v>#N/A</v>
      </c>
      <c r="Q116" s="91" t="e">
        <f t="shared" si="26"/>
        <v>#N/A</v>
      </c>
      <c r="R116" s="91" t="e">
        <f t="shared" si="26"/>
        <v>#N/A</v>
      </c>
      <c r="S116" s="91" t="e">
        <f t="shared" si="26"/>
        <v>#N/A</v>
      </c>
      <c r="T116" s="91" t="e">
        <f t="shared" si="26"/>
        <v>#N/A</v>
      </c>
      <c r="U116" s="42"/>
    </row>
    <row r="117" spans="1:21" ht="16.5">
      <c r="C117" s="769"/>
      <c r="D117" s="804"/>
      <c r="E117" s="726" t="s">
        <v>157</v>
      </c>
      <c r="F117" s="727"/>
      <c r="G117" s="727"/>
      <c r="H117" s="728"/>
      <c r="I117" s="93" t="e">
        <f>I93/(I52*180%)*(4/$J$1)</f>
        <v>#N/A</v>
      </c>
      <c r="J117" s="93" t="e">
        <f t="shared" ref="J117:T117" si="27">J93/(J52*180%)*(4/$J$1)</f>
        <v>#N/A</v>
      </c>
      <c r="K117" s="93" t="e">
        <f t="shared" si="27"/>
        <v>#N/A</v>
      </c>
      <c r="L117" s="93" t="e">
        <f t="shared" si="27"/>
        <v>#N/A</v>
      </c>
      <c r="M117" s="93" t="e">
        <f t="shared" si="27"/>
        <v>#N/A</v>
      </c>
      <c r="N117" s="93" t="e">
        <f t="shared" si="27"/>
        <v>#N/A</v>
      </c>
      <c r="O117" s="93" t="e">
        <f t="shared" si="27"/>
        <v>#N/A</v>
      </c>
      <c r="P117" s="93" t="e">
        <f t="shared" si="27"/>
        <v>#N/A</v>
      </c>
      <c r="Q117" s="93" t="e">
        <f t="shared" si="27"/>
        <v>#N/A</v>
      </c>
      <c r="R117" s="93" t="e">
        <f t="shared" si="27"/>
        <v>#N/A</v>
      </c>
      <c r="S117" s="93" t="e">
        <f t="shared" si="27"/>
        <v>#N/A</v>
      </c>
      <c r="T117" s="93" t="e">
        <f t="shared" si="27"/>
        <v>#N/A</v>
      </c>
      <c r="U117" s="42"/>
    </row>
    <row r="118" spans="1:21" ht="16.5">
      <c r="C118" s="83" t="s">
        <v>160</v>
      </c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</row>
    <row r="119" spans="1:21" ht="16.5"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</row>
    <row r="120" spans="1:21" ht="16.5">
      <c r="A120" s="5">
        <f>DATA!T1</f>
        <v>20</v>
      </c>
      <c r="C120" s="42"/>
      <c r="D120" s="42"/>
      <c r="E120" s="5" t="s">
        <v>132</v>
      </c>
      <c r="F120" s="42"/>
      <c r="G120" s="42"/>
      <c r="H120" s="42"/>
      <c r="I120" s="1" t="e">
        <f>VLOOKUP($I$1&amp;I$8,DATA!$A:$EB,'2406'!$A120,0)/100</f>
        <v>#N/A</v>
      </c>
      <c r="J120" s="1" t="e">
        <f>VLOOKUP($I$1&amp;J$8,DATA!$A:$EB,'2406'!$A120,0)/100</f>
        <v>#N/A</v>
      </c>
      <c r="K120" s="95" t="e">
        <f>VLOOKUP($I$1&amp;K$8,DATA!$A:$EB,'2406'!$A120,0)/100</f>
        <v>#N/A</v>
      </c>
      <c r="L120" s="95" t="e">
        <f>VLOOKUP($I$1&amp;L$8,DATA!$A:$EB,'2406'!$A120,0)/100</f>
        <v>#N/A</v>
      </c>
      <c r="M120" s="95" t="e">
        <f>VLOOKUP($I$1&amp;M$8,DATA!$A:$EB,'2406'!$A120,0)/100</f>
        <v>#N/A</v>
      </c>
      <c r="N120" s="95" t="e">
        <f>VLOOKUP($I$1&amp;N$8,DATA!$A:$EB,'2406'!$A120,0)/100</f>
        <v>#N/A</v>
      </c>
      <c r="O120" s="95" t="e">
        <f>VLOOKUP($I$1&amp;O$8,DATA!$A:$EB,'2406'!$A120,0)/100</f>
        <v>#N/A</v>
      </c>
      <c r="P120" s="95" t="e">
        <f>VLOOKUP($I$1&amp;P$8,DATA!$A:$EB,'2406'!$A120,0)/100</f>
        <v>#N/A</v>
      </c>
      <c r="Q120" s="95" t="e">
        <f>VLOOKUP($I$1&amp;Q$8,DATA!$A:$EB,'2406'!$A120,0)/100</f>
        <v>#N/A</v>
      </c>
      <c r="R120" s="95" t="e">
        <f>VLOOKUP($I$1&amp;R$8,DATA!$A:$EB,'2406'!$A120,0)/100</f>
        <v>#N/A</v>
      </c>
      <c r="S120" s="95" t="e">
        <f>VLOOKUP($I$1&amp;S$8,DATA!$A:$EB,'2406'!$A120,0)/100</f>
        <v>#N/A</v>
      </c>
      <c r="T120" s="95" t="e">
        <f>VLOOKUP($I$1&amp;T$8,DATA!$A:$EB,'2406'!$A120,0)/100</f>
        <v>#N/A</v>
      </c>
      <c r="U120" s="42"/>
    </row>
    <row r="121" spans="1:21" ht="16.5">
      <c r="A121" s="5">
        <f>DATA!N1</f>
        <v>14</v>
      </c>
      <c r="C121"/>
      <c r="D121"/>
      <c r="E121" s="5" t="s">
        <v>133</v>
      </c>
      <c r="F121"/>
      <c r="G121"/>
      <c r="H121"/>
      <c r="I121" s="1" t="e">
        <f>VLOOKUP($I$1&amp;I$8,DATA!$A:$EB,'2406'!$A121,0)/100</f>
        <v>#N/A</v>
      </c>
      <c r="J121" s="1" t="e">
        <f>VLOOKUP($I$1&amp;J$8,DATA!$A:$EB,'2406'!$A121,0)/100</f>
        <v>#N/A</v>
      </c>
      <c r="K121" s="95" t="e">
        <f>VLOOKUP($I$1&amp;K$8,DATA!$A:$EB,'2406'!$A121,0)/100</f>
        <v>#N/A</v>
      </c>
      <c r="L121" s="95" t="e">
        <f>VLOOKUP($I$1&amp;L$8,DATA!$A:$EB,'2406'!$A121,0)/100</f>
        <v>#N/A</v>
      </c>
      <c r="M121" s="95" t="e">
        <f>VLOOKUP($I$1&amp;M$8,DATA!$A:$EB,'2406'!$A121,0)/100</f>
        <v>#N/A</v>
      </c>
      <c r="N121" s="95" t="e">
        <f>VLOOKUP($I$1&amp;N$8,DATA!$A:$EB,'2406'!$A121,0)/100</f>
        <v>#N/A</v>
      </c>
      <c r="O121" s="95" t="e">
        <f>VLOOKUP($I$1&amp;O$8,DATA!$A:$EB,'2406'!$A121,0)/100</f>
        <v>#N/A</v>
      </c>
      <c r="P121" s="95" t="e">
        <f>VLOOKUP($I$1&amp;P$8,DATA!$A:$EB,'2406'!$A121,0)/100</f>
        <v>#N/A</v>
      </c>
      <c r="Q121" s="95" t="e">
        <f>VLOOKUP($I$1&amp;Q$8,DATA!$A:$EB,'2406'!$A121,0)/100</f>
        <v>#N/A</v>
      </c>
      <c r="R121" s="95" t="e">
        <f>VLOOKUP($I$1&amp;R$8,DATA!$A:$EB,'2406'!$A121,0)/100</f>
        <v>#N/A</v>
      </c>
      <c r="S121" s="95" t="e">
        <f>VLOOKUP($I$1&amp;S$8,DATA!$A:$EB,'2406'!$A121,0)/100</f>
        <v>#N/A</v>
      </c>
      <c r="T121" s="95" t="e">
        <f>VLOOKUP($I$1&amp;T$8,DATA!$A:$EB,'2406'!$A121,0)/100</f>
        <v>#N/A</v>
      </c>
      <c r="U121"/>
    </row>
    <row r="122" spans="1:21" ht="16.5"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</row>
    <row r="123" spans="1:21" ht="16.5">
      <c r="C123"/>
      <c r="D123"/>
      <c r="E123"/>
      <c r="F123"/>
      <c r="G123"/>
      <c r="H123"/>
      <c r="I123"/>
      <c r="J123"/>
      <c r="K123"/>
      <c r="L123"/>
      <c r="M123"/>
      <c r="N123"/>
      <c r="O123" s="94"/>
      <c r="P123"/>
      <c r="Q123"/>
      <c r="R123"/>
      <c r="S123"/>
      <c r="T123" s="94"/>
      <c r="U123"/>
    </row>
    <row r="124" spans="1:21">
      <c r="I124" s="8" t="e">
        <f>'2403'!I110</f>
        <v>#N/A</v>
      </c>
      <c r="J124" s="8" t="e">
        <f>'2403'!J110</f>
        <v>#N/A</v>
      </c>
      <c r="K124" s="16" t="e">
        <f>'2403'!K110</f>
        <v>#N/A</v>
      </c>
      <c r="L124" s="16" t="e">
        <f>'2403'!L110</f>
        <v>#N/A</v>
      </c>
      <c r="M124" s="16" t="e">
        <f>'2403'!M110</f>
        <v>#N/A</v>
      </c>
      <c r="N124" s="16" t="e">
        <f>'2403'!N110</f>
        <v>#N/A</v>
      </c>
      <c r="O124" s="8" t="e">
        <f>'2403'!O110</f>
        <v>#N/A</v>
      </c>
      <c r="P124" s="8" t="e">
        <f>'2403'!P110</f>
        <v>#N/A</v>
      </c>
      <c r="Q124" s="8" t="e">
        <f>'2403'!Q110</f>
        <v>#N/A</v>
      </c>
      <c r="R124" s="8" t="e">
        <f>'2403'!R110</f>
        <v>#N/A</v>
      </c>
      <c r="S124" s="8" t="e">
        <f>'2403'!S110</f>
        <v>#N/A</v>
      </c>
      <c r="T124" s="8" t="e">
        <f>'2403'!T110</f>
        <v>#N/A</v>
      </c>
    </row>
  </sheetData>
  <mergeCells count="59">
    <mergeCell ref="C112:D113"/>
    <mergeCell ref="E112:H112"/>
    <mergeCell ref="E113:H113"/>
    <mergeCell ref="E114:H114"/>
    <mergeCell ref="C115:D117"/>
    <mergeCell ref="E115:H115"/>
    <mergeCell ref="E116:H116"/>
    <mergeCell ref="E117:H117"/>
    <mergeCell ref="J98:J99"/>
    <mergeCell ref="P98:P99"/>
    <mergeCell ref="F99:H99"/>
    <mergeCell ref="C109:H109"/>
    <mergeCell ref="C110:H110"/>
    <mergeCell ref="C111:H111"/>
    <mergeCell ref="C91:H91"/>
    <mergeCell ref="C92:H92"/>
    <mergeCell ref="C93:H93"/>
    <mergeCell ref="C94:H94"/>
    <mergeCell ref="C95:H95"/>
    <mergeCell ref="C96:E99"/>
    <mergeCell ref="F96:H96"/>
    <mergeCell ref="F97:H97"/>
    <mergeCell ref="F98:H98"/>
    <mergeCell ref="C90:H90"/>
    <mergeCell ref="D67:H67"/>
    <mergeCell ref="D68:E69"/>
    <mergeCell ref="F68:H68"/>
    <mergeCell ref="F69:H69"/>
    <mergeCell ref="C70:H70"/>
    <mergeCell ref="C71:H71"/>
    <mergeCell ref="C72:H72"/>
    <mergeCell ref="C73:H73"/>
    <mergeCell ref="C74:H74"/>
    <mergeCell ref="C88:H88"/>
    <mergeCell ref="C89:H89"/>
    <mergeCell ref="C66:H66"/>
    <mergeCell ref="C20:H20"/>
    <mergeCell ref="C21:H21"/>
    <mergeCell ref="C49:H49"/>
    <mergeCell ref="C50:H50"/>
    <mergeCell ref="C51:H51"/>
    <mergeCell ref="C52:H52"/>
    <mergeCell ref="C57:H57"/>
    <mergeCell ref="C58:H58"/>
    <mergeCell ref="C59:H59"/>
    <mergeCell ref="C60:H60"/>
    <mergeCell ref="C65:H65"/>
    <mergeCell ref="C19:H19"/>
    <mergeCell ref="C8:H8"/>
    <mergeCell ref="C9:H9"/>
    <mergeCell ref="C10:H10"/>
    <mergeCell ref="C11:H11"/>
    <mergeCell ref="C12:H12"/>
    <mergeCell ref="C13:H13"/>
    <mergeCell ref="C14:H14"/>
    <mergeCell ref="C15:H15"/>
    <mergeCell ref="C16:H16"/>
    <mergeCell ref="C17:H17"/>
    <mergeCell ref="C18:H18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3"/>
  <sheetViews>
    <sheetView showGridLines="0" topLeftCell="A91" workbookViewId="0">
      <selection activeCell="I117" sqref="I117"/>
    </sheetView>
  </sheetViews>
  <sheetFormatPr defaultRowHeight="15"/>
  <cols>
    <col min="1" max="2" width="9" style="5"/>
    <col min="3" max="8" width="5.25" style="5" customWidth="1"/>
    <col min="9" max="15" width="16.625" style="5" customWidth="1"/>
    <col min="16" max="20" width="14" style="5" customWidth="1"/>
    <col min="21" max="16384" width="9" style="5"/>
  </cols>
  <sheetData>
    <row r="1" spans="1:20">
      <c r="C1" s="5" t="s">
        <v>102</v>
      </c>
      <c r="I1" s="17">
        <v>2403</v>
      </c>
      <c r="J1" s="5">
        <f>ROUNDUP(RIGHT(I1,2)/3,0)</f>
        <v>1</v>
      </c>
    </row>
    <row r="4" spans="1:20" ht="18.75">
      <c r="C4" s="7" t="s">
        <v>103</v>
      </c>
    </row>
    <row r="7" spans="1:20">
      <c r="O7" s="5" t="s">
        <v>104</v>
      </c>
    </row>
    <row r="8" spans="1:20" ht="16.5" customHeight="1">
      <c r="C8" s="756" t="s">
        <v>105</v>
      </c>
      <c r="D8" s="756"/>
      <c r="E8" s="756"/>
      <c r="F8" s="756"/>
      <c r="G8" s="756"/>
      <c r="H8" s="757"/>
      <c r="I8" s="18" t="s">
        <v>0</v>
      </c>
      <c r="J8" s="18" t="s">
        <v>1</v>
      </c>
      <c r="K8" s="18" t="s">
        <v>2</v>
      </c>
      <c r="L8" s="18" t="s">
        <v>3</v>
      </c>
      <c r="M8" s="18" t="s">
        <v>4</v>
      </c>
      <c r="N8" s="18" t="s">
        <v>5</v>
      </c>
      <c r="O8" s="19" t="s">
        <v>6</v>
      </c>
      <c r="P8" s="18" t="s">
        <v>106</v>
      </c>
      <c r="Q8" s="18" t="s">
        <v>107</v>
      </c>
      <c r="R8" s="18" t="s">
        <v>108</v>
      </c>
      <c r="S8" s="18" t="s">
        <v>109</v>
      </c>
      <c r="T8" s="19" t="s">
        <v>110</v>
      </c>
    </row>
    <row r="9" spans="1:20">
      <c r="A9" s="5">
        <f>DATA!D$1</f>
        <v>4</v>
      </c>
      <c r="C9" s="758" t="s">
        <v>140</v>
      </c>
      <c r="D9" s="758"/>
      <c r="E9" s="758"/>
      <c r="F9" s="758"/>
      <c r="G9" s="758"/>
      <c r="H9" s="759"/>
      <c r="I9" s="27" t="e">
        <f>VLOOKUP($I$1&amp;I$8,DATA!$A:$EB,'2403'!$A9,0)/100</f>
        <v>#N/A</v>
      </c>
      <c r="J9" s="28" t="e">
        <f>VLOOKUP($I$1&amp;J$8,DATA!$A:$EB,'2403'!$A9,0)/100</f>
        <v>#N/A</v>
      </c>
      <c r="K9" s="28" t="e">
        <f>VLOOKUP($I$1&amp;K$8,DATA!$A:$EB,'2403'!$A9,0)/100</f>
        <v>#N/A</v>
      </c>
      <c r="L9" s="28" t="e">
        <f>VLOOKUP($I$1&amp;L$8,DATA!$A:$EB,'2403'!$A9,0)/100</f>
        <v>#N/A</v>
      </c>
      <c r="M9" s="28" t="e">
        <f>VLOOKUP($I$1&amp;M$8,DATA!$A:$EB,'2403'!$A9,0)/100</f>
        <v>#N/A</v>
      </c>
      <c r="N9" s="28" t="e">
        <f>VLOOKUP($I$1&amp;N$8,DATA!$A:$EB,'2403'!$A9,0)/100</f>
        <v>#N/A</v>
      </c>
      <c r="O9" s="28" t="e">
        <f>VLOOKUP($I$1&amp;O$8,DATA!$A:$EB,'2403'!$A9,0)/100</f>
        <v>#N/A</v>
      </c>
      <c r="P9" s="28" t="e">
        <f>VLOOKUP($I$1&amp;P$8,DATA!$A:$EB,'2403'!$A9,0)/100</f>
        <v>#N/A</v>
      </c>
      <c r="Q9" s="28" t="e">
        <f>VLOOKUP($I$1&amp;Q$8,DATA!$A:$EB,'2403'!$A9,0)/100</f>
        <v>#N/A</v>
      </c>
      <c r="R9" s="28" t="e">
        <f>VLOOKUP($I$1&amp;R$8,DATA!$A:$EB,'2403'!$A9,0)/100</f>
        <v>#N/A</v>
      </c>
      <c r="S9" s="28" t="e">
        <f>VLOOKUP($I$1&amp;S$8,DATA!$A:$EB,'2403'!$A9,0)/100</f>
        <v>#N/A</v>
      </c>
      <c r="T9" s="27" t="e">
        <f>VLOOKUP($I$1&amp;T$8,DATA!$A:$EB,'2403'!$A9,0)/100</f>
        <v>#N/A</v>
      </c>
    </row>
    <row r="10" spans="1:20">
      <c r="A10" s="21">
        <f>DATA!E1</f>
        <v>5</v>
      </c>
      <c r="C10" s="737" t="s">
        <v>111</v>
      </c>
      <c r="D10" s="737"/>
      <c r="E10" s="737"/>
      <c r="F10" s="737"/>
      <c r="G10" s="737"/>
      <c r="H10" s="738"/>
      <c r="I10" s="29" t="e">
        <f>VLOOKUP($I$1&amp;I$8,DATA!$A:$EB,'2403'!$A10,0)/100</f>
        <v>#N/A</v>
      </c>
      <c r="J10" s="30" t="e">
        <f>VLOOKUP($I$1&amp;J$8,DATA!$A:$EB,'2403'!$A10,0)/100</f>
        <v>#N/A</v>
      </c>
      <c r="K10" s="30" t="e">
        <f>VLOOKUP($I$1&amp;K$8,DATA!$A:$EB,'2403'!$A10,0)/100</f>
        <v>#N/A</v>
      </c>
      <c r="L10" s="30" t="e">
        <f>VLOOKUP($I$1&amp;L$8,DATA!$A:$EB,'2403'!$A10,0)/100</f>
        <v>#N/A</v>
      </c>
      <c r="M10" s="30" t="e">
        <f>VLOOKUP($I$1&amp;M$8,DATA!$A:$EB,'2403'!$A10,0)/100</f>
        <v>#N/A</v>
      </c>
      <c r="N10" s="30" t="e">
        <f>VLOOKUP($I$1&amp;N$8,DATA!$A:$EB,'2403'!$A10,0)/100</f>
        <v>#N/A</v>
      </c>
      <c r="O10" s="30" t="e">
        <f>VLOOKUP($I$1&amp;O$8,DATA!$A:$EB,'2403'!$A10,0)/100</f>
        <v>#N/A</v>
      </c>
      <c r="P10" s="30" t="e">
        <f>VLOOKUP($I$1&amp;P$8,DATA!$A:$EB,'2403'!$A10,0)/100</f>
        <v>#N/A</v>
      </c>
      <c r="Q10" s="30" t="e">
        <f>VLOOKUP($I$1&amp;Q$8,DATA!$A:$EB,'2403'!$A10,0)/100</f>
        <v>#N/A</v>
      </c>
      <c r="R10" s="30" t="e">
        <f>VLOOKUP($I$1&amp;R$8,DATA!$A:$EB,'2403'!$A10,0)/100</f>
        <v>#N/A</v>
      </c>
      <c r="S10" s="30" t="e">
        <f>VLOOKUP($I$1&amp;S$8,DATA!$A:$EB,'2403'!$A10,0)/100</f>
        <v>#N/A</v>
      </c>
      <c r="T10" s="29" t="e">
        <f>VLOOKUP($I$1&amp;T$8,DATA!$A:$EB,'2403'!$A10,0)/100</f>
        <v>#N/A</v>
      </c>
    </row>
    <row r="11" spans="1:20">
      <c r="C11" s="737" t="s">
        <v>116</v>
      </c>
      <c r="D11" s="737"/>
      <c r="E11" s="737"/>
      <c r="F11" s="737"/>
      <c r="G11" s="737"/>
      <c r="H11" s="738"/>
      <c r="I11" s="31" t="e">
        <f>I10/I9</f>
        <v>#N/A</v>
      </c>
      <c r="J11" s="32" t="e">
        <f t="shared" ref="J11:T11" si="0">J10/J9</f>
        <v>#N/A</v>
      </c>
      <c r="K11" s="32" t="e">
        <f t="shared" si="0"/>
        <v>#N/A</v>
      </c>
      <c r="L11" s="32" t="e">
        <f t="shared" si="0"/>
        <v>#N/A</v>
      </c>
      <c r="M11" s="32" t="e">
        <f t="shared" si="0"/>
        <v>#N/A</v>
      </c>
      <c r="N11" s="32" t="e">
        <f t="shared" si="0"/>
        <v>#N/A</v>
      </c>
      <c r="O11" s="32" t="e">
        <f t="shared" si="0"/>
        <v>#N/A</v>
      </c>
      <c r="P11" s="32" t="e">
        <f t="shared" si="0"/>
        <v>#N/A</v>
      </c>
      <c r="Q11" s="32" t="e">
        <f t="shared" si="0"/>
        <v>#N/A</v>
      </c>
      <c r="R11" s="32" t="e">
        <f t="shared" si="0"/>
        <v>#N/A</v>
      </c>
      <c r="S11" s="32" t="e">
        <f t="shared" si="0"/>
        <v>#N/A</v>
      </c>
      <c r="T11" s="31" t="e">
        <f t="shared" si="0"/>
        <v>#N/A</v>
      </c>
    </row>
    <row r="12" spans="1:20">
      <c r="A12" s="5">
        <f>DATA!F1</f>
        <v>6</v>
      </c>
      <c r="C12" s="737" t="s">
        <v>112</v>
      </c>
      <c r="D12" s="737"/>
      <c r="E12" s="737"/>
      <c r="F12" s="737"/>
      <c r="G12" s="737"/>
      <c r="H12" s="738"/>
      <c r="I12" s="29" t="e">
        <f>VLOOKUP($I$1&amp;I$8,DATA!$A:$EB,'2403'!$A12,0)/100</f>
        <v>#N/A</v>
      </c>
      <c r="J12" s="30" t="e">
        <f>VLOOKUP($I$1&amp;J$8,DATA!$A:$EB,'2403'!$A12,0)/100</f>
        <v>#N/A</v>
      </c>
      <c r="K12" s="30" t="e">
        <f>VLOOKUP($I$1&amp;K$8,DATA!$A:$EB,'2403'!$A12,0)/100</f>
        <v>#N/A</v>
      </c>
      <c r="L12" s="30" t="e">
        <f>VLOOKUP($I$1&amp;L$8,DATA!$A:$EB,'2403'!$A12,0)/100</f>
        <v>#N/A</v>
      </c>
      <c r="M12" s="30" t="e">
        <f>VLOOKUP($I$1&amp;M$8,DATA!$A:$EB,'2403'!$A12,0)/100</f>
        <v>#N/A</v>
      </c>
      <c r="N12" s="30" t="e">
        <f>VLOOKUP($I$1&amp;N$8,DATA!$A:$EB,'2403'!$A12,0)/100</f>
        <v>#N/A</v>
      </c>
      <c r="O12" s="30" t="e">
        <f>VLOOKUP($I$1&amp;O$8,DATA!$A:$EB,'2403'!$A12,0)/100</f>
        <v>#N/A</v>
      </c>
      <c r="P12" s="30" t="e">
        <f>VLOOKUP($I$1&amp;P$8,DATA!$A:$EB,'2403'!$A12,0)/100</f>
        <v>#N/A</v>
      </c>
      <c r="Q12" s="30" t="e">
        <f>VLOOKUP($I$1&amp;Q$8,DATA!$A:$EB,'2403'!$A12,0)/100</f>
        <v>#N/A</v>
      </c>
      <c r="R12" s="30" t="e">
        <f>VLOOKUP($I$1&amp;R$8,DATA!$A:$EB,'2403'!$A12,0)/100</f>
        <v>#N/A</v>
      </c>
      <c r="S12" s="30" t="e">
        <f>VLOOKUP($I$1&amp;S$8,DATA!$A:$EB,'2403'!$A12,0)/100</f>
        <v>#N/A</v>
      </c>
      <c r="T12" s="29" t="e">
        <f>VLOOKUP($I$1&amp;T$8,DATA!$A:$EB,'2403'!$A12,0)/100</f>
        <v>#N/A</v>
      </c>
    </row>
    <row r="13" spans="1:20" ht="15" customHeight="1">
      <c r="A13" s="5">
        <f>DATA!G1</f>
        <v>7</v>
      </c>
      <c r="C13" s="760" t="s">
        <v>113</v>
      </c>
      <c r="D13" s="760"/>
      <c r="E13" s="760"/>
      <c r="F13" s="760"/>
      <c r="G13" s="760"/>
      <c r="H13" s="761"/>
      <c r="I13" s="33" t="e">
        <f>VLOOKUP($I$1&amp;I$8,DATA!$A:$EB,'2403'!$A13,0)/100</f>
        <v>#N/A</v>
      </c>
      <c r="J13" s="34" t="e">
        <f>VLOOKUP($I$1&amp;J$8,DATA!$A:$EB,'2403'!$A13,0)/100</f>
        <v>#N/A</v>
      </c>
      <c r="K13" s="34" t="e">
        <f>VLOOKUP($I$1&amp;K$8,DATA!$A:$EB,'2403'!$A13,0)/100</f>
        <v>#N/A</v>
      </c>
      <c r="L13" s="34" t="e">
        <f>VLOOKUP($I$1&amp;L$8,DATA!$A:$EB,'2403'!$A13,0)/100</f>
        <v>#N/A</v>
      </c>
      <c r="M13" s="34" t="e">
        <f>VLOOKUP($I$1&amp;M$8,DATA!$A:$EB,'2403'!$A13,0)/100</f>
        <v>#N/A</v>
      </c>
      <c r="N13" s="34" t="e">
        <f>VLOOKUP($I$1&amp;N$8,DATA!$A:$EB,'2403'!$A13,0)/100</f>
        <v>#N/A</v>
      </c>
      <c r="O13" s="34" t="e">
        <f>VLOOKUP($I$1&amp;O$8,DATA!$A:$EB,'2403'!$A13,0)/100</f>
        <v>#N/A</v>
      </c>
      <c r="P13" s="34" t="e">
        <f>VLOOKUP($I$1&amp;P$8,DATA!$A:$EB,'2403'!$A13,0)/100</f>
        <v>#N/A</v>
      </c>
      <c r="Q13" s="34" t="e">
        <f>VLOOKUP($I$1&amp;Q$8,DATA!$A:$EB,'2403'!$A13,0)/100</f>
        <v>#N/A</v>
      </c>
      <c r="R13" s="34" t="e">
        <f>VLOOKUP($I$1&amp;R$8,DATA!$A:$EB,'2403'!$A13,0)/100</f>
        <v>#N/A</v>
      </c>
      <c r="S13" s="34" t="e">
        <f>VLOOKUP($I$1&amp;S$8,DATA!$A:$EB,'2403'!$A13,0)/100</f>
        <v>#N/A</v>
      </c>
      <c r="T13" s="33" t="e">
        <f>VLOOKUP($I$1&amp;T$8,DATA!$A:$EB,'2403'!$A13,0)/100</f>
        <v>#N/A</v>
      </c>
    </row>
    <row r="14" spans="1:20">
      <c r="A14" s="5">
        <f>DATA!L1</f>
        <v>12</v>
      </c>
      <c r="C14" s="758" t="s">
        <v>115</v>
      </c>
      <c r="D14" s="758"/>
      <c r="E14" s="758"/>
      <c r="F14" s="758"/>
      <c r="G14" s="758"/>
      <c r="H14" s="759"/>
      <c r="I14" s="27" t="e">
        <f>VLOOKUP($I$1&amp;I$8,DATA!$A:$EB,'2403'!$A14,0)/100</f>
        <v>#N/A</v>
      </c>
      <c r="J14" s="28" t="e">
        <f>VLOOKUP($I$1&amp;J$8,DATA!$A:$EB,'2403'!$A14,0)/100</f>
        <v>#N/A</v>
      </c>
      <c r="K14" s="28" t="e">
        <f>VLOOKUP($I$1&amp;K$8,DATA!$A:$EB,'2403'!$A14,0)/100</f>
        <v>#N/A</v>
      </c>
      <c r="L14" s="28" t="e">
        <f>VLOOKUP($I$1&amp;L$8,DATA!$A:$EB,'2403'!$A14,0)/100</f>
        <v>#N/A</v>
      </c>
      <c r="M14" s="28" t="e">
        <f>VLOOKUP($I$1&amp;M$8,DATA!$A:$EB,'2403'!$A14,0)/100</f>
        <v>#N/A</v>
      </c>
      <c r="N14" s="28" t="e">
        <f>VLOOKUP($I$1&amp;N$8,DATA!$A:$EB,'2403'!$A14,0)/100</f>
        <v>#N/A</v>
      </c>
      <c r="O14" s="28" t="e">
        <f>VLOOKUP($I$1&amp;O$8,DATA!$A:$EB,'2403'!$A14,0)/100</f>
        <v>#N/A</v>
      </c>
      <c r="P14" s="28" t="e">
        <f>VLOOKUP($I$1&amp;P$8,DATA!$A:$EB,'2403'!$A14,0)/100</f>
        <v>#N/A</v>
      </c>
      <c r="Q14" s="28" t="e">
        <f>VLOOKUP($I$1&amp;Q$8,DATA!$A:$EB,'2403'!$A14,0)/100</f>
        <v>#N/A</v>
      </c>
      <c r="R14" s="28" t="e">
        <f>VLOOKUP($I$1&amp;R$8,DATA!$A:$EB,'2403'!$A14,0)/100</f>
        <v>#N/A</v>
      </c>
      <c r="S14" s="28" t="e">
        <f>VLOOKUP($I$1&amp;S$8,DATA!$A:$EB,'2403'!$A14,0)/100</f>
        <v>#N/A</v>
      </c>
      <c r="T14" s="27" t="e">
        <f>VLOOKUP($I$1&amp;T$8,DATA!$A:$EB,'2403'!$A14,0)/100</f>
        <v>#N/A</v>
      </c>
    </row>
    <row r="15" spans="1:20">
      <c r="A15" s="5">
        <f>DATA!BU1</f>
        <v>73</v>
      </c>
      <c r="C15" s="762" t="s">
        <v>51</v>
      </c>
      <c r="D15" s="762"/>
      <c r="E15" s="762"/>
      <c r="F15" s="762"/>
      <c r="G15" s="762"/>
      <c r="H15" s="763"/>
      <c r="I15" s="35" t="e">
        <f>VLOOKUP($I$1&amp;I$8,DATA!$A:$EB,'2403'!$A15,0)/100</f>
        <v>#N/A</v>
      </c>
      <c r="J15" s="36" t="e">
        <f>VLOOKUP($I$1&amp;J$8,DATA!$A:$EB,'2403'!$A15,0)/100</f>
        <v>#N/A</v>
      </c>
      <c r="K15" s="36" t="e">
        <f>VLOOKUP($I$1&amp;K$8,DATA!$A:$EB,'2403'!$A15,0)/100</f>
        <v>#N/A</v>
      </c>
      <c r="L15" s="36" t="e">
        <f>VLOOKUP($I$1&amp;L$8,DATA!$A:$EB,'2403'!$A15,0)/100</f>
        <v>#N/A</v>
      </c>
      <c r="M15" s="36" t="e">
        <f>VLOOKUP($I$1&amp;M$8,DATA!$A:$EB,'2403'!$A15,0)/100</f>
        <v>#N/A</v>
      </c>
      <c r="N15" s="36" t="e">
        <f>VLOOKUP($I$1&amp;N$8,DATA!$A:$EB,'2403'!$A15,0)/100</f>
        <v>#N/A</v>
      </c>
      <c r="O15" s="36" t="e">
        <f>VLOOKUP($I$1&amp;O$8,DATA!$A:$EB,'2403'!$A15,0)/100</f>
        <v>#N/A</v>
      </c>
      <c r="P15" s="36" t="e">
        <f>VLOOKUP($I$1&amp;P$8,DATA!$A:$EB,'2403'!$A15,0)/100</f>
        <v>#N/A</v>
      </c>
      <c r="Q15" s="36" t="e">
        <f>VLOOKUP($I$1&amp;Q$8,DATA!$A:$EB,'2403'!$A15,0)/100</f>
        <v>#N/A</v>
      </c>
      <c r="R15" s="36" t="e">
        <f>VLOOKUP($I$1&amp;R$8,DATA!$A:$EB,'2403'!$A15,0)/100</f>
        <v>#N/A</v>
      </c>
      <c r="S15" s="36" t="e">
        <f>VLOOKUP($I$1&amp;S$8,DATA!$A:$EB,'2403'!$A15,0)/100</f>
        <v>#N/A</v>
      </c>
      <c r="T15" s="35" t="e">
        <f>VLOOKUP($I$1&amp;T$8,DATA!$A:$EB,'2403'!$A15,0)/100</f>
        <v>#N/A</v>
      </c>
    </row>
    <row r="16" spans="1:20" ht="16.5">
      <c r="A16" s="5">
        <f>DATA!BW1</f>
        <v>75</v>
      </c>
      <c r="C16" s="762" t="s">
        <v>53</v>
      </c>
      <c r="D16" s="762"/>
      <c r="E16" s="762"/>
      <c r="F16" s="762"/>
      <c r="G16" s="762"/>
      <c r="H16" s="763"/>
      <c r="I16" s="35" t="e">
        <f>VLOOKUP($I$1&amp;I$8,DATA!$A:$EB,'2403'!$A16,0)/100</f>
        <v>#N/A</v>
      </c>
      <c r="J16" s="37" t="e">
        <f>VLOOKUP($I$1&amp;J$8,DATA!$A:$EB,'2403'!$A16,0)/100</f>
        <v>#N/A</v>
      </c>
      <c r="K16" s="36" t="e">
        <f>VLOOKUP($I$1&amp;K$8,DATA!$A:$EB,'2403'!$A16,0)/100</f>
        <v>#N/A</v>
      </c>
      <c r="L16" s="36" t="e">
        <f>VLOOKUP($I$1&amp;L$8,DATA!$A:$EB,'2403'!$A16,0)/100</f>
        <v>#N/A</v>
      </c>
      <c r="M16" s="36" t="e">
        <f>VLOOKUP($I$1&amp;M$8,DATA!$A:$EB,'2403'!$A16,0)/100</f>
        <v>#N/A</v>
      </c>
      <c r="N16" s="36" t="e">
        <f>VLOOKUP($I$1&amp;N$8,DATA!$A:$EB,'2403'!$A16,0)/100</f>
        <v>#N/A</v>
      </c>
      <c r="O16" s="36" t="e">
        <f>VLOOKUP($I$1&amp;O$8,DATA!$A:$EB,'2403'!$A16,0)/100</f>
        <v>#N/A</v>
      </c>
      <c r="P16" s="36" t="e">
        <f>VLOOKUP($I$1&amp;P$8,DATA!$A:$EB,'2403'!$A16,0)/100</f>
        <v>#N/A</v>
      </c>
      <c r="Q16" s="36" t="e">
        <f>VLOOKUP($I$1&amp;Q$8,DATA!$A:$EB,'2403'!$A16,0)/100</f>
        <v>#N/A</v>
      </c>
      <c r="R16" s="36" t="e">
        <f>VLOOKUP($I$1&amp;R$8,DATA!$A:$EB,'2403'!$A16,0)/100</f>
        <v>#N/A</v>
      </c>
      <c r="S16" s="36" t="e">
        <f>VLOOKUP($I$1&amp;S$8,DATA!$A:$EB,'2403'!$A16,0)/100</f>
        <v>#N/A</v>
      </c>
      <c r="T16" s="35" t="e">
        <f>VLOOKUP($I$1&amp;T$8,DATA!$A:$EB,'2403'!$A16,0)/100</f>
        <v>#N/A</v>
      </c>
    </row>
    <row r="17" spans="1:20">
      <c r="C17" s="762" t="s">
        <v>116</v>
      </c>
      <c r="D17" s="762"/>
      <c r="E17" s="762"/>
      <c r="F17" s="762"/>
      <c r="G17" s="762"/>
      <c r="H17" s="763"/>
      <c r="I17" s="38" t="e">
        <f>I16/I14</f>
        <v>#N/A</v>
      </c>
      <c r="J17" s="38" t="e">
        <f t="shared" ref="J17:T17" si="1">J16/J14</f>
        <v>#N/A</v>
      </c>
      <c r="K17" s="38" t="e">
        <f t="shared" si="1"/>
        <v>#N/A</v>
      </c>
      <c r="L17" s="38" t="e">
        <f t="shared" si="1"/>
        <v>#N/A</v>
      </c>
      <c r="M17" s="38" t="e">
        <f t="shared" si="1"/>
        <v>#N/A</v>
      </c>
      <c r="N17" s="38" t="e">
        <f t="shared" si="1"/>
        <v>#N/A</v>
      </c>
      <c r="O17" s="38" t="e">
        <f t="shared" si="1"/>
        <v>#N/A</v>
      </c>
      <c r="P17" s="38" t="e">
        <f t="shared" si="1"/>
        <v>#N/A</v>
      </c>
      <c r="Q17" s="38" t="e">
        <f t="shared" si="1"/>
        <v>#N/A</v>
      </c>
      <c r="R17" s="38" t="e">
        <f t="shared" si="1"/>
        <v>#N/A</v>
      </c>
      <c r="S17" s="38" t="e">
        <f t="shared" si="1"/>
        <v>#N/A</v>
      </c>
      <c r="T17" s="38" t="e">
        <f t="shared" si="1"/>
        <v>#N/A</v>
      </c>
    </row>
    <row r="18" spans="1:20">
      <c r="A18" s="5">
        <f>DATA!BV1</f>
        <v>74</v>
      </c>
      <c r="C18" s="764" t="s">
        <v>52</v>
      </c>
      <c r="D18" s="764"/>
      <c r="E18" s="764"/>
      <c r="F18" s="764"/>
      <c r="G18" s="764"/>
      <c r="H18" s="765"/>
      <c r="I18" s="39" t="e">
        <f>VLOOKUP($I$1&amp;I$8,DATA!$A:$EB,'2403'!$A18,0)/100</f>
        <v>#N/A</v>
      </c>
      <c r="J18" s="40" t="e">
        <f>VLOOKUP($I$1&amp;J$8,DATA!$A:$EB,'2403'!$A18,0)/100</f>
        <v>#N/A</v>
      </c>
      <c r="K18" s="40" t="e">
        <f>VLOOKUP($I$1&amp;K$8,DATA!$A:$EB,'2403'!$A18,0)/100</f>
        <v>#N/A</v>
      </c>
      <c r="L18" s="40" t="e">
        <f>VLOOKUP($I$1&amp;L$8,DATA!$A:$EB,'2403'!$A18,0)/100</f>
        <v>#N/A</v>
      </c>
      <c r="M18" s="40" t="e">
        <f>VLOOKUP($I$1&amp;M$8,DATA!$A:$EB,'2403'!$A18,0)/100</f>
        <v>#N/A</v>
      </c>
      <c r="N18" s="40" t="e">
        <f>VLOOKUP($I$1&amp;N$8,DATA!$A:$EB,'2403'!$A18,0)/100</f>
        <v>#N/A</v>
      </c>
      <c r="O18" s="40" t="e">
        <f>VLOOKUP($I$1&amp;O$8,DATA!$A:$EB,'2403'!$A18,0)/100</f>
        <v>#N/A</v>
      </c>
      <c r="P18" s="40" t="e">
        <f>VLOOKUP($I$1&amp;P$8,DATA!$A:$EB,'2403'!$A18,0)/100</f>
        <v>#N/A</v>
      </c>
      <c r="Q18" s="40" t="e">
        <f>VLOOKUP($I$1&amp;Q$8,DATA!$A:$EB,'2403'!$A18,0)/100</f>
        <v>#N/A</v>
      </c>
      <c r="R18" s="40" t="e">
        <f>VLOOKUP($I$1&amp;R$8,DATA!$A:$EB,'2403'!$A18,0)/100</f>
        <v>#N/A</v>
      </c>
      <c r="S18" s="40" t="e">
        <f>VLOOKUP($I$1&amp;S$8,DATA!$A:$EB,'2403'!$A18,0)/100</f>
        <v>#N/A</v>
      </c>
      <c r="T18" s="39" t="e">
        <f>VLOOKUP($I$1&amp;T$8,DATA!$A:$EB,'2403'!$A18,0)/100</f>
        <v>#N/A</v>
      </c>
    </row>
    <row r="19" spans="1:20">
      <c r="A19" s="5">
        <f>DATA!N1</f>
        <v>14</v>
      </c>
      <c r="C19" s="758" t="s">
        <v>133</v>
      </c>
      <c r="D19" s="758"/>
      <c r="E19" s="758"/>
      <c r="F19" s="758"/>
      <c r="G19" s="758"/>
      <c r="H19" s="759"/>
      <c r="I19" s="27" t="e">
        <f>VLOOKUP($I$1&amp;I$8,DATA!$A:$EB,'2403'!$A19,0)/100</f>
        <v>#N/A</v>
      </c>
      <c r="J19" s="28" t="e">
        <f>VLOOKUP($I$1&amp;J$8,DATA!$A:$EB,'2403'!$A19,0)/100</f>
        <v>#N/A</v>
      </c>
      <c r="K19" s="28" t="e">
        <f>VLOOKUP($I$1&amp;K$8,DATA!$A:$EB,'2403'!$A19,0)/100</f>
        <v>#N/A</v>
      </c>
      <c r="L19" s="28" t="e">
        <f>VLOOKUP($I$1&amp;L$8,DATA!$A:$EB,'2403'!$A19,0)/100</f>
        <v>#N/A</v>
      </c>
      <c r="M19" s="28" t="e">
        <f>VLOOKUP($I$1&amp;M$8,DATA!$A:$EB,'2403'!$A19,0)/100</f>
        <v>#N/A</v>
      </c>
      <c r="N19" s="28" t="e">
        <f>VLOOKUP($I$1&amp;N$8,DATA!$A:$EB,'2403'!$A19,0)/100</f>
        <v>#N/A</v>
      </c>
      <c r="O19" s="28" t="e">
        <f>VLOOKUP($I$1&amp;O$8,DATA!$A:$EB,'2403'!$A19,0)/100</f>
        <v>#N/A</v>
      </c>
      <c r="P19" s="28" t="e">
        <f>VLOOKUP($I$1&amp;P$8,DATA!$A:$EB,'2403'!$A19,0)/100</f>
        <v>#N/A</v>
      </c>
      <c r="Q19" s="28" t="e">
        <f>VLOOKUP($I$1&amp;Q$8,DATA!$A:$EB,'2403'!$A19,0)/100</f>
        <v>#N/A</v>
      </c>
      <c r="R19" s="28" t="e">
        <f>VLOOKUP($I$1&amp;R$8,DATA!$A:$EB,'2403'!$A19,0)/100</f>
        <v>#N/A</v>
      </c>
      <c r="S19" s="28" t="e">
        <f>VLOOKUP($I$1&amp;S$8,DATA!$A:$EB,'2403'!$A19,0)/100</f>
        <v>#N/A</v>
      </c>
      <c r="T19" s="27" t="e">
        <f>VLOOKUP($I$1&amp;T$8,DATA!$A:$EB,'2403'!$A19,0)/100</f>
        <v>#N/A</v>
      </c>
    </row>
    <row r="20" spans="1:20">
      <c r="A20" s="5">
        <f>DATA!R1</f>
        <v>18</v>
      </c>
      <c r="C20" s="737" t="s">
        <v>38</v>
      </c>
      <c r="D20" s="737"/>
      <c r="E20" s="737"/>
      <c r="F20" s="737"/>
      <c r="G20" s="737"/>
      <c r="H20" s="738"/>
      <c r="I20" s="29" t="e">
        <f>VLOOKUP($I$1&amp;I$8,DATA!$A:$EB,'2403'!$A20,0)/100</f>
        <v>#N/A</v>
      </c>
      <c r="J20" s="30" t="e">
        <f>VLOOKUP($I$1&amp;J$8,DATA!$A:$EB,'2403'!$A20,0)/100</f>
        <v>#N/A</v>
      </c>
      <c r="K20" s="30" t="e">
        <f>VLOOKUP($I$1&amp;K$8,DATA!$A:$EB,'2403'!$A20,0)/100</f>
        <v>#N/A</v>
      </c>
      <c r="L20" s="30" t="e">
        <f>VLOOKUP($I$1&amp;L$8,DATA!$A:$EB,'2403'!$A20,0)/100</f>
        <v>#N/A</v>
      </c>
      <c r="M20" s="30" t="e">
        <f>VLOOKUP($I$1&amp;M$8,DATA!$A:$EB,'2403'!$A20,0)/100</f>
        <v>#N/A</v>
      </c>
      <c r="N20" s="30" t="e">
        <f>VLOOKUP($I$1&amp;N$8,DATA!$A:$EB,'2403'!$A20,0)/100</f>
        <v>#N/A</v>
      </c>
      <c r="O20" s="30" t="e">
        <f>VLOOKUP($I$1&amp;O$8,DATA!$A:$EB,'2403'!$A20,0)/100</f>
        <v>#N/A</v>
      </c>
      <c r="P20" s="30" t="e">
        <f>VLOOKUP($I$1&amp;P$8,DATA!$A:$EB,'2403'!$A20,0)/100</f>
        <v>#N/A</v>
      </c>
      <c r="Q20" s="30" t="e">
        <f>VLOOKUP($I$1&amp;Q$8,DATA!$A:$EB,'2403'!$A20,0)/100</f>
        <v>#N/A</v>
      </c>
      <c r="R20" s="30" t="e">
        <f>VLOOKUP($I$1&amp;R$8,DATA!$A:$EB,'2403'!$A20,0)/100</f>
        <v>#N/A</v>
      </c>
      <c r="S20" s="30" t="e">
        <f>VLOOKUP($I$1&amp;S$8,DATA!$A:$EB,'2403'!$A20,0)/100</f>
        <v>#N/A</v>
      </c>
      <c r="T20" s="29" t="e">
        <f>VLOOKUP($I$1&amp;T$8,DATA!$A:$EB,'2403'!$A20,0)/100</f>
        <v>#N/A</v>
      </c>
    </row>
    <row r="21" spans="1:20">
      <c r="A21" s="5">
        <f>DATA!Q1</f>
        <v>17</v>
      </c>
      <c r="C21" s="760" t="s">
        <v>141</v>
      </c>
      <c r="D21" s="760"/>
      <c r="E21" s="760"/>
      <c r="F21" s="760"/>
      <c r="G21" s="760"/>
      <c r="H21" s="761"/>
      <c r="I21" s="33" t="e">
        <f>VLOOKUP($I$1&amp;I$8,DATA!$A:$EB,'2403'!$A21,0)/100</f>
        <v>#N/A</v>
      </c>
      <c r="J21" s="34" t="e">
        <f>VLOOKUP($I$1&amp;J$8,DATA!$A:$EB,'2403'!$A21,0)/100</f>
        <v>#N/A</v>
      </c>
      <c r="K21" s="34" t="e">
        <f>VLOOKUP($I$1&amp;K$8,DATA!$A:$EB,'2403'!$A21,0)/100</f>
        <v>#N/A</v>
      </c>
      <c r="L21" s="34" t="e">
        <f>VLOOKUP($I$1&amp;L$8,DATA!$A:$EB,'2403'!$A21,0)/100</f>
        <v>#N/A</v>
      </c>
      <c r="M21" s="34" t="e">
        <f>VLOOKUP($I$1&amp;M$8,DATA!$A:$EB,'2403'!$A21,0)/100</f>
        <v>#N/A</v>
      </c>
      <c r="N21" s="34" t="e">
        <f>VLOOKUP($I$1&amp;N$8,DATA!$A:$EB,'2403'!$A21,0)/100</f>
        <v>#N/A</v>
      </c>
      <c r="O21" s="34" t="e">
        <f>VLOOKUP($I$1&amp;O$8,DATA!$A:$EB,'2403'!$A21,0)/100</f>
        <v>#N/A</v>
      </c>
      <c r="P21" s="34" t="e">
        <f>VLOOKUP($I$1&amp;P$8,DATA!$A:$EB,'2403'!$A21,0)/100</f>
        <v>#N/A</v>
      </c>
      <c r="Q21" s="34" t="e">
        <f>VLOOKUP($I$1&amp;Q$8,DATA!$A:$EB,'2403'!$A21,0)/100</f>
        <v>#N/A</v>
      </c>
      <c r="R21" s="34" t="e">
        <f>VLOOKUP($I$1&amp;R$8,DATA!$A:$EB,'2403'!$A21,0)/100</f>
        <v>#N/A</v>
      </c>
      <c r="S21" s="34" t="e">
        <f>VLOOKUP($I$1&amp;S$8,DATA!$A:$EB,'2403'!$A21,0)/100</f>
        <v>#N/A</v>
      </c>
      <c r="T21" s="33" t="e">
        <f>VLOOKUP($I$1&amp;T$8,DATA!$A:$EB,'2403'!$A21,0)/100</f>
        <v>#N/A</v>
      </c>
    </row>
    <row r="22" spans="1:20">
      <c r="C22" s="20" t="s">
        <v>114</v>
      </c>
      <c r="D22" s="20"/>
      <c r="E22" s="20"/>
      <c r="F22" s="20"/>
      <c r="G22" s="20"/>
      <c r="H22" s="20"/>
      <c r="I22" s="8" t="e">
        <f t="shared" ref="I22:T22" si="2">+I20/I9</f>
        <v>#N/A</v>
      </c>
      <c r="J22" s="8" t="e">
        <f t="shared" si="2"/>
        <v>#N/A</v>
      </c>
      <c r="K22" s="8" t="e">
        <f t="shared" si="2"/>
        <v>#N/A</v>
      </c>
      <c r="L22" s="8" t="e">
        <f t="shared" si="2"/>
        <v>#N/A</v>
      </c>
      <c r="M22" s="8" t="e">
        <f t="shared" si="2"/>
        <v>#N/A</v>
      </c>
      <c r="N22" s="8" t="e">
        <f t="shared" si="2"/>
        <v>#N/A</v>
      </c>
      <c r="O22" s="8" t="e">
        <f t="shared" si="2"/>
        <v>#N/A</v>
      </c>
      <c r="P22" s="8" t="e">
        <f t="shared" si="2"/>
        <v>#N/A</v>
      </c>
      <c r="Q22" s="8" t="e">
        <f t="shared" si="2"/>
        <v>#N/A</v>
      </c>
      <c r="R22" s="8" t="e">
        <f t="shared" si="2"/>
        <v>#N/A</v>
      </c>
      <c r="S22" s="8" t="e">
        <f t="shared" si="2"/>
        <v>#N/A</v>
      </c>
      <c r="T22" s="8" t="e">
        <f t="shared" si="2"/>
        <v>#N/A</v>
      </c>
    </row>
    <row r="23" spans="1:20">
      <c r="C23" s="20"/>
      <c r="D23" s="20"/>
      <c r="E23" s="20"/>
      <c r="F23" s="20"/>
      <c r="G23" s="20"/>
      <c r="H23" s="20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>
      <c r="C24" s="20"/>
      <c r="D24" s="20"/>
      <c r="E24" s="20"/>
      <c r="F24" s="20"/>
      <c r="G24" s="20"/>
      <c r="H24" s="20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ht="16.5">
      <c r="A25" s="5">
        <f>DATA!T1</f>
        <v>20</v>
      </c>
      <c r="C25" s="20" t="s">
        <v>883</v>
      </c>
      <c r="D25" s="42"/>
      <c r="F25" s="42"/>
      <c r="G25" s="42"/>
      <c r="H25" s="42"/>
      <c r="I25" s="1" t="e">
        <f>VLOOKUP($I$1&amp;I$8,DATA!$A:$EB,'2403'!$A25,0)/100</f>
        <v>#N/A</v>
      </c>
      <c r="J25" s="1" t="e">
        <f>VLOOKUP($I$1&amp;J$8,DATA!$A:$EB,'2403'!$A25,0)/100</f>
        <v>#N/A</v>
      </c>
      <c r="K25" s="95" t="e">
        <f>VLOOKUP($I$1&amp;K$8,DATA!$A:$EB,'2403'!$A25,0)/100</f>
        <v>#N/A</v>
      </c>
      <c r="L25" s="95" t="e">
        <f>VLOOKUP($I$1&amp;L$8,DATA!$A:$EB,'2403'!$A25,0)/100</f>
        <v>#N/A</v>
      </c>
      <c r="M25" s="95" t="e">
        <f>VLOOKUP($I$1&amp;M$8,DATA!$A:$EB,'2403'!$A25,0)/100</f>
        <v>#N/A</v>
      </c>
      <c r="N25" s="95" t="e">
        <f>VLOOKUP($I$1&amp;N$8,DATA!$A:$EB,'2403'!$A25,0)/100</f>
        <v>#N/A</v>
      </c>
      <c r="O25" s="95" t="e">
        <f>VLOOKUP($I$1&amp;O$8,DATA!$A:$EB,'2403'!$A25,0)/100</f>
        <v>#N/A</v>
      </c>
      <c r="P25" s="95" t="e">
        <f>VLOOKUP($I$1&amp;P$8,DATA!$A:$EB,'2403'!$A25,0)/100</f>
        <v>#N/A</v>
      </c>
      <c r="Q25" s="95" t="e">
        <f>VLOOKUP($I$1&amp;Q$8,DATA!$A:$EB,'2403'!$A25,0)/100</f>
        <v>#N/A</v>
      </c>
      <c r="R25" s="95" t="e">
        <f>VLOOKUP($I$1&amp;R$8,DATA!$A:$EB,'2403'!$A25,0)/100</f>
        <v>#N/A</v>
      </c>
      <c r="S25" s="95" t="e">
        <f>VLOOKUP($I$1&amp;S$8,DATA!$A:$EB,'2403'!$A25,0)/100</f>
        <v>#N/A</v>
      </c>
      <c r="T25" s="95" t="e">
        <f>VLOOKUP($I$1&amp;T$8,DATA!$A:$EB,'2403'!$A25,0)/100</f>
        <v>#N/A</v>
      </c>
    </row>
    <row r="26" spans="1:20" ht="16.5">
      <c r="C26" s="20" t="s">
        <v>884</v>
      </c>
      <c r="D26" s="42"/>
      <c r="F26" s="42"/>
      <c r="G26" s="42"/>
      <c r="H26" s="42"/>
      <c r="I26" s="1" t="e">
        <f>I19-I25</f>
        <v>#N/A</v>
      </c>
      <c r="J26" s="1" t="e">
        <f t="shared" ref="J26:T26" si="3">J19-J25</f>
        <v>#N/A</v>
      </c>
      <c r="K26" s="1" t="e">
        <f t="shared" si="3"/>
        <v>#N/A</v>
      </c>
      <c r="L26" s="1" t="e">
        <f t="shared" si="3"/>
        <v>#N/A</v>
      </c>
      <c r="M26" s="1" t="e">
        <f t="shared" si="3"/>
        <v>#N/A</v>
      </c>
      <c r="N26" s="1" t="e">
        <f t="shared" si="3"/>
        <v>#N/A</v>
      </c>
      <c r="O26" s="1" t="e">
        <f t="shared" si="3"/>
        <v>#N/A</v>
      </c>
      <c r="P26" s="1" t="e">
        <f t="shared" si="3"/>
        <v>#N/A</v>
      </c>
      <c r="Q26" s="1" t="e">
        <f t="shared" si="3"/>
        <v>#N/A</v>
      </c>
      <c r="R26" s="1" t="e">
        <f t="shared" si="3"/>
        <v>#N/A</v>
      </c>
      <c r="S26" s="1" t="e">
        <f t="shared" si="3"/>
        <v>#N/A</v>
      </c>
      <c r="T26" s="1" t="e">
        <f t="shared" si="3"/>
        <v>#N/A</v>
      </c>
    </row>
    <row r="27" spans="1:20">
      <c r="A27" s="5">
        <f>DATA!BC1</f>
        <v>55</v>
      </c>
      <c r="C27" s="20" t="s">
        <v>874</v>
      </c>
      <c r="I27" s="1" t="e">
        <f>VLOOKUP($I$1&amp;I$8,DATA!$A:$EB,'2403'!$A27,0)/100</f>
        <v>#N/A</v>
      </c>
      <c r="J27" s="1" t="e">
        <f>VLOOKUP($I$1&amp;J$8,DATA!$A:$EB,'2403'!$A27,0)/100</f>
        <v>#N/A</v>
      </c>
      <c r="K27" s="1" t="e">
        <f>VLOOKUP($I$1&amp;K$8,DATA!$A:$EB,'2403'!$A27,0)/100</f>
        <v>#N/A</v>
      </c>
      <c r="L27" s="1" t="e">
        <f>VLOOKUP($I$1&amp;L$8,DATA!$A:$EB,'2403'!$A27,0)/100</f>
        <v>#N/A</v>
      </c>
      <c r="M27" s="1" t="e">
        <f>VLOOKUP($I$1&amp;M$8,DATA!$A:$EB,'2403'!$A27,0)/100</f>
        <v>#N/A</v>
      </c>
      <c r="N27" s="1" t="e">
        <f>VLOOKUP($I$1&amp;N$8,DATA!$A:$EB,'2403'!$A27,0)/100</f>
        <v>#N/A</v>
      </c>
      <c r="O27" s="1" t="e">
        <f>VLOOKUP($I$1&amp;O$8,DATA!$A:$EB,'2403'!$A27,0)/100</f>
        <v>#N/A</v>
      </c>
      <c r="P27" s="1" t="e">
        <f>VLOOKUP($I$1&amp;P$8,DATA!$A:$EB,'2403'!$A27,0)/100</f>
        <v>#N/A</v>
      </c>
      <c r="Q27" s="1" t="e">
        <f>VLOOKUP($I$1&amp;Q$8,DATA!$A:$EB,'2403'!$A27,0)/100</f>
        <v>#N/A</v>
      </c>
      <c r="R27" s="1" t="e">
        <f>VLOOKUP($I$1&amp;R$8,DATA!$A:$EB,'2403'!$A27,0)/100</f>
        <v>#N/A</v>
      </c>
      <c r="S27" s="1" t="e">
        <f>VLOOKUP($I$1&amp;S$8,DATA!$A:$EB,'2403'!$A27,0)/100</f>
        <v>#N/A</v>
      </c>
      <c r="T27" s="1" t="e">
        <f>VLOOKUP($I$1&amp;T$8,DATA!$A:$EB,'2403'!$A27,0)/100</f>
        <v>#N/A</v>
      </c>
    </row>
    <row r="28" spans="1:20">
      <c r="A28" s="5">
        <f>DATA!BN1</f>
        <v>66</v>
      </c>
      <c r="C28" s="20" t="s">
        <v>879</v>
      </c>
      <c r="I28" s="1" t="e">
        <f>VLOOKUP($I$1&amp;I$8,DATA!$A:$EB,'2403'!$A28,0)/100</f>
        <v>#N/A</v>
      </c>
      <c r="J28" s="1" t="e">
        <f>VLOOKUP($I$1&amp;J$8,DATA!$A:$EB,'2403'!$A28,0)/100</f>
        <v>#N/A</v>
      </c>
      <c r="K28" s="1" t="e">
        <f>VLOOKUP($I$1&amp;K$8,DATA!$A:$EB,'2403'!$A28,0)/100</f>
        <v>#N/A</v>
      </c>
      <c r="L28" s="1" t="e">
        <f>VLOOKUP($I$1&amp;L$8,DATA!$A:$EB,'2403'!$A28,0)/100</f>
        <v>#N/A</v>
      </c>
      <c r="M28" s="1" t="e">
        <f>VLOOKUP($I$1&amp;M$8,DATA!$A:$EB,'2403'!$A28,0)/100</f>
        <v>#N/A</v>
      </c>
      <c r="N28" s="1" t="e">
        <f>VLOOKUP($I$1&amp;N$8,DATA!$A:$EB,'2403'!$A28,0)/100</f>
        <v>#N/A</v>
      </c>
      <c r="O28" s="1" t="e">
        <f>VLOOKUP($I$1&amp;O$8,DATA!$A:$EB,'2403'!$A28,0)/100</f>
        <v>#N/A</v>
      </c>
      <c r="P28" s="1" t="e">
        <f>VLOOKUP($I$1&amp;P$8,DATA!$A:$EB,'2403'!$A28,0)/100</f>
        <v>#N/A</v>
      </c>
      <c r="Q28" s="1" t="e">
        <f>VLOOKUP($I$1&amp;Q$8,DATA!$A:$EB,'2403'!$A28,0)/100</f>
        <v>#N/A</v>
      </c>
      <c r="R28" s="1" t="e">
        <f>VLOOKUP($I$1&amp;R$8,DATA!$A:$EB,'2403'!$A28,0)/100</f>
        <v>#N/A</v>
      </c>
      <c r="S28" s="1" t="e">
        <f>VLOOKUP($I$1&amp;S$8,DATA!$A:$EB,'2403'!$A28,0)/100</f>
        <v>#N/A</v>
      </c>
      <c r="T28" s="1" t="e">
        <f>VLOOKUP($I$1&amp;T$8,DATA!$A:$EB,'2403'!$A28,0)/100</f>
        <v>#N/A</v>
      </c>
    </row>
    <row r="29" spans="1:20">
      <c r="A29" s="5">
        <f>DATA!BR1</f>
        <v>70</v>
      </c>
      <c r="C29" s="20" t="s">
        <v>880</v>
      </c>
      <c r="I29" s="1" t="e">
        <f>VLOOKUP($I$1&amp;I$8,DATA!$A:$EB,'2403'!$A29,0)/100</f>
        <v>#N/A</v>
      </c>
      <c r="J29" s="1" t="e">
        <f>VLOOKUP($I$1&amp;J$8,DATA!$A:$EB,'2403'!$A29,0)/100</f>
        <v>#N/A</v>
      </c>
      <c r="K29" s="1" t="e">
        <f>VLOOKUP($I$1&amp;K$8,DATA!$A:$EB,'2403'!$A29,0)/100</f>
        <v>#N/A</v>
      </c>
      <c r="L29" s="1" t="e">
        <f>VLOOKUP($I$1&amp;L$8,DATA!$A:$EB,'2403'!$A29,0)/100</f>
        <v>#N/A</v>
      </c>
      <c r="M29" s="1" t="e">
        <f>VLOOKUP($I$1&amp;M$8,DATA!$A:$EB,'2403'!$A29,0)/100</f>
        <v>#N/A</v>
      </c>
      <c r="N29" s="1" t="e">
        <f>VLOOKUP($I$1&amp;N$8,DATA!$A:$EB,'2403'!$A29,0)/100</f>
        <v>#N/A</v>
      </c>
      <c r="O29" s="1" t="e">
        <f>VLOOKUP($I$1&amp;O$8,DATA!$A:$EB,'2403'!$A29,0)/100</f>
        <v>#N/A</v>
      </c>
      <c r="P29" s="1" t="e">
        <f>VLOOKUP($I$1&amp;P$8,DATA!$A:$EB,'2403'!$A29,0)/100</f>
        <v>#N/A</v>
      </c>
      <c r="Q29" s="1" t="e">
        <f>VLOOKUP($I$1&amp;Q$8,DATA!$A:$EB,'2403'!$A29,0)/100</f>
        <v>#N/A</v>
      </c>
      <c r="R29" s="1" t="e">
        <f>VLOOKUP($I$1&amp;R$8,DATA!$A:$EB,'2403'!$A29,0)/100</f>
        <v>#N/A</v>
      </c>
      <c r="S29" s="1" t="e">
        <f>VLOOKUP($I$1&amp;S$8,DATA!$A:$EB,'2403'!$A29,0)/100</f>
        <v>#N/A</v>
      </c>
      <c r="T29" s="1" t="e">
        <f>VLOOKUP($I$1&amp;T$8,DATA!$A:$EB,'2403'!$A29,0)/100</f>
        <v>#N/A</v>
      </c>
    </row>
    <row r="30" spans="1:20">
      <c r="C30" s="20" t="s">
        <v>881</v>
      </c>
      <c r="I30" s="1" t="e">
        <f>I28+I29</f>
        <v>#N/A</v>
      </c>
      <c r="J30" s="1" t="e">
        <f t="shared" ref="J30:T30" si="4">J28+J29</f>
        <v>#N/A</v>
      </c>
      <c r="K30" s="1" t="e">
        <f t="shared" si="4"/>
        <v>#N/A</v>
      </c>
      <c r="L30" s="1" t="e">
        <f t="shared" si="4"/>
        <v>#N/A</v>
      </c>
      <c r="M30" s="1" t="e">
        <f t="shared" si="4"/>
        <v>#N/A</v>
      </c>
      <c r="N30" s="1" t="e">
        <f t="shared" si="4"/>
        <v>#N/A</v>
      </c>
      <c r="O30" s="1" t="e">
        <f t="shared" si="4"/>
        <v>#N/A</v>
      </c>
      <c r="P30" s="1" t="e">
        <f t="shared" si="4"/>
        <v>#N/A</v>
      </c>
      <c r="Q30" s="1" t="e">
        <f t="shared" si="4"/>
        <v>#N/A</v>
      </c>
      <c r="R30" s="1" t="e">
        <f t="shared" si="4"/>
        <v>#N/A</v>
      </c>
      <c r="S30" s="1" t="e">
        <f t="shared" si="4"/>
        <v>#N/A</v>
      </c>
      <c r="T30" s="1" t="e">
        <f t="shared" si="4"/>
        <v>#N/A</v>
      </c>
    </row>
    <row r="31" spans="1:20">
      <c r="C31" s="132" t="s">
        <v>882</v>
      </c>
      <c r="I31" s="1" t="e">
        <f>I26-I30</f>
        <v>#N/A</v>
      </c>
      <c r="J31" s="1" t="e">
        <f t="shared" ref="J31:T31" si="5">J26-J30</f>
        <v>#N/A</v>
      </c>
      <c r="K31" s="1" t="e">
        <f t="shared" si="5"/>
        <v>#N/A</v>
      </c>
      <c r="L31" s="1" t="e">
        <f t="shared" si="5"/>
        <v>#N/A</v>
      </c>
      <c r="M31" s="1" t="e">
        <f t="shared" si="5"/>
        <v>#N/A</v>
      </c>
      <c r="N31" s="1" t="e">
        <f t="shared" si="5"/>
        <v>#N/A</v>
      </c>
      <c r="O31" s="1" t="e">
        <f t="shared" si="5"/>
        <v>#N/A</v>
      </c>
      <c r="P31" s="1" t="e">
        <f t="shared" si="5"/>
        <v>#N/A</v>
      </c>
      <c r="Q31" s="1" t="e">
        <f t="shared" si="5"/>
        <v>#N/A</v>
      </c>
      <c r="R31" s="1" t="e">
        <f t="shared" si="5"/>
        <v>#N/A</v>
      </c>
      <c r="S31" s="1" t="e">
        <f t="shared" si="5"/>
        <v>#N/A</v>
      </c>
      <c r="T31" s="1" t="e">
        <f t="shared" si="5"/>
        <v>#N/A</v>
      </c>
    </row>
    <row r="32" spans="1:20">
      <c r="C32" s="5" t="s">
        <v>885</v>
      </c>
      <c r="I32" s="133" t="e">
        <f>I31/I25</f>
        <v>#N/A</v>
      </c>
      <c r="J32" s="133" t="e">
        <f t="shared" ref="J32:T32" si="6">J31/J25</f>
        <v>#N/A</v>
      </c>
      <c r="K32" s="133" t="e">
        <f t="shared" si="6"/>
        <v>#N/A</v>
      </c>
      <c r="L32" s="133" t="e">
        <f t="shared" si="6"/>
        <v>#N/A</v>
      </c>
      <c r="M32" s="133" t="e">
        <f t="shared" si="6"/>
        <v>#N/A</v>
      </c>
      <c r="N32" s="133" t="e">
        <f t="shared" si="6"/>
        <v>#N/A</v>
      </c>
      <c r="O32" s="133" t="e">
        <f t="shared" si="6"/>
        <v>#N/A</v>
      </c>
      <c r="P32" s="133" t="e">
        <f t="shared" si="6"/>
        <v>#N/A</v>
      </c>
      <c r="Q32" s="133" t="e">
        <f t="shared" si="6"/>
        <v>#N/A</v>
      </c>
      <c r="R32" s="133" t="e">
        <f t="shared" si="6"/>
        <v>#N/A</v>
      </c>
      <c r="S32" s="133" t="e">
        <f t="shared" si="6"/>
        <v>#N/A</v>
      </c>
      <c r="T32" s="133" t="e">
        <f t="shared" si="6"/>
        <v>#N/A</v>
      </c>
    </row>
    <row r="33" spans="1:21"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</row>
    <row r="34" spans="1:21"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</row>
    <row r="35" spans="1:21">
      <c r="A35" s="5">
        <f>DATA!$BF$1</f>
        <v>58</v>
      </c>
      <c r="C35" s="5" t="s">
        <v>908</v>
      </c>
      <c r="I35" s="1" t="e">
        <f>VLOOKUP($I$1&amp;I$8,DATA!$A:$EB,작업!$A50,0)/100</f>
        <v>#N/A</v>
      </c>
      <c r="J35" s="1" t="e">
        <f>VLOOKUP($I$1&amp;J$8,DATA!$A:$EB,작업!$A50,0)/100</f>
        <v>#N/A</v>
      </c>
      <c r="K35" s="1" t="e">
        <f>VLOOKUP($I$1&amp;K$8,DATA!$A:$EB,작업!$A50,0)/100</f>
        <v>#N/A</v>
      </c>
      <c r="L35" s="1" t="e">
        <f>VLOOKUP($I$1&amp;L$8,DATA!$A:$EB,작업!$A50,0)/100</f>
        <v>#N/A</v>
      </c>
      <c r="M35" s="1" t="e">
        <f>VLOOKUP($I$1&amp;M$8,DATA!$A:$EB,작업!$A50,0)/100</f>
        <v>#N/A</v>
      </c>
      <c r="N35" s="1" t="e">
        <f>VLOOKUP($I$1&amp;N$8,DATA!$A:$EB,작업!$A50,0)/100</f>
        <v>#N/A</v>
      </c>
      <c r="O35" s="1" t="e">
        <f>VLOOKUP($I$1&amp;O$8,DATA!$A:$EB,작업!$A50,0)/100</f>
        <v>#N/A</v>
      </c>
      <c r="P35" s="1" t="e">
        <f>VLOOKUP($I$1&amp;P$8,DATA!$A:$EB,작업!$A50,0)/100</f>
        <v>#N/A</v>
      </c>
      <c r="Q35" s="1" t="e">
        <f>VLOOKUP($I$1&amp;Q$8,DATA!$A:$EB,작업!$A50,0)/100</f>
        <v>#N/A</v>
      </c>
      <c r="R35" s="1" t="e">
        <f>VLOOKUP($I$1&amp;R$8,DATA!$A:$EB,작업!$A50,0)/100</f>
        <v>#N/A</v>
      </c>
      <c r="S35" s="1" t="e">
        <f>VLOOKUP($I$1&amp;S$8,DATA!$A:$EB,작업!$A50,0)/100</f>
        <v>#N/A</v>
      </c>
      <c r="T35" s="1" t="e">
        <f>VLOOKUP($I$1&amp;T$8,DATA!$A:$EB,작업!$A50,0)/100</f>
        <v>#N/A</v>
      </c>
    </row>
    <row r="36" spans="1:21">
      <c r="C36" s="5" t="s">
        <v>909</v>
      </c>
      <c r="I36" s="133" t="e">
        <f>I35/(I15+I16+I18)</f>
        <v>#N/A</v>
      </c>
      <c r="J36" s="133" t="e">
        <f t="shared" ref="J36:T36" si="7">J35/(J15+J16+J18)</f>
        <v>#N/A</v>
      </c>
      <c r="K36" s="133" t="e">
        <f t="shared" si="7"/>
        <v>#N/A</v>
      </c>
      <c r="L36" s="133" t="e">
        <f t="shared" si="7"/>
        <v>#N/A</v>
      </c>
      <c r="M36" s="133" t="e">
        <f t="shared" si="7"/>
        <v>#N/A</v>
      </c>
      <c r="N36" s="133" t="e">
        <f t="shared" si="7"/>
        <v>#N/A</v>
      </c>
      <c r="O36" s="133" t="e">
        <f t="shared" si="7"/>
        <v>#N/A</v>
      </c>
      <c r="P36" s="133" t="e">
        <f t="shared" si="7"/>
        <v>#N/A</v>
      </c>
      <c r="Q36" s="133" t="e">
        <f t="shared" si="7"/>
        <v>#N/A</v>
      </c>
      <c r="R36" s="133" t="e">
        <f t="shared" si="7"/>
        <v>#N/A</v>
      </c>
      <c r="S36" s="133" t="e">
        <f t="shared" si="7"/>
        <v>#N/A</v>
      </c>
      <c r="T36" s="133" t="e">
        <f t="shared" si="7"/>
        <v>#N/A</v>
      </c>
    </row>
    <row r="37" spans="1:21">
      <c r="A37" s="5">
        <f>DATA!$BD$1</f>
        <v>56</v>
      </c>
      <c r="C37" s="5" t="s">
        <v>910</v>
      </c>
      <c r="I37" s="1" t="e">
        <f>VLOOKUP($I$1&amp;I$8,DATA!$A:$EB,작업!$A52,0)/100</f>
        <v>#N/A</v>
      </c>
      <c r="J37" s="1" t="e">
        <f>VLOOKUP($I$1&amp;J$8,DATA!$A:$EB,작업!$A52,0)/100</f>
        <v>#N/A</v>
      </c>
      <c r="K37" s="1" t="e">
        <f>VLOOKUP($I$1&amp;K$8,DATA!$A:$EB,작업!$A52,0)/100</f>
        <v>#N/A</v>
      </c>
      <c r="L37" s="1" t="e">
        <f>VLOOKUP($I$1&amp;L$8,DATA!$A:$EB,작업!$A52,0)/100</f>
        <v>#N/A</v>
      </c>
      <c r="M37" s="1" t="e">
        <f>VLOOKUP($I$1&amp;M$8,DATA!$A:$EB,작업!$A52,0)/100</f>
        <v>#N/A</v>
      </c>
      <c r="N37" s="1" t="e">
        <f>VLOOKUP($I$1&amp;N$8,DATA!$A:$EB,작업!$A52,0)/100</f>
        <v>#N/A</v>
      </c>
      <c r="O37" s="1" t="e">
        <f>VLOOKUP($I$1&amp;O$8,DATA!$A:$EB,작업!$A52,0)/100</f>
        <v>#N/A</v>
      </c>
      <c r="P37" s="1" t="e">
        <f>VLOOKUP($I$1&amp;P$8,DATA!$A:$EB,작업!$A52,0)/100</f>
        <v>#N/A</v>
      </c>
      <c r="Q37" s="1" t="e">
        <f>VLOOKUP($I$1&amp;Q$8,DATA!$A:$EB,작업!$A52,0)/100</f>
        <v>#N/A</v>
      </c>
      <c r="R37" s="1" t="e">
        <f>VLOOKUP($I$1&amp;R$8,DATA!$A:$EB,작업!$A52,0)/100</f>
        <v>#N/A</v>
      </c>
      <c r="S37" s="1" t="e">
        <f>VLOOKUP($I$1&amp;S$8,DATA!$A:$EB,작업!$A52,0)/100</f>
        <v>#N/A</v>
      </c>
      <c r="T37" s="1" t="e">
        <f>VLOOKUP($I$1&amp;T$8,DATA!$A:$EB,작업!$A52,0)/100</f>
        <v>#N/A</v>
      </c>
    </row>
    <row r="38" spans="1:21">
      <c r="C38" s="5" t="s">
        <v>909</v>
      </c>
      <c r="I38" s="133" t="e">
        <f>I37/(I15+I16+I18)</f>
        <v>#N/A</v>
      </c>
      <c r="J38" s="133" t="e">
        <f t="shared" ref="J38:T38" si="8">J37/(J15+J16+J18)</f>
        <v>#N/A</v>
      </c>
      <c r="K38" s="133" t="e">
        <f t="shared" si="8"/>
        <v>#N/A</v>
      </c>
      <c r="L38" s="133" t="e">
        <f t="shared" si="8"/>
        <v>#N/A</v>
      </c>
      <c r="M38" s="133" t="e">
        <f t="shared" si="8"/>
        <v>#N/A</v>
      </c>
      <c r="N38" s="133" t="e">
        <f t="shared" si="8"/>
        <v>#N/A</v>
      </c>
      <c r="O38" s="133" t="e">
        <f>O37/(O15+O16+O18)</f>
        <v>#N/A</v>
      </c>
      <c r="P38" s="133" t="e">
        <f t="shared" si="8"/>
        <v>#N/A</v>
      </c>
      <c r="Q38" s="133" t="e">
        <f t="shared" si="8"/>
        <v>#N/A</v>
      </c>
      <c r="R38" s="133" t="e">
        <f t="shared" si="8"/>
        <v>#N/A</v>
      </c>
      <c r="S38" s="133" t="e">
        <f t="shared" si="8"/>
        <v>#N/A</v>
      </c>
      <c r="T38" s="133" t="e">
        <f t="shared" si="8"/>
        <v>#N/A</v>
      </c>
    </row>
    <row r="39" spans="1:21"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</row>
    <row r="40" spans="1:21">
      <c r="A40" s="5">
        <f>DATA!BM1</f>
        <v>65</v>
      </c>
      <c r="C40" s="5" t="s">
        <v>911</v>
      </c>
      <c r="I40" s="1" t="e">
        <f>VLOOKUP($I$1&amp;I$8,DATA!$A:$EB,작업!$A55,0)/100</f>
        <v>#N/A</v>
      </c>
      <c r="J40" s="1" t="e">
        <f>VLOOKUP($I$1&amp;J$8,DATA!$A:$EB,작업!$A55,0)/100</f>
        <v>#N/A</v>
      </c>
      <c r="K40" s="1" t="e">
        <f>VLOOKUP($I$1&amp;K$8,DATA!$A:$EB,작업!$A55,0)/100</f>
        <v>#N/A</v>
      </c>
      <c r="L40" s="1" t="e">
        <f>VLOOKUP($I$1&amp;L$8,DATA!$A:$EB,작업!$A55,0)/100</f>
        <v>#N/A</v>
      </c>
      <c r="M40" s="1" t="e">
        <f>VLOOKUP($I$1&amp;M$8,DATA!$A:$EB,작업!$A55,0)/100</f>
        <v>#N/A</v>
      </c>
      <c r="N40" s="1" t="e">
        <f>VLOOKUP($I$1&amp;N$8,DATA!$A:$EB,작업!$A55,0)/100</f>
        <v>#N/A</v>
      </c>
      <c r="O40" s="1" t="e">
        <f>VLOOKUP($I$1&amp;O$8,DATA!$A:$EB,작업!$A55,0)/100</f>
        <v>#N/A</v>
      </c>
      <c r="P40" s="1" t="e">
        <f>VLOOKUP($I$1&amp;P$8,DATA!$A:$EB,작업!$A55,0)/100</f>
        <v>#N/A</v>
      </c>
      <c r="Q40" s="1" t="e">
        <f>VLOOKUP($I$1&amp;Q$8,DATA!$A:$EB,작업!$A55,0)/100</f>
        <v>#N/A</v>
      </c>
      <c r="R40" s="1" t="e">
        <f>VLOOKUP($I$1&amp;R$8,DATA!$A:$EB,작업!$A55,0)/100</f>
        <v>#N/A</v>
      </c>
      <c r="S40" s="1" t="e">
        <f>VLOOKUP($I$1&amp;S$8,DATA!$A:$EB,작업!$A55,0)/100</f>
        <v>#N/A</v>
      </c>
      <c r="T40" s="1" t="e">
        <f>VLOOKUP($I$1&amp;T$8,DATA!$A:$EB,작업!$A55,0)/100</f>
        <v>#N/A</v>
      </c>
    </row>
    <row r="41" spans="1:21">
      <c r="I41" s="158" t="e">
        <f>+I20-I40</f>
        <v>#N/A</v>
      </c>
      <c r="J41" s="158" t="e">
        <f t="shared" ref="J41:T41" si="9">+J20-J40</f>
        <v>#N/A</v>
      </c>
      <c r="K41" s="158" t="e">
        <f t="shared" si="9"/>
        <v>#N/A</v>
      </c>
      <c r="L41" s="158" t="e">
        <f t="shared" si="9"/>
        <v>#N/A</v>
      </c>
      <c r="M41" s="158" t="e">
        <f t="shared" si="9"/>
        <v>#N/A</v>
      </c>
      <c r="N41" s="158" t="e">
        <f t="shared" si="9"/>
        <v>#N/A</v>
      </c>
      <c r="O41" s="158" t="e">
        <f t="shared" si="9"/>
        <v>#N/A</v>
      </c>
      <c r="P41" s="158" t="e">
        <f t="shared" si="9"/>
        <v>#N/A</v>
      </c>
      <c r="Q41" s="158" t="e">
        <f t="shared" si="9"/>
        <v>#N/A</v>
      </c>
      <c r="R41" s="158" t="e">
        <f t="shared" si="9"/>
        <v>#N/A</v>
      </c>
      <c r="S41" s="158" t="e">
        <f t="shared" si="9"/>
        <v>#N/A</v>
      </c>
      <c r="T41" s="158" t="e">
        <f t="shared" si="9"/>
        <v>#N/A</v>
      </c>
    </row>
    <row r="42" spans="1:21"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</row>
    <row r="43" spans="1:21"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</row>
    <row r="44" spans="1:21"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</row>
    <row r="45" spans="1:21"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</row>
    <row r="46" spans="1:21"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</row>
    <row r="47" spans="1:21" ht="15.75" customHeight="1">
      <c r="C47" s="41" t="s">
        <v>142</v>
      </c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</row>
    <row r="48" spans="1:21" ht="16.5"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2"/>
      <c r="P48" s="43"/>
      <c r="Q48" s="43"/>
      <c r="R48" s="42"/>
      <c r="S48" s="42"/>
      <c r="T48" s="44" t="s">
        <v>104</v>
      </c>
      <c r="U48" s="42"/>
    </row>
    <row r="49" spans="1:21" ht="16.5">
      <c r="C49" s="729" t="s">
        <v>105</v>
      </c>
      <c r="D49" s="729"/>
      <c r="E49" s="729"/>
      <c r="F49" s="729"/>
      <c r="G49" s="729"/>
      <c r="H49" s="730"/>
      <c r="I49" s="45" t="s">
        <v>124</v>
      </c>
      <c r="J49" s="45" t="s">
        <v>136</v>
      </c>
      <c r="K49" s="45" t="s">
        <v>137</v>
      </c>
      <c r="L49" s="45" t="s">
        <v>138</v>
      </c>
      <c r="M49" s="45" t="s">
        <v>4</v>
      </c>
      <c r="N49" s="45" t="s">
        <v>139</v>
      </c>
      <c r="O49" s="46" t="s">
        <v>6</v>
      </c>
      <c r="P49" s="46" t="s">
        <v>106</v>
      </c>
      <c r="Q49" s="46" t="s">
        <v>107</v>
      </c>
      <c r="R49" s="46" t="s">
        <v>108</v>
      </c>
      <c r="S49" s="46" t="s">
        <v>109</v>
      </c>
      <c r="T49" s="46" t="s">
        <v>110</v>
      </c>
      <c r="U49" s="42"/>
    </row>
    <row r="50" spans="1:21" ht="16.5">
      <c r="A50" s="5">
        <f>DATA!$CN$1</f>
        <v>92</v>
      </c>
      <c r="C50" s="745" t="s">
        <v>65</v>
      </c>
      <c r="D50" s="745"/>
      <c r="E50" s="745"/>
      <c r="F50" s="745"/>
      <c r="G50" s="745"/>
      <c r="H50" s="740"/>
      <c r="I50" s="47" t="e">
        <f>VLOOKUP($I$1&amp;I$8,DATA!$A:$EB,'2403'!$A50,0)</f>
        <v>#N/A</v>
      </c>
      <c r="J50" s="47" t="e">
        <f>VLOOKUP($I$1&amp;J$8,DATA!$A:$EB,'2403'!$A50,0)</f>
        <v>#N/A</v>
      </c>
      <c r="K50" s="47" t="e">
        <f>VLOOKUP($I$1&amp;K$8,DATA!$A:$EB,'2403'!$A50,0)</f>
        <v>#N/A</v>
      </c>
      <c r="L50" s="47" t="e">
        <f>VLOOKUP($I$1&amp;L$8,DATA!$A:$EB,'2403'!$A50,0)</f>
        <v>#N/A</v>
      </c>
      <c r="M50" s="47" t="e">
        <f>VLOOKUP($I$1&amp;M$8,DATA!$A:$EB,'2403'!$A50,0)</f>
        <v>#N/A</v>
      </c>
      <c r="N50" s="47" t="e">
        <f>VLOOKUP($I$1&amp;N$8,DATA!$A:$EB,'2403'!$A50,0)</f>
        <v>#N/A</v>
      </c>
      <c r="O50" s="47" t="e">
        <f>VLOOKUP($I$1&amp;O$8,DATA!$A:$EB,'2403'!$A50,0)</f>
        <v>#N/A</v>
      </c>
      <c r="P50" s="47" t="e">
        <f>VLOOKUP($I$1&amp;P$8,DATA!$A:$EB,'2403'!$A50,0)</f>
        <v>#N/A</v>
      </c>
      <c r="Q50" s="47" t="e">
        <f>VLOOKUP($I$1&amp;Q$8,DATA!$A:$EB,'2403'!$A50,0)</f>
        <v>#N/A</v>
      </c>
      <c r="R50" s="47" t="e">
        <f>VLOOKUP($I$1&amp;R$8,DATA!$A:$EB,'2403'!$A50,0)</f>
        <v>#N/A</v>
      </c>
      <c r="S50" s="47" t="e">
        <f>VLOOKUP($I$1&amp;S$8,DATA!$A:$EB,'2403'!$A50,0)</f>
        <v>#N/A</v>
      </c>
      <c r="T50" s="47" t="e">
        <f>VLOOKUP($I$1&amp;T$8,DATA!$A:$EB,'2403'!$A50,0)</f>
        <v>#N/A</v>
      </c>
      <c r="U50" s="42"/>
    </row>
    <row r="51" spans="1:21" ht="16.5">
      <c r="A51" s="5">
        <f>DATA!$CO$1</f>
        <v>93</v>
      </c>
      <c r="C51" s="743" t="s">
        <v>66</v>
      </c>
      <c r="D51" s="743"/>
      <c r="E51" s="743"/>
      <c r="F51" s="743"/>
      <c r="G51" s="743"/>
      <c r="H51" s="744"/>
      <c r="I51" s="48" t="e">
        <f>VLOOKUP($I$1&amp;I$8,DATA!$A:$EB,'2403'!$A51,0)/100</f>
        <v>#N/A</v>
      </c>
      <c r="J51" s="48" t="e">
        <f>VLOOKUP($I$1&amp;J$8,DATA!$A:$EB,'2403'!$A51,0)/100</f>
        <v>#N/A</v>
      </c>
      <c r="K51" s="48" t="e">
        <f>VLOOKUP($I$1&amp;K$8,DATA!$A:$EB,'2403'!$A51,0)/100</f>
        <v>#N/A</v>
      </c>
      <c r="L51" s="48" t="e">
        <f>VLOOKUP($I$1&amp;L$8,DATA!$A:$EB,'2403'!$A51,0)/100</f>
        <v>#N/A</v>
      </c>
      <c r="M51" s="48" t="e">
        <f>VLOOKUP($I$1&amp;M$8,DATA!$A:$EB,'2403'!$A51,0)/100</f>
        <v>#N/A</v>
      </c>
      <c r="N51" s="48" t="e">
        <f>VLOOKUP($I$1&amp;N$8,DATA!$A:$EB,'2403'!$A51,0)/100</f>
        <v>#N/A</v>
      </c>
      <c r="O51" s="49" t="e">
        <f>VLOOKUP($I$1&amp;O$8,DATA!$A:$EB,'2403'!$A51,0)/100</f>
        <v>#N/A</v>
      </c>
      <c r="P51" s="49" t="e">
        <f>VLOOKUP($I$1&amp;P$8,DATA!$A:$EB,'2403'!$A51,0)/100</f>
        <v>#N/A</v>
      </c>
      <c r="Q51" s="49" t="e">
        <f>VLOOKUP($I$1&amp;Q$8,DATA!$A:$EB,'2403'!$A51,0)/100</f>
        <v>#N/A</v>
      </c>
      <c r="R51" s="49" t="e">
        <f>VLOOKUP($I$1&amp;R$8,DATA!$A:$EB,'2403'!$A51,0)/100</f>
        <v>#N/A</v>
      </c>
      <c r="S51" s="49" t="e">
        <f>VLOOKUP($I$1&amp;S$8,DATA!$A:$EB,'2403'!$A51,0)/100</f>
        <v>#N/A</v>
      </c>
      <c r="T51" s="49" t="e">
        <f>VLOOKUP($I$1&amp;T$8,DATA!$A:$EB,'2403'!$A51,0)/100</f>
        <v>#N/A</v>
      </c>
      <c r="U51" s="42"/>
    </row>
    <row r="52" spans="1:21" ht="16.5">
      <c r="A52" s="5">
        <f>DATA!$CP$1</f>
        <v>94</v>
      </c>
      <c r="C52" s="734" t="s">
        <v>67</v>
      </c>
      <c r="D52" s="734"/>
      <c r="E52" s="734"/>
      <c r="F52" s="734"/>
      <c r="G52" s="734"/>
      <c r="H52" s="735"/>
      <c r="I52" s="50" t="e">
        <f>VLOOKUP($I$1&amp;I$8,DATA!$A:$EB,'2403'!$A52,0)/100</f>
        <v>#N/A</v>
      </c>
      <c r="J52" s="50" t="e">
        <f>VLOOKUP($I$1&amp;J$8,DATA!$A:$EB,'2403'!$A52,0)/100</f>
        <v>#N/A</v>
      </c>
      <c r="K52" s="50" t="e">
        <f>VLOOKUP($I$1&amp;K$8,DATA!$A:$EB,'2403'!$A52,0)/100</f>
        <v>#N/A</v>
      </c>
      <c r="L52" s="50" t="e">
        <f>VLOOKUP($I$1&amp;L$8,DATA!$A:$EB,'2403'!$A52,0)/100</f>
        <v>#N/A</v>
      </c>
      <c r="M52" s="50" t="e">
        <f>VLOOKUP($I$1&amp;M$8,DATA!$A:$EB,'2403'!$A52,0)/100</f>
        <v>#N/A</v>
      </c>
      <c r="N52" s="50" t="e">
        <f>VLOOKUP($I$1&amp;N$8,DATA!$A:$EB,'2403'!$A52,0)/100</f>
        <v>#N/A</v>
      </c>
      <c r="O52" s="51" t="e">
        <f>VLOOKUP($I$1&amp;O$8,DATA!$A:$EB,'2403'!$A52,0)/100</f>
        <v>#N/A</v>
      </c>
      <c r="P52" s="51" t="e">
        <f>VLOOKUP($I$1&amp;P$8,DATA!$A:$EB,'2403'!$A52,0)/100</f>
        <v>#N/A</v>
      </c>
      <c r="Q52" s="51" t="e">
        <f>VLOOKUP($I$1&amp;Q$8,DATA!$A:$EB,'2403'!$A52,0)/100</f>
        <v>#N/A</v>
      </c>
      <c r="R52" s="51" t="e">
        <f>VLOOKUP($I$1&amp;R$8,DATA!$A:$EB,'2403'!$A52,0)/100</f>
        <v>#N/A</v>
      </c>
      <c r="S52" s="51" t="e">
        <f>VLOOKUP($I$1&amp;S$8,DATA!$A:$EB,'2403'!$A52,0)/100</f>
        <v>#N/A</v>
      </c>
      <c r="T52" s="51" t="e">
        <f>VLOOKUP($I$1&amp;T$8,DATA!$A:$EB,'2403'!$A52,0)/100</f>
        <v>#N/A</v>
      </c>
      <c r="U52" s="42"/>
    </row>
    <row r="53" spans="1:21" ht="16.5">
      <c r="C53" s="52" t="s">
        <v>143</v>
      </c>
      <c r="D53" s="138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42"/>
      <c r="U53" s="42"/>
    </row>
    <row r="54" spans="1:21" ht="16.5">
      <c r="C54" s="55"/>
      <c r="D54" s="138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42"/>
      <c r="U54" s="42"/>
    </row>
    <row r="55" spans="1:21" ht="16.5">
      <c r="C55" s="41" t="s">
        <v>888</v>
      </c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</row>
    <row r="56" spans="1:21" ht="16.5"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2"/>
      <c r="P56" s="43"/>
      <c r="Q56" s="43"/>
      <c r="R56" s="42"/>
      <c r="S56" s="42"/>
      <c r="T56" s="44" t="s">
        <v>104</v>
      </c>
      <c r="U56" s="42"/>
    </row>
    <row r="57" spans="1:21" ht="16.5">
      <c r="C57" s="729" t="s">
        <v>105</v>
      </c>
      <c r="D57" s="729"/>
      <c r="E57" s="729"/>
      <c r="F57" s="729"/>
      <c r="G57" s="729"/>
      <c r="H57" s="730"/>
      <c r="I57" s="45" t="s">
        <v>124</v>
      </c>
      <c r="J57" s="45" t="s">
        <v>136</v>
      </c>
      <c r="K57" s="45" t="s">
        <v>137</v>
      </c>
      <c r="L57" s="45" t="s">
        <v>138</v>
      </c>
      <c r="M57" s="45" t="s">
        <v>4</v>
      </c>
      <c r="N57" s="45" t="s">
        <v>139</v>
      </c>
      <c r="O57" s="46" t="s">
        <v>6</v>
      </c>
      <c r="P57" s="46" t="s">
        <v>106</v>
      </c>
      <c r="Q57" s="46" t="s">
        <v>107</v>
      </c>
      <c r="R57" s="46" t="s">
        <v>108</v>
      </c>
      <c r="S57" s="46" t="s">
        <v>109</v>
      </c>
      <c r="T57" s="46" t="s">
        <v>110</v>
      </c>
      <c r="U57" s="42"/>
    </row>
    <row r="58" spans="1:21" ht="16.5">
      <c r="A58" s="5">
        <f>DATA!$CQ$1</f>
        <v>95</v>
      </c>
      <c r="C58" s="745" t="s">
        <v>65</v>
      </c>
      <c r="D58" s="745"/>
      <c r="E58" s="745"/>
      <c r="F58" s="745"/>
      <c r="G58" s="745"/>
      <c r="H58" s="740"/>
      <c r="I58" s="47" t="e">
        <f>VLOOKUP($I$1&amp;I$8,DATA!$A:$EB,'2403'!$A58,0)</f>
        <v>#N/A</v>
      </c>
      <c r="J58" s="47" t="e">
        <f>VLOOKUP($I$1&amp;J$8,DATA!$A:$EB,'2403'!$A58,0)</f>
        <v>#N/A</v>
      </c>
      <c r="K58" s="47" t="e">
        <f>VLOOKUP($I$1&amp;K$8,DATA!$A:$EB,'2403'!$A58,0)</f>
        <v>#N/A</v>
      </c>
      <c r="L58" s="47" t="e">
        <f>VLOOKUP($I$1&amp;L$8,DATA!$A:$EB,'2403'!$A58,0)</f>
        <v>#N/A</v>
      </c>
      <c r="M58" s="47" t="e">
        <f>VLOOKUP($I$1&amp;M$8,DATA!$A:$EB,'2403'!$A58,0)</f>
        <v>#N/A</v>
      </c>
      <c r="N58" s="47" t="e">
        <f>VLOOKUP($I$1&amp;N$8,DATA!$A:$EB,'2403'!$A58,0)</f>
        <v>#N/A</v>
      </c>
      <c r="O58" s="47" t="e">
        <f>VLOOKUP($I$1&amp;O$8,DATA!$A:$EB,'2403'!$A58,0)</f>
        <v>#N/A</v>
      </c>
      <c r="P58" s="47" t="e">
        <f>VLOOKUP($I$1&amp;P$8,DATA!$A:$EB,'2403'!$A58,0)</f>
        <v>#N/A</v>
      </c>
      <c r="Q58" s="47" t="e">
        <f>VLOOKUP($I$1&amp;Q$8,DATA!$A:$EB,'2403'!$A58,0)</f>
        <v>#N/A</v>
      </c>
      <c r="R58" s="47" t="e">
        <f>VLOOKUP($I$1&amp;R$8,DATA!$A:$EB,'2403'!$A58,0)</f>
        <v>#N/A</v>
      </c>
      <c r="S58" s="47" t="e">
        <f>VLOOKUP($I$1&amp;S$8,DATA!$A:$EB,'2403'!$A58,0)</f>
        <v>#N/A</v>
      </c>
      <c r="T58" s="47" t="e">
        <f>VLOOKUP($I$1&amp;T$8,DATA!$A:$EB,'2403'!$A58,0)</f>
        <v>#N/A</v>
      </c>
      <c r="U58" s="42"/>
    </row>
    <row r="59" spans="1:21" ht="16.5">
      <c r="A59" s="5">
        <f>DATA!$CR$1</f>
        <v>96</v>
      </c>
      <c r="C59" s="743" t="s">
        <v>66</v>
      </c>
      <c r="D59" s="743"/>
      <c r="E59" s="743"/>
      <c r="F59" s="743"/>
      <c r="G59" s="743"/>
      <c r="H59" s="744"/>
      <c r="I59" s="48" t="e">
        <f>VLOOKUP($I$1&amp;I$8,DATA!$A:$EB,'2403'!$A59,0)/100</f>
        <v>#N/A</v>
      </c>
      <c r="J59" s="48" t="e">
        <f>VLOOKUP($I$1&amp;J$8,DATA!$A:$EB,'2403'!$A59,0)/100</f>
        <v>#N/A</v>
      </c>
      <c r="K59" s="48" t="e">
        <f>VLOOKUP($I$1&amp;K$8,DATA!$A:$EB,'2403'!$A59,0)/100</f>
        <v>#N/A</v>
      </c>
      <c r="L59" s="48" t="e">
        <f>VLOOKUP($I$1&amp;L$8,DATA!$A:$EB,'2403'!$A59,0)/100</f>
        <v>#N/A</v>
      </c>
      <c r="M59" s="48" t="e">
        <f>VLOOKUP($I$1&amp;M$8,DATA!$A:$EB,'2403'!$A59,0)/100</f>
        <v>#N/A</v>
      </c>
      <c r="N59" s="48" t="e">
        <f>VLOOKUP($I$1&amp;N$8,DATA!$A:$EB,'2403'!$A59,0)/100</f>
        <v>#N/A</v>
      </c>
      <c r="O59" s="49" t="e">
        <f>VLOOKUP($I$1&amp;O$8,DATA!$A:$EB,'2403'!$A59,0)/100</f>
        <v>#N/A</v>
      </c>
      <c r="P59" s="49" t="e">
        <f>VLOOKUP($I$1&amp;P$8,DATA!$A:$EB,'2403'!$A59,0)/100</f>
        <v>#N/A</v>
      </c>
      <c r="Q59" s="49" t="e">
        <f>VLOOKUP($I$1&amp;Q$8,DATA!$A:$EB,'2403'!$A59,0)/100</f>
        <v>#N/A</v>
      </c>
      <c r="R59" s="49" t="e">
        <f>VLOOKUP($I$1&amp;R$8,DATA!$A:$EB,'2403'!$A59,0)/100</f>
        <v>#N/A</v>
      </c>
      <c r="S59" s="49" t="e">
        <f>VLOOKUP($I$1&amp;S$8,DATA!$A:$EB,'2403'!$A59,0)/100</f>
        <v>#N/A</v>
      </c>
      <c r="T59" s="49" t="e">
        <f>VLOOKUP($I$1&amp;T$8,DATA!$A:$EB,'2403'!$A59,0)/100</f>
        <v>#N/A</v>
      </c>
      <c r="U59" s="42"/>
    </row>
    <row r="60" spans="1:21" ht="16.5">
      <c r="A60" s="5">
        <f>DATA!$CS$1</f>
        <v>97</v>
      </c>
      <c r="C60" s="734" t="s">
        <v>67</v>
      </c>
      <c r="D60" s="734"/>
      <c r="E60" s="734"/>
      <c r="F60" s="734"/>
      <c r="G60" s="734"/>
      <c r="H60" s="735"/>
      <c r="I60" s="50" t="e">
        <f>VLOOKUP($I$1&amp;I$8,DATA!$A:$EB,'2403'!$A60,0)/100</f>
        <v>#N/A</v>
      </c>
      <c r="J60" s="50" t="e">
        <f>VLOOKUP($I$1&amp;J$8,DATA!$A:$EB,'2403'!$A60,0)/100</f>
        <v>#N/A</v>
      </c>
      <c r="K60" s="50" t="e">
        <f>VLOOKUP($I$1&amp;K$8,DATA!$A:$EB,'2403'!$A60,0)/100</f>
        <v>#N/A</v>
      </c>
      <c r="L60" s="50" t="e">
        <f>VLOOKUP($I$1&amp;L$8,DATA!$A:$EB,'2403'!$A60,0)/100</f>
        <v>#N/A</v>
      </c>
      <c r="M60" s="50" t="e">
        <f>VLOOKUP($I$1&amp;M$8,DATA!$A:$EB,'2403'!$A60,0)/100</f>
        <v>#N/A</v>
      </c>
      <c r="N60" s="50" t="e">
        <f>VLOOKUP($I$1&amp;N$8,DATA!$A:$EB,'2403'!$A60,0)/100</f>
        <v>#N/A</v>
      </c>
      <c r="O60" s="51" t="e">
        <f>VLOOKUP($I$1&amp;O$8,DATA!$A:$EB,'2403'!$A60,0)/100</f>
        <v>#N/A</v>
      </c>
      <c r="P60" s="51" t="e">
        <f>VLOOKUP($I$1&amp;P$8,DATA!$A:$EB,'2403'!$A60,0)/100</f>
        <v>#N/A</v>
      </c>
      <c r="Q60" s="51" t="e">
        <f>VLOOKUP($I$1&amp;Q$8,DATA!$A:$EB,'2403'!$A60,0)/100</f>
        <v>#N/A</v>
      </c>
      <c r="R60" s="51" t="e">
        <f>VLOOKUP($I$1&amp;R$8,DATA!$A:$EB,'2403'!$A60,0)/100</f>
        <v>#N/A</v>
      </c>
      <c r="S60" s="51" t="e">
        <f>VLOOKUP($I$1&amp;S$8,DATA!$A:$EB,'2403'!$A60,0)/100</f>
        <v>#N/A</v>
      </c>
      <c r="T60" s="51" t="e">
        <f>VLOOKUP($I$1&amp;T$8,DATA!$A:$EB,'2403'!$A60,0)/100</f>
        <v>#N/A</v>
      </c>
      <c r="U60" s="42"/>
    </row>
    <row r="61" spans="1:21" ht="16.5">
      <c r="C61" s="52" t="s">
        <v>143</v>
      </c>
      <c r="D61" s="138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42"/>
      <c r="U61" s="42"/>
    </row>
    <row r="62" spans="1:21" ht="16.5">
      <c r="C62" s="55"/>
      <c r="D62" s="138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42"/>
      <c r="S62" s="42"/>
      <c r="T62" s="42"/>
      <c r="U62" s="42"/>
    </row>
    <row r="63" spans="1:21" ht="16.5">
      <c r="C63" s="41" t="s">
        <v>123</v>
      </c>
      <c r="D63" s="42"/>
      <c r="E63" s="42"/>
      <c r="F63" s="42"/>
      <c r="G63" s="42"/>
      <c r="H63" s="42"/>
      <c r="I63" s="42"/>
      <c r="J63" s="54"/>
      <c r="K63" s="54"/>
      <c r="L63" s="54"/>
      <c r="M63" s="54"/>
      <c r="N63" s="54"/>
      <c r="O63" s="54"/>
      <c r="P63" s="54"/>
      <c r="Q63" s="54"/>
      <c r="R63" s="42"/>
      <c r="S63" s="42"/>
      <c r="T63" s="42"/>
      <c r="U63" s="42"/>
    </row>
    <row r="64" spans="1:21" ht="16.5"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2"/>
      <c r="P64" s="43"/>
      <c r="Q64" s="43"/>
      <c r="R64" s="42"/>
      <c r="S64" s="42"/>
      <c r="T64" s="44" t="s">
        <v>104</v>
      </c>
      <c r="U64" s="42"/>
    </row>
    <row r="65" spans="1:21" ht="16.5">
      <c r="C65" s="729" t="s">
        <v>105</v>
      </c>
      <c r="D65" s="729"/>
      <c r="E65" s="729"/>
      <c r="F65" s="729"/>
      <c r="G65" s="729"/>
      <c r="H65" s="730"/>
      <c r="I65" s="45" t="s">
        <v>124</v>
      </c>
      <c r="J65" s="45" t="s">
        <v>136</v>
      </c>
      <c r="K65" s="45" t="s">
        <v>137</v>
      </c>
      <c r="L65" s="45" t="s">
        <v>138</v>
      </c>
      <c r="M65" s="45" t="s">
        <v>4</v>
      </c>
      <c r="N65" s="45" t="s">
        <v>139</v>
      </c>
      <c r="O65" s="46" t="s">
        <v>6</v>
      </c>
      <c r="P65" s="46" t="s">
        <v>106</v>
      </c>
      <c r="Q65" s="46" t="s">
        <v>107</v>
      </c>
      <c r="R65" s="46" t="s">
        <v>108</v>
      </c>
      <c r="S65" s="46" t="s">
        <v>109</v>
      </c>
      <c r="T65" s="46" t="s">
        <v>110</v>
      </c>
      <c r="U65" s="42"/>
    </row>
    <row r="66" spans="1:21" ht="16.5">
      <c r="A66" s="5">
        <f>DATA!AV1</f>
        <v>48</v>
      </c>
      <c r="C66" s="748" t="s">
        <v>32</v>
      </c>
      <c r="D66" s="748"/>
      <c r="E66" s="748"/>
      <c r="F66" s="748"/>
      <c r="G66" s="748"/>
      <c r="H66" s="749"/>
      <c r="I66" s="56" t="e">
        <f>VLOOKUP($I$1&amp;I$8,DATA!$A:$EB,'2403'!$A66,0)/100</f>
        <v>#N/A</v>
      </c>
      <c r="J66" s="56" t="e">
        <f>VLOOKUP($I$1&amp;J$8,DATA!$A:$EB,'2403'!$A66,0)/100</f>
        <v>#N/A</v>
      </c>
      <c r="K66" s="56" t="e">
        <f>VLOOKUP($I$1&amp;K$8,DATA!$A:$EB,'2403'!$A66,0)/100</f>
        <v>#N/A</v>
      </c>
      <c r="L66" s="56" t="e">
        <f>VLOOKUP($I$1&amp;L$8,DATA!$A:$EB,'2403'!$A66,0)/100</f>
        <v>#N/A</v>
      </c>
      <c r="M66" s="56" t="e">
        <f>VLOOKUP($I$1&amp;M$8,DATA!$A:$EB,'2403'!$A66,0)/100</f>
        <v>#N/A</v>
      </c>
      <c r="N66" s="56" t="e">
        <f>VLOOKUP($I$1&amp;N$8,DATA!$A:$EB,'2403'!$A66,0)/100</f>
        <v>#N/A</v>
      </c>
      <c r="O66" s="57" t="e">
        <f>VLOOKUP($I$1&amp;O$8,DATA!$A:$EB,'2403'!$A66,0)/100</f>
        <v>#N/A</v>
      </c>
      <c r="P66" s="57" t="e">
        <f>VLOOKUP($I$1&amp;P$8,DATA!$A:$EB,'2403'!$A66,0)/100</f>
        <v>#N/A</v>
      </c>
      <c r="Q66" s="57" t="e">
        <f>VLOOKUP($I$1&amp;Q$8,DATA!$A:$EB,'2403'!$A66,0)/100</f>
        <v>#N/A</v>
      </c>
      <c r="R66" s="57" t="e">
        <f>VLOOKUP($I$1&amp;R$8,DATA!$A:$EB,'2403'!$A66,0)/100</f>
        <v>#N/A</v>
      </c>
      <c r="S66" s="57" t="e">
        <f>VLOOKUP($I$1&amp;S$8,DATA!$A:$EB,'2403'!$A66,0)/100</f>
        <v>#N/A</v>
      </c>
      <c r="T66" s="57" t="e">
        <f>VLOOKUP($I$1&amp;T$8,DATA!$A:$EB,'2403'!$A66,0)/100</f>
        <v>#N/A</v>
      </c>
      <c r="U66" s="42"/>
    </row>
    <row r="67" spans="1:21" ht="16.5">
      <c r="A67" s="5">
        <f>DATA!DC1</f>
        <v>107</v>
      </c>
      <c r="C67" s="141"/>
      <c r="D67" s="770" t="s">
        <v>98</v>
      </c>
      <c r="E67" s="771"/>
      <c r="F67" s="771"/>
      <c r="G67" s="771"/>
      <c r="H67" s="772"/>
      <c r="I67" s="23" t="e">
        <f>VLOOKUP($I$1&amp;I$8,DATA!$A:$EB,'2403'!$A67,0)</f>
        <v>#N/A</v>
      </c>
      <c r="J67" s="23" t="e">
        <f>VLOOKUP($I$1&amp;J$8,DATA!$A:$EB,'2403'!$A67,0)</f>
        <v>#N/A</v>
      </c>
      <c r="K67" s="23" t="e">
        <f>VLOOKUP($I$1&amp;K$8,DATA!$A:$EB,'2403'!$A67,0)</f>
        <v>#N/A</v>
      </c>
      <c r="L67" s="23" t="e">
        <f>VLOOKUP($I$1&amp;L$8,DATA!$A:$EB,'2403'!$A67,0)</f>
        <v>#N/A</v>
      </c>
      <c r="M67" s="23" t="e">
        <f>VLOOKUP($I$1&amp;M$8,DATA!$A:$EB,'2403'!$A67,0)</f>
        <v>#N/A</v>
      </c>
      <c r="N67" s="23" t="e">
        <f>VLOOKUP($I$1&amp;N$8,DATA!$A:$EB,'2403'!$A67,0)</f>
        <v>#N/A</v>
      </c>
      <c r="O67" s="23" t="e">
        <f>VLOOKUP($I$1&amp;O$8,DATA!$A:$EB,'2403'!$A67,0)</f>
        <v>#N/A</v>
      </c>
      <c r="P67" s="23" t="e">
        <f>VLOOKUP($I$1&amp;P$8,DATA!$A:$EB,'2403'!$A67,0)</f>
        <v>#N/A</v>
      </c>
      <c r="Q67" s="23" t="e">
        <f>VLOOKUP($I$1&amp;Q$8,DATA!$A:$EB,'2403'!$A67,0)</f>
        <v>#N/A</v>
      </c>
      <c r="R67" s="23" t="e">
        <f>VLOOKUP($I$1&amp;R$8,DATA!$A:$EB,'2403'!$A67,0)</f>
        <v>#N/A</v>
      </c>
      <c r="S67" s="23" t="e">
        <f>VLOOKUP($I$1&amp;S$8,DATA!$A:$EB,'2403'!$A67,0)</f>
        <v>#N/A</v>
      </c>
      <c r="T67" s="23" t="e">
        <f>VLOOKUP($I$1&amp;T$8,DATA!$A:$EB,'2403'!$A67,0)</f>
        <v>#N/A</v>
      </c>
      <c r="U67" s="42"/>
    </row>
    <row r="68" spans="1:21" ht="16.5">
      <c r="C68" s="141"/>
      <c r="D68" s="773" t="s">
        <v>125</v>
      </c>
      <c r="E68" s="771"/>
      <c r="F68" s="770" t="s">
        <v>126</v>
      </c>
      <c r="G68" s="771"/>
      <c r="H68" s="772"/>
      <c r="I68" s="23" t="e">
        <f>I79/I81</f>
        <v>#N/A</v>
      </c>
      <c r="J68" s="23" t="e">
        <f t="shared" ref="J68:T68" si="10">J79/J81</f>
        <v>#N/A</v>
      </c>
      <c r="K68" s="23" t="e">
        <f t="shared" si="10"/>
        <v>#N/A</v>
      </c>
      <c r="L68" s="23" t="e">
        <f t="shared" si="10"/>
        <v>#N/A</v>
      </c>
      <c r="M68" s="23" t="e">
        <f t="shared" si="10"/>
        <v>#N/A</v>
      </c>
      <c r="N68" s="23" t="e">
        <f t="shared" si="10"/>
        <v>#N/A</v>
      </c>
      <c r="O68" s="23" t="e">
        <f t="shared" si="10"/>
        <v>#N/A</v>
      </c>
      <c r="P68" s="23" t="e">
        <f t="shared" si="10"/>
        <v>#N/A</v>
      </c>
      <c r="Q68" s="23" t="e">
        <f t="shared" si="10"/>
        <v>#N/A</v>
      </c>
      <c r="R68" s="23" t="e">
        <f t="shared" si="10"/>
        <v>#N/A</v>
      </c>
      <c r="S68" s="23" t="e">
        <f t="shared" si="10"/>
        <v>#N/A</v>
      </c>
      <c r="T68" s="23" t="e">
        <f t="shared" si="10"/>
        <v>#N/A</v>
      </c>
      <c r="U68" s="42"/>
    </row>
    <row r="69" spans="1:21" ht="16.5">
      <c r="C69" s="139"/>
      <c r="D69" s="774"/>
      <c r="E69" s="775"/>
      <c r="F69" s="776" t="s">
        <v>127</v>
      </c>
      <c r="G69" s="777"/>
      <c r="H69" s="778"/>
      <c r="I69" s="24" t="e">
        <f>I79/I82</f>
        <v>#N/A</v>
      </c>
      <c r="J69" s="24" t="e">
        <f t="shared" ref="J69:T69" si="11">J79/J82</f>
        <v>#N/A</v>
      </c>
      <c r="K69" s="24" t="e">
        <f t="shared" si="11"/>
        <v>#N/A</v>
      </c>
      <c r="L69" s="24" t="e">
        <f t="shared" si="11"/>
        <v>#N/A</v>
      </c>
      <c r="M69" s="24" t="e">
        <f t="shared" si="11"/>
        <v>#N/A</v>
      </c>
      <c r="N69" s="24" t="e">
        <f t="shared" si="11"/>
        <v>#N/A</v>
      </c>
      <c r="O69" s="24" t="e">
        <f t="shared" si="11"/>
        <v>#N/A</v>
      </c>
      <c r="P69" s="24" t="e">
        <f t="shared" si="11"/>
        <v>#N/A</v>
      </c>
      <c r="Q69" s="24" t="e">
        <f t="shared" si="11"/>
        <v>#N/A</v>
      </c>
      <c r="R69" s="24" t="e">
        <f t="shared" si="11"/>
        <v>#N/A</v>
      </c>
      <c r="S69" s="24" t="e">
        <f t="shared" si="11"/>
        <v>#N/A</v>
      </c>
      <c r="T69" s="24" t="e">
        <f t="shared" si="11"/>
        <v>#N/A</v>
      </c>
      <c r="U69" s="42"/>
    </row>
    <row r="70" spans="1:21" ht="16.5">
      <c r="A70" s="5">
        <f>DATA!AW1</f>
        <v>49</v>
      </c>
      <c r="C70" s="746" t="s">
        <v>33</v>
      </c>
      <c r="D70" s="746"/>
      <c r="E70" s="746"/>
      <c r="F70" s="746"/>
      <c r="G70" s="746"/>
      <c r="H70" s="747"/>
      <c r="I70" s="60" t="e">
        <f>VLOOKUP($I$1&amp;I$8,DATA!$A:$EB,'2403'!$A70,0)/100</f>
        <v>#N/A</v>
      </c>
      <c r="J70" s="60" t="e">
        <f>VLOOKUP($I$1&amp;J$8,DATA!$A:$EB,'2403'!$A70,0)/100</f>
        <v>#N/A</v>
      </c>
      <c r="K70" s="60" t="e">
        <f>VLOOKUP($I$1&amp;K$8,DATA!$A:$EB,'2403'!$A70,0)/100</f>
        <v>#N/A</v>
      </c>
      <c r="L70" s="60" t="e">
        <f>VLOOKUP($I$1&amp;L$8,DATA!$A:$EB,'2403'!$A70,0)/100</f>
        <v>#N/A</v>
      </c>
      <c r="M70" s="60" t="e">
        <f>VLOOKUP($I$1&amp;M$8,DATA!$A:$EB,'2403'!$A70,0)/100</f>
        <v>#N/A</v>
      </c>
      <c r="N70" s="60" t="e">
        <f>VLOOKUP($I$1&amp;N$8,DATA!$A:$EB,'2403'!$A70,0)/100</f>
        <v>#N/A</v>
      </c>
      <c r="O70" s="61" t="e">
        <f>VLOOKUP($I$1&amp;O$8,DATA!$A:$EB,'2403'!$A70,0)/100</f>
        <v>#N/A</v>
      </c>
      <c r="P70" s="61" t="e">
        <f>VLOOKUP($I$1&amp;P$8,DATA!$A:$EB,'2403'!$A70,0)/100</f>
        <v>#N/A</v>
      </c>
      <c r="Q70" s="61" t="e">
        <f>VLOOKUP($I$1&amp;Q$8,DATA!$A:$EB,'2403'!$A70,0)/100</f>
        <v>#N/A</v>
      </c>
      <c r="R70" s="61" t="e">
        <f>VLOOKUP($I$1&amp;R$8,DATA!$A:$EB,'2403'!$A70,0)/100</f>
        <v>#N/A</v>
      </c>
      <c r="S70" s="61" t="e">
        <f>VLOOKUP($I$1&amp;S$8,DATA!$A:$EB,'2403'!$A70,0)/100</f>
        <v>#N/A</v>
      </c>
      <c r="T70" s="61" t="e">
        <f>VLOOKUP($I$1&amp;T$8,DATA!$A:$EB,'2403'!$A70,0)/100</f>
        <v>#N/A</v>
      </c>
      <c r="U70" s="42"/>
    </row>
    <row r="71" spans="1:21" ht="16.5">
      <c r="C71" s="746" t="s">
        <v>128</v>
      </c>
      <c r="D71" s="746"/>
      <c r="E71" s="746"/>
      <c r="F71" s="746"/>
      <c r="G71" s="746"/>
      <c r="H71" s="747"/>
      <c r="I71" s="62" t="e">
        <f>I66+I70</f>
        <v>#N/A</v>
      </c>
      <c r="J71" s="62" t="e">
        <f t="shared" ref="J71:T71" si="12">J66+J70</f>
        <v>#N/A</v>
      </c>
      <c r="K71" s="62" t="e">
        <f t="shared" si="12"/>
        <v>#N/A</v>
      </c>
      <c r="L71" s="62" t="e">
        <f t="shared" si="12"/>
        <v>#N/A</v>
      </c>
      <c r="M71" s="62" t="e">
        <f t="shared" si="12"/>
        <v>#N/A</v>
      </c>
      <c r="N71" s="62" t="e">
        <f t="shared" si="12"/>
        <v>#N/A</v>
      </c>
      <c r="O71" s="63" t="e">
        <f t="shared" si="12"/>
        <v>#N/A</v>
      </c>
      <c r="P71" s="63" t="e">
        <f t="shared" si="12"/>
        <v>#N/A</v>
      </c>
      <c r="Q71" s="63" t="e">
        <f t="shared" si="12"/>
        <v>#N/A</v>
      </c>
      <c r="R71" s="63" t="e">
        <f t="shared" si="12"/>
        <v>#N/A</v>
      </c>
      <c r="S71" s="63" t="e">
        <f t="shared" si="12"/>
        <v>#N/A</v>
      </c>
      <c r="T71" s="63" t="e">
        <f t="shared" si="12"/>
        <v>#N/A</v>
      </c>
      <c r="U71" s="42"/>
    </row>
    <row r="72" spans="1:21" ht="16.5">
      <c r="A72" s="5">
        <f>DATA!AX1</f>
        <v>50</v>
      </c>
      <c r="C72" s="782" t="s">
        <v>34</v>
      </c>
      <c r="D72" s="782"/>
      <c r="E72" s="782"/>
      <c r="F72" s="782"/>
      <c r="G72" s="782"/>
      <c r="H72" s="783"/>
      <c r="I72" s="60" t="e">
        <f>VLOOKUP($I$1&amp;I$8,DATA!$A:$EB,'2403'!$A72,0)/100</f>
        <v>#N/A</v>
      </c>
      <c r="J72" s="60" t="e">
        <f>VLOOKUP($I$1&amp;J$8,DATA!$A:$EB,'2403'!$A72,0)/100</f>
        <v>#N/A</v>
      </c>
      <c r="K72" s="60" t="e">
        <f>VLOOKUP($I$1&amp;K$8,DATA!$A:$EB,'2403'!$A72,0)/100</f>
        <v>#N/A</v>
      </c>
      <c r="L72" s="60" t="e">
        <f>VLOOKUP($I$1&amp;L$8,DATA!$A:$EB,'2403'!$A72,0)/100</f>
        <v>#N/A</v>
      </c>
      <c r="M72" s="60" t="e">
        <f>VLOOKUP($I$1&amp;M$8,DATA!$A:$EB,'2403'!$A72,0)/100</f>
        <v>#N/A</v>
      </c>
      <c r="N72" s="60" t="e">
        <f>VLOOKUP($I$1&amp;N$8,DATA!$A:$EB,'2403'!$A72,0)/100</f>
        <v>#N/A</v>
      </c>
      <c r="O72" s="61" t="e">
        <f>VLOOKUP($I$1&amp;O$8,DATA!$A:$EB,'2403'!$A72,0)/100</f>
        <v>#N/A</v>
      </c>
      <c r="P72" s="61" t="e">
        <f>VLOOKUP($I$1&amp;P$8,DATA!$A:$EB,'2403'!$A72,0)/100</f>
        <v>#N/A</v>
      </c>
      <c r="Q72" s="61" t="e">
        <f>VLOOKUP($I$1&amp;Q$8,DATA!$A:$EB,'2403'!$A72,0)/100</f>
        <v>#N/A</v>
      </c>
      <c r="R72" s="61" t="e">
        <f>VLOOKUP($I$1&amp;R$8,DATA!$A:$EB,'2403'!$A72,0)/100</f>
        <v>#N/A</v>
      </c>
      <c r="S72" s="61" t="e">
        <f>VLOOKUP($I$1&amp;S$8,DATA!$A:$EB,'2403'!$A72,0)/100</f>
        <v>#N/A</v>
      </c>
      <c r="T72" s="61" t="e">
        <f>VLOOKUP($I$1&amp;T$8,DATA!$A:$EB,'2403'!$A72,0)/100</f>
        <v>#N/A</v>
      </c>
      <c r="U72" s="42"/>
    </row>
    <row r="73" spans="1:21" ht="16.5">
      <c r="A73" s="5">
        <f>DATA!AY1</f>
        <v>51</v>
      </c>
      <c r="C73" s="745" t="s">
        <v>129</v>
      </c>
      <c r="D73" s="745"/>
      <c r="E73" s="745"/>
      <c r="F73" s="745"/>
      <c r="G73" s="745"/>
      <c r="H73" s="740"/>
      <c r="I73" s="25" t="e">
        <f>VLOOKUP($I$1&amp;I$8,DATA!$A:$EB,'2403'!$A73,0)/100</f>
        <v>#N/A</v>
      </c>
      <c r="J73" s="25" t="e">
        <f>VLOOKUP($I$1&amp;J$8,DATA!$A:$EB,'2403'!$A73,0)/100</f>
        <v>#N/A</v>
      </c>
      <c r="K73" s="25" t="e">
        <f>VLOOKUP($I$1&amp;K$8,DATA!$A:$EB,'2403'!$A73,0)/100</f>
        <v>#N/A</v>
      </c>
      <c r="L73" s="25" t="e">
        <f>VLOOKUP($I$1&amp;L$8,DATA!$A:$EB,'2403'!$A73,0)/100</f>
        <v>#N/A</v>
      </c>
      <c r="M73" s="25" t="e">
        <f>VLOOKUP($I$1&amp;M$8,DATA!$A:$EB,'2403'!$A73,0)/100</f>
        <v>#N/A</v>
      </c>
      <c r="N73" s="25" t="e">
        <f>VLOOKUP($I$1&amp;N$8,DATA!$A:$EB,'2403'!$A73,0)/100</f>
        <v>#N/A</v>
      </c>
      <c r="O73" s="25" t="e">
        <f>VLOOKUP($I$1&amp;O$8,DATA!$A:$EB,'2403'!$A73,0)/100</f>
        <v>#N/A</v>
      </c>
      <c r="P73" s="25" t="e">
        <f>VLOOKUP($I$1&amp;P$8,DATA!$A:$EB,'2403'!$A73,0)/100</f>
        <v>#N/A</v>
      </c>
      <c r="Q73" s="25" t="e">
        <f>VLOOKUP($I$1&amp;Q$8,DATA!$A:$EB,'2403'!$A73,0)/100</f>
        <v>#N/A</v>
      </c>
      <c r="R73" s="25" t="e">
        <f>VLOOKUP($I$1&amp;R$8,DATA!$A:$EB,'2403'!$A73,0)/100</f>
        <v>#N/A</v>
      </c>
      <c r="S73" s="25" t="e">
        <f>VLOOKUP($I$1&amp;S$8,DATA!$A:$EB,'2403'!$A73,0)/100</f>
        <v>#N/A</v>
      </c>
      <c r="T73" s="25" t="e">
        <f>VLOOKUP($I$1&amp;T$8,DATA!$A:$EB,'2403'!$A73,0)/100</f>
        <v>#N/A</v>
      </c>
      <c r="U73" s="42"/>
    </row>
    <row r="74" spans="1:21" ht="16.5">
      <c r="A74" s="5">
        <f>DATA!AR1</f>
        <v>44</v>
      </c>
      <c r="C74" s="752" t="s">
        <v>130</v>
      </c>
      <c r="D74" s="752"/>
      <c r="E74" s="752"/>
      <c r="F74" s="752"/>
      <c r="G74" s="752"/>
      <c r="H74" s="753"/>
      <c r="I74" s="26" t="e">
        <f>VLOOKUP($I$1&amp;I$8,DATA!$A:$EB,'2403'!$A74,0)/100</f>
        <v>#N/A</v>
      </c>
      <c r="J74" s="26" t="e">
        <f>VLOOKUP($I$1&amp;J$8,DATA!$A:$EB,'2403'!$A74,0)/100</f>
        <v>#N/A</v>
      </c>
      <c r="K74" s="26" t="e">
        <f>VLOOKUP($I$1&amp;K$8,DATA!$A:$EB,'2403'!$A74,0)/100</f>
        <v>#N/A</v>
      </c>
      <c r="L74" s="26" t="e">
        <f>VLOOKUP($I$1&amp;L$8,DATA!$A:$EB,'2403'!$A74,0)/100</f>
        <v>#N/A</v>
      </c>
      <c r="M74" s="26" t="e">
        <f>VLOOKUP($I$1&amp;M$8,DATA!$A:$EB,'2403'!$A74,0)/100</f>
        <v>#N/A</v>
      </c>
      <c r="N74" s="26" t="e">
        <f>VLOOKUP($I$1&amp;N$8,DATA!$A:$EB,'2403'!$A74,0)/100</f>
        <v>#N/A</v>
      </c>
      <c r="O74" s="26" t="e">
        <f>VLOOKUP($I$1&amp;O$8,DATA!$A:$EB,'2403'!$A74,0)/100</f>
        <v>#N/A</v>
      </c>
      <c r="P74" s="26" t="e">
        <f>VLOOKUP($I$1&amp;P$8,DATA!$A:$EB,'2403'!$A74,0)/100</f>
        <v>#N/A</v>
      </c>
      <c r="Q74" s="26" t="e">
        <f>VLOOKUP($I$1&amp;Q$8,DATA!$A:$EB,'2403'!$A74,0)/100</f>
        <v>#N/A</v>
      </c>
      <c r="R74" s="26" t="e">
        <f>VLOOKUP($I$1&amp;R$8,DATA!$A:$EB,'2403'!$A74,0)/100</f>
        <v>#N/A</v>
      </c>
      <c r="S74" s="26" t="e">
        <f>VLOOKUP($I$1&amp;S$8,DATA!$A:$EB,'2403'!$A74,0)/100</f>
        <v>#N/A</v>
      </c>
      <c r="T74" s="26" t="e">
        <f>VLOOKUP($I$1&amp;T$8,DATA!$A:$EB,'2403'!$A74,0)/100</f>
        <v>#N/A</v>
      </c>
      <c r="U74" s="42"/>
    </row>
    <row r="75" spans="1:21" ht="16.5">
      <c r="A75" s="22"/>
      <c r="C75" s="64" t="s">
        <v>144</v>
      </c>
      <c r="D75" s="138"/>
      <c r="E75" s="54"/>
      <c r="F75" s="54"/>
      <c r="G75" s="54"/>
      <c r="H75" s="54"/>
      <c r="I75" s="54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</row>
    <row r="76" spans="1:21" ht="16.5">
      <c r="C76" s="52"/>
      <c r="D76" s="138"/>
      <c r="E76" s="54"/>
      <c r="F76" s="54"/>
      <c r="G76" s="54"/>
      <c r="H76" s="54"/>
      <c r="I76" s="54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</row>
    <row r="77" spans="1:21" ht="16.5">
      <c r="C77" s="55"/>
      <c r="D77" s="138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42"/>
    </row>
    <row r="78" spans="1:21" ht="16.5">
      <c r="C78" s="55" t="s">
        <v>161</v>
      </c>
      <c r="D78" s="138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42"/>
    </row>
    <row r="79" spans="1:21" ht="16.5">
      <c r="A79" s="5">
        <f>DATA!DK1</f>
        <v>115</v>
      </c>
      <c r="C79" s="55"/>
      <c r="D79" s="138"/>
      <c r="E79" s="5" t="s">
        <v>71</v>
      </c>
      <c r="I79" s="1" t="e">
        <f>VLOOKUP($I$1&amp;I$8,DATA!$A:$EB,'2403'!$A79,0)/100</f>
        <v>#N/A</v>
      </c>
      <c r="J79" s="1" t="e">
        <f>VLOOKUP($I$1&amp;J$8,DATA!$A:$EB,'2403'!$A79,0)/100</f>
        <v>#N/A</v>
      </c>
      <c r="K79" s="95" t="e">
        <f>VLOOKUP($I$1&amp;K$8,DATA!$A:$EB,'2403'!$A79,0)/100</f>
        <v>#N/A</v>
      </c>
      <c r="L79" s="95" t="e">
        <f>VLOOKUP($I$1&amp;L$8,DATA!$A:$EB,'2403'!$A79,0)/100</f>
        <v>#N/A</v>
      </c>
      <c r="M79" s="95" t="e">
        <f>VLOOKUP($I$1&amp;M$8,DATA!$A:$EB,'2403'!$A79,0)/100</f>
        <v>#N/A</v>
      </c>
      <c r="N79" s="95" t="e">
        <f>VLOOKUP($I$1&amp;N$8,DATA!$A:$EB,'2403'!$A79,0)/100</f>
        <v>#N/A</v>
      </c>
      <c r="O79" s="95" t="e">
        <f>VLOOKUP($I$1&amp;O$8,DATA!$A:$EB,'2403'!$A79,0)/100</f>
        <v>#N/A</v>
      </c>
      <c r="P79" s="95" t="e">
        <f>VLOOKUP($I$1&amp;P$8,DATA!$A:$EB,'2403'!$A79,0)/100</f>
        <v>#N/A</v>
      </c>
      <c r="Q79" s="95" t="e">
        <f>VLOOKUP($I$1&amp;Q$8,DATA!$A:$EB,'2403'!$A79,0)/100</f>
        <v>#N/A</v>
      </c>
      <c r="R79" s="95" t="e">
        <f>VLOOKUP($I$1&amp;R$8,DATA!$A:$EB,'2403'!$A79,0)/100</f>
        <v>#N/A</v>
      </c>
      <c r="S79" s="95" t="e">
        <f>VLOOKUP($I$1&amp;S$8,DATA!$A:$EB,'2403'!$A79,0)/100</f>
        <v>#N/A</v>
      </c>
      <c r="T79" s="95" t="e">
        <f>VLOOKUP($I$1&amp;T$8,DATA!$A:$EB,'2403'!$A79,0)/100</f>
        <v>#N/A</v>
      </c>
      <c r="U79" s="42"/>
    </row>
    <row r="80" spans="1:21" ht="16.5">
      <c r="A80" s="5">
        <f>DATA!DI1</f>
        <v>113</v>
      </c>
      <c r="C80" s="55"/>
      <c r="D80" s="138"/>
      <c r="E80" s="5" t="s">
        <v>72</v>
      </c>
      <c r="I80" s="1" t="e">
        <f>VLOOKUP($I$1&amp;I$8,DATA!$A:$EB,'2403'!$A80,0)/100</f>
        <v>#N/A</v>
      </c>
      <c r="J80" s="1" t="e">
        <f>VLOOKUP($I$1&amp;J$8,DATA!$A:$EB,'2403'!$A80,0)/100</f>
        <v>#N/A</v>
      </c>
      <c r="K80" s="95" t="e">
        <f>VLOOKUP($I$1&amp;K$8,DATA!$A:$EB,'2403'!$A80,0)/100</f>
        <v>#N/A</v>
      </c>
      <c r="L80" s="95" t="e">
        <f>VLOOKUP($I$1&amp;L$8,DATA!$A:$EB,'2403'!$A80,0)/100</f>
        <v>#N/A</v>
      </c>
      <c r="M80" s="95" t="e">
        <f>VLOOKUP($I$1&amp;M$8,DATA!$A:$EB,'2403'!$A80,0)/100</f>
        <v>#N/A</v>
      </c>
      <c r="N80" s="95" t="e">
        <f>VLOOKUP($I$1&amp;N$8,DATA!$A:$EB,'2403'!$A80,0)/100</f>
        <v>#N/A</v>
      </c>
      <c r="O80" s="95" t="e">
        <f>VLOOKUP($I$1&amp;O$8,DATA!$A:$EB,'2403'!$A80,0)/100</f>
        <v>#N/A</v>
      </c>
      <c r="P80" s="95" t="e">
        <f>VLOOKUP($I$1&amp;P$8,DATA!$A:$EB,'2403'!$A80,0)/100</f>
        <v>#N/A</v>
      </c>
      <c r="Q80" s="95" t="e">
        <f>VLOOKUP($I$1&amp;Q$8,DATA!$A:$EB,'2403'!$A80,0)/100</f>
        <v>#N/A</v>
      </c>
      <c r="R80" s="95" t="e">
        <f>VLOOKUP($I$1&amp;R$8,DATA!$A:$EB,'2403'!$A80,0)/100</f>
        <v>#N/A</v>
      </c>
      <c r="S80" s="95" t="e">
        <f>VLOOKUP($I$1&amp;S$8,DATA!$A:$EB,'2403'!$A80,0)/100</f>
        <v>#N/A</v>
      </c>
      <c r="T80" s="95" t="e">
        <f>VLOOKUP($I$1&amp;T$8,DATA!$A:$EB,'2403'!$A80,0)/100</f>
        <v>#N/A</v>
      </c>
      <c r="U80" s="42"/>
    </row>
    <row r="81" spans="1:21" ht="16.5">
      <c r="A81" s="5">
        <f>DATA!DL1</f>
        <v>116</v>
      </c>
      <c r="C81" s="55"/>
      <c r="D81" s="138"/>
      <c r="E81" s="5" t="s">
        <v>74</v>
      </c>
      <c r="I81" s="1" t="e">
        <f>VLOOKUP($I$1&amp;I$8,DATA!$A:$EB,'2403'!$A81,0)/100</f>
        <v>#N/A</v>
      </c>
      <c r="J81" s="1" t="e">
        <f>VLOOKUP($I$1&amp;J$8,DATA!$A:$EB,'2403'!$A81,0)/100</f>
        <v>#N/A</v>
      </c>
      <c r="K81" s="95" t="e">
        <f>VLOOKUP($I$1&amp;K$8,DATA!$A:$EB,'2403'!$A81,0)/100</f>
        <v>#N/A</v>
      </c>
      <c r="L81" s="95" t="e">
        <f>VLOOKUP($I$1&amp;L$8,DATA!$A:$EB,'2403'!$A81,0)/100</f>
        <v>#N/A</v>
      </c>
      <c r="M81" s="95" t="e">
        <f>VLOOKUP($I$1&amp;M$8,DATA!$A:$EB,'2403'!$A81,0)/100</f>
        <v>#N/A</v>
      </c>
      <c r="N81" s="95" t="e">
        <f>VLOOKUP($I$1&amp;N$8,DATA!$A:$EB,'2403'!$A81,0)/100</f>
        <v>#N/A</v>
      </c>
      <c r="O81" s="95" t="e">
        <f>VLOOKUP($I$1&amp;O$8,DATA!$A:$EB,'2403'!$A81,0)/100</f>
        <v>#N/A</v>
      </c>
      <c r="P81" s="95" t="e">
        <f>VLOOKUP($I$1&amp;P$8,DATA!$A:$EB,'2403'!$A81,0)/100</f>
        <v>#N/A</v>
      </c>
      <c r="Q81" s="95" t="e">
        <f>VLOOKUP($I$1&amp;Q$8,DATA!$A:$EB,'2403'!$A81,0)/100</f>
        <v>#N/A</v>
      </c>
      <c r="R81" s="95" t="e">
        <f>VLOOKUP($I$1&amp;R$8,DATA!$A:$EB,'2403'!$A81,0)/100</f>
        <v>#N/A</v>
      </c>
      <c r="S81" s="95" t="e">
        <f>VLOOKUP($I$1&amp;S$8,DATA!$A:$EB,'2403'!$A81,0)/100</f>
        <v>#N/A</v>
      </c>
      <c r="T81" s="95" t="e">
        <f>VLOOKUP($I$1&amp;T$8,DATA!$A:$EB,'2403'!$A81,0)/100</f>
        <v>#N/A</v>
      </c>
      <c r="U81" s="42"/>
    </row>
    <row r="82" spans="1:21" ht="16.5">
      <c r="A82" s="5">
        <f>DATA!BY1</f>
        <v>77</v>
      </c>
      <c r="C82" s="55"/>
      <c r="D82" s="138"/>
      <c r="E82" s="54" t="s">
        <v>134</v>
      </c>
      <c r="F82" s="54"/>
      <c r="G82" s="54"/>
      <c r="H82" s="54"/>
      <c r="I82" s="1" t="e">
        <f>VLOOKUP($I$1&amp;I$8,DATA!$A:$EB,'2403'!$A82,0)/100</f>
        <v>#N/A</v>
      </c>
      <c r="J82" s="1" t="e">
        <f>VLOOKUP($I$1&amp;J$8,DATA!$A:$EB,'2403'!$A82,0)/100</f>
        <v>#N/A</v>
      </c>
      <c r="K82" s="95" t="e">
        <f>VLOOKUP($I$1&amp;K$8,DATA!$A:$EB,'2403'!$A82,0)/100</f>
        <v>#N/A</v>
      </c>
      <c r="L82" s="95" t="e">
        <f>VLOOKUP($I$1&amp;L$8,DATA!$A:$EB,'2403'!$A82,0)/100</f>
        <v>#N/A</v>
      </c>
      <c r="M82" s="95" t="e">
        <f>VLOOKUP($I$1&amp;M$8,DATA!$A:$EB,'2403'!$A82,0)/100</f>
        <v>#N/A</v>
      </c>
      <c r="N82" s="95" t="e">
        <f>VLOOKUP($I$1&amp;N$8,DATA!$A:$EB,'2403'!$A82,0)/100</f>
        <v>#N/A</v>
      </c>
      <c r="O82" s="95" t="e">
        <f>VLOOKUP($I$1&amp;O$8,DATA!$A:$EB,'2403'!$A82,0)/100</f>
        <v>#N/A</v>
      </c>
      <c r="P82" s="95" t="e">
        <f>VLOOKUP($I$1&amp;P$8,DATA!$A:$EB,'2403'!$A82,0)/100</f>
        <v>#N/A</v>
      </c>
      <c r="Q82" s="95" t="e">
        <f>VLOOKUP($I$1&amp;Q$8,DATA!$A:$EB,'2403'!$A82,0)/100</f>
        <v>#N/A</v>
      </c>
      <c r="R82" s="95" t="e">
        <f>VLOOKUP($I$1&amp;R$8,DATA!$A:$EB,'2403'!$A82,0)/100</f>
        <v>#N/A</v>
      </c>
      <c r="S82" s="95" t="e">
        <f>VLOOKUP($I$1&amp;S$8,DATA!$A:$EB,'2403'!$A82,0)/100</f>
        <v>#N/A</v>
      </c>
      <c r="T82" s="95" t="e">
        <f>VLOOKUP($I$1&amp;T$8,DATA!$A:$EB,'2403'!$A82,0)/100</f>
        <v>#N/A</v>
      </c>
      <c r="U82" s="42"/>
    </row>
    <row r="83" spans="1:21" ht="16.5">
      <c r="C83" s="55"/>
      <c r="D83" s="138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42"/>
    </row>
    <row r="84" spans="1:21" ht="16.5">
      <c r="C84" s="55"/>
      <c r="D84" s="138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42"/>
    </row>
    <row r="85" spans="1:21" ht="16.5">
      <c r="C85" s="55"/>
      <c r="D85" s="138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42"/>
    </row>
    <row r="86" spans="1:21" ht="16.5">
      <c r="C86" s="41" t="s">
        <v>145</v>
      </c>
      <c r="D86" s="138"/>
      <c r="E86" s="54"/>
      <c r="F86" s="54"/>
      <c r="G86" s="54"/>
      <c r="H86" s="54"/>
      <c r="I86" s="54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</row>
    <row r="87" spans="1:21" ht="16.5"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2"/>
      <c r="P87" s="43"/>
      <c r="Q87" s="43"/>
      <c r="R87" s="42"/>
      <c r="S87" s="42"/>
      <c r="T87" s="44" t="s">
        <v>104</v>
      </c>
      <c r="U87" s="42"/>
    </row>
    <row r="88" spans="1:21" ht="16.5">
      <c r="C88" s="729" t="s">
        <v>105</v>
      </c>
      <c r="D88" s="729"/>
      <c r="E88" s="729"/>
      <c r="F88" s="729"/>
      <c r="G88" s="729"/>
      <c r="H88" s="730"/>
      <c r="I88" s="65" t="s">
        <v>124</v>
      </c>
      <c r="J88" s="45" t="s">
        <v>136</v>
      </c>
      <c r="K88" s="45" t="s">
        <v>137</v>
      </c>
      <c r="L88" s="45" t="s">
        <v>138</v>
      </c>
      <c r="M88" s="45" t="s">
        <v>4</v>
      </c>
      <c r="N88" s="45" t="s">
        <v>139</v>
      </c>
      <c r="O88" s="46" t="s">
        <v>6</v>
      </c>
      <c r="P88" s="46" t="s">
        <v>106</v>
      </c>
      <c r="Q88" s="46" t="s">
        <v>107</v>
      </c>
      <c r="R88" s="46" t="s">
        <v>108</v>
      </c>
      <c r="S88" s="46" t="s">
        <v>109</v>
      </c>
      <c r="T88" s="46" t="s">
        <v>110</v>
      </c>
      <c r="U88" s="42"/>
    </row>
    <row r="89" spans="1:21" ht="16.5">
      <c r="A89" s="5">
        <f>DATA!BW1</f>
        <v>75</v>
      </c>
      <c r="C89" s="745" t="s">
        <v>53</v>
      </c>
      <c r="D89" s="745"/>
      <c r="E89" s="745"/>
      <c r="F89" s="745"/>
      <c r="G89" s="745"/>
      <c r="H89" s="740"/>
      <c r="I89" s="25" t="e">
        <f>VLOOKUP($I$1&amp;I$8,DATA!$A:$EB,'2403'!$A89,0)/100</f>
        <v>#N/A</v>
      </c>
      <c r="J89" s="66" t="e">
        <f>VLOOKUP($I$1&amp;J$8,DATA!$A:$EB,'2403'!$A89,0)/100</f>
        <v>#N/A</v>
      </c>
      <c r="K89" s="66" t="e">
        <f>VLOOKUP($I$1&amp;K$8,DATA!$A:$EB,'2403'!$A89,0)/100</f>
        <v>#N/A</v>
      </c>
      <c r="L89" s="66" t="e">
        <f>VLOOKUP($I$1&amp;L$8,DATA!$A:$EB,'2403'!$A89,0)/100</f>
        <v>#N/A</v>
      </c>
      <c r="M89" s="66" t="e">
        <f>VLOOKUP($I$1&amp;M$8,DATA!$A:$EB,'2403'!$A89,0)/100</f>
        <v>#N/A</v>
      </c>
      <c r="N89" s="66" t="e">
        <f>VLOOKUP($I$1&amp;N$8,DATA!$A:$EB,'2403'!$A89,0)/100</f>
        <v>#N/A</v>
      </c>
      <c r="O89" s="25" t="e">
        <f>VLOOKUP($I$1&amp;O$8,DATA!$A:$EB,'2403'!$A89,0)/100</f>
        <v>#N/A</v>
      </c>
      <c r="P89" s="25" t="e">
        <f>VLOOKUP($I$1&amp;P$8,DATA!$A:$EB,'2403'!$A89,0)/100</f>
        <v>#N/A</v>
      </c>
      <c r="Q89" s="25" t="e">
        <f>VLOOKUP($I$1&amp;Q$8,DATA!$A:$EB,'2403'!$A89,0)/100</f>
        <v>#N/A</v>
      </c>
      <c r="R89" s="25" t="e">
        <f>VLOOKUP($I$1&amp;R$8,DATA!$A:$EB,'2403'!$A89,0)/100</f>
        <v>#N/A</v>
      </c>
      <c r="S89" s="25" t="e">
        <f>VLOOKUP($I$1&amp;S$8,DATA!$A:$EB,'2403'!$A89,0)/100</f>
        <v>#N/A</v>
      </c>
      <c r="T89" s="25" t="e">
        <f>VLOOKUP($I$1&amp;T$8,DATA!$A:$EB,'2403'!$A89,0)/100</f>
        <v>#N/A</v>
      </c>
      <c r="U89" s="42"/>
    </row>
    <row r="90" spans="1:21" ht="16.5">
      <c r="C90" s="743" t="s">
        <v>117</v>
      </c>
      <c r="D90" s="743"/>
      <c r="E90" s="743"/>
      <c r="F90" s="743"/>
      <c r="G90" s="743"/>
      <c r="H90" s="744"/>
      <c r="I90" s="67" t="e">
        <f>+I89-I103</f>
        <v>#N/A</v>
      </c>
      <c r="J90" s="68" t="e">
        <f t="shared" ref="J90:T90" si="13">+J89-J103</f>
        <v>#N/A</v>
      </c>
      <c r="K90" s="68" t="e">
        <f t="shared" si="13"/>
        <v>#N/A</v>
      </c>
      <c r="L90" s="68" t="e">
        <f t="shared" si="13"/>
        <v>#N/A</v>
      </c>
      <c r="M90" s="68" t="e">
        <f t="shared" si="13"/>
        <v>#N/A</v>
      </c>
      <c r="N90" s="68" t="e">
        <f t="shared" si="13"/>
        <v>#N/A</v>
      </c>
      <c r="O90" s="67" t="e">
        <f t="shared" si="13"/>
        <v>#N/A</v>
      </c>
      <c r="P90" s="67" t="e">
        <f t="shared" si="13"/>
        <v>#N/A</v>
      </c>
      <c r="Q90" s="67" t="e">
        <f t="shared" si="13"/>
        <v>#N/A</v>
      </c>
      <c r="R90" s="67" t="e">
        <f t="shared" si="13"/>
        <v>#N/A</v>
      </c>
      <c r="S90" s="67" t="e">
        <f t="shared" si="13"/>
        <v>#N/A</v>
      </c>
      <c r="T90" s="67" t="e">
        <f t="shared" si="13"/>
        <v>#N/A</v>
      </c>
      <c r="U90" s="42"/>
    </row>
    <row r="91" spans="1:21" ht="16.5">
      <c r="C91" s="784" t="s">
        <v>118</v>
      </c>
      <c r="D91" s="784"/>
      <c r="E91" s="784"/>
      <c r="F91" s="784"/>
      <c r="G91" s="784"/>
      <c r="H91" s="785"/>
      <c r="I91" s="69" t="e">
        <f>+I90/I89</f>
        <v>#N/A</v>
      </c>
      <c r="J91" s="70" t="e">
        <f t="shared" ref="J91:T91" si="14">+J90/J89</f>
        <v>#N/A</v>
      </c>
      <c r="K91" s="70" t="e">
        <f t="shared" si="14"/>
        <v>#N/A</v>
      </c>
      <c r="L91" s="70" t="e">
        <f t="shared" si="14"/>
        <v>#N/A</v>
      </c>
      <c r="M91" s="70" t="e">
        <f t="shared" si="14"/>
        <v>#N/A</v>
      </c>
      <c r="N91" s="70" t="e">
        <f t="shared" si="14"/>
        <v>#N/A</v>
      </c>
      <c r="O91" s="71" t="e">
        <f t="shared" si="14"/>
        <v>#N/A</v>
      </c>
      <c r="P91" s="71" t="e">
        <f t="shared" si="14"/>
        <v>#N/A</v>
      </c>
      <c r="Q91" s="71" t="e">
        <f t="shared" si="14"/>
        <v>#N/A</v>
      </c>
      <c r="R91" s="71" t="e">
        <f t="shared" si="14"/>
        <v>#N/A</v>
      </c>
      <c r="S91" s="71" t="e">
        <f t="shared" si="14"/>
        <v>#N/A</v>
      </c>
      <c r="T91" s="71" t="e">
        <f t="shared" si="14"/>
        <v>#N/A</v>
      </c>
      <c r="U91" s="42"/>
    </row>
    <row r="92" spans="1:21" ht="16.5">
      <c r="A92" s="5">
        <f>DATA!BX1</f>
        <v>76</v>
      </c>
      <c r="C92" s="745" t="s">
        <v>119</v>
      </c>
      <c r="D92" s="745"/>
      <c r="E92" s="745"/>
      <c r="F92" s="745"/>
      <c r="G92" s="745"/>
      <c r="H92" s="740"/>
      <c r="I92" s="25" t="e">
        <f>VLOOKUP($I$1&amp;I$8,DATA!$A:$EB,'2403'!$A92,0)/100</f>
        <v>#N/A</v>
      </c>
      <c r="J92" s="66" t="e">
        <f>VLOOKUP($I$1&amp;J$8,DATA!$A:$EB,'2403'!$A92,0)/100</f>
        <v>#N/A</v>
      </c>
      <c r="K92" s="25" t="e">
        <f>VLOOKUP($I$1&amp;K$8,DATA!$A:$EB,'2403'!$A92,0)/100</f>
        <v>#N/A</v>
      </c>
      <c r="L92" s="25" t="e">
        <f>VLOOKUP($I$1&amp;L$8,DATA!$A:$EB,'2403'!$A92,0)/100</f>
        <v>#N/A</v>
      </c>
      <c r="M92" s="25" t="e">
        <f>VLOOKUP($I$1&amp;M$8,DATA!$A:$EB,'2403'!$A92,0)/100</f>
        <v>#N/A</v>
      </c>
      <c r="N92" s="25" t="e">
        <f>VLOOKUP($I$1&amp;N$8,DATA!$A:$EB,'2403'!$A92,0)/100</f>
        <v>#N/A</v>
      </c>
      <c r="O92" s="25" t="e">
        <f>VLOOKUP($I$1&amp;O$8,DATA!$A:$EB,'2403'!$A92,0)/100</f>
        <v>#N/A</v>
      </c>
      <c r="P92" s="25" t="e">
        <f>VLOOKUP($I$1&amp;P$8,DATA!$A:$EB,'2403'!$A92,0)/100</f>
        <v>#N/A</v>
      </c>
      <c r="Q92" s="25" t="e">
        <f>VLOOKUP($I$1&amp;Q$8,DATA!$A:$EB,'2403'!$A92,0)/100</f>
        <v>#N/A</v>
      </c>
      <c r="R92" s="25" t="e">
        <f>VLOOKUP($I$1&amp;R$8,DATA!$A:$EB,'2403'!$A92,0)/100</f>
        <v>#N/A</v>
      </c>
      <c r="S92" s="25" t="e">
        <f>VLOOKUP($I$1&amp;S$8,DATA!$A:$EB,'2403'!$A92,0)/100</f>
        <v>#N/A</v>
      </c>
      <c r="T92" s="25" t="e">
        <f>VLOOKUP($I$1&amp;T$8,DATA!$A:$EB,'2403'!$A92,0)/100</f>
        <v>#N/A</v>
      </c>
      <c r="U92" s="42"/>
    </row>
    <row r="93" spans="1:21" ht="16.5">
      <c r="A93" s="5">
        <f>DATA!BY1</f>
        <v>77</v>
      </c>
      <c r="C93" s="750" t="s">
        <v>120</v>
      </c>
      <c r="D93" s="750"/>
      <c r="E93" s="750"/>
      <c r="F93" s="750"/>
      <c r="G93" s="750"/>
      <c r="H93" s="751"/>
      <c r="I93" s="72" t="e">
        <f>VLOOKUP($I$1&amp;I$8,DATA!$A:$EB,'2403'!$A93,0)/100</f>
        <v>#N/A</v>
      </c>
      <c r="J93" s="73" t="e">
        <f>VLOOKUP($I$1&amp;J$8,DATA!$A:$EB,'2403'!$A93,0)/100</f>
        <v>#N/A</v>
      </c>
      <c r="K93" s="72" t="e">
        <f>VLOOKUP($I$1&amp;K$8,DATA!$A:$EB,'2403'!$A93,0)/100</f>
        <v>#N/A</v>
      </c>
      <c r="L93" s="72" t="e">
        <f>VLOOKUP($I$1&amp;L$8,DATA!$A:$EB,'2403'!$A93,0)/100</f>
        <v>#N/A</v>
      </c>
      <c r="M93" s="72" t="e">
        <f>VLOOKUP($I$1&amp;M$8,DATA!$A:$EB,'2403'!$A93,0)/100</f>
        <v>#N/A</v>
      </c>
      <c r="N93" s="72" t="e">
        <f>VLOOKUP($I$1&amp;N$8,DATA!$A:$EB,'2403'!$A93,0)/100</f>
        <v>#N/A</v>
      </c>
      <c r="O93" s="72" t="e">
        <f>VLOOKUP($I$1&amp;O$8,DATA!$A:$EB,'2403'!$A93,0)/100</f>
        <v>#N/A</v>
      </c>
      <c r="P93" s="72" t="e">
        <f>VLOOKUP($I$1&amp;P$8,DATA!$A:$EB,'2403'!$A93,0)/100</f>
        <v>#N/A</v>
      </c>
      <c r="Q93" s="72" t="e">
        <f>VLOOKUP($I$1&amp;Q$8,DATA!$A:$EB,'2403'!$A93,0)/100</f>
        <v>#N/A</v>
      </c>
      <c r="R93" s="72" t="e">
        <f>VLOOKUP($I$1&amp;R$8,DATA!$A:$EB,'2403'!$A93,0)/100</f>
        <v>#N/A</v>
      </c>
      <c r="S93" s="72" t="e">
        <f>VLOOKUP($I$1&amp;S$8,DATA!$A:$EB,'2403'!$A93,0)/100</f>
        <v>#N/A</v>
      </c>
      <c r="T93" s="72" t="e">
        <f>VLOOKUP($I$1&amp;T$8,DATA!$A:$EB,'2403'!$A93,0)/100</f>
        <v>#N/A</v>
      </c>
      <c r="U93" s="42"/>
    </row>
    <row r="94" spans="1:21" ht="16.5">
      <c r="A94" s="22"/>
      <c r="B94" s="22"/>
      <c r="C94" s="750" t="s">
        <v>146</v>
      </c>
      <c r="D94" s="750"/>
      <c r="E94" s="750"/>
      <c r="F94" s="750"/>
      <c r="G94" s="750"/>
      <c r="H94" s="751"/>
      <c r="I94" s="74" t="e">
        <f>+I93/(I89+I93)*(4/$J$1)</f>
        <v>#N/A</v>
      </c>
      <c r="J94" s="75" t="e">
        <f t="shared" ref="J94:T94" si="15">+J93/(J89+J93)*(4/$J$1)</f>
        <v>#N/A</v>
      </c>
      <c r="K94" s="74" t="e">
        <f t="shared" si="15"/>
        <v>#N/A</v>
      </c>
      <c r="L94" s="74" t="e">
        <f t="shared" si="15"/>
        <v>#N/A</v>
      </c>
      <c r="M94" s="74" t="e">
        <f t="shared" si="15"/>
        <v>#N/A</v>
      </c>
      <c r="N94" s="74" t="e">
        <f t="shared" si="15"/>
        <v>#N/A</v>
      </c>
      <c r="O94" s="74" t="e">
        <f t="shared" si="15"/>
        <v>#N/A</v>
      </c>
      <c r="P94" s="74" t="e">
        <f t="shared" si="15"/>
        <v>#N/A</v>
      </c>
      <c r="Q94" s="74" t="e">
        <f t="shared" si="15"/>
        <v>#N/A</v>
      </c>
      <c r="R94" s="74" t="e">
        <f t="shared" si="15"/>
        <v>#N/A</v>
      </c>
      <c r="S94" s="74" t="e">
        <f t="shared" si="15"/>
        <v>#N/A</v>
      </c>
      <c r="T94" s="74" t="e">
        <f t="shared" si="15"/>
        <v>#N/A</v>
      </c>
      <c r="U94" s="42"/>
    </row>
    <row r="95" spans="1:21" ht="16.5">
      <c r="B95" s="22"/>
      <c r="C95" s="752" t="s">
        <v>121</v>
      </c>
      <c r="D95" s="752"/>
      <c r="E95" s="752"/>
      <c r="F95" s="752"/>
      <c r="G95" s="752"/>
      <c r="H95" s="753"/>
      <c r="I95" s="76" t="e">
        <f>+I92/I93</f>
        <v>#N/A</v>
      </c>
      <c r="J95" s="77" t="e">
        <f t="shared" ref="J95:T95" si="16">+J92/J93</f>
        <v>#N/A</v>
      </c>
      <c r="K95" s="76" t="e">
        <f t="shared" si="16"/>
        <v>#N/A</v>
      </c>
      <c r="L95" s="76" t="e">
        <f t="shared" si="16"/>
        <v>#N/A</v>
      </c>
      <c r="M95" s="76" t="e">
        <f t="shared" si="16"/>
        <v>#N/A</v>
      </c>
      <c r="N95" s="76" t="e">
        <f t="shared" si="16"/>
        <v>#N/A</v>
      </c>
      <c r="O95" s="76" t="e">
        <f t="shared" si="16"/>
        <v>#N/A</v>
      </c>
      <c r="P95" s="76" t="e">
        <f t="shared" si="16"/>
        <v>#N/A</v>
      </c>
      <c r="Q95" s="76" t="e">
        <f t="shared" si="16"/>
        <v>#N/A</v>
      </c>
      <c r="R95" s="76" t="e">
        <f t="shared" si="16"/>
        <v>#N/A</v>
      </c>
      <c r="S95" s="76" t="e">
        <f t="shared" si="16"/>
        <v>#N/A</v>
      </c>
      <c r="T95" s="76" t="e">
        <f t="shared" si="16"/>
        <v>#N/A</v>
      </c>
      <c r="U95" s="42"/>
    </row>
    <row r="96" spans="1:21" ht="16.5">
      <c r="A96" s="5">
        <f>DATA!CE1</f>
        <v>83</v>
      </c>
      <c r="C96" s="786" t="s">
        <v>147</v>
      </c>
      <c r="D96" s="748"/>
      <c r="E96" s="749"/>
      <c r="F96" s="787" t="s">
        <v>148</v>
      </c>
      <c r="G96" s="748"/>
      <c r="H96" s="749"/>
      <c r="I96" s="78" t="e">
        <f>VLOOKUP($I$1&amp;I$8,DATA!$A:$EB,'2403'!$A96,0)/100</f>
        <v>#N/A</v>
      </c>
      <c r="J96" s="79" t="e">
        <f>VLOOKUP($I$1&amp;J$8,DATA!$A:$EB,'2403'!$A96,0)/100</f>
        <v>#N/A</v>
      </c>
      <c r="K96" s="78" t="e">
        <f>VLOOKUP($I$1&amp;K$8,DATA!$A:$EB,'2403'!$A96,0)/100</f>
        <v>#N/A</v>
      </c>
      <c r="L96" s="78" t="e">
        <f>VLOOKUP($I$1&amp;L$8,DATA!$A:$EB,'2403'!$A96,0)/100</f>
        <v>#N/A</v>
      </c>
      <c r="M96" s="78" t="e">
        <f>VLOOKUP($I$1&amp;M$8,DATA!$A:$EB,'2403'!$A96,0)/100</f>
        <v>#N/A</v>
      </c>
      <c r="N96" s="78" t="e">
        <f>VLOOKUP($I$1&amp;N$8,DATA!$A:$EB,'2403'!$A96,0)/100</f>
        <v>#N/A</v>
      </c>
      <c r="O96" s="78" t="e">
        <f>VLOOKUP($I$1&amp;O$8,DATA!$A:$EB,'2403'!$A96,0)/100</f>
        <v>#N/A</v>
      </c>
      <c r="P96" s="78" t="e">
        <f>VLOOKUP($I$1&amp;P$8,DATA!$A:$EB,'2403'!$A96,0)/100</f>
        <v>#N/A</v>
      </c>
      <c r="Q96" s="78" t="e">
        <f>VLOOKUP($I$1&amp;Q$8,DATA!$A:$EB,'2403'!$A96,0)/100</f>
        <v>#N/A</v>
      </c>
      <c r="R96" s="78" t="e">
        <f>VLOOKUP($I$1&amp;R$8,DATA!$A:$EB,'2403'!$A96,0)/100</f>
        <v>#N/A</v>
      </c>
      <c r="S96" s="78" t="e">
        <f>VLOOKUP($I$1&amp;S$8,DATA!$A:$EB,'2403'!$A96,0)/100</f>
        <v>#N/A</v>
      </c>
      <c r="T96" s="78" t="e">
        <f>VLOOKUP($I$1&amp;T$8,DATA!$A:$EB,'2403'!$A96,0)/100</f>
        <v>#N/A</v>
      </c>
      <c r="U96" s="42"/>
    </row>
    <row r="97" spans="1:21" ht="16.5">
      <c r="A97" s="5">
        <f>DATA!CF1</f>
        <v>84</v>
      </c>
      <c r="C97" s="750"/>
      <c r="D97" s="750"/>
      <c r="E97" s="751"/>
      <c r="F97" s="788" t="s">
        <v>149</v>
      </c>
      <c r="G97" s="750"/>
      <c r="H97" s="751"/>
      <c r="I97" s="80" t="e">
        <f>VLOOKUP($I$1&amp;I$8,DATA!$A:$EB,'2403'!$A97,0)/100+VLOOKUP($I$1&amp;I$8,DATA!$A:$EB,'2403'!$A97+1,0)/100</f>
        <v>#N/A</v>
      </c>
      <c r="J97" s="140" t="e">
        <f>VLOOKUP($I$1&amp;J$8,DATA!$A:$EB,'2403'!$A97,0)/100+VLOOKUP($I$1&amp;J$8,DATA!$A:$EB,'2403'!$A97+1,0)/100</f>
        <v>#N/A</v>
      </c>
      <c r="K97" s="80" t="e">
        <f>VLOOKUP($I$1&amp;K$8,DATA!$A:$EB,'2403'!$A97,0)/100+VLOOKUP($I$1&amp;K$8,DATA!$A:$EB,'2403'!$A97+1,0)/100</f>
        <v>#N/A</v>
      </c>
      <c r="L97" s="80" t="e">
        <f>VLOOKUP($I$1&amp;L$8,DATA!$A:$EB,'2403'!$A97,0)/100+VLOOKUP($I$1&amp;L$8,DATA!$A:$EB,'2403'!$A97+1,0)/100</f>
        <v>#N/A</v>
      </c>
      <c r="M97" s="80" t="e">
        <f>VLOOKUP($I$1&amp;M$8,DATA!$A:$EB,'2403'!$A97,0)/100+VLOOKUP($I$1&amp;M$8,DATA!$A:$EB,'2403'!$A97+1,0)/100</f>
        <v>#N/A</v>
      </c>
      <c r="N97" s="80" t="e">
        <f>VLOOKUP($I$1&amp;N$8,DATA!$A:$EB,'2403'!$A97,0)/100+VLOOKUP($I$1&amp;N$8,DATA!$A:$EB,'2403'!$A97+1,0)/100</f>
        <v>#N/A</v>
      </c>
      <c r="O97" s="80" t="e">
        <f>VLOOKUP($I$1&amp;O$8,DATA!$A:$EB,'2403'!$A97,0)/100+VLOOKUP($I$1&amp;O$8,DATA!$A:$EB,'2403'!$A97+1,0)/100</f>
        <v>#N/A</v>
      </c>
      <c r="P97" s="80" t="e">
        <f>VLOOKUP($I$1&amp;P$8,DATA!$A:$EB,'2403'!$A97,0)/100+VLOOKUP($I$1&amp;P$8,DATA!$A:$EB,'2403'!$A97+1,0)/100</f>
        <v>#N/A</v>
      </c>
      <c r="Q97" s="80" t="e">
        <f>VLOOKUP($I$1&amp;Q$8,DATA!$A:$EB,'2403'!$A97,0)/100+VLOOKUP($I$1&amp;Q$8,DATA!$A:$EB,'2403'!$A97+1,0)/100</f>
        <v>#N/A</v>
      </c>
      <c r="R97" s="80" t="e">
        <f>VLOOKUP($I$1&amp;R$8,DATA!$A:$EB,'2403'!$A97,0)/100+VLOOKUP($I$1&amp;R$8,DATA!$A:$EB,'2403'!$A97+1,0)/100</f>
        <v>#N/A</v>
      </c>
      <c r="S97" s="80" t="e">
        <f>VLOOKUP($I$1&amp;S$8,DATA!$A:$EB,'2403'!$A97,0)/100+VLOOKUP($I$1&amp;S$8,DATA!$A:$EB,'2403'!$A97+1,0)/100</f>
        <v>#N/A</v>
      </c>
      <c r="T97" s="80" t="e">
        <f>VLOOKUP($I$1&amp;T$8,DATA!$A:$EB,'2403'!$A97,0)/100+VLOOKUP($I$1&amp;T$8,DATA!$A:$EB,'2403'!$A97+1,0)/100</f>
        <v>#N/A</v>
      </c>
      <c r="U97" s="42"/>
    </row>
    <row r="98" spans="1:21" ht="16.5">
      <c r="A98" s="5">
        <f>DATA!CH1</f>
        <v>86</v>
      </c>
      <c r="C98" s="750"/>
      <c r="D98" s="750"/>
      <c r="E98" s="751"/>
      <c r="F98" s="788" t="s">
        <v>58</v>
      </c>
      <c r="G98" s="750"/>
      <c r="H98" s="751"/>
      <c r="I98" s="80" t="e">
        <f>VLOOKUP($I$1&amp;I$8,DATA!$A:$EB,'2403'!$A98,0)/100</f>
        <v>#N/A</v>
      </c>
      <c r="J98" s="808" t="e">
        <f>VLOOKUP($I$1&amp;J$8,DATA!$A:$EB,'2403'!$A98,0)/100</f>
        <v>#N/A</v>
      </c>
      <c r="K98" s="80" t="e">
        <f>VLOOKUP($I$1&amp;K$8,DATA!$A:$EB,'2403'!$A98,0)/100</f>
        <v>#N/A</v>
      </c>
      <c r="L98" s="80" t="e">
        <f>VLOOKUP($I$1&amp;L$8,DATA!$A:$EB,'2403'!$A98,0)/100</f>
        <v>#N/A</v>
      </c>
      <c r="M98" s="80" t="e">
        <f>VLOOKUP($I$1&amp;M$8,DATA!$A:$EB,'2403'!$A98,0)/100</f>
        <v>#N/A</v>
      </c>
      <c r="N98" s="80" t="e">
        <f>VLOOKUP($I$1&amp;N$8,DATA!$A:$EB,'2403'!$A98,0)/100</f>
        <v>#N/A</v>
      </c>
      <c r="O98" s="80" t="e">
        <f>VLOOKUP($I$1&amp;O$8,DATA!$A:$EB,'2403'!$A98,0)/100</f>
        <v>#N/A</v>
      </c>
      <c r="P98" s="808" t="e">
        <f>VLOOKUP($I$1&amp;P$8,DATA!$A:$EB,'2403'!$A98,0)/100</f>
        <v>#N/A</v>
      </c>
      <c r="Q98" s="80" t="e">
        <f>VLOOKUP($I$1&amp;Q$8,DATA!$A:$EB,'2403'!$A98,0)/100</f>
        <v>#N/A</v>
      </c>
      <c r="R98" s="80" t="e">
        <f>VLOOKUP($I$1&amp;R$8,DATA!$A:$EB,'2403'!$A98,0)/100</f>
        <v>#N/A</v>
      </c>
      <c r="S98" s="80" t="e">
        <f>VLOOKUP($I$1&amp;S$8,DATA!$A:$EB,'2403'!$A98,0)/100</f>
        <v>#N/A</v>
      </c>
      <c r="T98" s="80" t="e">
        <f>VLOOKUP($I$1&amp;T$8,DATA!$A:$EB,'2403'!$A98,0)/100</f>
        <v>#N/A</v>
      </c>
      <c r="U98" s="42"/>
    </row>
    <row r="99" spans="1:21" ht="16.5">
      <c r="A99" s="5">
        <f>DATA!CI1</f>
        <v>87</v>
      </c>
      <c r="C99" s="752"/>
      <c r="D99" s="752"/>
      <c r="E99" s="753"/>
      <c r="F99" s="781" t="s">
        <v>150</v>
      </c>
      <c r="G99" s="752"/>
      <c r="H99" s="753"/>
      <c r="I99" s="82" t="e">
        <f>VLOOKUP($I$1&amp;I$8,DATA!$A:$EB,'2403'!$A99,0)/100</f>
        <v>#N/A</v>
      </c>
      <c r="J99" s="809" t="e">
        <f>VLOOKUP($I$1&amp;J$8,DATA!$A:$EB,'2403'!$A99,0)/100</f>
        <v>#N/A</v>
      </c>
      <c r="K99" s="82" t="e">
        <f>VLOOKUP($I$1&amp;K$8,DATA!$A:$EB,'2403'!$A99,0)/100</f>
        <v>#N/A</v>
      </c>
      <c r="L99" s="82" t="e">
        <f>VLOOKUP($I$1&amp;L$8,DATA!$A:$EB,'2403'!$A99,0)/100</f>
        <v>#N/A</v>
      </c>
      <c r="M99" s="82" t="e">
        <f>VLOOKUP($I$1&amp;M$8,DATA!$A:$EB,'2403'!$A99,0)/100</f>
        <v>#N/A</v>
      </c>
      <c r="N99" s="82" t="e">
        <f>VLOOKUP($I$1&amp;N$8,DATA!$A:$EB,'2403'!$A99,0)/100</f>
        <v>#N/A</v>
      </c>
      <c r="O99" s="82" t="e">
        <f>VLOOKUP($I$1&amp;O$8,DATA!$A:$EB,'2403'!$A99,0)/100</f>
        <v>#N/A</v>
      </c>
      <c r="P99" s="809" t="e">
        <f>VLOOKUP($I$1&amp;P$8,DATA!$A:$EB,'2403'!$A99,0)/100</f>
        <v>#N/A</v>
      </c>
      <c r="Q99" s="82" t="e">
        <f>VLOOKUP($I$1&amp;Q$8,DATA!$A:$EB,'2403'!$A99,0)/100</f>
        <v>#N/A</v>
      </c>
      <c r="R99" s="82" t="e">
        <f>VLOOKUP($I$1&amp;R$8,DATA!$A:$EB,'2403'!$A99,0)/100</f>
        <v>#N/A</v>
      </c>
      <c r="S99" s="82" t="e">
        <f>VLOOKUP($I$1&amp;S$8,DATA!$A:$EB,'2403'!$A99,0)/100</f>
        <v>#N/A</v>
      </c>
      <c r="T99" s="82" t="e">
        <f>VLOOKUP($I$1&amp;T$8,DATA!$A:$EB,'2403'!$A99,0)/100</f>
        <v>#N/A</v>
      </c>
      <c r="U99" s="42"/>
    </row>
    <row r="100" spans="1:21" ht="16.5">
      <c r="C100" s="83" t="s">
        <v>151</v>
      </c>
      <c r="D100" s="138"/>
      <c r="E100" s="54"/>
      <c r="F100" s="54"/>
      <c r="G100" s="54"/>
      <c r="H100" s="54"/>
      <c r="I100" s="84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42"/>
    </row>
    <row r="101" spans="1:21" ht="16.5">
      <c r="C101" s="52" t="s">
        <v>152</v>
      </c>
      <c r="D101" s="138"/>
      <c r="E101" s="54"/>
      <c r="F101" s="54"/>
      <c r="G101" s="54"/>
      <c r="H101" s="54"/>
      <c r="I101" s="84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42"/>
    </row>
    <row r="102" spans="1:21" ht="16.5">
      <c r="C102" s="55"/>
      <c r="D102" s="138"/>
      <c r="E102" s="54"/>
      <c r="F102" s="54"/>
      <c r="G102" s="54"/>
      <c r="H102" s="54"/>
      <c r="I102" s="135" t="e">
        <f>+I92/I89</f>
        <v>#N/A</v>
      </c>
      <c r="J102" s="135" t="e">
        <f t="shared" ref="J102:T102" si="17">+J92/J89</f>
        <v>#N/A</v>
      </c>
      <c r="K102" s="135" t="e">
        <f t="shared" si="17"/>
        <v>#N/A</v>
      </c>
      <c r="L102" s="135" t="e">
        <f t="shared" si="17"/>
        <v>#N/A</v>
      </c>
      <c r="M102" s="135" t="e">
        <f t="shared" si="17"/>
        <v>#N/A</v>
      </c>
      <c r="N102" s="135" t="e">
        <f t="shared" si="17"/>
        <v>#N/A</v>
      </c>
      <c r="O102" s="135" t="e">
        <f t="shared" si="17"/>
        <v>#N/A</v>
      </c>
      <c r="P102" s="135" t="e">
        <f t="shared" si="17"/>
        <v>#N/A</v>
      </c>
      <c r="Q102" s="135" t="e">
        <f t="shared" si="17"/>
        <v>#N/A</v>
      </c>
      <c r="R102" s="135" t="e">
        <f t="shared" si="17"/>
        <v>#N/A</v>
      </c>
      <c r="S102" s="135" t="e">
        <f t="shared" si="17"/>
        <v>#N/A</v>
      </c>
      <c r="T102" s="135" t="e">
        <f t="shared" si="17"/>
        <v>#N/A</v>
      </c>
      <c r="U102" s="42"/>
    </row>
    <row r="103" spans="1:21" ht="16.5">
      <c r="A103" s="5">
        <f>DATA!CB1</f>
        <v>80</v>
      </c>
      <c r="C103" s="55"/>
      <c r="D103" s="138"/>
      <c r="E103" s="54" t="s">
        <v>122</v>
      </c>
      <c r="F103" s="54"/>
      <c r="G103" s="54"/>
      <c r="H103" s="54"/>
      <c r="I103" s="1" t="e">
        <f>VLOOKUP($I$1&amp;I$8,DATA!$A:$EB,'2403'!$A103,0)/100</f>
        <v>#N/A</v>
      </c>
      <c r="J103" s="1" t="e">
        <f>VLOOKUP($I$1&amp;J$8,DATA!$A:$EB,'2403'!$A103,0)/100</f>
        <v>#N/A</v>
      </c>
      <c r="K103" s="95" t="e">
        <f>VLOOKUP($I$1&amp;K$8,DATA!$A:$EB,'2403'!$A103,0)/100</f>
        <v>#N/A</v>
      </c>
      <c r="L103" s="95" t="e">
        <f>VLOOKUP($I$1&amp;L$8,DATA!$A:$EB,'2403'!$A103,0)/100</f>
        <v>#N/A</v>
      </c>
      <c r="M103" s="95" t="e">
        <f>VLOOKUP($I$1&amp;M$8,DATA!$A:$EB,'2403'!$A103,0)/100</f>
        <v>#N/A</v>
      </c>
      <c r="N103" s="95" t="e">
        <f>VLOOKUP($I$1&amp;N$8,DATA!$A:$EB,'2403'!$A103,0)/100</f>
        <v>#N/A</v>
      </c>
      <c r="O103" s="95" t="e">
        <f>VLOOKUP($I$1&amp;O$8,DATA!$A:$EB,'2403'!$A103,0)/100</f>
        <v>#N/A</v>
      </c>
      <c r="P103" s="95" t="e">
        <f>VLOOKUP($I$1&amp;P$8,DATA!$A:$EB,'2403'!$A103,0)/100</f>
        <v>#N/A</v>
      </c>
      <c r="Q103" s="95" t="e">
        <f>VLOOKUP($I$1&amp;Q$8,DATA!$A:$EB,'2403'!$A103,0)/100</f>
        <v>#N/A</v>
      </c>
      <c r="R103" s="95" t="e">
        <f>VLOOKUP($I$1&amp;R$8,DATA!$A:$EB,'2403'!$A103,0)/100</f>
        <v>#N/A</v>
      </c>
      <c r="S103" s="95" t="e">
        <f>VLOOKUP($I$1&amp;S$8,DATA!$A:$EB,'2403'!$A103,0)/100</f>
        <v>#N/A</v>
      </c>
      <c r="T103" s="95" t="e">
        <f>VLOOKUP($I$1&amp;T$8,DATA!$A:$EB,'2403'!$A103,0)/100</f>
        <v>#N/A</v>
      </c>
      <c r="U103" s="42"/>
    </row>
    <row r="104" spans="1:21" ht="16.5">
      <c r="C104" s="55"/>
      <c r="D104" s="138"/>
      <c r="E104" s="54"/>
      <c r="F104" s="54"/>
      <c r="G104" s="54"/>
      <c r="H104" s="54"/>
      <c r="I104" s="86" t="e">
        <f>I89-SUM(I96:I99)</f>
        <v>#N/A</v>
      </c>
      <c r="J104" s="86" t="e">
        <f t="shared" ref="J104:T104" si="18">J89-SUM(J96:J99)</f>
        <v>#N/A</v>
      </c>
      <c r="K104" s="86" t="e">
        <f t="shared" si="18"/>
        <v>#N/A</v>
      </c>
      <c r="L104" s="86" t="e">
        <f t="shared" si="18"/>
        <v>#N/A</v>
      </c>
      <c r="M104" s="86" t="e">
        <f t="shared" si="18"/>
        <v>#N/A</v>
      </c>
      <c r="N104" s="86" t="e">
        <f t="shared" si="18"/>
        <v>#N/A</v>
      </c>
      <c r="O104" s="86" t="e">
        <f t="shared" si="18"/>
        <v>#N/A</v>
      </c>
      <c r="P104" s="86" t="e">
        <f t="shared" si="18"/>
        <v>#N/A</v>
      </c>
      <c r="Q104" s="86" t="e">
        <f t="shared" si="18"/>
        <v>#N/A</v>
      </c>
      <c r="R104" s="86" t="e">
        <f t="shared" si="18"/>
        <v>#N/A</v>
      </c>
      <c r="S104" s="86" t="e">
        <f t="shared" si="18"/>
        <v>#N/A</v>
      </c>
      <c r="T104" s="86" t="e">
        <f t="shared" si="18"/>
        <v>#N/A</v>
      </c>
      <c r="U104" s="42"/>
    </row>
    <row r="105" spans="1:21" ht="16.5">
      <c r="A105" s="5">
        <f>DATA!BZ1</f>
        <v>78</v>
      </c>
      <c r="C105" s="55"/>
      <c r="D105" s="138"/>
      <c r="E105" s="54" t="s">
        <v>886</v>
      </c>
      <c r="F105" s="54"/>
      <c r="G105" s="54"/>
      <c r="H105" s="54"/>
      <c r="I105" s="136" t="e">
        <f>VLOOKUP($I$1&amp;I$8,DATA!$A:$EB,'2403'!$A105,0)/100</f>
        <v>#N/A</v>
      </c>
      <c r="J105" s="136" t="e">
        <f>VLOOKUP($I$1&amp;J$8,DATA!$A:$EB,'2403'!$A105,0)/100</f>
        <v>#N/A</v>
      </c>
      <c r="K105" s="137" t="e">
        <f>VLOOKUP($I$1&amp;K$8,DATA!$A:$EB,'2403'!$A105,0)/100</f>
        <v>#N/A</v>
      </c>
      <c r="L105" s="137" t="e">
        <f>VLOOKUP($I$1&amp;L$8,DATA!$A:$EB,'2403'!$A105,0)/100</f>
        <v>#N/A</v>
      </c>
      <c r="M105" s="137" t="e">
        <f>VLOOKUP($I$1&amp;M$8,DATA!$A:$EB,'2403'!$A105,0)/100</f>
        <v>#N/A</v>
      </c>
      <c r="N105" s="137" t="e">
        <f>VLOOKUP($I$1&amp;N$8,DATA!$A:$EB,'2403'!$A105,0)/100</f>
        <v>#N/A</v>
      </c>
      <c r="O105" s="137" t="e">
        <f>VLOOKUP($I$1&amp;O$8,DATA!$A:$EB,'2403'!$A105,0)/100</f>
        <v>#N/A</v>
      </c>
      <c r="P105" s="137" t="e">
        <f>VLOOKUP($I$1&amp;P$8,DATA!$A:$EB,'2403'!$A105,0)/100</f>
        <v>#N/A</v>
      </c>
      <c r="Q105" s="137" t="e">
        <f>VLOOKUP($I$1&amp;Q$8,DATA!$A:$EB,'2403'!$A105,0)/100</f>
        <v>#N/A</v>
      </c>
      <c r="R105" s="137" t="e">
        <f>VLOOKUP($I$1&amp;R$8,DATA!$A:$EB,'2403'!$A105,0)/100</f>
        <v>#N/A</v>
      </c>
      <c r="S105" s="137" t="e">
        <f>VLOOKUP($I$1&amp;S$8,DATA!$A:$EB,'2403'!$A105,0)/100</f>
        <v>#N/A</v>
      </c>
      <c r="T105" s="137" t="e">
        <f>VLOOKUP($I$1&amp;T$8,DATA!$A:$EB,'2403'!$A105,0)/100</f>
        <v>#N/A</v>
      </c>
      <c r="U105" s="42"/>
    </row>
    <row r="106" spans="1:21" ht="16.5">
      <c r="C106" s="55"/>
      <c r="D106" s="138"/>
      <c r="E106" s="54"/>
      <c r="F106" s="54"/>
      <c r="G106" s="54"/>
      <c r="H106" s="54"/>
      <c r="I106" s="135" t="e">
        <f>I105/I89</f>
        <v>#N/A</v>
      </c>
      <c r="J106" s="135" t="e">
        <f t="shared" ref="J106:T106" si="19">J105/J89</f>
        <v>#N/A</v>
      </c>
      <c r="K106" s="135" t="e">
        <f t="shared" si="19"/>
        <v>#N/A</v>
      </c>
      <c r="L106" s="135" t="e">
        <f t="shared" si="19"/>
        <v>#N/A</v>
      </c>
      <c r="M106" s="135" t="e">
        <f t="shared" si="19"/>
        <v>#N/A</v>
      </c>
      <c r="N106" s="135" t="e">
        <f t="shared" si="19"/>
        <v>#N/A</v>
      </c>
      <c r="O106" s="135" t="e">
        <f t="shared" si="19"/>
        <v>#N/A</v>
      </c>
      <c r="P106" s="135" t="e">
        <f t="shared" si="19"/>
        <v>#N/A</v>
      </c>
      <c r="Q106" s="135" t="e">
        <f t="shared" si="19"/>
        <v>#N/A</v>
      </c>
      <c r="R106" s="135" t="e">
        <f t="shared" si="19"/>
        <v>#N/A</v>
      </c>
      <c r="S106" s="135" t="e">
        <f t="shared" si="19"/>
        <v>#N/A</v>
      </c>
      <c r="T106" s="135" t="e">
        <f t="shared" si="19"/>
        <v>#N/A</v>
      </c>
      <c r="U106" s="42"/>
    </row>
    <row r="107" spans="1:21" ht="16.5">
      <c r="C107" s="41" t="s">
        <v>153</v>
      </c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</row>
    <row r="108" spans="1:21" ht="16.5"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2"/>
      <c r="P108" s="43"/>
      <c r="Q108" s="43"/>
      <c r="R108" s="42"/>
      <c r="S108" s="42"/>
      <c r="T108" s="42"/>
      <c r="U108" s="42"/>
    </row>
    <row r="109" spans="1:21" ht="16.5">
      <c r="C109" s="729" t="s">
        <v>105</v>
      </c>
      <c r="D109" s="729"/>
      <c r="E109" s="729"/>
      <c r="F109" s="729"/>
      <c r="G109" s="729"/>
      <c r="H109" s="730"/>
      <c r="I109" s="45" t="s">
        <v>124</v>
      </c>
      <c r="J109" s="45" t="s">
        <v>136</v>
      </c>
      <c r="K109" s="45" t="s">
        <v>137</v>
      </c>
      <c r="L109" s="45" t="s">
        <v>138</v>
      </c>
      <c r="M109" s="45" t="s">
        <v>4</v>
      </c>
      <c r="N109" s="45" t="s">
        <v>139</v>
      </c>
      <c r="O109" s="46" t="s">
        <v>6</v>
      </c>
      <c r="P109" s="46" t="s">
        <v>106</v>
      </c>
      <c r="Q109" s="46" t="s">
        <v>107</v>
      </c>
      <c r="R109" s="46" t="s">
        <v>108</v>
      </c>
      <c r="S109" s="46" t="s">
        <v>109</v>
      </c>
      <c r="T109" s="46" t="s">
        <v>110</v>
      </c>
      <c r="U109" s="42"/>
    </row>
    <row r="110" spans="1:21" ht="16.5">
      <c r="C110" s="748" t="s">
        <v>131</v>
      </c>
      <c r="D110" s="748"/>
      <c r="E110" s="748"/>
      <c r="F110" s="748"/>
      <c r="G110" s="748"/>
      <c r="H110" s="749"/>
      <c r="I110" s="87" t="e">
        <f>I74/AVERAGE(I120,I121)*(4/$J$1)</f>
        <v>#N/A</v>
      </c>
      <c r="J110" s="87" t="e">
        <f t="shared" ref="J110:T110" si="20">J74/AVERAGE(J120,J121)*(4/$J$1)</f>
        <v>#N/A</v>
      </c>
      <c r="K110" s="87" t="e">
        <f t="shared" si="20"/>
        <v>#N/A</v>
      </c>
      <c r="L110" s="87" t="e">
        <f t="shared" si="20"/>
        <v>#N/A</v>
      </c>
      <c r="M110" s="87" t="e">
        <f t="shared" si="20"/>
        <v>#N/A</v>
      </c>
      <c r="N110" s="87" t="e">
        <f t="shared" si="20"/>
        <v>#N/A</v>
      </c>
      <c r="O110" s="88" t="e">
        <f t="shared" si="20"/>
        <v>#N/A</v>
      </c>
      <c r="P110" s="88" t="e">
        <f t="shared" si="20"/>
        <v>#N/A</v>
      </c>
      <c r="Q110" s="88" t="e">
        <f t="shared" si="20"/>
        <v>#N/A</v>
      </c>
      <c r="R110" s="88" t="e">
        <f t="shared" si="20"/>
        <v>#N/A</v>
      </c>
      <c r="S110" s="88" t="e">
        <f t="shared" si="20"/>
        <v>#N/A</v>
      </c>
      <c r="T110" s="88" t="e">
        <f t="shared" si="20"/>
        <v>#N/A</v>
      </c>
      <c r="U110" s="42"/>
    </row>
    <row r="111" spans="1:21" ht="16.5">
      <c r="C111" s="789" t="s">
        <v>154</v>
      </c>
      <c r="D111" s="789"/>
      <c r="E111" s="789"/>
      <c r="F111" s="789"/>
      <c r="G111" s="789"/>
      <c r="H111" s="790"/>
      <c r="I111" s="89" t="e">
        <f>+I92/(I52*150%)*(4/$J$1)</f>
        <v>#N/A</v>
      </c>
      <c r="J111" s="89" t="e">
        <f t="shared" ref="J111:T111" si="21">+J92/(J52*150%)*(4/$J$1)</f>
        <v>#N/A</v>
      </c>
      <c r="K111" s="89" t="e">
        <f t="shared" si="21"/>
        <v>#N/A</v>
      </c>
      <c r="L111" s="89" t="e">
        <f t="shared" si="21"/>
        <v>#N/A</v>
      </c>
      <c r="M111" s="89" t="e">
        <f t="shared" si="21"/>
        <v>#N/A</v>
      </c>
      <c r="N111" s="89" t="e">
        <f t="shared" si="21"/>
        <v>#N/A</v>
      </c>
      <c r="O111" s="71" t="e">
        <f t="shared" si="21"/>
        <v>#N/A</v>
      </c>
      <c r="P111" s="71" t="e">
        <f t="shared" si="21"/>
        <v>#N/A</v>
      </c>
      <c r="Q111" s="71" t="e">
        <f t="shared" si="21"/>
        <v>#N/A</v>
      </c>
      <c r="R111" s="71" t="e">
        <f t="shared" si="21"/>
        <v>#N/A</v>
      </c>
      <c r="S111" s="71" t="e">
        <f t="shared" si="21"/>
        <v>#N/A</v>
      </c>
      <c r="T111" s="71" t="e">
        <f t="shared" si="21"/>
        <v>#N/A</v>
      </c>
      <c r="U111" s="42"/>
    </row>
    <row r="112" spans="1:21" ht="16.5">
      <c r="C112" s="791" t="s">
        <v>53</v>
      </c>
      <c r="D112" s="791"/>
      <c r="E112" s="793" t="s">
        <v>155</v>
      </c>
      <c r="F112" s="794"/>
      <c r="G112" s="794"/>
      <c r="H112" s="795"/>
      <c r="I112" s="90" t="e">
        <f>I89/I121</f>
        <v>#N/A</v>
      </c>
      <c r="J112" s="90" t="e">
        <f t="shared" ref="J112:T112" si="22">J89/J121</f>
        <v>#N/A</v>
      </c>
      <c r="K112" s="90" t="e">
        <f t="shared" si="22"/>
        <v>#N/A</v>
      </c>
      <c r="L112" s="90" t="e">
        <f t="shared" si="22"/>
        <v>#N/A</v>
      </c>
      <c r="M112" s="90" t="e">
        <f t="shared" si="22"/>
        <v>#N/A</v>
      </c>
      <c r="N112" s="90" t="e">
        <f t="shared" si="22"/>
        <v>#N/A</v>
      </c>
      <c r="O112" s="90" t="e">
        <f t="shared" si="22"/>
        <v>#N/A</v>
      </c>
      <c r="P112" s="90" t="e">
        <f t="shared" si="22"/>
        <v>#N/A</v>
      </c>
      <c r="Q112" s="90" t="e">
        <f t="shared" si="22"/>
        <v>#N/A</v>
      </c>
      <c r="R112" s="90" t="e">
        <f t="shared" si="22"/>
        <v>#N/A</v>
      </c>
      <c r="S112" s="90" t="e">
        <f t="shared" si="22"/>
        <v>#N/A</v>
      </c>
      <c r="T112" s="90" t="e">
        <f t="shared" si="22"/>
        <v>#N/A</v>
      </c>
      <c r="U112" s="42"/>
    </row>
    <row r="113" spans="1:21" ht="16.5">
      <c r="C113" s="792"/>
      <c r="D113" s="792"/>
      <c r="E113" s="796" t="s">
        <v>156</v>
      </c>
      <c r="F113" s="797"/>
      <c r="G113" s="797"/>
      <c r="H113" s="798"/>
      <c r="I113" s="91" t="e">
        <f>I89/(I52*150%)</f>
        <v>#N/A</v>
      </c>
      <c r="J113" s="91" t="e">
        <f t="shared" ref="J113:T113" si="23">J89/(J52*150%)</f>
        <v>#N/A</v>
      </c>
      <c r="K113" s="91" t="e">
        <f t="shared" si="23"/>
        <v>#N/A</v>
      </c>
      <c r="L113" s="91" t="e">
        <f t="shared" si="23"/>
        <v>#N/A</v>
      </c>
      <c r="M113" s="91" t="e">
        <f t="shared" si="23"/>
        <v>#N/A</v>
      </c>
      <c r="N113" s="91" t="e">
        <f t="shared" si="23"/>
        <v>#N/A</v>
      </c>
      <c r="O113" s="91" t="e">
        <f t="shared" si="23"/>
        <v>#N/A</v>
      </c>
      <c r="P113" s="91" t="e">
        <f t="shared" si="23"/>
        <v>#N/A</v>
      </c>
      <c r="Q113" s="91" t="e">
        <f t="shared" si="23"/>
        <v>#N/A</v>
      </c>
      <c r="R113" s="91" t="e">
        <f t="shared" si="23"/>
        <v>#N/A</v>
      </c>
      <c r="S113" s="91" t="e">
        <f t="shared" si="23"/>
        <v>#N/A</v>
      </c>
      <c r="T113" s="91" t="e">
        <f t="shared" si="23"/>
        <v>#N/A</v>
      </c>
      <c r="U113" s="42"/>
    </row>
    <row r="114" spans="1:21" ht="16.5">
      <c r="C114" s="142"/>
      <c r="D114" s="142"/>
      <c r="E114" s="799" t="s">
        <v>157</v>
      </c>
      <c r="F114" s="800"/>
      <c r="G114" s="800"/>
      <c r="H114" s="801"/>
      <c r="I114" s="93" t="e">
        <f>I89/(I52*180%)</f>
        <v>#N/A</v>
      </c>
      <c r="J114" s="93" t="e">
        <f t="shared" ref="J114:T114" si="24">J89/(J52*180%)</f>
        <v>#N/A</v>
      </c>
      <c r="K114" s="93" t="e">
        <f t="shared" si="24"/>
        <v>#N/A</v>
      </c>
      <c r="L114" s="93" t="e">
        <f t="shared" si="24"/>
        <v>#N/A</v>
      </c>
      <c r="M114" s="93" t="e">
        <f t="shared" si="24"/>
        <v>#N/A</v>
      </c>
      <c r="N114" s="93" t="e">
        <f t="shared" si="24"/>
        <v>#N/A</v>
      </c>
      <c r="O114" s="93" t="e">
        <f t="shared" si="24"/>
        <v>#N/A</v>
      </c>
      <c r="P114" s="93" t="e">
        <f t="shared" si="24"/>
        <v>#N/A</v>
      </c>
      <c r="Q114" s="93" t="e">
        <f t="shared" si="24"/>
        <v>#N/A</v>
      </c>
      <c r="R114" s="93" t="e">
        <f t="shared" si="24"/>
        <v>#N/A</v>
      </c>
      <c r="S114" s="93" t="e">
        <f t="shared" si="24"/>
        <v>#N/A</v>
      </c>
      <c r="T114" s="93" t="e">
        <f t="shared" si="24"/>
        <v>#N/A</v>
      </c>
      <c r="U114" s="42"/>
    </row>
    <row r="115" spans="1:21" ht="16.5">
      <c r="C115" s="786" t="s">
        <v>158</v>
      </c>
      <c r="D115" s="802"/>
      <c r="E115" s="805" t="s">
        <v>159</v>
      </c>
      <c r="F115" s="806"/>
      <c r="G115" s="806"/>
      <c r="H115" s="807"/>
      <c r="I115" s="90" t="e">
        <f>I93/I121*(4/$J$1)</f>
        <v>#N/A</v>
      </c>
      <c r="J115" s="90" t="e">
        <f t="shared" ref="J115:T115" si="25">J93/J121*(4/$J$1)</f>
        <v>#N/A</v>
      </c>
      <c r="K115" s="90" t="e">
        <f t="shared" si="25"/>
        <v>#N/A</v>
      </c>
      <c r="L115" s="90" t="e">
        <f t="shared" si="25"/>
        <v>#N/A</v>
      </c>
      <c r="M115" s="90" t="e">
        <f t="shared" si="25"/>
        <v>#N/A</v>
      </c>
      <c r="N115" s="90" t="e">
        <f t="shared" si="25"/>
        <v>#N/A</v>
      </c>
      <c r="O115" s="90" t="e">
        <f t="shared" si="25"/>
        <v>#N/A</v>
      </c>
      <c r="P115" s="90" t="e">
        <f t="shared" si="25"/>
        <v>#N/A</v>
      </c>
      <c r="Q115" s="90" t="e">
        <f t="shared" si="25"/>
        <v>#N/A</v>
      </c>
      <c r="R115" s="90" t="e">
        <f t="shared" si="25"/>
        <v>#N/A</v>
      </c>
      <c r="S115" s="90" t="e">
        <f t="shared" si="25"/>
        <v>#N/A</v>
      </c>
      <c r="T115" s="90" t="e">
        <f t="shared" si="25"/>
        <v>#N/A</v>
      </c>
      <c r="U115" s="42"/>
    </row>
    <row r="116" spans="1:21" ht="16.5">
      <c r="C116" s="768"/>
      <c r="D116" s="803"/>
      <c r="E116" s="796" t="s">
        <v>156</v>
      </c>
      <c r="F116" s="797"/>
      <c r="G116" s="797"/>
      <c r="H116" s="798"/>
      <c r="I116" s="91" t="e">
        <f>I93/(I52*150%)*(4/$J$1)</f>
        <v>#N/A</v>
      </c>
      <c r="J116" s="91" t="e">
        <f t="shared" ref="J116:T116" si="26">J93/(J52*150%)*(4/$J$1)</f>
        <v>#N/A</v>
      </c>
      <c r="K116" s="91" t="e">
        <f t="shared" si="26"/>
        <v>#N/A</v>
      </c>
      <c r="L116" s="91" t="e">
        <f t="shared" si="26"/>
        <v>#N/A</v>
      </c>
      <c r="M116" s="91" t="e">
        <f t="shared" si="26"/>
        <v>#N/A</v>
      </c>
      <c r="N116" s="91" t="e">
        <f t="shared" si="26"/>
        <v>#N/A</v>
      </c>
      <c r="O116" s="91" t="e">
        <f t="shared" si="26"/>
        <v>#N/A</v>
      </c>
      <c r="P116" s="91" t="e">
        <f t="shared" si="26"/>
        <v>#N/A</v>
      </c>
      <c r="Q116" s="91" t="e">
        <f t="shared" si="26"/>
        <v>#N/A</v>
      </c>
      <c r="R116" s="91" t="e">
        <f t="shared" si="26"/>
        <v>#N/A</v>
      </c>
      <c r="S116" s="91" t="e">
        <f t="shared" si="26"/>
        <v>#N/A</v>
      </c>
      <c r="T116" s="91" t="e">
        <f t="shared" si="26"/>
        <v>#N/A</v>
      </c>
      <c r="U116" s="42"/>
    </row>
    <row r="117" spans="1:21" ht="16.5">
      <c r="C117" s="769"/>
      <c r="D117" s="804"/>
      <c r="E117" s="726" t="s">
        <v>157</v>
      </c>
      <c r="F117" s="727"/>
      <c r="G117" s="727"/>
      <c r="H117" s="728"/>
      <c r="I117" s="93" t="e">
        <f>I93/(I52*180%)*(4/$J$1)</f>
        <v>#N/A</v>
      </c>
      <c r="J117" s="93" t="e">
        <f t="shared" ref="J117:T117" si="27">J93/(J52*180%)*(4/$J$1)</f>
        <v>#N/A</v>
      </c>
      <c r="K117" s="93" t="e">
        <f t="shared" si="27"/>
        <v>#N/A</v>
      </c>
      <c r="L117" s="93" t="e">
        <f t="shared" si="27"/>
        <v>#N/A</v>
      </c>
      <c r="M117" s="93" t="e">
        <f t="shared" si="27"/>
        <v>#N/A</v>
      </c>
      <c r="N117" s="93" t="e">
        <f t="shared" si="27"/>
        <v>#N/A</v>
      </c>
      <c r="O117" s="93" t="e">
        <f t="shared" si="27"/>
        <v>#N/A</v>
      </c>
      <c r="P117" s="93" t="e">
        <f t="shared" si="27"/>
        <v>#N/A</v>
      </c>
      <c r="Q117" s="93" t="e">
        <f t="shared" si="27"/>
        <v>#N/A</v>
      </c>
      <c r="R117" s="93" t="e">
        <f t="shared" si="27"/>
        <v>#N/A</v>
      </c>
      <c r="S117" s="93" t="e">
        <f t="shared" si="27"/>
        <v>#N/A</v>
      </c>
      <c r="T117" s="93" t="e">
        <f t="shared" si="27"/>
        <v>#N/A</v>
      </c>
      <c r="U117" s="42"/>
    </row>
    <row r="118" spans="1:21" ht="16.5">
      <c r="C118" s="83" t="s">
        <v>160</v>
      </c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</row>
    <row r="119" spans="1:21" ht="16.5"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</row>
    <row r="120" spans="1:21" ht="16.5">
      <c r="A120" s="5">
        <f>DATA!T1</f>
        <v>20</v>
      </c>
      <c r="C120" s="42"/>
      <c r="D120" s="42"/>
      <c r="E120" s="5" t="s">
        <v>132</v>
      </c>
      <c r="F120" s="42"/>
      <c r="G120" s="42"/>
      <c r="H120" s="42"/>
      <c r="I120" s="1" t="e">
        <f>VLOOKUP($I$1&amp;I$8,DATA!$A:$EB,'2403'!$A120,0)/100</f>
        <v>#N/A</v>
      </c>
      <c r="J120" s="1" t="e">
        <f>VLOOKUP($I$1&amp;J$8,DATA!$A:$EB,'2403'!$A120,0)/100</f>
        <v>#N/A</v>
      </c>
      <c r="K120" s="95" t="e">
        <f>VLOOKUP($I$1&amp;K$8,DATA!$A:$EB,'2403'!$A120,0)/100</f>
        <v>#N/A</v>
      </c>
      <c r="L120" s="95" t="e">
        <f>VLOOKUP($I$1&amp;L$8,DATA!$A:$EB,'2403'!$A120,0)/100</f>
        <v>#N/A</v>
      </c>
      <c r="M120" s="95" t="e">
        <f>VLOOKUP($I$1&amp;M$8,DATA!$A:$EB,'2403'!$A120,0)/100</f>
        <v>#N/A</v>
      </c>
      <c r="N120" s="95" t="e">
        <f>VLOOKUP($I$1&amp;N$8,DATA!$A:$EB,'2403'!$A120,0)/100</f>
        <v>#N/A</v>
      </c>
      <c r="O120" s="95" t="e">
        <f>VLOOKUP($I$1&amp;O$8,DATA!$A:$EB,'2403'!$A120,0)/100</f>
        <v>#N/A</v>
      </c>
      <c r="P120" s="95" t="e">
        <f>VLOOKUP($I$1&amp;P$8,DATA!$A:$EB,'2403'!$A120,0)/100</f>
        <v>#N/A</v>
      </c>
      <c r="Q120" s="95" t="e">
        <f>VLOOKUP($I$1&amp;Q$8,DATA!$A:$EB,'2403'!$A120,0)/100</f>
        <v>#N/A</v>
      </c>
      <c r="R120" s="95" t="e">
        <f>VLOOKUP($I$1&amp;R$8,DATA!$A:$EB,'2403'!$A120,0)/100</f>
        <v>#N/A</v>
      </c>
      <c r="S120" s="95" t="e">
        <f>VLOOKUP($I$1&amp;S$8,DATA!$A:$EB,'2403'!$A120,0)/100</f>
        <v>#N/A</v>
      </c>
      <c r="T120" s="95" t="e">
        <f>VLOOKUP($I$1&amp;T$8,DATA!$A:$EB,'2403'!$A120,0)/100</f>
        <v>#N/A</v>
      </c>
      <c r="U120" s="42"/>
    </row>
    <row r="121" spans="1:21" ht="16.5">
      <c r="A121" s="5">
        <f>DATA!N1</f>
        <v>14</v>
      </c>
      <c r="C121"/>
      <c r="D121"/>
      <c r="E121" s="5" t="s">
        <v>133</v>
      </c>
      <c r="F121"/>
      <c r="G121"/>
      <c r="H121"/>
      <c r="I121" s="1" t="e">
        <f>VLOOKUP($I$1&amp;I$8,DATA!$A:$EB,'2403'!$A121,0)/100</f>
        <v>#N/A</v>
      </c>
      <c r="J121" s="1" t="e">
        <f>VLOOKUP($I$1&amp;J$8,DATA!$A:$EB,'2403'!$A121,0)/100</f>
        <v>#N/A</v>
      </c>
      <c r="K121" s="95" t="e">
        <f>VLOOKUP($I$1&amp;K$8,DATA!$A:$EB,'2403'!$A121,0)/100</f>
        <v>#N/A</v>
      </c>
      <c r="L121" s="95" t="e">
        <f>VLOOKUP($I$1&amp;L$8,DATA!$A:$EB,'2403'!$A121,0)/100</f>
        <v>#N/A</v>
      </c>
      <c r="M121" s="95" t="e">
        <f>VLOOKUP($I$1&amp;M$8,DATA!$A:$EB,'2403'!$A121,0)/100</f>
        <v>#N/A</v>
      </c>
      <c r="N121" s="95" t="e">
        <f>VLOOKUP($I$1&amp;N$8,DATA!$A:$EB,'2403'!$A121,0)/100</f>
        <v>#N/A</v>
      </c>
      <c r="O121" s="95" t="e">
        <f>VLOOKUP($I$1&amp;O$8,DATA!$A:$EB,'2403'!$A121,0)/100</f>
        <v>#N/A</v>
      </c>
      <c r="P121" s="95" t="e">
        <f>VLOOKUP($I$1&amp;P$8,DATA!$A:$EB,'2403'!$A121,0)/100</f>
        <v>#N/A</v>
      </c>
      <c r="Q121" s="95" t="e">
        <f>VLOOKUP($I$1&amp;Q$8,DATA!$A:$EB,'2403'!$A121,0)/100</f>
        <v>#N/A</v>
      </c>
      <c r="R121" s="95" t="e">
        <f>VLOOKUP($I$1&amp;R$8,DATA!$A:$EB,'2403'!$A121,0)/100</f>
        <v>#N/A</v>
      </c>
      <c r="S121" s="95" t="e">
        <f>VLOOKUP($I$1&amp;S$8,DATA!$A:$EB,'2403'!$A121,0)/100</f>
        <v>#N/A</v>
      </c>
      <c r="T121" s="95" t="e">
        <f>VLOOKUP($I$1&amp;T$8,DATA!$A:$EB,'2403'!$A121,0)/100</f>
        <v>#N/A</v>
      </c>
      <c r="U121"/>
    </row>
    <row r="122" spans="1:21" ht="16.5"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</row>
    <row r="123" spans="1:21" ht="16.5">
      <c r="C123"/>
      <c r="D123"/>
      <c r="E123"/>
      <c r="F123"/>
      <c r="G123"/>
      <c r="H123"/>
      <c r="I123"/>
      <c r="J123"/>
      <c r="K123"/>
      <c r="L123"/>
      <c r="M123"/>
      <c r="N123"/>
      <c r="O123" s="94"/>
      <c r="P123"/>
      <c r="Q123"/>
      <c r="R123"/>
      <c r="S123"/>
      <c r="T123" s="94"/>
      <c r="U123"/>
    </row>
  </sheetData>
  <mergeCells count="59">
    <mergeCell ref="C19:H19"/>
    <mergeCell ref="C8:H8"/>
    <mergeCell ref="C9:H9"/>
    <mergeCell ref="C10:H10"/>
    <mergeCell ref="C11:H11"/>
    <mergeCell ref="C12:H12"/>
    <mergeCell ref="C13:H13"/>
    <mergeCell ref="C14:H14"/>
    <mergeCell ref="C15:H15"/>
    <mergeCell ref="C16:H16"/>
    <mergeCell ref="C17:H17"/>
    <mergeCell ref="C18:H18"/>
    <mergeCell ref="C66:H66"/>
    <mergeCell ref="C20:H20"/>
    <mergeCell ref="C21:H21"/>
    <mergeCell ref="C49:H49"/>
    <mergeCell ref="C50:H50"/>
    <mergeCell ref="C51:H51"/>
    <mergeCell ref="C52:H52"/>
    <mergeCell ref="C57:H57"/>
    <mergeCell ref="C58:H58"/>
    <mergeCell ref="C59:H59"/>
    <mergeCell ref="C60:H60"/>
    <mergeCell ref="C65:H65"/>
    <mergeCell ref="C90:H90"/>
    <mergeCell ref="D67:H67"/>
    <mergeCell ref="D68:E69"/>
    <mergeCell ref="F68:H68"/>
    <mergeCell ref="F69:H69"/>
    <mergeCell ref="C70:H70"/>
    <mergeCell ref="C71:H71"/>
    <mergeCell ref="C72:H72"/>
    <mergeCell ref="C73:H73"/>
    <mergeCell ref="C74:H74"/>
    <mergeCell ref="C88:H88"/>
    <mergeCell ref="C89:H89"/>
    <mergeCell ref="C111:H111"/>
    <mergeCell ref="C91:H91"/>
    <mergeCell ref="C92:H92"/>
    <mergeCell ref="C93:H93"/>
    <mergeCell ref="C94:H94"/>
    <mergeCell ref="C95:H95"/>
    <mergeCell ref="C96:E99"/>
    <mergeCell ref="F96:H96"/>
    <mergeCell ref="F97:H97"/>
    <mergeCell ref="F98:H98"/>
    <mergeCell ref="J98:J99"/>
    <mergeCell ref="P98:P99"/>
    <mergeCell ref="F99:H99"/>
    <mergeCell ref="C109:H109"/>
    <mergeCell ref="C110:H110"/>
    <mergeCell ref="C112:D113"/>
    <mergeCell ref="E112:H112"/>
    <mergeCell ref="E113:H113"/>
    <mergeCell ref="E114:H114"/>
    <mergeCell ref="C115:D117"/>
    <mergeCell ref="E115:H115"/>
    <mergeCell ref="E116:H116"/>
    <mergeCell ref="E117:H117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08"/>
  <sheetViews>
    <sheetView showGridLines="0" zoomScaleNormal="100" workbookViewId="0">
      <pane xSplit="2" ySplit="1" topLeftCell="T2" activePane="bottomRight" state="frozen"/>
      <selection pane="topRight" activeCell="C1" sqref="C1"/>
      <selection pane="bottomLeft" activeCell="A2" sqref="A2"/>
      <selection pane="bottomRight" activeCell="Z26" sqref="Z26"/>
    </sheetView>
  </sheetViews>
  <sheetFormatPr defaultRowHeight="16.5"/>
  <cols>
    <col min="2" max="2" width="40" style="155" bestFit="1" customWidth="1"/>
    <col min="3" max="3" width="7" style="155" bestFit="1" customWidth="1"/>
    <col min="4" max="6" width="17.125" style="155" bestFit="1" customWidth="1"/>
    <col min="7" max="7" width="14.625" style="155" bestFit="1" customWidth="1"/>
    <col min="8" max="8" width="17.125" style="155" bestFit="1" customWidth="1"/>
    <col min="9" max="9" width="16.125" style="155" bestFit="1" customWidth="1"/>
    <col min="10" max="11" width="13.625" style="155" bestFit="1" customWidth="1"/>
    <col min="12" max="12" width="16.125" style="155" bestFit="1" customWidth="1"/>
    <col min="13" max="13" width="17.125" style="155" bestFit="1" customWidth="1"/>
    <col min="14" max="17" width="18.625" style="96" customWidth="1"/>
    <col min="18" max="18" width="9" style="96"/>
    <col min="19" max="19" width="17.75" bestFit="1" customWidth="1"/>
    <col min="22" max="22" width="6.25" bestFit="1" customWidth="1"/>
    <col min="23" max="23" width="13" bestFit="1" customWidth="1"/>
    <col min="24" max="24" width="19.375" customWidth="1"/>
    <col min="25" max="25" width="13.625" customWidth="1"/>
    <col min="26" max="27" width="17.625" customWidth="1"/>
    <col min="28" max="28" width="19.375" bestFit="1" customWidth="1"/>
    <col min="29" max="29" width="15.125" bestFit="1" customWidth="1"/>
    <col min="34" max="34" width="44.375" style="97" customWidth="1"/>
    <col min="35" max="35" width="19" style="97" customWidth="1"/>
    <col min="38" max="38" width="51.75" bestFit="1" customWidth="1"/>
  </cols>
  <sheetData>
    <row r="1" spans="1:35">
      <c r="A1" t="s">
        <v>162</v>
      </c>
      <c r="B1" s="154" t="s">
        <v>163</v>
      </c>
      <c r="C1" s="154" t="s">
        <v>164</v>
      </c>
      <c r="D1" s="453" t="s">
        <v>913</v>
      </c>
      <c r="E1" s="453" t="s">
        <v>914</v>
      </c>
      <c r="F1" s="453" t="s">
        <v>915</v>
      </c>
      <c r="G1" s="453" t="s">
        <v>916</v>
      </c>
      <c r="H1" s="454" t="s">
        <v>917</v>
      </c>
      <c r="I1" s="453" t="s">
        <v>918</v>
      </c>
      <c r="J1" s="453" t="s">
        <v>919</v>
      </c>
      <c r="K1" s="453" t="s">
        <v>920</v>
      </c>
      <c r="L1" s="453" t="s">
        <v>921</v>
      </c>
      <c r="M1" s="453" t="s">
        <v>922</v>
      </c>
      <c r="N1" s="96" t="s">
        <v>165</v>
      </c>
      <c r="O1" s="96" t="s">
        <v>166</v>
      </c>
      <c r="P1" s="96" t="s">
        <v>167</v>
      </c>
      <c r="Q1" s="96" t="s">
        <v>168</v>
      </c>
      <c r="R1" s="96" t="s">
        <v>105</v>
      </c>
      <c r="AH1" s="97" t="s">
        <v>169</v>
      </c>
    </row>
    <row r="2" spans="1:35">
      <c r="A2">
        <v>1</v>
      </c>
      <c r="B2" s="155" t="s">
        <v>170</v>
      </c>
      <c r="C2" s="155" t="s">
        <v>923</v>
      </c>
      <c r="D2" s="156">
        <v>32855181935106</v>
      </c>
      <c r="E2" s="156">
        <v>13679774848594</v>
      </c>
      <c r="F2" s="156">
        <v>13323148118922</v>
      </c>
      <c r="G2" s="156">
        <v>356626729672</v>
      </c>
      <c r="H2" s="455">
        <v>32855181935106</v>
      </c>
      <c r="I2" s="156">
        <v>1505771962170</v>
      </c>
      <c r="J2" s="156">
        <v>34862287173</v>
      </c>
      <c r="K2" s="156">
        <v>17246396780</v>
      </c>
      <c r="L2" s="156">
        <v>1858720460727</v>
      </c>
      <c r="M2" s="156">
        <v>29438580828256</v>
      </c>
      <c r="N2" s="99">
        <f>+M2+I2+J2</f>
        <v>30979215077599</v>
      </c>
      <c r="O2" s="99">
        <f>+F2</f>
        <v>13323148118922</v>
      </c>
      <c r="P2" s="99">
        <f>+K2+L2</f>
        <v>1875966857507</v>
      </c>
      <c r="Q2" s="99">
        <f t="shared" ref="Q2:Q65" si="0">+G2</f>
        <v>356626729672</v>
      </c>
      <c r="R2" s="96" t="s">
        <v>13</v>
      </c>
      <c r="S2" s="98">
        <f>+SUM(N2:Q2)-H2</f>
        <v>13679774848594</v>
      </c>
      <c r="AH2" s="100" t="s">
        <v>163</v>
      </c>
      <c r="AI2" s="101" t="s">
        <v>171</v>
      </c>
    </row>
    <row r="3" spans="1:35">
      <c r="A3">
        <v>2</v>
      </c>
      <c r="B3" s="155" t="s">
        <v>172</v>
      </c>
      <c r="C3" s="155" t="s">
        <v>923</v>
      </c>
      <c r="D3" s="157">
        <v>0</v>
      </c>
      <c r="E3" s="157">
        <v>0</v>
      </c>
      <c r="F3" s="157">
        <v>0</v>
      </c>
      <c r="G3" s="157">
        <v>0</v>
      </c>
      <c r="H3" s="456">
        <v>0</v>
      </c>
      <c r="I3" s="157">
        <v>0</v>
      </c>
      <c r="J3" s="157">
        <v>0</v>
      </c>
      <c r="K3" s="157">
        <v>0</v>
      </c>
      <c r="L3" s="157">
        <v>0</v>
      </c>
      <c r="M3" s="157">
        <v>0</v>
      </c>
      <c r="N3" s="99">
        <f t="shared" ref="N3:N66" si="1">+M3+I3+J3</f>
        <v>0</v>
      </c>
      <c r="O3" s="99">
        <f t="shared" ref="O3:O65" si="2">+F3</f>
        <v>0</v>
      </c>
      <c r="P3" s="99">
        <f t="shared" ref="P3:P66" si="3">+K3+L3</f>
        <v>0</v>
      </c>
      <c r="Q3" s="99">
        <f t="shared" si="0"/>
        <v>0</v>
      </c>
      <c r="S3" s="98">
        <f t="shared" ref="S3:S57" si="4">+SUM(N3:Q3)-H3</f>
        <v>0</v>
      </c>
      <c r="AH3" s="102" t="s">
        <v>173</v>
      </c>
      <c r="AI3" s="143">
        <v>713309680187</v>
      </c>
    </row>
    <row r="4" spans="1:35">
      <c r="A4">
        <v>3</v>
      </c>
      <c r="B4" s="155" t="s">
        <v>174</v>
      </c>
      <c r="C4" s="155" t="s">
        <v>923</v>
      </c>
      <c r="D4" s="157">
        <v>0</v>
      </c>
      <c r="E4" s="157">
        <v>0</v>
      </c>
      <c r="F4" s="157">
        <v>0</v>
      </c>
      <c r="G4" s="157">
        <v>0</v>
      </c>
      <c r="H4" s="456">
        <v>0</v>
      </c>
      <c r="I4" s="157">
        <v>0</v>
      </c>
      <c r="J4" s="157">
        <v>0</v>
      </c>
      <c r="K4" s="157">
        <v>0</v>
      </c>
      <c r="L4" s="157">
        <v>0</v>
      </c>
      <c r="M4" s="157">
        <v>0</v>
      </c>
      <c r="N4" s="99">
        <f t="shared" si="1"/>
        <v>0</v>
      </c>
      <c r="O4" s="99">
        <f t="shared" si="2"/>
        <v>0</v>
      </c>
      <c r="P4" s="99">
        <f t="shared" si="3"/>
        <v>0</v>
      </c>
      <c r="Q4" s="99">
        <f t="shared" si="0"/>
        <v>0</v>
      </c>
      <c r="S4" s="98">
        <f t="shared" si="4"/>
        <v>0</v>
      </c>
      <c r="AH4" s="102" t="s">
        <v>175</v>
      </c>
      <c r="AI4" s="143">
        <v>713309680187</v>
      </c>
    </row>
    <row r="5" spans="1:35">
      <c r="A5">
        <v>4</v>
      </c>
      <c r="B5" s="155" t="s">
        <v>176</v>
      </c>
      <c r="C5" s="155" t="s">
        <v>923</v>
      </c>
      <c r="D5" s="157">
        <v>0</v>
      </c>
      <c r="E5" s="157">
        <v>0</v>
      </c>
      <c r="F5" s="157">
        <v>0</v>
      </c>
      <c r="G5" s="157">
        <v>0</v>
      </c>
      <c r="H5" s="456">
        <v>0</v>
      </c>
      <c r="I5" s="157">
        <v>0</v>
      </c>
      <c r="J5" s="157">
        <v>0</v>
      </c>
      <c r="K5" s="157">
        <v>0</v>
      </c>
      <c r="L5" s="157">
        <v>0</v>
      </c>
      <c r="M5" s="157">
        <v>0</v>
      </c>
      <c r="N5" s="99">
        <f t="shared" si="1"/>
        <v>0</v>
      </c>
      <c r="O5" s="99">
        <f t="shared" si="2"/>
        <v>0</v>
      </c>
      <c r="P5" s="99">
        <f t="shared" si="3"/>
        <v>0</v>
      </c>
      <c r="Q5" s="99">
        <f t="shared" si="0"/>
        <v>0</v>
      </c>
      <c r="S5" s="98">
        <f t="shared" si="4"/>
        <v>0</v>
      </c>
      <c r="AH5" s="102" t="s">
        <v>177</v>
      </c>
      <c r="AI5" s="144">
        <v>0</v>
      </c>
    </row>
    <row r="6" spans="1:35">
      <c r="A6">
        <v>5</v>
      </c>
      <c r="B6" s="155" t="s">
        <v>178</v>
      </c>
      <c r="C6" s="155" t="s">
        <v>923</v>
      </c>
      <c r="D6" s="157">
        <v>0</v>
      </c>
      <c r="E6" s="157">
        <v>0</v>
      </c>
      <c r="F6" s="157">
        <v>0</v>
      </c>
      <c r="G6" s="157">
        <v>0</v>
      </c>
      <c r="H6" s="456">
        <v>0</v>
      </c>
      <c r="I6" s="157">
        <v>0</v>
      </c>
      <c r="J6" s="157">
        <v>0</v>
      </c>
      <c r="K6" s="157">
        <v>0</v>
      </c>
      <c r="L6" s="157">
        <v>0</v>
      </c>
      <c r="M6" s="157">
        <v>0</v>
      </c>
      <c r="N6" s="99">
        <f t="shared" si="1"/>
        <v>0</v>
      </c>
      <c r="O6" s="99">
        <f t="shared" si="2"/>
        <v>0</v>
      </c>
      <c r="P6" s="99">
        <f t="shared" si="3"/>
        <v>0</v>
      </c>
      <c r="Q6" s="99">
        <f t="shared" si="0"/>
        <v>0</v>
      </c>
      <c r="S6" s="98">
        <f t="shared" si="4"/>
        <v>0</v>
      </c>
      <c r="AH6" s="102" t="s">
        <v>179</v>
      </c>
      <c r="AI6" s="144">
        <v>7985571496</v>
      </c>
    </row>
    <row r="7" spans="1:35">
      <c r="A7">
        <v>6</v>
      </c>
      <c r="B7" s="155" t="s">
        <v>180</v>
      </c>
      <c r="C7" s="155" t="s">
        <v>923</v>
      </c>
      <c r="D7" s="157">
        <v>0</v>
      </c>
      <c r="E7" s="157">
        <v>0</v>
      </c>
      <c r="F7" s="157">
        <v>0</v>
      </c>
      <c r="G7" s="157">
        <v>0</v>
      </c>
      <c r="H7" s="456">
        <v>0</v>
      </c>
      <c r="I7" s="157">
        <v>0</v>
      </c>
      <c r="J7" s="157">
        <v>0</v>
      </c>
      <c r="K7" s="157">
        <v>0</v>
      </c>
      <c r="L7" s="157">
        <v>0</v>
      </c>
      <c r="M7" s="157">
        <v>0</v>
      </c>
      <c r="N7" s="99">
        <f t="shared" si="1"/>
        <v>0</v>
      </c>
      <c r="O7" s="99">
        <f t="shared" si="2"/>
        <v>0</v>
      </c>
      <c r="P7" s="99">
        <f t="shared" si="3"/>
        <v>0</v>
      </c>
      <c r="Q7" s="99">
        <f t="shared" si="0"/>
        <v>0</v>
      </c>
      <c r="S7" s="98">
        <f t="shared" si="4"/>
        <v>0</v>
      </c>
      <c r="AH7" s="102" t="s">
        <v>181</v>
      </c>
      <c r="AI7" s="144">
        <v>7668430524</v>
      </c>
    </row>
    <row r="8" spans="1:35">
      <c r="A8">
        <v>7</v>
      </c>
      <c r="B8" s="155" t="s">
        <v>182</v>
      </c>
      <c r="C8" s="155" t="s">
        <v>923</v>
      </c>
      <c r="D8" s="157">
        <v>0</v>
      </c>
      <c r="E8" s="157">
        <v>0</v>
      </c>
      <c r="F8" s="157">
        <v>0</v>
      </c>
      <c r="G8" s="157">
        <v>0</v>
      </c>
      <c r="H8" s="456">
        <v>0</v>
      </c>
      <c r="I8" s="157">
        <v>0</v>
      </c>
      <c r="J8" s="157">
        <v>0</v>
      </c>
      <c r="K8" s="157">
        <v>0</v>
      </c>
      <c r="L8" s="157">
        <v>0</v>
      </c>
      <c r="M8" s="157">
        <v>0</v>
      </c>
      <c r="N8" s="99">
        <f t="shared" si="1"/>
        <v>0</v>
      </c>
      <c r="O8" s="99">
        <f t="shared" si="2"/>
        <v>0</v>
      </c>
      <c r="P8" s="99">
        <f t="shared" si="3"/>
        <v>0</v>
      </c>
      <c r="Q8" s="99">
        <f t="shared" si="0"/>
        <v>0</v>
      </c>
      <c r="S8" s="98">
        <f t="shared" si="4"/>
        <v>0</v>
      </c>
      <c r="AH8" s="102" t="s">
        <v>183</v>
      </c>
      <c r="AI8" s="144">
        <v>0</v>
      </c>
    </row>
    <row r="9" spans="1:35">
      <c r="A9">
        <v>8</v>
      </c>
      <c r="B9" s="155" t="s">
        <v>184</v>
      </c>
      <c r="C9" s="155" t="s">
        <v>923</v>
      </c>
      <c r="D9" s="157">
        <v>0</v>
      </c>
      <c r="E9" s="157">
        <v>0</v>
      </c>
      <c r="F9" s="157">
        <v>0</v>
      </c>
      <c r="G9" s="157">
        <v>0</v>
      </c>
      <c r="H9" s="456">
        <v>0</v>
      </c>
      <c r="I9" s="157">
        <v>0</v>
      </c>
      <c r="J9" s="157">
        <v>0</v>
      </c>
      <c r="K9" s="157">
        <v>0</v>
      </c>
      <c r="L9" s="157">
        <v>0</v>
      </c>
      <c r="M9" s="157">
        <v>0</v>
      </c>
      <c r="N9" s="99">
        <f t="shared" si="1"/>
        <v>0</v>
      </c>
      <c r="O9" s="99">
        <f t="shared" si="2"/>
        <v>0</v>
      </c>
      <c r="P9" s="99">
        <f t="shared" si="3"/>
        <v>0</v>
      </c>
      <c r="Q9" s="99">
        <f t="shared" si="0"/>
        <v>0</v>
      </c>
      <c r="S9" s="98">
        <f t="shared" si="4"/>
        <v>0</v>
      </c>
      <c r="AH9" s="102" t="s">
        <v>185</v>
      </c>
      <c r="AI9" s="144">
        <v>0</v>
      </c>
    </row>
    <row r="10" spans="1:35">
      <c r="A10">
        <v>9</v>
      </c>
      <c r="B10" s="155" t="s">
        <v>186</v>
      </c>
      <c r="C10" s="155" t="s">
        <v>923</v>
      </c>
      <c r="D10" s="157">
        <v>0</v>
      </c>
      <c r="E10" s="157">
        <v>0</v>
      </c>
      <c r="F10" s="157">
        <v>0</v>
      </c>
      <c r="G10" s="157">
        <v>0</v>
      </c>
      <c r="H10" s="456">
        <v>0</v>
      </c>
      <c r="I10" s="157">
        <v>0</v>
      </c>
      <c r="J10" s="157">
        <v>0</v>
      </c>
      <c r="K10" s="157">
        <v>0</v>
      </c>
      <c r="L10" s="157">
        <v>0</v>
      </c>
      <c r="M10" s="157">
        <v>0</v>
      </c>
      <c r="N10" s="99">
        <f t="shared" si="1"/>
        <v>0</v>
      </c>
      <c r="O10" s="99">
        <f t="shared" si="2"/>
        <v>0</v>
      </c>
      <c r="P10" s="99">
        <f t="shared" si="3"/>
        <v>0</v>
      </c>
      <c r="Q10" s="99">
        <f t="shared" si="0"/>
        <v>0</v>
      </c>
      <c r="S10" s="98">
        <f t="shared" si="4"/>
        <v>0</v>
      </c>
      <c r="AH10" s="102" t="s">
        <v>187</v>
      </c>
      <c r="AI10" s="144">
        <v>0</v>
      </c>
    </row>
    <row r="11" spans="1:35">
      <c r="A11">
        <v>10</v>
      </c>
      <c r="B11" s="155" t="s">
        <v>188</v>
      </c>
      <c r="C11" s="155" t="s">
        <v>923</v>
      </c>
      <c r="D11" s="157">
        <v>0</v>
      </c>
      <c r="E11" s="157">
        <v>0</v>
      </c>
      <c r="F11" s="157">
        <v>0</v>
      </c>
      <c r="G11" s="157">
        <v>0</v>
      </c>
      <c r="H11" s="456">
        <v>0</v>
      </c>
      <c r="I11" s="157">
        <v>0</v>
      </c>
      <c r="J11" s="157">
        <v>0</v>
      </c>
      <c r="K11" s="157">
        <v>0</v>
      </c>
      <c r="L11" s="157">
        <v>0</v>
      </c>
      <c r="M11" s="157">
        <v>0</v>
      </c>
      <c r="N11" s="99">
        <f t="shared" si="1"/>
        <v>0</v>
      </c>
      <c r="O11" s="99">
        <f t="shared" si="2"/>
        <v>0</v>
      </c>
      <c r="P11" s="99">
        <f t="shared" si="3"/>
        <v>0</v>
      </c>
      <c r="Q11" s="99">
        <f t="shared" si="0"/>
        <v>0</v>
      </c>
      <c r="S11" s="98">
        <f t="shared" si="4"/>
        <v>0</v>
      </c>
      <c r="AH11" s="102" t="s">
        <v>189</v>
      </c>
      <c r="AI11" s="143">
        <v>697655678167</v>
      </c>
    </row>
    <row r="12" spans="1:35">
      <c r="A12">
        <v>11</v>
      </c>
      <c r="B12" s="155" t="s">
        <v>190</v>
      </c>
      <c r="C12" s="155" t="s">
        <v>923</v>
      </c>
      <c r="D12" s="157">
        <v>0</v>
      </c>
      <c r="E12" s="157">
        <v>0</v>
      </c>
      <c r="F12" s="157">
        <v>0</v>
      </c>
      <c r="G12" s="157">
        <v>0</v>
      </c>
      <c r="H12" s="456">
        <v>0</v>
      </c>
      <c r="I12" s="157">
        <v>0</v>
      </c>
      <c r="J12" s="157">
        <v>0</v>
      </c>
      <c r="K12" s="157">
        <v>0</v>
      </c>
      <c r="L12" s="157">
        <v>0</v>
      </c>
      <c r="M12" s="157">
        <v>0</v>
      </c>
      <c r="N12" s="99">
        <f t="shared" si="1"/>
        <v>0</v>
      </c>
      <c r="O12" s="99">
        <f t="shared" si="2"/>
        <v>0</v>
      </c>
      <c r="P12" s="99">
        <f t="shared" si="3"/>
        <v>0</v>
      </c>
      <c r="Q12" s="99">
        <f t="shared" si="0"/>
        <v>0</v>
      </c>
      <c r="S12" s="98">
        <f t="shared" si="4"/>
        <v>0</v>
      </c>
      <c r="AH12" s="102" t="s">
        <v>191</v>
      </c>
      <c r="AI12" s="144">
        <v>0</v>
      </c>
    </row>
    <row r="13" spans="1:35">
      <c r="A13">
        <v>12</v>
      </c>
      <c r="B13" s="155" t="s">
        <v>192</v>
      </c>
      <c r="C13" s="155" t="s">
        <v>923</v>
      </c>
      <c r="D13" s="157">
        <v>0</v>
      </c>
      <c r="E13" s="157">
        <v>0</v>
      </c>
      <c r="F13" s="157">
        <v>0</v>
      </c>
      <c r="G13" s="157">
        <v>0</v>
      </c>
      <c r="H13" s="456">
        <v>0</v>
      </c>
      <c r="I13" s="157">
        <v>0</v>
      </c>
      <c r="J13" s="157">
        <v>0</v>
      </c>
      <c r="K13" s="157">
        <v>0</v>
      </c>
      <c r="L13" s="157">
        <v>0</v>
      </c>
      <c r="M13" s="157">
        <v>0</v>
      </c>
      <c r="N13" s="99">
        <f t="shared" si="1"/>
        <v>0</v>
      </c>
      <c r="O13" s="99">
        <f t="shared" si="2"/>
        <v>0</v>
      </c>
      <c r="P13" s="99">
        <f t="shared" si="3"/>
        <v>0</v>
      </c>
      <c r="Q13" s="99">
        <f t="shared" si="0"/>
        <v>0</v>
      </c>
      <c r="S13" s="98">
        <f t="shared" si="4"/>
        <v>0</v>
      </c>
      <c r="AH13" s="102" t="s">
        <v>193</v>
      </c>
      <c r="AI13" s="144">
        <v>15919160828799</v>
      </c>
    </row>
    <row r="14" spans="1:35">
      <c r="A14">
        <v>13</v>
      </c>
      <c r="B14" s="155" t="s">
        <v>194</v>
      </c>
      <c r="C14" s="155" t="s">
        <v>923</v>
      </c>
      <c r="D14" s="157">
        <v>0</v>
      </c>
      <c r="E14" s="157">
        <v>0</v>
      </c>
      <c r="F14" s="157">
        <v>0</v>
      </c>
      <c r="G14" s="157">
        <v>0</v>
      </c>
      <c r="H14" s="456">
        <v>0</v>
      </c>
      <c r="I14" s="157">
        <v>0</v>
      </c>
      <c r="J14" s="157">
        <v>0</v>
      </c>
      <c r="K14" s="157">
        <v>0</v>
      </c>
      <c r="L14" s="157">
        <v>0</v>
      </c>
      <c r="M14" s="157">
        <v>0</v>
      </c>
      <c r="N14" s="99">
        <f t="shared" si="1"/>
        <v>0</v>
      </c>
      <c r="O14" s="99">
        <f t="shared" si="2"/>
        <v>0</v>
      </c>
      <c r="P14" s="99">
        <f t="shared" si="3"/>
        <v>0</v>
      </c>
      <c r="Q14" s="99">
        <f t="shared" si="0"/>
        <v>0</v>
      </c>
      <c r="S14" s="98">
        <f t="shared" si="4"/>
        <v>0</v>
      </c>
      <c r="W14" t="s">
        <v>195</v>
      </c>
      <c r="X14" s="98">
        <f>+X15+X16</f>
        <v>13487230093769</v>
      </c>
      <c r="Y14" s="103">
        <f>+X14/10^8</f>
        <v>134872.30093768999</v>
      </c>
      <c r="AH14" s="102" t="s">
        <v>196</v>
      </c>
      <c r="AI14" s="144">
        <v>15874266089364</v>
      </c>
    </row>
    <row r="15" spans="1:35">
      <c r="A15">
        <v>14</v>
      </c>
      <c r="B15" s="155" t="s">
        <v>197</v>
      </c>
      <c r="C15" s="155" t="s">
        <v>923</v>
      </c>
      <c r="D15" s="157">
        <v>0</v>
      </c>
      <c r="E15" s="157">
        <v>0</v>
      </c>
      <c r="F15" s="157">
        <v>0</v>
      </c>
      <c r="G15" s="157">
        <v>0</v>
      </c>
      <c r="H15" s="456">
        <v>0</v>
      </c>
      <c r="I15" s="157">
        <v>0</v>
      </c>
      <c r="J15" s="157">
        <v>0</v>
      </c>
      <c r="K15" s="157">
        <v>0</v>
      </c>
      <c r="L15" s="157">
        <v>0</v>
      </c>
      <c r="M15" s="157">
        <v>0</v>
      </c>
      <c r="N15" s="99">
        <f t="shared" si="1"/>
        <v>0</v>
      </c>
      <c r="O15" s="99">
        <f t="shared" si="2"/>
        <v>0</v>
      </c>
      <c r="P15" s="99">
        <f t="shared" si="3"/>
        <v>0</v>
      </c>
      <c r="Q15" s="99">
        <f t="shared" si="0"/>
        <v>0</v>
      </c>
      <c r="S15" s="98">
        <f t="shared" si="4"/>
        <v>0</v>
      </c>
      <c r="W15" t="s">
        <v>166</v>
      </c>
      <c r="X15" s="98">
        <f>SUMIFS(N:N,$R:$R,$W15)</f>
        <v>13137087273425</v>
      </c>
      <c r="Y15" s="103">
        <f t="shared" ref="Y15:Y16" si="5">+X15/10^8</f>
        <v>131370.87273425001</v>
      </c>
      <c r="AH15" s="102" t="s">
        <v>198</v>
      </c>
      <c r="AI15" s="144">
        <v>15605085009793</v>
      </c>
    </row>
    <row r="16" spans="1:35">
      <c r="A16">
        <v>15</v>
      </c>
      <c r="B16" s="155" t="s">
        <v>199</v>
      </c>
      <c r="C16" s="155" t="s">
        <v>923</v>
      </c>
      <c r="D16" s="157">
        <v>0</v>
      </c>
      <c r="E16" s="157">
        <v>0</v>
      </c>
      <c r="F16" s="157">
        <v>0</v>
      </c>
      <c r="G16" s="157">
        <v>0</v>
      </c>
      <c r="H16" s="456">
        <v>0</v>
      </c>
      <c r="I16" s="157">
        <v>0</v>
      </c>
      <c r="J16" s="157">
        <v>0</v>
      </c>
      <c r="K16" s="157">
        <v>0</v>
      </c>
      <c r="L16" s="157">
        <v>0</v>
      </c>
      <c r="M16" s="157">
        <v>0</v>
      </c>
      <c r="N16" s="99">
        <f t="shared" si="1"/>
        <v>0</v>
      </c>
      <c r="O16" s="99">
        <f t="shared" si="2"/>
        <v>0</v>
      </c>
      <c r="P16" s="99">
        <f t="shared" si="3"/>
        <v>0</v>
      </c>
      <c r="Q16" s="99">
        <f t="shared" si="0"/>
        <v>0</v>
      </c>
      <c r="S16" s="98">
        <f t="shared" si="4"/>
        <v>0</v>
      </c>
      <c r="W16" t="s">
        <v>168</v>
      </c>
      <c r="X16" s="98">
        <f>SUMIFS(N:N,$R:$R,$W16)</f>
        <v>350142820344</v>
      </c>
      <c r="Y16" s="103">
        <f t="shared" si="5"/>
        <v>3501.4282034399998</v>
      </c>
      <c r="AH16" s="102" t="s">
        <v>200</v>
      </c>
      <c r="AI16" s="144">
        <v>218209087000</v>
      </c>
    </row>
    <row r="17" spans="1:36">
      <c r="A17">
        <v>16</v>
      </c>
      <c r="B17" s="155" t="s">
        <v>201</v>
      </c>
      <c r="C17" s="155" t="s">
        <v>923</v>
      </c>
      <c r="D17" s="156">
        <v>31995760390644</v>
      </c>
      <c r="E17" s="157">
        <v>0</v>
      </c>
      <c r="F17" s="156">
        <v>13106414567769</v>
      </c>
      <c r="G17" s="156">
        <v>348256525819</v>
      </c>
      <c r="H17" s="455">
        <v>18541089297056</v>
      </c>
      <c r="I17" s="156">
        <v>1468764624607</v>
      </c>
      <c r="J17" s="156">
        <v>33551993783</v>
      </c>
      <c r="K17" s="156">
        <v>17232912157</v>
      </c>
      <c r="L17" s="156">
        <v>1784148066674</v>
      </c>
      <c r="M17" s="156">
        <v>15237391699835</v>
      </c>
      <c r="N17" s="99">
        <f t="shared" si="1"/>
        <v>16739708318225</v>
      </c>
      <c r="O17" s="99">
        <f t="shared" si="2"/>
        <v>13106414567769</v>
      </c>
      <c r="P17" s="99">
        <f t="shared" si="3"/>
        <v>1801380978831</v>
      </c>
      <c r="Q17" s="99">
        <f t="shared" si="0"/>
        <v>348256525819</v>
      </c>
      <c r="S17" s="98">
        <f t="shared" si="4"/>
        <v>13454671093588</v>
      </c>
      <c r="AH17" s="102" t="s">
        <v>202</v>
      </c>
      <c r="AI17" s="144">
        <v>132095366740</v>
      </c>
    </row>
    <row r="18" spans="1:36">
      <c r="A18">
        <v>17</v>
      </c>
      <c r="B18" s="155" t="s">
        <v>203</v>
      </c>
      <c r="C18" s="155" t="s">
        <v>923</v>
      </c>
      <c r="D18" s="156">
        <v>1062605988002</v>
      </c>
      <c r="E18" s="157">
        <v>0</v>
      </c>
      <c r="F18" s="156">
        <v>506578752068</v>
      </c>
      <c r="G18" s="156">
        <v>28856952837</v>
      </c>
      <c r="H18" s="455">
        <v>527170283097</v>
      </c>
      <c r="I18" s="156">
        <v>107645757960</v>
      </c>
      <c r="J18" s="156">
        <v>2630294803</v>
      </c>
      <c r="K18" s="156">
        <v>16235053757</v>
      </c>
      <c r="L18" s="156">
        <v>153504663422</v>
      </c>
      <c r="M18" s="156">
        <v>247154513155</v>
      </c>
      <c r="N18" s="99">
        <f t="shared" si="1"/>
        <v>357430565918</v>
      </c>
      <c r="O18" s="99">
        <f t="shared" si="2"/>
        <v>506578752068</v>
      </c>
      <c r="P18" s="99">
        <f t="shared" si="3"/>
        <v>169739717179</v>
      </c>
      <c r="Q18" s="99">
        <f t="shared" si="0"/>
        <v>28856952837</v>
      </c>
      <c r="S18" s="98">
        <f t="shared" si="4"/>
        <v>535435704905</v>
      </c>
      <c r="AH18" s="102" t="s">
        <v>204</v>
      </c>
      <c r="AI18" s="144">
        <v>95383116265</v>
      </c>
    </row>
    <row r="19" spans="1:36">
      <c r="A19">
        <v>18</v>
      </c>
      <c r="B19" s="155" t="s">
        <v>205</v>
      </c>
      <c r="C19" s="155" t="s">
        <v>923</v>
      </c>
      <c r="D19" s="156">
        <v>1044694842300</v>
      </c>
      <c r="E19" s="157">
        <v>0</v>
      </c>
      <c r="F19" s="156">
        <v>505978752068</v>
      </c>
      <c r="G19" s="156">
        <v>28856952837</v>
      </c>
      <c r="H19" s="455">
        <v>509859137395</v>
      </c>
      <c r="I19" s="156">
        <v>107645757960</v>
      </c>
      <c r="J19" s="156">
        <v>2630294803</v>
      </c>
      <c r="K19" s="156">
        <v>16235053757</v>
      </c>
      <c r="L19" s="156">
        <v>153504663422</v>
      </c>
      <c r="M19" s="156">
        <v>229843367453</v>
      </c>
      <c r="N19" s="99">
        <f t="shared" si="1"/>
        <v>340119420216</v>
      </c>
      <c r="O19" s="99">
        <f t="shared" si="2"/>
        <v>505978752068</v>
      </c>
      <c r="P19" s="99">
        <f t="shared" si="3"/>
        <v>169739717179</v>
      </c>
      <c r="Q19" s="99">
        <f t="shared" si="0"/>
        <v>28856952837</v>
      </c>
      <c r="S19" s="98">
        <f t="shared" si="4"/>
        <v>534835704905</v>
      </c>
      <c r="AH19" s="102" t="s">
        <v>206</v>
      </c>
      <c r="AI19" s="144">
        <v>-9269396005</v>
      </c>
    </row>
    <row r="20" spans="1:36">
      <c r="A20">
        <v>19</v>
      </c>
      <c r="B20" s="155" t="s">
        <v>207</v>
      </c>
      <c r="C20" s="155" t="s">
        <v>923</v>
      </c>
      <c r="D20" s="157">
        <v>0</v>
      </c>
      <c r="E20" s="157">
        <v>0</v>
      </c>
      <c r="F20" s="157">
        <v>0</v>
      </c>
      <c r="G20" s="157">
        <v>0</v>
      </c>
      <c r="H20" s="456">
        <v>0</v>
      </c>
      <c r="I20" s="157">
        <v>0</v>
      </c>
      <c r="J20" s="157">
        <v>0</v>
      </c>
      <c r="K20" s="157">
        <v>0</v>
      </c>
      <c r="L20" s="157">
        <v>0</v>
      </c>
      <c r="M20" s="157">
        <v>0</v>
      </c>
      <c r="N20" s="99">
        <f t="shared" si="1"/>
        <v>0</v>
      </c>
      <c r="O20" s="99">
        <f t="shared" si="2"/>
        <v>0</v>
      </c>
      <c r="P20" s="99">
        <f t="shared" si="3"/>
        <v>0</v>
      </c>
      <c r="Q20" s="99">
        <f t="shared" si="0"/>
        <v>0</v>
      </c>
      <c r="S20" s="98">
        <f t="shared" si="4"/>
        <v>0</v>
      </c>
      <c r="AH20" s="102" t="s">
        <v>208</v>
      </c>
      <c r="AI20" s="144">
        <v>77810206123</v>
      </c>
    </row>
    <row r="21" spans="1:36">
      <c r="A21">
        <v>20</v>
      </c>
      <c r="B21" s="155" t="s">
        <v>209</v>
      </c>
      <c r="C21" s="155" t="s">
        <v>923</v>
      </c>
      <c r="D21" s="156">
        <v>7333643458</v>
      </c>
      <c r="E21" s="157">
        <v>0</v>
      </c>
      <c r="F21" s="157">
        <v>0</v>
      </c>
      <c r="G21" s="157">
        <v>0</v>
      </c>
      <c r="H21" s="455">
        <v>7333643458</v>
      </c>
      <c r="I21" s="157">
        <v>0</v>
      </c>
      <c r="J21" s="157">
        <v>0</v>
      </c>
      <c r="K21" s="157">
        <v>0</v>
      </c>
      <c r="L21" s="157">
        <v>0</v>
      </c>
      <c r="M21" s="156">
        <v>7333643458</v>
      </c>
      <c r="N21" s="99">
        <f t="shared" si="1"/>
        <v>7333643458</v>
      </c>
      <c r="O21" s="99">
        <f t="shared" si="2"/>
        <v>0</v>
      </c>
      <c r="P21" s="99">
        <f t="shared" si="3"/>
        <v>0</v>
      </c>
      <c r="Q21" s="99">
        <f t="shared" si="0"/>
        <v>0</v>
      </c>
      <c r="S21" s="98">
        <f t="shared" si="4"/>
        <v>0</v>
      </c>
      <c r="AH21" s="102" t="s">
        <v>210</v>
      </c>
      <c r="AI21" s="144">
        <v>48558924704</v>
      </c>
      <c r="AJ21" t="s">
        <v>211</v>
      </c>
    </row>
    <row r="22" spans="1:36">
      <c r="A22">
        <v>21</v>
      </c>
      <c r="B22" s="155" t="s">
        <v>212</v>
      </c>
      <c r="C22" s="155" t="s">
        <v>923</v>
      </c>
      <c r="D22" s="156">
        <v>24608927043</v>
      </c>
      <c r="E22" s="157">
        <v>0</v>
      </c>
      <c r="F22" s="157">
        <v>0</v>
      </c>
      <c r="G22" s="157">
        <v>0</v>
      </c>
      <c r="H22" s="455">
        <v>24608927043</v>
      </c>
      <c r="I22" s="157">
        <v>0</v>
      </c>
      <c r="J22" s="157">
        <v>0</v>
      </c>
      <c r="K22" s="157">
        <v>0</v>
      </c>
      <c r="L22" s="157">
        <v>0</v>
      </c>
      <c r="M22" s="156">
        <v>24608927043</v>
      </c>
      <c r="N22" s="99">
        <f t="shared" si="1"/>
        <v>24608927043</v>
      </c>
      <c r="O22" s="99">
        <f t="shared" si="2"/>
        <v>0</v>
      </c>
      <c r="P22" s="99">
        <f t="shared" si="3"/>
        <v>0</v>
      </c>
      <c r="Q22" s="99">
        <f t="shared" si="0"/>
        <v>0</v>
      </c>
      <c r="S22" s="98">
        <f t="shared" si="4"/>
        <v>0</v>
      </c>
      <c r="AH22" s="102" t="s">
        <v>213</v>
      </c>
      <c r="AI22" s="144">
        <v>48558924704</v>
      </c>
    </row>
    <row r="23" spans="1:36">
      <c r="A23">
        <v>22</v>
      </c>
      <c r="B23" s="155" t="s">
        <v>214</v>
      </c>
      <c r="C23" s="155" t="s">
        <v>923</v>
      </c>
      <c r="D23" s="157">
        <v>0</v>
      </c>
      <c r="E23" s="157">
        <v>0</v>
      </c>
      <c r="F23" s="157">
        <v>0</v>
      </c>
      <c r="G23" s="157">
        <v>0</v>
      </c>
      <c r="H23" s="456">
        <v>0</v>
      </c>
      <c r="I23" s="157">
        <v>0</v>
      </c>
      <c r="J23" s="157">
        <v>0</v>
      </c>
      <c r="K23" s="157">
        <v>0</v>
      </c>
      <c r="L23" s="157">
        <v>0</v>
      </c>
      <c r="M23" s="157">
        <v>0</v>
      </c>
      <c r="N23" s="99">
        <f t="shared" si="1"/>
        <v>0</v>
      </c>
      <c r="O23" s="99">
        <f t="shared" si="2"/>
        <v>0</v>
      </c>
      <c r="P23" s="99">
        <f t="shared" si="3"/>
        <v>0</v>
      </c>
      <c r="Q23" s="99">
        <f t="shared" si="0"/>
        <v>0</v>
      </c>
      <c r="S23" s="98">
        <f t="shared" si="4"/>
        <v>0</v>
      </c>
      <c r="AH23" s="102" t="s">
        <v>215</v>
      </c>
      <c r="AI23" s="144">
        <v>0</v>
      </c>
    </row>
    <row r="24" spans="1:36">
      <c r="A24">
        <v>23</v>
      </c>
      <c r="B24" s="155" t="s">
        <v>216</v>
      </c>
      <c r="C24" s="155" t="s">
        <v>923</v>
      </c>
      <c r="D24" s="157">
        <v>0</v>
      </c>
      <c r="E24" s="157">
        <v>0</v>
      </c>
      <c r="F24" s="157">
        <v>0</v>
      </c>
      <c r="G24" s="157">
        <v>0</v>
      </c>
      <c r="H24" s="456">
        <v>0</v>
      </c>
      <c r="I24" s="157">
        <v>0</v>
      </c>
      <c r="J24" s="157">
        <v>0</v>
      </c>
      <c r="K24" s="157">
        <v>0</v>
      </c>
      <c r="L24" s="157">
        <v>0</v>
      </c>
      <c r="M24" s="157">
        <v>0</v>
      </c>
      <c r="N24" s="99">
        <f t="shared" si="1"/>
        <v>0</v>
      </c>
      <c r="O24" s="99">
        <f t="shared" si="2"/>
        <v>0</v>
      </c>
      <c r="P24" s="99">
        <f t="shared" si="3"/>
        <v>0</v>
      </c>
      <c r="Q24" s="99">
        <f t="shared" si="0"/>
        <v>0</v>
      </c>
      <c r="S24" s="98">
        <f t="shared" si="4"/>
        <v>0</v>
      </c>
      <c r="AH24" s="102" t="s">
        <v>217</v>
      </c>
      <c r="AI24" s="144">
        <v>24987769998</v>
      </c>
      <c r="AJ24" t="s">
        <v>211</v>
      </c>
    </row>
    <row r="25" spans="1:36">
      <c r="A25">
        <v>24</v>
      </c>
      <c r="B25" s="155" t="s">
        <v>218</v>
      </c>
      <c r="C25" s="155" t="s">
        <v>923</v>
      </c>
      <c r="D25" s="157">
        <v>0</v>
      </c>
      <c r="E25" s="157">
        <v>0</v>
      </c>
      <c r="F25" s="157">
        <v>0</v>
      </c>
      <c r="G25" s="157">
        <v>0</v>
      </c>
      <c r="H25" s="456">
        <v>0</v>
      </c>
      <c r="I25" s="157">
        <v>0</v>
      </c>
      <c r="J25" s="157">
        <v>0</v>
      </c>
      <c r="K25" s="157">
        <v>0</v>
      </c>
      <c r="L25" s="157">
        <v>0</v>
      </c>
      <c r="M25" s="157">
        <v>0</v>
      </c>
      <c r="N25" s="99">
        <f t="shared" si="1"/>
        <v>0</v>
      </c>
      <c r="O25" s="99">
        <f t="shared" si="2"/>
        <v>0</v>
      </c>
      <c r="P25" s="99">
        <f t="shared" si="3"/>
        <v>0</v>
      </c>
      <c r="Q25" s="99">
        <f t="shared" si="0"/>
        <v>0</v>
      </c>
      <c r="S25" s="98">
        <f t="shared" si="4"/>
        <v>0</v>
      </c>
      <c r="AH25" s="102" t="s">
        <v>219</v>
      </c>
      <c r="AI25" s="144">
        <v>0</v>
      </c>
      <c r="AJ25" t="s">
        <v>211</v>
      </c>
    </row>
    <row r="26" spans="1:36">
      <c r="A26">
        <v>25</v>
      </c>
      <c r="B26" s="155" t="s">
        <v>220</v>
      </c>
      <c r="C26" s="155" t="s">
        <v>923</v>
      </c>
      <c r="D26" s="156">
        <v>1012752271799</v>
      </c>
      <c r="E26" s="157">
        <v>0</v>
      </c>
      <c r="F26" s="156">
        <v>505978752068</v>
      </c>
      <c r="G26" s="156">
        <v>28856952837</v>
      </c>
      <c r="H26" s="455">
        <v>477916566894</v>
      </c>
      <c r="I26" s="156">
        <v>107645757960</v>
      </c>
      <c r="J26" s="156">
        <v>2630294803</v>
      </c>
      <c r="K26" s="156">
        <v>16235053757</v>
      </c>
      <c r="L26" s="156">
        <v>153504663422</v>
      </c>
      <c r="M26" s="156">
        <v>197900796952</v>
      </c>
      <c r="N26" s="99">
        <f t="shared" si="1"/>
        <v>308176849715</v>
      </c>
      <c r="O26" s="99">
        <f t="shared" si="2"/>
        <v>505978752068</v>
      </c>
      <c r="P26" s="99">
        <f t="shared" si="3"/>
        <v>169739717179</v>
      </c>
      <c r="Q26" s="99">
        <f t="shared" si="0"/>
        <v>28856952837</v>
      </c>
      <c r="S26" s="98">
        <f t="shared" si="4"/>
        <v>534835704905</v>
      </c>
      <c r="AH26" s="102" t="s">
        <v>221</v>
      </c>
      <c r="AI26" s="144">
        <v>0</v>
      </c>
      <c r="AJ26" t="s">
        <v>211</v>
      </c>
    </row>
    <row r="27" spans="1:36">
      <c r="A27">
        <v>26</v>
      </c>
      <c r="B27" s="155" t="s">
        <v>222</v>
      </c>
      <c r="C27" s="155" t="s">
        <v>923</v>
      </c>
      <c r="D27" s="157">
        <v>0</v>
      </c>
      <c r="E27" s="157">
        <v>0</v>
      </c>
      <c r="F27" s="157">
        <v>0</v>
      </c>
      <c r="G27" s="157">
        <v>0</v>
      </c>
      <c r="H27" s="456">
        <v>0</v>
      </c>
      <c r="I27" s="157">
        <v>0</v>
      </c>
      <c r="J27" s="157">
        <v>0</v>
      </c>
      <c r="K27" s="157">
        <v>0</v>
      </c>
      <c r="L27" s="157">
        <v>0</v>
      </c>
      <c r="M27" s="157">
        <v>0</v>
      </c>
      <c r="N27" s="99">
        <f t="shared" si="1"/>
        <v>0</v>
      </c>
      <c r="O27" s="99">
        <f t="shared" si="2"/>
        <v>0</v>
      </c>
      <c r="P27" s="99">
        <f t="shared" si="3"/>
        <v>0</v>
      </c>
      <c r="Q27" s="99">
        <f t="shared" si="0"/>
        <v>0</v>
      </c>
      <c r="S27" s="98">
        <f t="shared" si="4"/>
        <v>0</v>
      </c>
      <c r="AH27" s="102" t="s">
        <v>223</v>
      </c>
      <c r="AI27" s="144">
        <v>0</v>
      </c>
    </row>
    <row r="28" spans="1:36" ht="33">
      <c r="A28">
        <v>27</v>
      </c>
      <c r="B28" s="155" t="s">
        <v>224</v>
      </c>
      <c r="C28" s="155" t="s">
        <v>923</v>
      </c>
      <c r="D28" s="157">
        <v>0</v>
      </c>
      <c r="E28" s="157">
        <v>0</v>
      </c>
      <c r="F28" s="157">
        <v>0</v>
      </c>
      <c r="G28" s="157">
        <v>0</v>
      </c>
      <c r="H28" s="456">
        <v>0</v>
      </c>
      <c r="I28" s="157">
        <v>0</v>
      </c>
      <c r="J28" s="157">
        <v>0</v>
      </c>
      <c r="K28" s="157">
        <v>0</v>
      </c>
      <c r="L28" s="157">
        <v>0</v>
      </c>
      <c r="M28" s="157">
        <v>0</v>
      </c>
      <c r="N28" s="99">
        <f t="shared" si="1"/>
        <v>0</v>
      </c>
      <c r="O28" s="99">
        <f t="shared" si="2"/>
        <v>0</v>
      </c>
      <c r="P28" s="99">
        <f t="shared" si="3"/>
        <v>0</v>
      </c>
      <c r="Q28" s="99">
        <f t="shared" si="0"/>
        <v>0</v>
      </c>
      <c r="S28" s="98">
        <f t="shared" si="4"/>
        <v>0</v>
      </c>
      <c r="X28" s="104" t="s">
        <v>225</v>
      </c>
      <c r="Y28" t="s">
        <v>166</v>
      </c>
      <c r="Z28" t="s">
        <v>226</v>
      </c>
      <c r="AA28" t="s">
        <v>168</v>
      </c>
      <c r="AB28" t="s">
        <v>35</v>
      </c>
      <c r="AH28" s="102" t="s">
        <v>227</v>
      </c>
      <c r="AI28" s="144">
        <v>0</v>
      </c>
    </row>
    <row r="29" spans="1:36">
      <c r="A29">
        <v>28</v>
      </c>
      <c r="B29" s="155" t="s">
        <v>228</v>
      </c>
      <c r="C29" s="155" t="s">
        <v>923</v>
      </c>
      <c r="D29" s="156">
        <v>17911145702</v>
      </c>
      <c r="E29" s="157">
        <v>0</v>
      </c>
      <c r="F29" s="156">
        <v>600000000</v>
      </c>
      <c r="G29" s="157">
        <v>0</v>
      </c>
      <c r="H29" s="455">
        <v>17311145702</v>
      </c>
      <c r="I29" s="157">
        <v>0</v>
      </c>
      <c r="J29" s="157">
        <v>0</v>
      </c>
      <c r="K29" s="157">
        <v>0</v>
      </c>
      <c r="L29" s="157">
        <v>0</v>
      </c>
      <c r="M29" s="156">
        <v>17311145702</v>
      </c>
      <c r="N29" s="99">
        <f t="shared" si="1"/>
        <v>17311145702</v>
      </c>
      <c r="O29" s="99">
        <f t="shared" si="2"/>
        <v>600000000</v>
      </c>
      <c r="P29" s="99">
        <f t="shared" si="3"/>
        <v>0</v>
      </c>
      <c r="Q29" s="99">
        <f t="shared" si="0"/>
        <v>0</v>
      </c>
      <c r="S29" s="98">
        <f t="shared" si="4"/>
        <v>600000000</v>
      </c>
      <c r="V29" t="s">
        <v>229</v>
      </c>
      <c r="W29" t="s">
        <v>111</v>
      </c>
      <c r="X29" s="103">
        <f>SUMIFS(N:N,$R:$R,$W29)</f>
        <v>3701696333408</v>
      </c>
      <c r="Y29" s="103">
        <f t="shared" ref="X29:AA38" si="6">SUMIFS(O:O,$R:$R,$W29)</f>
        <v>12409035815701</v>
      </c>
      <c r="Z29" s="103">
        <f t="shared" si="6"/>
        <v>469243206190</v>
      </c>
      <c r="AA29" s="103">
        <f t="shared" si="6"/>
        <v>319399572982</v>
      </c>
      <c r="AB29" s="103">
        <f t="shared" ref="AB29:AB38" si="7">SUM(X29:AA29)</f>
        <v>16899374928281</v>
      </c>
      <c r="AH29" s="102" t="s">
        <v>230</v>
      </c>
      <c r="AI29" s="144">
        <v>9821858718633</v>
      </c>
      <c r="AJ29" t="s">
        <v>231</v>
      </c>
    </row>
    <row r="30" spans="1:36">
      <c r="A30">
        <v>29</v>
      </c>
      <c r="B30" s="155" t="s">
        <v>232</v>
      </c>
      <c r="C30" s="155" t="s">
        <v>923</v>
      </c>
      <c r="D30" s="156">
        <v>28704975259799</v>
      </c>
      <c r="E30" s="157">
        <v>0</v>
      </c>
      <c r="F30" s="156">
        <v>12409035815701</v>
      </c>
      <c r="G30" s="156">
        <v>319399572982</v>
      </c>
      <c r="H30" s="455">
        <v>15976539871116</v>
      </c>
      <c r="I30" s="156">
        <v>1361118866647</v>
      </c>
      <c r="J30" s="156">
        <v>30921698980</v>
      </c>
      <c r="K30" s="156">
        <v>997858400</v>
      </c>
      <c r="L30" s="156">
        <v>1507609299992</v>
      </c>
      <c r="M30" s="156">
        <v>13075892147097</v>
      </c>
      <c r="N30" s="99">
        <f t="shared" si="1"/>
        <v>14467932712724</v>
      </c>
      <c r="O30" s="99">
        <f t="shared" si="2"/>
        <v>12409035815701</v>
      </c>
      <c r="P30" s="99">
        <f t="shared" si="3"/>
        <v>1508607158392</v>
      </c>
      <c r="Q30" s="99">
        <f t="shared" si="0"/>
        <v>319399572982</v>
      </c>
      <c r="R30" s="96" t="s">
        <v>233</v>
      </c>
      <c r="S30" s="98">
        <f t="shared" si="4"/>
        <v>12728435388683</v>
      </c>
      <c r="W30" t="s">
        <v>234</v>
      </c>
      <c r="X30" s="103">
        <f t="shared" si="6"/>
        <v>248300878226</v>
      </c>
      <c r="Y30" s="103">
        <f t="shared" si="6"/>
        <v>0</v>
      </c>
      <c r="Z30" s="103">
        <f t="shared" si="6"/>
        <v>5839049083</v>
      </c>
      <c r="AA30" s="103">
        <f t="shared" si="6"/>
        <v>0</v>
      </c>
      <c r="AB30" s="103">
        <f t="shared" si="7"/>
        <v>254139927309</v>
      </c>
      <c r="AH30" s="102" t="s">
        <v>235</v>
      </c>
      <c r="AI30" s="144">
        <v>9664671871963</v>
      </c>
    </row>
    <row r="31" spans="1:36">
      <c r="A31">
        <v>30</v>
      </c>
      <c r="B31" s="155" t="s">
        <v>236</v>
      </c>
      <c r="C31" s="155" t="s">
        <v>923</v>
      </c>
      <c r="D31" s="156">
        <v>16899374928281</v>
      </c>
      <c r="E31" s="157">
        <v>0</v>
      </c>
      <c r="F31" s="156">
        <v>12409035815701</v>
      </c>
      <c r="G31" s="156">
        <v>319399572982</v>
      </c>
      <c r="H31" s="455">
        <v>4170939539598</v>
      </c>
      <c r="I31" s="156">
        <v>43788959224</v>
      </c>
      <c r="J31" s="156">
        <v>30921698980</v>
      </c>
      <c r="K31" s="156">
        <v>997858400</v>
      </c>
      <c r="L31" s="156">
        <v>468245347790</v>
      </c>
      <c r="M31" s="156">
        <v>3626985675204</v>
      </c>
      <c r="N31" s="99">
        <f t="shared" si="1"/>
        <v>3701696333408</v>
      </c>
      <c r="O31" s="99">
        <f t="shared" si="2"/>
        <v>12409035815701</v>
      </c>
      <c r="P31" s="99">
        <f t="shared" si="3"/>
        <v>469243206190</v>
      </c>
      <c r="Q31" s="99">
        <f t="shared" si="0"/>
        <v>319399572982</v>
      </c>
      <c r="R31" s="96" t="s">
        <v>111</v>
      </c>
      <c r="S31" s="98">
        <f t="shared" si="4"/>
        <v>12728435388683</v>
      </c>
      <c r="W31" t="s">
        <v>237</v>
      </c>
      <c r="X31" s="103">
        <f t="shared" si="6"/>
        <v>2947581624</v>
      </c>
      <c r="Y31" s="103">
        <f t="shared" si="6"/>
        <v>2639770186137</v>
      </c>
      <c r="Z31" s="103">
        <f t="shared" si="6"/>
        <v>6505515182</v>
      </c>
      <c r="AA31" s="103">
        <f t="shared" si="6"/>
        <v>111195885898</v>
      </c>
      <c r="AB31" s="103">
        <f t="shared" si="7"/>
        <v>2760419168841</v>
      </c>
      <c r="AH31" s="102" t="s">
        <v>238</v>
      </c>
      <c r="AI31" s="144">
        <v>157186846670</v>
      </c>
    </row>
    <row r="32" spans="1:36">
      <c r="A32">
        <v>31</v>
      </c>
      <c r="B32" s="155" t="s">
        <v>239</v>
      </c>
      <c r="C32" s="155" t="s">
        <v>923</v>
      </c>
      <c r="D32" s="156">
        <v>16899374928281</v>
      </c>
      <c r="E32" s="157">
        <v>0</v>
      </c>
      <c r="F32" s="156">
        <v>12409035815701</v>
      </c>
      <c r="G32" s="156">
        <v>319399572982</v>
      </c>
      <c r="H32" s="455">
        <v>4170939539598</v>
      </c>
      <c r="I32" s="156">
        <v>43788959224</v>
      </c>
      <c r="J32" s="156">
        <v>30921698980</v>
      </c>
      <c r="K32" s="156">
        <v>997858400</v>
      </c>
      <c r="L32" s="156">
        <v>468245347790</v>
      </c>
      <c r="M32" s="156">
        <v>3626985675204</v>
      </c>
      <c r="N32" s="99">
        <f t="shared" si="1"/>
        <v>3701696333408</v>
      </c>
      <c r="O32" s="99">
        <f t="shared" si="2"/>
        <v>12409035815701</v>
      </c>
      <c r="P32" s="99">
        <f t="shared" si="3"/>
        <v>469243206190</v>
      </c>
      <c r="Q32" s="99">
        <f t="shared" si="0"/>
        <v>319399572982</v>
      </c>
      <c r="S32" s="98">
        <f t="shared" si="4"/>
        <v>12728435388683</v>
      </c>
      <c r="W32" t="s">
        <v>211</v>
      </c>
      <c r="X32" s="103">
        <f t="shared" si="6"/>
        <v>141074270673</v>
      </c>
      <c r="Y32" s="103">
        <f t="shared" si="6"/>
        <v>0</v>
      </c>
      <c r="Z32" s="103">
        <f t="shared" si="6"/>
        <v>997858400</v>
      </c>
      <c r="AA32" s="103">
        <f t="shared" si="6"/>
        <v>0</v>
      </c>
      <c r="AB32" s="103">
        <f t="shared" si="7"/>
        <v>142072129073</v>
      </c>
      <c r="AH32" s="102" t="s">
        <v>240</v>
      </c>
      <c r="AI32" s="144">
        <v>5413660303335</v>
      </c>
    </row>
    <row r="33" spans="1:36">
      <c r="A33">
        <v>32</v>
      </c>
      <c r="B33" s="155" t="s">
        <v>241</v>
      </c>
      <c r="C33" s="155" t="s">
        <v>923</v>
      </c>
      <c r="D33" s="156">
        <v>181359358667</v>
      </c>
      <c r="E33" s="157">
        <v>0</v>
      </c>
      <c r="F33" s="157">
        <v>0</v>
      </c>
      <c r="G33" s="157">
        <v>0</v>
      </c>
      <c r="H33" s="455">
        <v>181359358667</v>
      </c>
      <c r="I33" s="157">
        <v>0</v>
      </c>
      <c r="J33" s="157">
        <v>0</v>
      </c>
      <c r="K33" s="157">
        <v>0</v>
      </c>
      <c r="L33" s="157">
        <v>0</v>
      </c>
      <c r="M33" s="156">
        <v>181359358667</v>
      </c>
      <c r="N33" s="99">
        <f t="shared" si="1"/>
        <v>181359358667</v>
      </c>
      <c r="O33" s="99">
        <f t="shared" si="2"/>
        <v>0</v>
      </c>
      <c r="P33" s="99">
        <f t="shared" si="3"/>
        <v>0</v>
      </c>
      <c r="Q33" s="99">
        <f t="shared" si="0"/>
        <v>0</v>
      </c>
      <c r="R33" s="96" t="s">
        <v>234</v>
      </c>
      <c r="S33" s="98">
        <f t="shared" si="4"/>
        <v>0</v>
      </c>
      <c r="W33" t="s">
        <v>242</v>
      </c>
      <c r="X33" s="103">
        <f t="shared" si="6"/>
        <v>0</v>
      </c>
      <c r="Y33" s="103">
        <f t="shared" si="6"/>
        <v>0</v>
      </c>
      <c r="Z33" s="103">
        <f t="shared" si="6"/>
        <v>89223610169</v>
      </c>
      <c r="AA33" s="103">
        <f t="shared" si="6"/>
        <v>0</v>
      </c>
      <c r="AB33" s="103">
        <f t="shared" si="7"/>
        <v>89223610169</v>
      </c>
      <c r="AH33" s="102" t="s">
        <v>243</v>
      </c>
      <c r="AI33" s="144">
        <v>2248508865247</v>
      </c>
      <c r="AJ33" t="s">
        <v>237</v>
      </c>
    </row>
    <row r="34" spans="1:36">
      <c r="A34">
        <v>33</v>
      </c>
      <c r="B34" s="155" t="s">
        <v>244</v>
      </c>
      <c r="C34" s="155" t="s">
        <v>923</v>
      </c>
      <c r="D34" s="156">
        <v>81407497870</v>
      </c>
      <c r="E34" s="157">
        <v>0</v>
      </c>
      <c r="F34" s="157">
        <v>0</v>
      </c>
      <c r="G34" s="157">
        <v>0</v>
      </c>
      <c r="H34" s="455">
        <v>81407497870</v>
      </c>
      <c r="I34" s="157">
        <v>0</v>
      </c>
      <c r="J34" s="157">
        <v>0</v>
      </c>
      <c r="K34" s="157">
        <v>0</v>
      </c>
      <c r="L34" s="157">
        <v>0</v>
      </c>
      <c r="M34" s="156">
        <v>81407497870</v>
      </c>
      <c r="N34" s="99">
        <f t="shared" si="1"/>
        <v>81407497870</v>
      </c>
      <c r="O34" s="99">
        <f t="shared" si="2"/>
        <v>0</v>
      </c>
      <c r="P34" s="99">
        <f t="shared" si="3"/>
        <v>0</v>
      </c>
      <c r="Q34" s="99">
        <f t="shared" si="0"/>
        <v>0</v>
      </c>
      <c r="S34" s="98">
        <f t="shared" si="4"/>
        <v>0</v>
      </c>
      <c r="W34" t="s">
        <v>231</v>
      </c>
      <c r="X34" s="103">
        <f t="shared" si="6"/>
        <v>3309373602885</v>
      </c>
      <c r="Y34" s="103">
        <f t="shared" si="6"/>
        <v>6168830802777</v>
      </c>
      <c r="Z34" s="103">
        <f t="shared" si="6"/>
        <v>366677173356</v>
      </c>
      <c r="AA34" s="103">
        <f t="shared" si="6"/>
        <v>91445068345</v>
      </c>
      <c r="AB34" s="103">
        <f t="shared" si="7"/>
        <v>9936326647363</v>
      </c>
      <c r="AH34" s="102" t="s">
        <v>245</v>
      </c>
      <c r="AI34" s="144">
        <v>80054741433</v>
      </c>
      <c r="AJ34" t="s">
        <v>242</v>
      </c>
    </row>
    <row r="35" spans="1:36">
      <c r="A35">
        <v>34</v>
      </c>
      <c r="B35" s="155" t="s">
        <v>246</v>
      </c>
      <c r="C35" s="155" t="s">
        <v>923</v>
      </c>
      <c r="D35" s="156">
        <v>99951860797</v>
      </c>
      <c r="E35" s="157">
        <v>0</v>
      </c>
      <c r="F35" s="157">
        <v>0</v>
      </c>
      <c r="G35" s="157">
        <v>0</v>
      </c>
      <c r="H35" s="455">
        <v>99951860797</v>
      </c>
      <c r="I35" s="157">
        <v>0</v>
      </c>
      <c r="J35" s="157">
        <v>0</v>
      </c>
      <c r="K35" s="157">
        <v>0</v>
      </c>
      <c r="L35" s="157">
        <v>0</v>
      </c>
      <c r="M35" s="156">
        <v>99951860797</v>
      </c>
      <c r="N35" s="99">
        <f t="shared" si="1"/>
        <v>99951860797</v>
      </c>
      <c r="O35" s="99">
        <f t="shared" si="2"/>
        <v>0</v>
      </c>
      <c r="P35" s="99">
        <f t="shared" si="3"/>
        <v>0</v>
      </c>
      <c r="Q35" s="99">
        <f t="shared" si="0"/>
        <v>0</v>
      </c>
      <c r="S35" s="98">
        <f t="shared" si="4"/>
        <v>0</v>
      </c>
      <c r="W35" t="s">
        <v>247</v>
      </c>
      <c r="X35" s="103">
        <f t="shared" si="6"/>
        <v>0</v>
      </c>
      <c r="Y35" s="103">
        <f t="shared" si="6"/>
        <v>3600434826787</v>
      </c>
      <c r="Z35" s="103">
        <f t="shared" si="6"/>
        <v>0</v>
      </c>
      <c r="AA35" s="103">
        <f t="shared" si="6"/>
        <v>116758618739</v>
      </c>
      <c r="AB35" s="103">
        <f t="shared" si="7"/>
        <v>3717193445526</v>
      </c>
      <c r="AH35" s="102" t="s">
        <v>248</v>
      </c>
      <c r="AI35" s="144">
        <v>2469187361181</v>
      </c>
      <c r="AJ35" t="s">
        <v>247</v>
      </c>
    </row>
    <row r="36" spans="1:36">
      <c r="A36">
        <v>35</v>
      </c>
      <c r="B36" s="155" t="s">
        <v>249</v>
      </c>
      <c r="C36" s="155" t="s">
        <v>923</v>
      </c>
      <c r="D36" s="156">
        <v>72780568642</v>
      </c>
      <c r="E36" s="157">
        <v>0</v>
      </c>
      <c r="F36" s="157">
        <v>0</v>
      </c>
      <c r="G36" s="157">
        <v>0</v>
      </c>
      <c r="H36" s="455">
        <v>72780568642</v>
      </c>
      <c r="I36" s="157">
        <v>0</v>
      </c>
      <c r="J36" s="157">
        <v>0</v>
      </c>
      <c r="K36" s="157">
        <v>0</v>
      </c>
      <c r="L36" s="156">
        <v>5839049083</v>
      </c>
      <c r="M36" s="156">
        <v>66941519559</v>
      </c>
      <c r="N36" s="99">
        <f t="shared" si="1"/>
        <v>66941519559</v>
      </c>
      <c r="O36" s="99">
        <f t="shared" si="2"/>
        <v>0</v>
      </c>
      <c r="P36" s="99">
        <f t="shared" si="3"/>
        <v>5839049083</v>
      </c>
      <c r="Q36" s="99">
        <f t="shared" si="0"/>
        <v>0</v>
      </c>
      <c r="R36" s="96" t="s">
        <v>234</v>
      </c>
      <c r="S36" s="98">
        <f t="shared" si="4"/>
        <v>0</v>
      </c>
      <c r="U36" s="5"/>
      <c r="V36" s="5"/>
      <c r="W36" s="5" t="s">
        <v>135</v>
      </c>
      <c r="X36" s="1">
        <f t="shared" si="6"/>
        <v>0</v>
      </c>
      <c r="Y36" s="1">
        <f t="shared" si="6"/>
        <v>0</v>
      </c>
      <c r="Z36" s="1">
        <f t="shared" si="6"/>
        <v>0</v>
      </c>
      <c r="AA36" s="1">
        <f t="shared" si="6"/>
        <v>0</v>
      </c>
      <c r="AB36" s="1">
        <f t="shared" si="7"/>
        <v>0</v>
      </c>
      <c r="AH36" s="102" t="s">
        <v>250</v>
      </c>
      <c r="AI36" s="144">
        <v>0</v>
      </c>
    </row>
    <row r="37" spans="1:36">
      <c r="A37">
        <v>36</v>
      </c>
      <c r="B37" s="155" t="s">
        <v>251</v>
      </c>
      <c r="C37" s="155" t="s">
        <v>923</v>
      </c>
      <c r="D37" s="156">
        <v>116775029075</v>
      </c>
      <c r="E37" s="157">
        <v>0</v>
      </c>
      <c r="F37" s="157">
        <v>0</v>
      </c>
      <c r="G37" s="157">
        <v>0</v>
      </c>
      <c r="H37" s="455">
        <v>116775029075</v>
      </c>
      <c r="I37" s="157">
        <v>0</v>
      </c>
      <c r="J37" s="156">
        <v>27813370080</v>
      </c>
      <c r="K37" s="156">
        <v>997858400</v>
      </c>
      <c r="L37" s="157">
        <v>0</v>
      </c>
      <c r="M37" s="156">
        <v>87963800595</v>
      </c>
      <c r="N37" s="99">
        <f t="shared" si="1"/>
        <v>115777170675</v>
      </c>
      <c r="O37" s="99">
        <f t="shared" si="2"/>
        <v>0</v>
      </c>
      <c r="P37" s="99">
        <f t="shared" si="3"/>
        <v>997858400</v>
      </c>
      <c r="Q37" s="99">
        <f t="shared" si="0"/>
        <v>0</v>
      </c>
      <c r="R37" s="96" t="s">
        <v>211</v>
      </c>
      <c r="S37" s="98">
        <f t="shared" si="4"/>
        <v>0</v>
      </c>
      <c r="U37" s="5"/>
      <c r="V37" s="5"/>
      <c r="W37" s="5" t="s">
        <v>112</v>
      </c>
      <c r="X37" s="103">
        <f t="shared" si="6"/>
        <v>10624193413813</v>
      </c>
      <c r="Y37" s="103">
        <f t="shared" si="6"/>
        <v>0</v>
      </c>
      <c r="Z37" s="103">
        <f t="shared" si="6"/>
        <v>1039363952202</v>
      </c>
      <c r="AA37" s="103">
        <f t="shared" si="6"/>
        <v>0</v>
      </c>
      <c r="AB37" s="103">
        <f t="shared" si="7"/>
        <v>11663557366015</v>
      </c>
      <c r="AH37" s="102" t="s">
        <v>252</v>
      </c>
      <c r="AI37" s="144">
        <v>0</v>
      </c>
    </row>
    <row r="38" spans="1:36">
      <c r="A38">
        <v>37</v>
      </c>
      <c r="B38" s="155" t="s">
        <v>253</v>
      </c>
      <c r="C38" s="155" t="s">
        <v>923</v>
      </c>
      <c r="D38" s="156">
        <v>116775029075</v>
      </c>
      <c r="E38" s="157">
        <v>0</v>
      </c>
      <c r="F38" s="157">
        <v>0</v>
      </c>
      <c r="G38" s="157">
        <v>0</v>
      </c>
      <c r="H38" s="455">
        <v>116775029075</v>
      </c>
      <c r="I38" s="157">
        <v>0</v>
      </c>
      <c r="J38" s="156">
        <v>27813370080</v>
      </c>
      <c r="K38" s="156">
        <v>997858400</v>
      </c>
      <c r="L38" s="157">
        <v>0</v>
      </c>
      <c r="M38" s="156">
        <v>87963800595</v>
      </c>
      <c r="N38" s="99">
        <f t="shared" si="1"/>
        <v>115777170675</v>
      </c>
      <c r="O38" s="99">
        <f t="shared" si="2"/>
        <v>0</v>
      </c>
      <c r="P38" s="99">
        <f t="shared" si="3"/>
        <v>997858400</v>
      </c>
      <c r="Q38" s="99">
        <f t="shared" si="0"/>
        <v>0</v>
      </c>
      <c r="S38" s="98">
        <f t="shared" si="4"/>
        <v>0</v>
      </c>
      <c r="U38" s="5"/>
      <c r="W38" t="s">
        <v>113</v>
      </c>
      <c r="X38" s="103">
        <f t="shared" si="6"/>
        <v>1845131053657</v>
      </c>
      <c r="Y38" s="103">
        <f t="shared" si="6"/>
        <v>190800000000</v>
      </c>
      <c r="Z38" s="103">
        <f t="shared" si="6"/>
        <v>123034103260</v>
      </c>
      <c r="AA38" s="103">
        <f t="shared" si="6"/>
        <v>0</v>
      </c>
      <c r="AB38" s="103">
        <f t="shared" si="7"/>
        <v>2158965156917</v>
      </c>
      <c r="AH38" s="102" t="s">
        <v>254</v>
      </c>
      <c r="AI38" s="144">
        <v>615909335474</v>
      </c>
    </row>
    <row r="39" spans="1:36">
      <c r="A39">
        <v>38</v>
      </c>
      <c r="B39" s="155" t="s">
        <v>255</v>
      </c>
      <c r="C39" s="155" t="s">
        <v>923</v>
      </c>
      <c r="D39" s="157">
        <v>0</v>
      </c>
      <c r="E39" s="157">
        <v>0</v>
      </c>
      <c r="F39" s="157">
        <v>0</v>
      </c>
      <c r="G39" s="157">
        <v>0</v>
      </c>
      <c r="H39" s="456">
        <v>0</v>
      </c>
      <c r="I39" s="157">
        <v>0</v>
      </c>
      <c r="J39" s="157">
        <v>0</v>
      </c>
      <c r="K39" s="157">
        <v>0</v>
      </c>
      <c r="L39" s="157">
        <v>0</v>
      </c>
      <c r="M39" s="157">
        <v>0</v>
      </c>
      <c r="N39" s="99">
        <f t="shared" si="1"/>
        <v>0</v>
      </c>
      <c r="O39" s="99">
        <f t="shared" si="2"/>
        <v>0</v>
      </c>
      <c r="P39" s="99">
        <f t="shared" si="3"/>
        <v>0</v>
      </c>
      <c r="Q39" s="99">
        <f t="shared" si="0"/>
        <v>0</v>
      </c>
      <c r="S39" s="98">
        <f t="shared" si="4"/>
        <v>0</v>
      </c>
      <c r="U39" s="5"/>
      <c r="X39" s="103"/>
      <c r="Y39" s="103"/>
      <c r="Z39" s="103"/>
      <c r="AA39" s="103"/>
      <c r="AB39" s="103"/>
      <c r="AH39" s="102" t="s">
        <v>256</v>
      </c>
      <c r="AI39" s="144">
        <v>0</v>
      </c>
      <c r="AJ39" t="s">
        <v>135</v>
      </c>
    </row>
    <row r="40" spans="1:36">
      <c r="A40">
        <v>39</v>
      </c>
      <c r="B40" s="155" t="s">
        <v>257</v>
      </c>
      <c r="C40" s="155" t="s">
        <v>923</v>
      </c>
      <c r="D40" s="156">
        <v>25297099998</v>
      </c>
      <c r="E40" s="157">
        <v>0</v>
      </c>
      <c r="F40" s="157">
        <v>0</v>
      </c>
      <c r="G40" s="157">
        <v>0</v>
      </c>
      <c r="H40" s="455">
        <v>25297099998</v>
      </c>
      <c r="I40" s="157">
        <v>0</v>
      </c>
      <c r="J40" s="157">
        <v>0</v>
      </c>
      <c r="K40" s="157">
        <v>0</v>
      </c>
      <c r="L40" s="157">
        <v>0</v>
      </c>
      <c r="M40" s="156">
        <v>25297099998</v>
      </c>
      <c r="N40" s="99">
        <f t="shared" si="1"/>
        <v>25297099998</v>
      </c>
      <c r="O40" s="99">
        <f t="shared" si="2"/>
        <v>0</v>
      </c>
      <c r="P40" s="99">
        <f t="shared" si="3"/>
        <v>0</v>
      </c>
      <c r="Q40" s="99">
        <f t="shared" si="0"/>
        <v>0</v>
      </c>
      <c r="R40" s="96" t="s">
        <v>211</v>
      </c>
      <c r="S40" s="98">
        <f t="shared" si="4"/>
        <v>0</v>
      </c>
      <c r="U40" s="5"/>
      <c r="X40" s="103"/>
      <c r="Y40" s="103"/>
      <c r="Z40" s="103"/>
      <c r="AA40" s="103"/>
      <c r="AB40" s="103"/>
      <c r="AH40" s="102" t="s">
        <v>258</v>
      </c>
      <c r="AI40" s="144">
        <v>0</v>
      </c>
    </row>
    <row r="41" spans="1:36">
      <c r="A41">
        <v>40</v>
      </c>
      <c r="B41" s="155" t="s">
        <v>259</v>
      </c>
      <c r="C41" s="155" t="s">
        <v>923</v>
      </c>
      <c r="D41" s="157">
        <v>0</v>
      </c>
      <c r="E41" s="157">
        <v>0</v>
      </c>
      <c r="F41" s="157">
        <v>0</v>
      </c>
      <c r="G41" s="157">
        <v>0</v>
      </c>
      <c r="H41" s="456">
        <v>0</v>
      </c>
      <c r="I41" s="157">
        <v>0</v>
      </c>
      <c r="J41" s="157">
        <v>0</v>
      </c>
      <c r="K41" s="157">
        <v>0</v>
      </c>
      <c r="L41" s="157">
        <v>0</v>
      </c>
      <c r="M41" s="157">
        <v>0</v>
      </c>
      <c r="N41" s="99">
        <f t="shared" si="1"/>
        <v>0</v>
      </c>
      <c r="O41" s="99">
        <f t="shared" si="2"/>
        <v>0</v>
      </c>
      <c r="P41" s="99">
        <f t="shared" si="3"/>
        <v>0</v>
      </c>
      <c r="Q41" s="99">
        <f t="shared" si="0"/>
        <v>0</v>
      </c>
      <c r="R41" s="96" t="s">
        <v>211</v>
      </c>
      <c r="S41" s="98">
        <f t="shared" si="4"/>
        <v>0</v>
      </c>
      <c r="U41" s="5"/>
      <c r="AH41" s="102" t="s">
        <v>260</v>
      </c>
      <c r="AI41" s="144">
        <v>0</v>
      </c>
    </row>
    <row r="42" spans="1:36">
      <c r="A42">
        <v>41</v>
      </c>
      <c r="B42" s="155" t="s">
        <v>261</v>
      </c>
      <c r="C42" s="155" t="s">
        <v>923</v>
      </c>
      <c r="D42" s="157">
        <v>0</v>
      </c>
      <c r="E42" s="157">
        <v>0</v>
      </c>
      <c r="F42" s="157">
        <v>0</v>
      </c>
      <c r="G42" s="157">
        <v>0</v>
      </c>
      <c r="H42" s="456">
        <v>0</v>
      </c>
      <c r="I42" s="157">
        <v>0</v>
      </c>
      <c r="J42" s="157">
        <v>0</v>
      </c>
      <c r="K42" s="157">
        <v>0</v>
      </c>
      <c r="L42" s="157">
        <v>0</v>
      </c>
      <c r="M42" s="157">
        <v>0</v>
      </c>
      <c r="N42" s="99">
        <f t="shared" si="1"/>
        <v>0</v>
      </c>
      <c r="O42" s="99">
        <f t="shared" si="2"/>
        <v>0</v>
      </c>
      <c r="P42" s="99">
        <f t="shared" si="3"/>
        <v>0</v>
      </c>
      <c r="Q42" s="99">
        <f t="shared" si="0"/>
        <v>0</v>
      </c>
      <c r="R42" s="96" t="s">
        <v>211</v>
      </c>
      <c r="S42" s="98">
        <f t="shared" si="4"/>
        <v>0</v>
      </c>
      <c r="U42" s="5"/>
      <c r="AH42" s="102" t="s">
        <v>262</v>
      </c>
      <c r="AI42" s="144">
        <v>0</v>
      </c>
    </row>
    <row r="43" spans="1:36">
      <c r="A43">
        <v>42</v>
      </c>
      <c r="B43" s="155" t="s">
        <v>263</v>
      </c>
      <c r="C43" s="155" t="s">
        <v>923</v>
      </c>
      <c r="D43" s="157">
        <v>0</v>
      </c>
      <c r="E43" s="157">
        <v>0</v>
      </c>
      <c r="F43" s="157">
        <v>0</v>
      </c>
      <c r="G43" s="157">
        <v>0</v>
      </c>
      <c r="H43" s="456">
        <v>0</v>
      </c>
      <c r="I43" s="157">
        <v>0</v>
      </c>
      <c r="J43" s="157">
        <v>0</v>
      </c>
      <c r="K43" s="157">
        <v>0</v>
      </c>
      <c r="L43" s="157">
        <v>0</v>
      </c>
      <c r="M43" s="157">
        <v>0</v>
      </c>
      <c r="N43" s="99">
        <f t="shared" si="1"/>
        <v>0</v>
      </c>
      <c r="O43" s="99">
        <f t="shared" si="2"/>
        <v>0</v>
      </c>
      <c r="P43" s="99">
        <f t="shared" si="3"/>
        <v>0</v>
      </c>
      <c r="Q43" s="99">
        <f t="shared" si="0"/>
        <v>0</v>
      </c>
      <c r="S43" s="98">
        <f t="shared" si="4"/>
        <v>0</v>
      </c>
      <c r="U43" s="5"/>
      <c r="AH43" s="102" t="s">
        <v>202</v>
      </c>
      <c r="AI43" s="144">
        <v>0</v>
      </c>
    </row>
    <row r="44" spans="1:36">
      <c r="A44">
        <v>43</v>
      </c>
      <c r="B44" s="155" t="s">
        <v>264</v>
      </c>
      <c r="C44" s="155" t="s">
        <v>923</v>
      </c>
      <c r="D44" s="157">
        <v>0</v>
      </c>
      <c r="E44" s="157">
        <v>0</v>
      </c>
      <c r="F44" s="157">
        <v>0</v>
      </c>
      <c r="G44" s="157">
        <v>0</v>
      </c>
      <c r="H44" s="456">
        <v>0</v>
      </c>
      <c r="I44" s="157">
        <v>0</v>
      </c>
      <c r="J44" s="157">
        <v>0</v>
      </c>
      <c r="K44" s="157">
        <v>0</v>
      </c>
      <c r="L44" s="157">
        <v>0</v>
      </c>
      <c r="M44" s="157">
        <v>0</v>
      </c>
      <c r="N44" s="99">
        <f t="shared" si="1"/>
        <v>0</v>
      </c>
      <c r="O44" s="99">
        <f t="shared" si="2"/>
        <v>0</v>
      </c>
      <c r="P44" s="99">
        <f t="shared" si="3"/>
        <v>0</v>
      </c>
      <c r="Q44" s="99">
        <f t="shared" si="0"/>
        <v>0</v>
      </c>
      <c r="S44" s="98">
        <f t="shared" si="4"/>
        <v>0</v>
      </c>
      <c r="U44" s="5"/>
      <c r="AH44" s="102" t="s">
        <v>204</v>
      </c>
      <c r="AI44" s="144">
        <v>0</v>
      </c>
    </row>
    <row r="45" spans="1:36">
      <c r="A45">
        <v>44</v>
      </c>
      <c r="B45" s="155" t="s">
        <v>265</v>
      </c>
      <c r="C45" s="155" t="s">
        <v>923</v>
      </c>
      <c r="D45" s="156">
        <v>9936326647363</v>
      </c>
      <c r="E45" s="157">
        <v>0</v>
      </c>
      <c r="F45" s="156">
        <v>6168830802777</v>
      </c>
      <c r="G45" s="156">
        <v>91445068345</v>
      </c>
      <c r="H45" s="455">
        <v>3676050776241</v>
      </c>
      <c r="I45" s="156">
        <v>43788959224</v>
      </c>
      <c r="J45" s="156">
        <v>3108328900</v>
      </c>
      <c r="K45" s="157">
        <v>0</v>
      </c>
      <c r="L45" s="156">
        <v>366677173356</v>
      </c>
      <c r="M45" s="156">
        <v>3262476314761</v>
      </c>
      <c r="N45" s="99">
        <f t="shared" si="1"/>
        <v>3309373602885</v>
      </c>
      <c r="O45" s="99">
        <f t="shared" si="2"/>
        <v>6168830802777</v>
      </c>
      <c r="P45" s="99">
        <f t="shared" si="3"/>
        <v>366677173356</v>
      </c>
      <c r="Q45" s="99">
        <f t="shared" si="0"/>
        <v>91445068345</v>
      </c>
      <c r="R45" s="96" t="s">
        <v>231</v>
      </c>
      <c r="S45" s="98">
        <f t="shared" si="4"/>
        <v>6260275871122</v>
      </c>
      <c r="U45" s="5"/>
      <c r="AH45" s="102" t="s">
        <v>266</v>
      </c>
      <c r="AI45" s="144">
        <v>0</v>
      </c>
    </row>
    <row r="46" spans="1:36">
      <c r="A46">
        <v>45</v>
      </c>
      <c r="B46" s="155" t="s">
        <v>267</v>
      </c>
      <c r="C46" s="155" t="s">
        <v>923</v>
      </c>
      <c r="D46" s="156">
        <v>6566836224536</v>
      </c>
      <c r="E46" s="157">
        <v>0</v>
      </c>
      <c r="F46" s="156">
        <v>6240205012924</v>
      </c>
      <c r="G46" s="156">
        <v>227954504637</v>
      </c>
      <c r="H46" s="455">
        <v>98676706975</v>
      </c>
      <c r="I46" s="157">
        <v>0</v>
      </c>
      <c r="J46" s="157">
        <v>0</v>
      </c>
      <c r="K46" s="157">
        <v>0</v>
      </c>
      <c r="L46" s="156">
        <v>95729125351</v>
      </c>
      <c r="M46" s="156">
        <v>2947581624</v>
      </c>
      <c r="N46" s="99">
        <f t="shared" si="1"/>
        <v>2947581624</v>
      </c>
      <c r="O46" s="99">
        <f t="shared" si="2"/>
        <v>6240205012924</v>
      </c>
      <c r="P46" s="99">
        <f t="shared" si="3"/>
        <v>95729125351</v>
      </c>
      <c r="Q46" s="99">
        <f t="shared" si="0"/>
        <v>227954504637</v>
      </c>
      <c r="S46" s="98">
        <f t="shared" si="4"/>
        <v>6468159517561</v>
      </c>
      <c r="U46" s="5"/>
      <c r="AH46" s="102" t="s">
        <v>268</v>
      </c>
      <c r="AI46" s="144">
        <v>0</v>
      </c>
    </row>
    <row r="47" spans="1:36">
      <c r="A47">
        <v>46</v>
      </c>
      <c r="B47" s="155" t="s">
        <v>269</v>
      </c>
      <c r="C47" s="155" t="s">
        <v>923</v>
      </c>
      <c r="D47" s="156">
        <v>2760419168841</v>
      </c>
      <c r="E47" s="157">
        <v>0</v>
      </c>
      <c r="F47" s="156">
        <v>2639770186137</v>
      </c>
      <c r="G47" s="156">
        <v>111195885898</v>
      </c>
      <c r="H47" s="455">
        <v>9453096806</v>
      </c>
      <c r="I47" s="157">
        <v>0</v>
      </c>
      <c r="J47" s="157">
        <v>0</v>
      </c>
      <c r="K47" s="157">
        <v>0</v>
      </c>
      <c r="L47" s="156">
        <v>6505515182</v>
      </c>
      <c r="M47" s="156">
        <v>2947581624</v>
      </c>
      <c r="N47" s="99">
        <f t="shared" si="1"/>
        <v>2947581624</v>
      </c>
      <c r="O47" s="99">
        <f t="shared" si="2"/>
        <v>2639770186137</v>
      </c>
      <c r="P47" s="99">
        <f t="shared" si="3"/>
        <v>6505515182</v>
      </c>
      <c r="Q47" s="99">
        <f t="shared" si="0"/>
        <v>111195885898</v>
      </c>
      <c r="R47" s="96" t="s">
        <v>237</v>
      </c>
      <c r="S47" s="98">
        <f t="shared" si="4"/>
        <v>2750966072035</v>
      </c>
      <c r="U47" s="5"/>
      <c r="AH47" s="102" t="s">
        <v>213</v>
      </c>
      <c r="AI47" s="144">
        <v>0</v>
      </c>
    </row>
    <row r="48" spans="1:36">
      <c r="A48">
        <v>47</v>
      </c>
      <c r="B48" s="155" t="s">
        <v>270</v>
      </c>
      <c r="C48" s="155" t="s">
        <v>923</v>
      </c>
      <c r="D48" s="156">
        <v>89223610169</v>
      </c>
      <c r="E48" s="157">
        <v>0</v>
      </c>
      <c r="F48" s="157">
        <v>0</v>
      </c>
      <c r="G48" s="157">
        <v>0</v>
      </c>
      <c r="H48" s="455">
        <v>89223610169</v>
      </c>
      <c r="I48" s="157">
        <v>0</v>
      </c>
      <c r="J48" s="157">
        <v>0</v>
      </c>
      <c r="K48" s="157">
        <v>0</v>
      </c>
      <c r="L48" s="156">
        <v>89223610169</v>
      </c>
      <c r="M48" s="157">
        <v>0</v>
      </c>
      <c r="N48" s="99">
        <f t="shared" si="1"/>
        <v>0</v>
      </c>
      <c r="O48" s="99">
        <f t="shared" si="2"/>
        <v>0</v>
      </c>
      <c r="P48" s="99">
        <f t="shared" si="3"/>
        <v>89223610169</v>
      </c>
      <c r="Q48" s="99">
        <f t="shared" si="0"/>
        <v>0</v>
      </c>
      <c r="R48" s="96" t="s">
        <v>242</v>
      </c>
      <c r="S48" s="98">
        <f t="shared" si="4"/>
        <v>0</v>
      </c>
      <c r="U48" s="5"/>
      <c r="AH48" s="102" t="s">
        <v>215</v>
      </c>
      <c r="AI48" s="144">
        <v>0</v>
      </c>
    </row>
    <row r="49" spans="1:36">
      <c r="A49">
        <v>48</v>
      </c>
      <c r="B49" s="155" t="s">
        <v>271</v>
      </c>
      <c r="C49" s="155" t="s">
        <v>923</v>
      </c>
      <c r="D49" s="156">
        <v>3717193445526</v>
      </c>
      <c r="E49" s="157">
        <v>0</v>
      </c>
      <c r="F49" s="156">
        <v>3600434826787</v>
      </c>
      <c r="G49" s="156">
        <v>116758618739</v>
      </c>
      <c r="H49" s="456">
        <v>0</v>
      </c>
      <c r="I49" s="157">
        <v>0</v>
      </c>
      <c r="J49" s="157">
        <v>0</v>
      </c>
      <c r="K49" s="157">
        <v>0</v>
      </c>
      <c r="L49" s="157">
        <v>0</v>
      </c>
      <c r="M49" s="157">
        <v>0</v>
      </c>
      <c r="N49" s="99">
        <f t="shared" si="1"/>
        <v>0</v>
      </c>
      <c r="O49" s="99">
        <f t="shared" si="2"/>
        <v>3600434826787</v>
      </c>
      <c r="P49" s="99">
        <f t="shared" si="3"/>
        <v>0</v>
      </c>
      <c r="Q49" s="99">
        <f t="shared" si="0"/>
        <v>116758618739</v>
      </c>
      <c r="R49" s="96" t="s">
        <v>247</v>
      </c>
      <c r="S49" s="98">
        <f t="shared" si="4"/>
        <v>3717193445526</v>
      </c>
      <c r="U49" s="5"/>
      <c r="AH49" s="102" t="s">
        <v>272</v>
      </c>
      <c r="AI49" s="144">
        <v>0</v>
      </c>
    </row>
    <row r="50" spans="1:36">
      <c r="A50">
        <v>49</v>
      </c>
      <c r="B50" s="155" t="s">
        <v>273</v>
      </c>
      <c r="C50" s="155" t="s">
        <v>923</v>
      </c>
      <c r="D50" s="157">
        <v>0</v>
      </c>
      <c r="E50" s="157">
        <v>0</v>
      </c>
      <c r="F50" s="157">
        <v>0</v>
      </c>
      <c r="G50" s="157">
        <v>0</v>
      </c>
      <c r="H50" s="456">
        <v>0</v>
      </c>
      <c r="I50" s="157">
        <v>0</v>
      </c>
      <c r="J50" s="157">
        <v>0</v>
      </c>
      <c r="K50" s="157">
        <v>0</v>
      </c>
      <c r="L50" s="157">
        <v>0</v>
      </c>
      <c r="M50" s="157">
        <v>0</v>
      </c>
      <c r="N50" s="99">
        <f t="shared" si="1"/>
        <v>0</v>
      </c>
      <c r="O50" s="99">
        <f t="shared" si="2"/>
        <v>0</v>
      </c>
      <c r="P50" s="99">
        <f t="shared" si="3"/>
        <v>0</v>
      </c>
      <c r="Q50" s="99">
        <f t="shared" si="0"/>
        <v>0</v>
      </c>
      <c r="S50" s="98">
        <f t="shared" si="4"/>
        <v>0</v>
      </c>
      <c r="V50" s="5"/>
      <c r="W50" s="5"/>
      <c r="X50" s="5"/>
      <c r="Y50" s="5"/>
      <c r="Z50" s="5"/>
      <c r="AA50" s="5"/>
      <c r="AB50" s="5"/>
      <c r="AH50" s="102" t="s">
        <v>274</v>
      </c>
      <c r="AI50" s="144">
        <v>0</v>
      </c>
    </row>
    <row r="51" spans="1:36">
      <c r="A51">
        <v>50</v>
      </c>
      <c r="B51" s="155" t="s">
        <v>275</v>
      </c>
      <c r="C51" s="155" t="s">
        <v>923</v>
      </c>
      <c r="D51" s="157">
        <v>0</v>
      </c>
      <c r="E51" s="157">
        <v>0</v>
      </c>
      <c r="F51" s="157">
        <v>0</v>
      </c>
      <c r="G51" s="157">
        <v>0</v>
      </c>
      <c r="H51" s="456">
        <v>0</v>
      </c>
      <c r="I51" s="157">
        <v>0</v>
      </c>
      <c r="J51" s="157">
        <v>0</v>
      </c>
      <c r="K51" s="157">
        <v>0</v>
      </c>
      <c r="L51" s="157">
        <v>0</v>
      </c>
      <c r="M51" s="157">
        <v>0</v>
      </c>
      <c r="N51" s="99">
        <f t="shared" si="1"/>
        <v>0</v>
      </c>
      <c r="O51" s="99">
        <f t="shared" si="2"/>
        <v>0</v>
      </c>
      <c r="P51" s="99">
        <f t="shared" si="3"/>
        <v>0</v>
      </c>
      <c r="Q51" s="99">
        <f t="shared" si="0"/>
        <v>0</v>
      </c>
      <c r="S51" s="98">
        <f t="shared" si="4"/>
        <v>0</v>
      </c>
      <c r="AH51" s="102" t="s">
        <v>276</v>
      </c>
      <c r="AI51" s="144">
        <v>0</v>
      </c>
    </row>
    <row r="52" spans="1:36">
      <c r="A52">
        <v>51</v>
      </c>
      <c r="B52" s="155" t="s">
        <v>277</v>
      </c>
      <c r="C52" s="155" t="s">
        <v>923</v>
      </c>
      <c r="D52" s="157">
        <v>0</v>
      </c>
      <c r="E52" s="157">
        <v>0</v>
      </c>
      <c r="F52" s="157">
        <v>0</v>
      </c>
      <c r="G52" s="157">
        <v>0</v>
      </c>
      <c r="H52" s="456">
        <v>0</v>
      </c>
      <c r="I52" s="157">
        <v>0</v>
      </c>
      <c r="J52" s="157">
        <v>0</v>
      </c>
      <c r="K52" s="157">
        <v>0</v>
      </c>
      <c r="L52" s="157">
        <v>0</v>
      </c>
      <c r="M52" s="157">
        <v>0</v>
      </c>
      <c r="N52" s="99">
        <f t="shared" si="1"/>
        <v>0</v>
      </c>
      <c r="O52" s="99">
        <f t="shared" si="2"/>
        <v>0</v>
      </c>
      <c r="P52" s="99">
        <f t="shared" si="3"/>
        <v>0</v>
      </c>
      <c r="Q52" s="99">
        <f t="shared" si="0"/>
        <v>0</v>
      </c>
      <c r="R52" s="96" t="s">
        <v>135</v>
      </c>
      <c r="S52" s="98">
        <f t="shared" si="4"/>
        <v>0</v>
      </c>
      <c r="AH52" s="102" t="s">
        <v>278</v>
      </c>
      <c r="AI52" s="144">
        <v>0</v>
      </c>
    </row>
    <row r="53" spans="1:36">
      <c r="A53">
        <v>52</v>
      </c>
      <c r="B53" s="155" t="s">
        <v>279</v>
      </c>
      <c r="C53" s="155" t="s">
        <v>923</v>
      </c>
      <c r="D53" s="157">
        <v>0</v>
      </c>
      <c r="E53" s="157">
        <v>0</v>
      </c>
      <c r="F53" s="157">
        <v>0</v>
      </c>
      <c r="G53" s="157">
        <v>0</v>
      </c>
      <c r="H53" s="456">
        <v>0</v>
      </c>
      <c r="I53" s="157">
        <v>0</v>
      </c>
      <c r="J53" s="157">
        <v>0</v>
      </c>
      <c r="K53" s="157">
        <v>0</v>
      </c>
      <c r="L53" s="157">
        <v>0</v>
      </c>
      <c r="M53" s="157">
        <v>0</v>
      </c>
      <c r="N53" s="99">
        <f t="shared" si="1"/>
        <v>0</v>
      </c>
      <c r="O53" s="99">
        <f t="shared" si="2"/>
        <v>0</v>
      </c>
      <c r="P53" s="99">
        <f t="shared" si="3"/>
        <v>0</v>
      </c>
      <c r="Q53" s="99">
        <f t="shared" si="0"/>
        <v>0</v>
      </c>
      <c r="S53" s="98">
        <f t="shared" si="4"/>
        <v>0</v>
      </c>
      <c r="V53" s="105" t="s">
        <v>280</v>
      </c>
      <c r="W53" s="5"/>
      <c r="X53" s="5"/>
      <c r="Y53" s="5"/>
      <c r="Z53" s="5"/>
      <c r="AA53" s="5"/>
      <c r="AB53" s="5"/>
      <c r="AH53" s="102" t="s">
        <v>281</v>
      </c>
      <c r="AI53" s="144">
        <v>0</v>
      </c>
    </row>
    <row r="54" spans="1:36">
      <c r="A54">
        <v>53</v>
      </c>
      <c r="B54" s="155" t="s">
        <v>282</v>
      </c>
      <c r="C54" s="155" t="s">
        <v>923</v>
      </c>
      <c r="D54" s="156">
        <v>11663557366015</v>
      </c>
      <c r="E54" s="157">
        <v>0</v>
      </c>
      <c r="F54" s="157">
        <v>0</v>
      </c>
      <c r="G54" s="157">
        <v>0</v>
      </c>
      <c r="H54" s="455">
        <v>11663557366015</v>
      </c>
      <c r="I54" s="156">
        <v>1317329907423</v>
      </c>
      <c r="J54" s="157">
        <v>0</v>
      </c>
      <c r="K54" s="157">
        <v>0</v>
      </c>
      <c r="L54" s="156">
        <v>1039363952202</v>
      </c>
      <c r="M54" s="156">
        <v>9306863506390</v>
      </c>
      <c r="N54" s="99">
        <f t="shared" si="1"/>
        <v>10624193413813</v>
      </c>
      <c r="O54" s="99">
        <f t="shared" si="2"/>
        <v>0</v>
      </c>
      <c r="P54" s="99">
        <f t="shared" si="3"/>
        <v>1039363952202</v>
      </c>
      <c r="Q54" s="99">
        <f t="shared" si="0"/>
        <v>0</v>
      </c>
      <c r="R54" s="96" t="s">
        <v>112</v>
      </c>
      <c r="S54" s="98">
        <f t="shared" si="4"/>
        <v>0</v>
      </c>
      <c r="W54" s="5"/>
      <c r="X54" s="5"/>
      <c r="Y54" s="5"/>
      <c r="Z54" s="5"/>
      <c r="AA54" s="5"/>
      <c r="AB54" s="106" t="s">
        <v>283</v>
      </c>
      <c r="AH54" s="102" t="s">
        <v>284</v>
      </c>
      <c r="AI54" s="144">
        <v>0</v>
      </c>
    </row>
    <row r="55" spans="1:36" ht="30">
      <c r="A55">
        <v>54</v>
      </c>
      <c r="B55" s="155" t="s">
        <v>285</v>
      </c>
      <c r="C55" s="155" t="s">
        <v>923</v>
      </c>
      <c r="D55" s="157">
        <v>0</v>
      </c>
      <c r="E55" s="157">
        <v>0</v>
      </c>
      <c r="F55" s="157">
        <v>0</v>
      </c>
      <c r="G55" s="157">
        <v>0</v>
      </c>
      <c r="H55" s="456">
        <v>0</v>
      </c>
      <c r="I55" s="157">
        <v>0</v>
      </c>
      <c r="J55" s="157">
        <v>0</v>
      </c>
      <c r="K55" s="157">
        <v>0</v>
      </c>
      <c r="L55" s="157">
        <v>0</v>
      </c>
      <c r="M55" s="157">
        <v>0</v>
      </c>
      <c r="N55" s="99">
        <f t="shared" si="1"/>
        <v>0</v>
      </c>
      <c r="O55" s="99">
        <f t="shared" si="2"/>
        <v>0</v>
      </c>
      <c r="P55" s="99">
        <f t="shared" si="3"/>
        <v>0</v>
      </c>
      <c r="Q55" s="99">
        <f t="shared" si="0"/>
        <v>0</v>
      </c>
      <c r="S55" s="98">
        <f t="shared" si="4"/>
        <v>0</v>
      </c>
      <c r="V55" s="810" t="s">
        <v>105</v>
      </c>
      <c r="W55" s="811"/>
      <c r="X55" s="107" t="s">
        <v>286</v>
      </c>
      <c r="Y55" s="108" t="s">
        <v>166</v>
      </c>
      <c r="Z55" s="107" t="s">
        <v>287</v>
      </c>
      <c r="AA55" s="107" t="s">
        <v>288</v>
      </c>
      <c r="AB55" s="109" t="s">
        <v>35</v>
      </c>
      <c r="AC55" t="s">
        <v>289</v>
      </c>
      <c r="AH55" s="102" t="s">
        <v>290</v>
      </c>
      <c r="AI55" s="144">
        <v>0</v>
      </c>
    </row>
    <row r="56" spans="1:36" ht="18.75" customHeight="1">
      <c r="A56">
        <v>55</v>
      </c>
      <c r="B56" s="155" t="s">
        <v>291</v>
      </c>
      <c r="C56" s="155" t="s">
        <v>923</v>
      </c>
      <c r="D56" s="157">
        <v>0</v>
      </c>
      <c r="E56" s="157">
        <v>0</v>
      </c>
      <c r="F56" s="157">
        <v>0</v>
      </c>
      <c r="G56" s="157">
        <v>0</v>
      </c>
      <c r="H56" s="456">
        <v>0</v>
      </c>
      <c r="I56" s="157">
        <v>0</v>
      </c>
      <c r="J56" s="157">
        <v>0</v>
      </c>
      <c r="K56" s="157">
        <v>0</v>
      </c>
      <c r="L56" s="157">
        <v>0</v>
      </c>
      <c r="M56" s="157">
        <v>0</v>
      </c>
      <c r="N56" s="99">
        <f t="shared" si="1"/>
        <v>0</v>
      </c>
      <c r="O56" s="99">
        <f t="shared" si="2"/>
        <v>0</v>
      </c>
      <c r="P56" s="99">
        <f t="shared" si="3"/>
        <v>0</v>
      </c>
      <c r="Q56" s="99">
        <f t="shared" si="0"/>
        <v>0</v>
      </c>
      <c r="S56" s="98">
        <f t="shared" si="4"/>
        <v>0</v>
      </c>
      <c r="V56" s="812" t="s">
        <v>292</v>
      </c>
      <c r="W56" s="813"/>
      <c r="X56" s="110">
        <f>+X29/10^8+AC72</f>
        <v>37465.910728429997</v>
      </c>
      <c r="Y56" s="111">
        <f t="shared" ref="Y56:AA57" si="8">+Y29/10^8</f>
        <v>124090.35815701001</v>
      </c>
      <c r="Z56" s="111">
        <f t="shared" si="8"/>
        <v>4692.4320619</v>
      </c>
      <c r="AA56" s="111">
        <f t="shared" si="8"/>
        <v>3193.9957298200002</v>
      </c>
      <c r="AB56" s="112">
        <f>+AB29/10^8+AC72</f>
        <v>169442.69667715998</v>
      </c>
      <c r="AC56" s="103">
        <f>AI13/10^8</f>
        <v>159191.60828799001</v>
      </c>
      <c r="AH56" s="102" t="s">
        <v>293</v>
      </c>
      <c r="AI56" s="144">
        <v>0</v>
      </c>
    </row>
    <row r="57" spans="1:36" ht="18.75" customHeight="1">
      <c r="A57">
        <v>56</v>
      </c>
      <c r="B57" s="155" t="s">
        <v>294</v>
      </c>
      <c r="C57" s="155" t="s">
        <v>923</v>
      </c>
      <c r="D57" s="157">
        <v>0</v>
      </c>
      <c r="E57" s="157">
        <v>0</v>
      </c>
      <c r="F57" s="157">
        <v>0</v>
      </c>
      <c r="G57" s="157">
        <v>0</v>
      </c>
      <c r="H57" s="456">
        <v>0</v>
      </c>
      <c r="I57" s="157">
        <v>0</v>
      </c>
      <c r="J57" s="157">
        <v>0</v>
      </c>
      <c r="K57" s="157">
        <v>0</v>
      </c>
      <c r="L57" s="157">
        <v>0</v>
      </c>
      <c r="M57" s="157">
        <v>0</v>
      </c>
      <c r="N57" s="99">
        <f t="shared" si="1"/>
        <v>0</v>
      </c>
      <c r="O57" s="99">
        <f t="shared" si="2"/>
        <v>0</v>
      </c>
      <c r="P57" s="99">
        <f t="shared" si="3"/>
        <v>0</v>
      </c>
      <c r="Q57" s="99">
        <f t="shared" si="0"/>
        <v>0</v>
      </c>
      <c r="S57" s="98">
        <f t="shared" si="4"/>
        <v>0</v>
      </c>
      <c r="V57" s="113"/>
      <c r="W57" s="114" t="s">
        <v>234</v>
      </c>
      <c r="X57" s="115">
        <f>+X30/10^8</f>
        <v>2483.0087822599999</v>
      </c>
      <c r="Y57" s="115">
        <f t="shared" si="8"/>
        <v>0</v>
      </c>
      <c r="Z57" s="115">
        <f t="shared" si="8"/>
        <v>58.390490829999997</v>
      </c>
      <c r="AA57" s="115">
        <f t="shared" si="8"/>
        <v>0</v>
      </c>
      <c r="AB57" s="116">
        <f>+AB30/10^8</f>
        <v>2541.39927309</v>
      </c>
      <c r="AC57" s="117">
        <f>(AI16+AI20)/10^8</f>
        <v>2960.1929312299999</v>
      </c>
      <c r="AH57" s="102" t="s">
        <v>295</v>
      </c>
      <c r="AI57" s="144">
        <v>0</v>
      </c>
    </row>
    <row r="58" spans="1:36" ht="18.75" customHeight="1">
      <c r="A58">
        <v>57</v>
      </c>
      <c r="B58" s="155" t="s">
        <v>296</v>
      </c>
      <c r="C58" s="155" t="s">
        <v>923</v>
      </c>
      <c r="D58" s="157">
        <v>0</v>
      </c>
      <c r="E58" s="157">
        <v>0</v>
      </c>
      <c r="F58" s="157">
        <v>0</v>
      </c>
      <c r="G58" s="157">
        <v>0</v>
      </c>
      <c r="H58" s="456">
        <v>0</v>
      </c>
      <c r="I58" s="157">
        <v>0</v>
      </c>
      <c r="J58" s="157">
        <v>0</v>
      </c>
      <c r="K58" s="157">
        <v>0</v>
      </c>
      <c r="L58" s="157">
        <v>0</v>
      </c>
      <c r="M58" s="157">
        <v>0</v>
      </c>
      <c r="N58" s="99">
        <f t="shared" si="1"/>
        <v>0</v>
      </c>
      <c r="O58" s="99">
        <f t="shared" si="2"/>
        <v>0</v>
      </c>
      <c r="P58" s="99">
        <f t="shared" si="3"/>
        <v>0</v>
      </c>
      <c r="Q58" s="99">
        <f t="shared" si="0"/>
        <v>0</v>
      </c>
      <c r="V58" s="113"/>
      <c r="W58" s="118" t="s">
        <v>116</v>
      </c>
      <c r="X58" s="119">
        <f>+X57/X$56</f>
        <v>6.6273813554352912E-2</v>
      </c>
      <c r="Y58" s="119">
        <f t="shared" ref="Y58:AA58" si="9">+Y57/Y$56</f>
        <v>0</v>
      </c>
      <c r="Z58" s="119">
        <f t="shared" si="9"/>
        <v>1.2443545278811615E-2</v>
      </c>
      <c r="AA58" s="119">
        <f t="shared" si="9"/>
        <v>0</v>
      </c>
      <c r="AB58" s="120">
        <f>+AB57/AB$56</f>
        <v>1.4998576645248634E-2</v>
      </c>
      <c r="AH58" s="102" t="s">
        <v>297</v>
      </c>
      <c r="AI58" s="144">
        <v>0</v>
      </c>
    </row>
    <row r="59" spans="1:36" ht="18.75" customHeight="1">
      <c r="A59">
        <v>58</v>
      </c>
      <c r="B59" s="155" t="s">
        <v>298</v>
      </c>
      <c r="C59" s="155" t="s">
        <v>923</v>
      </c>
      <c r="D59" s="156">
        <v>7140769809852</v>
      </c>
      <c r="E59" s="157">
        <v>0</v>
      </c>
      <c r="F59" s="157">
        <v>0</v>
      </c>
      <c r="G59" s="157">
        <v>0</v>
      </c>
      <c r="H59" s="455">
        <v>7140769809852</v>
      </c>
      <c r="I59" s="156">
        <v>602763815753</v>
      </c>
      <c r="J59" s="157">
        <v>0</v>
      </c>
      <c r="K59" s="157">
        <v>0</v>
      </c>
      <c r="L59" s="156">
        <v>139387330087</v>
      </c>
      <c r="M59" s="156">
        <v>6398618664012</v>
      </c>
      <c r="N59" s="99">
        <f t="shared" si="1"/>
        <v>7001382479765</v>
      </c>
      <c r="O59" s="99">
        <f t="shared" si="2"/>
        <v>0</v>
      </c>
      <c r="P59" s="99">
        <f t="shared" si="3"/>
        <v>139387330087</v>
      </c>
      <c r="Q59" s="99">
        <f t="shared" si="0"/>
        <v>0</v>
      </c>
      <c r="V59" s="113"/>
      <c r="W59" s="114" t="s">
        <v>237</v>
      </c>
      <c r="X59" s="115">
        <f>+X31/10^8</f>
        <v>29.47581624</v>
      </c>
      <c r="Y59" s="115">
        <f t="shared" ref="Y59:AA59" si="10">+Y31/10^8</f>
        <v>26397.701861369998</v>
      </c>
      <c r="Z59" s="115">
        <f t="shared" si="10"/>
        <v>65.055151820000006</v>
      </c>
      <c r="AA59" s="115">
        <f t="shared" si="10"/>
        <v>1111.9588589800001</v>
      </c>
      <c r="AB59" s="116">
        <f>+AB31/10^8</f>
        <v>27604.191688409999</v>
      </c>
      <c r="AC59" s="121">
        <f>SUMIFS(AI:AI,AJ:AJ,W59)/10^8</f>
        <v>22485.08865247</v>
      </c>
      <c r="AH59" s="102" t="s">
        <v>299</v>
      </c>
      <c r="AI59" s="144">
        <v>0</v>
      </c>
    </row>
    <row r="60" spans="1:36" ht="18.75" customHeight="1">
      <c r="A60">
        <v>59</v>
      </c>
      <c r="B60" s="155" t="s">
        <v>300</v>
      </c>
      <c r="C60" s="155" t="s">
        <v>923</v>
      </c>
      <c r="D60" s="156">
        <v>7140769809852</v>
      </c>
      <c r="E60" s="157">
        <v>0</v>
      </c>
      <c r="F60" s="157">
        <v>0</v>
      </c>
      <c r="G60" s="157">
        <v>0</v>
      </c>
      <c r="H60" s="455">
        <v>7140769809852</v>
      </c>
      <c r="I60" s="156">
        <v>602763815753</v>
      </c>
      <c r="J60" s="157">
        <v>0</v>
      </c>
      <c r="K60" s="157">
        <v>0</v>
      </c>
      <c r="L60" s="156">
        <v>139387330087</v>
      </c>
      <c r="M60" s="156">
        <v>6398618664012</v>
      </c>
      <c r="N60" s="99">
        <f t="shared" si="1"/>
        <v>7001382479765</v>
      </c>
      <c r="O60" s="99">
        <f t="shared" si="2"/>
        <v>0</v>
      </c>
      <c r="P60" s="99">
        <f t="shared" si="3"/>
        <v>139387330087</v>
      </c>
      <c r="Q60" s="99">
        <f t="shared" si="0"/>
        <v>0</v>
      </c>
      <c r="V60" s="113"/>
      <c r="W60" s="118" t="s">
        <v>116</v>
      </c>
      <c r="X60" s="119">
        <f>+X59/X$56</f>
        <v>7.8673694745215602E-4</v>
      </c>
      <c r="Y60" s="119">
        <f t="shared" ref="Y60:AA60" si="11">+Y59/Y$56</f>
        <v>0.21272967741755819</v>
      </c>
      <c r="Z60" s="119">
        <f t="shared" si="11"/>
        <v>1.38638452218014E-2</v>
      </c>
      <c r="AA60" s="119">
        <f t="shared" si="11"/>
        <v>0.34814037119663438</v>
      </c>
      <c r="AB60" s="120">
        <f>+AB59/AB$56</f>
        <v>0.16291166411854507</v>
      </c>
      <c r="AH60" s="102" t="s">
        <v>301</v>
      </c>
      <c r="AI60" s="144">
        <v>0</v>
      </c>
    </row>
    <row r="61" spans="1:36" ht="18.75" customHeight="1">
      <c r="A61">
        <v>60</v>
      </c>
      <c r="B61" s="155" t="s">
        <v>302</v>
      </c>
      <c r="C61" s="155" t="s">
        <v>923</v>
      </c>
      <c r="D61" s="157">
        <v>0</v>
      </c>
      <c r="E61" s="157">
        <v>0</v>
      </c>
      <c r="F61" s="157">
        <v>0</v>
      </c>
      <c r="G61" s="157">
        <v>0</v>
      </c>
      <c r="H61" s="456">
        <v>0</v>
      </c>
      <c r="I61" s="157">
        <v>0</v>
      </c>
      <c r="J61" s="157">
        <v>0</v>
      </c>
      <c r="K61" s="157">
        <v>0</v>
      </c>
      <c r="L61" s="157">
        <v>0</v>
      </c>
      <c r="M61" s="157">
        <v>0</v>
      </c>
      <c r="N61" s="99">
        <f t="shared" si="1"/>
        <v>0</v>
      </c>
      <c r="O61" s="99">
        <f t="shared" si="2"/>
        <v>0</v>
      </c>
      <c r="P61" s="99">
        <f t="shared" si="3"/>
        <v>0</v>
      </c>
      <c r="Q61" s="99">
        <f t="shared" si="0"/>
        <v>0</v>
      </c>
      <c r="V61" s="113"/>
      <c r="W61" s="114" t="s">
        <v>211</v>
      </c>
      <c r="X61" s="115">
        <f>+X32/10^8</f>
        <v>1410.74270673</v>
      </c>
      <c r="Y61" s="115">
        <f t="shared" ref="Y61:AA61" si="12">+Y32/10^8</f>
        <v>0</v>
      </c>
      <c r="Z61" s="115">
        <f t="shared" si="12"/>
        <v>9.9785839999999997</v>
      </c>
      <c r="AA61" s="115">
        <f t="shared" si="12"/>
        <v>0</v>
      </c>
      <c r="AB61" s="116">
        <f>+AB32/10^8</f>
        <v>1420.72129073</v>
      </c>
      <c r="AC61" s="121">
        <f>SUMIFS(AI:AI,AJ:AJ,W61)/10^8</f>
        <v>735.46694702000002</v>
      </c>
      <c r="AH61" s="102" t="s">
        <v>303</v>
      </c>
      <c r="AI61" s="144">
        <v>0</v>
      </c>
    </row>
    <row r="62" spans="1:36" ht="18.75" customHeight="1">
      <c r="A62">
        <v>61</v>
      </c>
      <c r="B62" s="155" t="s">
        <v>304</v>
      </c>
      <c r="C62" s="155" t="s">
        <v>923</v>
      </c>
      <c r="D62" s="156">
        <v>2590372890919</v>
      </c>
      <c r="E62" s="157">
        <v>0</v>
      </c>
      <c r="F62" s="157">
        <v>0</v>
      </c>
      <c r="G62" s="157">
        <v>0</v>
      </c>
      <c r="H62" s="455">
        <v>2590372890919</v>
      </c>
      <c r="I62" s="156">
        <v>485216719575</v>
      </c>
      <c r="J62" s="157">
        <v>0</v>
      </c>
      <c r="K62" s="157">
        <v>0</v>
      </c>
      <c r="L62" s="156">
        <v>571113739998</v>
      </c>
      <c r="M62" s="156">
        <v>1534042431346</v>
      </c>
      <c r="N62" s="99">
        <f t="shared" si="1"/>
        <v>2019259150921</v>
      </c>
      <c r="O62" s="99">
        <f t="shared" si="2"/>
        <v>0</v>
      </c>
      <c r="P62" s="99">
        <f t="shared" si="3"/>
        <v>571113739998</v>
      </c>
      <c r="Q62" s="99">
        <f t="shared" si="0"/>
        <v>0</v>
      </c>
      <c r="V62" s="113"/>
      <c r="W62" s="118" t="s">
        <v>116</v>
      </c>
      <c r="X62" s="119">
        <f>+X61/X$56</f>
        <v>3.7654034809288535E-2</v>
      </c>
      <c r="Y62" s="119">
        <f t="shared" ref="Y62:AA62" si="13">+Y61/Y$56</f>
        <v>0</v>
      </c>
      <c r="Z62" s="119">
        <f t="shared" si="13"/>
        <v>2.1265271118191954E-3</v>
      </c>
      <c r="AA62" s="119">
        <f t="shared" si="13"/>
        <v>0</v>
      </c>
      <c r="AB62" s="120">
        <f>+AB61/AB$56</f>
        <v>8.3846711519051619E-3</v>
      </c>
      <c r="AH62" s="102" t="s">
        <v>305</v>
      </c>
      <c r="AI62" s="144">
        <v>0</v>
      </c>
    </row>
    <row r="63" spans="1:36" ht="18.75" customHeight="1">
      <c r="A63">
        <v>62</v>
      </c>
      <c r="B63" s="155" t="s">
        <v>306</v>
      </c>
      <c r="C63" s="155" t="s">
        <v>923</v>
      </c>
      <c r="D63" s="156">
        <v>140392002912</v>
      </c>
      <c r="E63" s="157">
        <v>0</v>
      </c>
      <c r="F63" s="157">
        <v>0</v>
      </c>
      <c r="G63" s="157">
        <v>0</v>
      </c>
      <c r="H63" s="455">
        <v>140392002912</v>
      </c>
      <c r="I63" s="156">
        <v>50093105406</v>
      </c>
      <c r="J63" s="157">
        <v>0</v>
      </c>
      <c r="K63" s="157">
        <v>0</v>
      </c>
      <c r="L63" s="156">
        <v>90298897506</v>
      </c>
      <c r="M63" s="157">
        <v>0</v>
      </c>
      <c r="N63" s="99">
        <f t="shared" si="1"/>
        <v>50093105406</v>
      </c>
      <c r="O63" s="99">
        <f t="shared" si="2"/>
        <v>0</v>
      </c>
      <c r="P63" s="99">
        <f t="shared" si="3"/>
        <v>90298897506</v>
      </c>
      <c r="Q63" s="99">
        <f t="shared" si="0"/>
        <v>0</v>
      </c>
      <c r="V63" s="113"/>
      <c r="W63" s="114" t="s">
        <v>242</v>
      </c>
      <c r="X63" s="115">
        <f>+X33/10^8</f>
        <v>0</v>
      </c>
      <c r="Y63" s="115">
        <f t="shared" ref="Y63:AA63" si="14">+Y33/10^8</f>
        <v>0</v>
      </c>
      <c r="Z63" s="115">
        <f t="shared" si="14"/>
        <v>892.23610169000005</v>
      </c>
      <c r="AA63" s="115">
        <f t="shared" si="14"/>
        <v>0</v>
      </c>
      <c r="AB63" s="116">
        <f>+AB33/10^8</f>
        <v>892.23610169000005</v>
      </c>
      <c r="AC63" s="121">
        <f>SUMIFS(AI:AI,AJ:AJ,W63)/10^8</f>
        <v>800.54741433000004</v>
      </c>
      <c r="AH63" s="102" t="s">
        <v>307</v>
      </c>
      <c r="AI63" s="144">
        <v>269181079571</v>
      </c>
      <c r="AJ63" t="s">
        <v>308</v>
      </c>
    </row>
    <row r="64" spans="1:36" ht="18.75" customHeight="1">
      <c r="A64">
        <v>63</v>
      </c>
      <c r="B64" s="155" t="s">
        <v>309</v>
      </c>
      <c r="C64" s="155" t="s">
        <v>923</v>
      </c>
      <c r="D64" s="156">
        <v>464177002278</v>
      </c>
      <c r="E64" s="157">
        <v>0</v>
      </c>
      <c r="F64" s="157">
        <v>0</v>
      </c>
      <c r="G64" s="157">
        <v>0</v>
      </c>
      <c r="H64" s="455">
        <v>464177002278</v>
      </c>
      <c r="I64" s="156">
        <v>148859876002</v>
      </c>
      <c r="J64" s="157">
        <v>0</v>
      </c>
      <c r="K64" s="157">
        <v>0</v>
      </c>
      <c r="L64" s="156">
        <v>238563984611</v>
      </c>
      <c r="M64" s="156">
        <v>76753141665</v>
      </c>
      <c r="N64" s="99">
        <f t="shared" si="1"/>
        <v>225613017667</v>
      </c>
      <c r="O64" s="99">
        <f t="shared" si="2"/>
        <v>0</v>
      </c>
      <c r="P64" s="99">
        <f t="shared" si="3"/>
        <v>238563984611</v>
      </c>
      <c r="Q64" s="99">
        <f t="shared" si="0"/>
        <v>0</v>
      </c>
      <c r="V64" s="113"/>
      <c r="W64" s="118" t="s">
        <v>116</v>
      </c>
      <c r="X64" s="119">
        <f>+X63/X$56</f>
        <v>0</v>
      </c>
      <c r="Y64" s="119">
        <f t="shared" ref="Y64:AA64" si="15">+Y63/Y$56</f>
        <v>0</v>
      </c>
      <c r="Z64" s="119">
        <f t="shared" si="15"/>
        <v>0.19014363765316342</v>
      </c>
      <c r="AA64" s="119">
        <f t="shared" si="15"/>
        <v>0</v>
      </c>
      <c r="AB64" s="120">
        <f>+AB63/AB$56</f>
        <v>5.2657099962825898E-3</v>
      </c>
      <c r="AH64" s="102" t="s">
        <v>310</v>
      </c>
      <c r="AI64" s="144">
        <v>269181079571</v>
      </c>
    </row>
    <row r="65" spans="1:35" ht="18.75" customHeight="1">
      <c r="A65">
        <v>64</v>
      </c>
      <c r="B65" s="155" t="s">
        <v>311</v>
      </c>
      <c r="C65" s="155" t="s">
        <v>923</v>
      </c>
      <c r="D65" s="157">
        <v>0</v>
      </c>
      <c r="E65" s="157">
        <v>0</v>
      </c>
      <c r="F65" s="157">
        <v>0</v>
      </c>
      <c r="G65" s="157">
        <v>0</v>
      </c>
      <c r="H65" s="456">
        <v>0</v>
      </c>
      <c r="I65" s="157">
        <v>0</v>
      </c>
      <c r="J65" s="157">
        <v>0</v>
      </c>
      <c r="K65" s="157">
        <v>0</v>
      </c>
      <c r="L65" s="157">
        <v>0</v>
      </c>
      <c r="M65" s="157">
        <v>0</v>
      </c>
      <c r="N65" s="99">
        <f t="shared" si="1"/>
        <v>0</v>
      </c>
      <c r="O65" s="99">
        <f t="shared" si="2"/>
        <v>0</v>
      </c>
      <c r="P65" s="99">
        <f t="shared" si="3"/>
        <v>0</v>
      </c>
      <c r="Q65" s="99">
        <f t="shared" si="0"/>
        <v>0</v>
      </c>
      <c r="V65" s="113"/>
      <c r="W65" s="114" t="s">
        <v>231</v>
      </c>
      <c r="X65" s="115">
        <f>+X34/10^8</f>
        <v>33093.736028849999</v>
      </c>
      <c r="Y65" s="115">
        <f t="shared" ref="Y65:AA65" si="16">+Y34/10^8</f>
        <v>61688.308027769999</v>
      </c>
      <c r="Z65" s="115">
        <f t="shared" si="16"/>
        <v>3666.77173356</v>
      </c>
      <c r="AA65" s="115">
        <f t="shared" si="16"/>
        <v>914.45068345000004</v>
      </c>
      <c r="AB65" s="116">
        <f>+AB34/10^8</f>
        <v>99363.266473630007</v>
      </c>
      <c r="AC65" s="121">
        <f>SUMIFS(AI:AI,AJ:AJ,W65)/10^8</f>
        <v>98218.587186329998</v>
      </c>
      <c r="AH65" s="102" t="s">
        <v>312</v>
      </c>
      <c r="AI65" s="144">
        <v>57492384007</v>
      </c>
    </row>
    <row r="66" spans="1:35" ht="18.75" customHeight="1">
      <c r="A66">
        <v>65</v>
      </c>
      <c r="B66" s="155" t="s">
        <v>313</v>
      </c>
      <c r="C66" s="155" t="s">
        <v>923</v>
      </c>
      <c r="D66" s="156">
        <v>464177002278</v>
      </c>
      <c r="E66" s="157">
        <v>0</v>
      </c>
      <c r="F66" s="157">
        <v>0</v>
      </c>
      <c r="G66" s="157">
        <v>0</v>
      </c>
      <c r="H66" s="455">
        <v>464177002278</v>
      </c>
      <c r="I66" s="156">
        <v>148859876002</v>
      </c>
      <c r="J66" s="157">
        <v>0</v>
      </c>
      <c r="K66" s="157">
        <v>0</v>
      </c>
      <c r="L66" s="156">
        <v>238563984611</v>
      </c>
      <c r="M66" s="156">
        <v>76753141665</v>
      </c>
      <c r="N66" s="99">
        <f t="shared" si="1"/>
        <v>225613017667</v>
      </c>
      <c r="O66" s="99">
        <f t="shared" ref="O66:O129" si="17">+F66</f>
        <v>0</v>
      </c>
      <c r="P66" s="99">
        <f t="shared" si="3"/>
        <v>238563984611</v>
      </c>
      <c r="Q66" s="99">
        <f t="shared" ref="Q66:Q129" si="18">+G66</f>
        <v>0</v>
      </c>
      <c r="V66" s="113"/>
      <c r="W66" s="118" t="s">
        <v>116</v>
      </c>
      <c r="X66" s="119">
        <f>+X65/X$56</f>
        <v>0.88330259122028254</v>
      </c>
      <c r="Y66" s="119">
        <f t="shared" ref="Y66:AA66" si="19">+Y65/Y$56</f>
        <v>0.49712410330637086</v>
      </c>
      <c r="Z66" s="119">
        <f t="shared" si="19"/>
        <v>0.78142244473440436</v>
      </c>
      <c r="AA66" s="119">
        <f t="shared" si="19"/>
        <v>0.28630303882764885</v>
      </c>
      <c r="AB66" s="120">
        <f>+AB65/AB$56</f>
        <v>0.58641221145663969</v>
      </c>
      <c r="AH66" s="102" t="s">
        <v>314</v>
      </c>
      <c r="AI66" s="144">
        <v>0</v>
      </c>
    </row>
    <row r="67" spans="1:35" ht="18.75" customHeight="1">
      <c r="A67">
        <v>66</v>
      </c>
      <c r="B67" s="155" t="s">
        <v>315</v>
      </c>
      <c r="C67" s="155" t="s">
        <v>923</v>
      </c>
      <c r="D67" s="157">
        <v>0</v>
      </c>
      <c r="E67" s="157">
        <v>0</v>
      </c>
      <c r="F67" s="157">
        <v>0</v>
      </c>
      <c r="G67" s="157">
        <v>0</v>
      </c>
      <c r="H67" s="456">
        <v>0</v>
      </c>
      <c r="I67" s="157">
        <v>0</v>
      </c>
      <c r="J67" s="157">
        <v>0</v>
      </c>
      <c r="K67" s="157">
        <v>0</v>
      </c>
      <c r="L67" s="157">
        <v>0</v>
      </c>
      <c r="M67" s="157">
        <v>0</v>
      </c>
      <c r="N67" s="99">
        <f t="shared" ref="N67:N130" si="20">+M67+I67+J67</f>
        <v>0</v>
      </c>
      <c r="O67" s="99">
        <f t="shared" si="17"/>
        <v>0</v>
      </c>
      <c r="P67" s="99">
        <f t="shared" ref="P67:P130" si="21">+K67+L67</f>
        <v>0</v>
      </c>
      <c r="Q67" s="99">
        <f t="shared" si="18"/>
        <v>0</v>
      </c>
      <c r="V67" s="113"/>
      <c r="W67" s="114" t="s">
        <v>247</v>
      </c>
      <c r="X67" s="115">
        <f>+X35/10^8</f>
        <v>0</v>
      </c>
      <c r="Y67" s="115">
        <f t="shared" ref="Y67:AA67" si="22">+Y35/10^8</f>
        <v>36004.348267870002</v>
      </c>
      <c r="Z67" s="115">
        <f t="shared" si="22"/>
        <v>0</v>
      </c>
      <c r="AA67" s="115">
        <f t="shared" si="22"/>
        <v>1167.5861873900001</v>
      </c>
      <c r="AB67" s="116">
        <f>+AB35/10^8</f>
        <v>37171.934455260001</v>
      </c>
      <c r="AC67" s="121">
        <f>SUMIFS(AI:AI,AJ:AJ,W67)/10^8</f>
        <v>24691.873611809999</v>
      </c>
      <c r="AH67" s="102" t="s">
        <v>316</v>
      </c>
      <c r="AI67" s="144">
        <v>9715857505</v>
      </c>
    </row>
    <row r="68" spans="1:35" ht="18.75" customHeight="1">
      <c r="A68">
        <v>67</v>
      </c>
      <c r="B68" s="155" t="s">
        <v>317</v>
      </c>
      <c r="C68" s="155" t="s">
        <v>923</v>
      </c>
      <c r="D68" s="156">
        <v>1327845660054</v>
      </c>
      <c r="E68" s="157">
        <v>0</v>
      </c>
      <c r="F68" s="157">
        <v>0</v>
      </c>
      <c r="G68" s="157">
        <v>0</v>
      </c>
      <c r="H68" s="455">
        <v>1327845660054</v>
      </c>
      <c r="I68" s="156">
        <v>30396390687</v>
      </c>
      <c r="J68" s="157">
        <v>0</v>
      </c>
      <c r="K68" s="157">
        <v>0</v>
      </c>
      <c r="L68" s="157">
        <v>0</v>
      </c>
      <c r="M68" s="156">
        <v>1297449269367</v>
      </c>
      <c r="N68" s="99">
        <f t="shared" si="20"/>
        <v>1327845660054</v>
      </c>
      <c r="O68" s="99">
        <f t="shared" si="17"/>
        <v>0</v>
      </c>
      <c r="P68" s="99">
        <f t="shared" si="21"/>
        <v>0</v>
      </c>
      <c r="Q68" s="99">
        <f t="shared" si="18"/>
        <v>0</v>
      </c>
      <c r="V68" s="113"/>
      <c r="W68" s="118" t="s">
        <v>116</v>
      </c>
      <c r="X68" s="119">
        <f>+X67/X$56</f>
        <v>0</v>
      </c>
      <c r="Y68" s="119">
        <f t="shared" ref="Y68:AA68" si="23">+Y67/Y$56</f>
        <v>0.29014621927607093</v>
      </c>
      <c r="Z68" s="119">
        <f t="shared" si="23"/>
        <v>0</v>
      </c>
      <c r="AA68" s="119">
        <f t="shared" si="23"/>
        <v>0.36555658997571677</v>
      </c>
      <c r="AB68" s="120">
        <f>+AB67/AB$56</f>
        <v>0.21937761369605605</v>
      </c>
      <c r="AH68" s="102" t="s">
        <v>318</v>
      </c>
      <c r="AI68" s="144">
        <v>47776526502</v>
      </c>
    </row>
    <row r="69" spans="1:35" ht="18.75" customHeight="1">
      <c r="A69">
        <v>68</v>
      </c>
      <c r="B69" s="155" t="s">
        <v>319</v>
      </c>
      <c r="C69" s="155" t="s">
        <v>923</v>
      </c>
      <c r="D69" s="157">
        <v>0</v>
      </c>
      <c r="E69" s="157">
        <v>0</v>
      </c>
      <c r="F69" s="157">
        <v>0</v>
      </c>
      <c r="G69" s="157">
        <v>0</v>
      </c>
      <c r="H69" s="456">
        <v>0</v>
      </c>
      <c r="I69" s="157">
        <v>0</v>
      </c>
      <c r="J69" s="157">
        <v>0</v>
      </c>
      <c r="K69" s="157">
        <v>0</v>
      </c>
      <c r="L69" s="157">
        <v>0</v>
      </c>
      <c r="M69" s="157">
        <v>0</v>
      </c>
      <c r="N69" s="99">
        <f t="shared" si="20"/>
        <v>0</v>
      </c>
      <c r="O69" s="99">
        <f t="shared" si="17"/>
        <v>0</v>
      </c>
      <c r="P69" s="99">
        <f t="shared" si="21"/>
        <v>0</v>
      </c>
      <c r="Q69" s="99">
        <f t="shared" si="18"/>
        <v>0</v>
      </c>
      <c r="V69" s="113"/>
      <c r="W69" s="114" t="s">
        <v>135</v>
      </c>
      <c r="X69" s="122">
        <f>+X36/10^8+AC72</f>
        <v>448.94739435000002</v>
      </c>
      <c r="Y69" s="123">
        <f t="shared" ref="Y69:AA69" si="24">+Y36/10^8</f>
        <v>0</v>
      </c>
      <c r="Z69" s="123">
        <f t="shared" si="24"/>
        <v>0</v>
      </c>
      <c r="AA69" s="123">
        <f t="shared" si="24"/>
        <v>0</v>
      </c>
      <c r="AB69" s="124">
        <f>+AB36/10^8+AC72</f>
        <v>448.94739435000002</v>
      </c>
      <c r="AC69" s="121">
        <f>SUMIFS(AI:AI,AJ:AJ,W69)/10^8</f>
        <v>0</v>
      </c>
      <c r="AH69" s="102" t="s">
        <v>320</v>
      </c>
      <c r="AI69" s="144">
        <v>211688695564</v>
      </c>
    </row>
    <row r="70" spans="1:35" ht="18.75" customHeight="1">
      <c r="A70">
        <v>69</v>
      </c>
      <c r="B70" s="155" t="s">
        <v>321</v>
      </c>
      <c r="C70" s="155" t="s">
        <v>923</v>
      </c>
      <c r="D70" s="156">
        <v>1327845660054</v>
      </c>
      <c r="E70" s="157">
        <v>0</v>
      </c>
      <c r="F70" s="157">
        <v>0</v>
      </c>
      <c r="G70" s="157">
        <v>0</v>
      </c>
      <c r="H70" s="455">
        <v>1327845660054</v>
      </c>
      <c r="I70" s="156">
        <v>30396390687</v>
      </c>
      <c r="J70" s="157">
        <v>0</v>
      </c>
      <c r="K70" s="157">
        <v>0</v>
      </c>
      <c r="L70" s="157">
        <v>0</v>
      </c>
      <c r="M70" s="156">
        <v>1297449269367</v>
      </c>
      <c r="N70" s="99">
        <f t="shared" si="20"/>
        <v>1327845660054</v>
      </c>
      <c r="O70" s="99">
        <f t="shared" si="17"/>
        <v>0</v>
      </c>
      <c r="P70" s="99">
        <f t="shared" si="21"/>
        <v>0</v>
      </c>
      <c r="Q70" s="99">
        <f t="shared" si="18"/>
        <v>0</v>
      </c>
      <c r="V70" s="125"/>
      <c r="W70" s="126" t="s">
        <v>116</v>
      </c>
      <c r="X70" s="127">
        <f>+X69/X$56</f>
        <v>1.198282346862393E-2</v>
      </c>
      <c r="Y70" s="127">
        <f t="shared" ref="Y70:AA70" si="25">+Y69/Y$56</f>
        <v>0</v>
      </c>
      <c r="Z70" s="127">
        <f t="shared" si="25"/>
        <v>0</v>
      </c>
      <c r="AA70" s="127">
        <f t="shared" si="25"/>
        <v>0</v>
      </c>
      <c r="AB70" s="128">
        <f>+AB69/AB$56</f>
        <v>2.6495529353229175E-3</v>
      </c>
      <c r="AH70" s="102" t="s">
        <v>322</v>
      </c>
      <c r="AI70" s="144">
        <v>0</v>
      </c>
    </row>
    <row r="71" spans="1:35">
      <c r="A71">
        <v>70</v>
      </c>
      <c r="B71" s="155" t="s">
        <v>323</v>
      </c>
      <c r="C71" s="155" t="s">
        <v>923</v>
      </c>
      <c r="D71" s="157">
        <v>0</v>
      </c>
      <c r="E71" s="157">
        <v>0</v>
      </c>
      <c r="F71" s="157">
        <v>0</v>
      </c>
      <c r="G71" s="157">
        <v>0</v>
      </c>
      <c r="H71" s="456">
        <v>0</v>
      </c>
      <c r="I71" s="157">
        <v>0</v>
      </c>
      <c r="J71" s="157">
        <v>0</v>
      </c>
      <c r="K71" s="157">
        <v>0</v>
      </c>
      <c r="L71" s="157">
        <v>0</v>
      </c>
      <c r="M71" s="157">
        <v>0</v>
      </c>
      <c r="N71" s="99">
        <f t="shared" si="20"/>
        <v>0</v>
      </c>
      <c r="O71" s="99">
        <f t="shared" si="17"/>
        <v>0</v>
      </c>
      <c r="P71" s="99">
        <f t="shared" si="21"/>
        <v>0</v>
      </c>
      <c r="Q71" s="99">
        <f t="shared" si="18"/>
        <v>0</v>
      </c>
      <c r="V71" s="5" t="s">
        <v>324</v>
      </c>
      <c r="X71" s="5"/>
      <c r="Y71" s="5"/>
      <c r="Z71" s="5"/>
      <c r="AA71" s="5"/>
      <c r="AB71" s="5"/>
      <c r="AC71" s="121">
        <f>SUMIFS(AI:AI,AJ:AJ,AD71)/10^8</f>
        <v>2691.8107957100001</v>
      </c>
      <c r="AD71" t="s">
        <v>308</v>
      </c>
      <c r="AH71" s="102" t="s">
        <v>325</v>
      </c>
      <c r="AI71" s="144">
        <v>0</v>
      </c>
    </row>
    <row r="72" spans="1:35">
      <c r="A72">
        <v>71</v>
      </c>
      <c r="B72" s="155" t="s">
        <v>326</v>
      </c>
      <c r="C72" s="155" t="s">
        <v>923</v>
      </c>
      <c r="D72" s="157">
        <v>0</v>
      </c>
      <c r="E72" s="157">
        <v>0</v>
      </c>
      <c r="F72" s="157">
        <v>0</v>
      </c>
      <c r="G72" s="157">
        <v>0</v>
      </c>
      <c r="H72" s="456">
        <v>0</v>
      </c>
      <c r="I72" s="157">
        <v>0</v>
      </c>
      <c r="J72" s="157">
        <v>0</v>
      </c>
      <c r="K72" s="157">
        <v>0</v>
      </c>
      <c r="L72" s="157">
        <v>0</v>
      </c>
      <c r="M72" s="157">
        <v>0</v>
      </c>
      <c r="N72" s="99">
        <f t="shared" si="20"/>
        <v>0</v>
      </c>
      <c r="O72" s="99">
        <f t="shared" si="17"/>
        <v>0</v>
      </c>
      <c r="P72" s="99">
        <f t="shared" si="21"/>
        <v>0</v>
      </c>
      <c r="Q72" s="99">
        <f t="shared" si="18"/>
        <v>0</v>
      </c>
      <c r="V72" s="5" t="s">
        <v>327</v>
      </c>
      <c r="AC72" s="121">
        <f>SUMIFS(AI:AI,AJ:AJ,AD72)/10^8</f>
        <v>448.94739435000002</v>
      </c>
      <c r="AD72" t="s">
        <v>328</v>
      </c>
      <c r="AH72" s="102" t="s">
        <v>329</v>
      </c>
      <c r="AI72" s="144">
        <v>0</v>
      </c>
    </row>
    <row r="73" spans="1:35">
      <c r="A73">
        <v>72</v>
      </c>
      <c r="B73" s="155" t="s">
        <v>330</v>
      </c>
      <c r="C73" s="155" t="s">
        <v>923</v>
      </c>
      <c r="D73" s="157">
        <v>0</v>
      </c>
      <c r="E73" s="157">
        <v>0</v>
      </c>
      <c r="F73" s="157">
        <v>0</v>
      </c>
      <c r="G73" s="157">
        <v>0</v>
      </c>
      <c r="H73" s="456">
        <v>0</v>
      </c>
      <c r="I73" s="157">
        <v>0</v>
      </c>
      <c r="J73" s="157">
        <v>0</v>
      </c>
      <c r="K73" s="157">
        <v>0</v>
      </c>
      <c r="L73" s="157">
        <v>0</v>
      </c>
      <c r="M73" s="157">
        <v>0</v>
      </c>
      <c r="N73" s="99">
        <f t="shared" si="20"/>
        <v>0</v>
      </c>
      <c r="O73" s="99">
        <f t="shared" si="17"/>
        <v>0</v>
      </c>
      <c r="P73" s="99">
        <f t="shared" si="21"/>
        <v>0</v>
      </c>
      <c r="Q73" s="99">
        <f t="shared" si="18"/>
        <v>0</v>
      </c>
      <c r="AC73" s="129">
        <f>+AC56-AC57-AC59-AC61-AC63-AC65-AC67-AC69-AC71-AC72</f>
        <v>6159.0933547399891</v>
      </c>
      <c r="AD73" t="s">
        <v>331</v>
      </c>
      <c r="AH73" s="102" t="s">
        <v>332</v>
      </c>
      <c r="AI73" s="144">
        <v>44894739435</v>
      </c>
    </row>
    <row r="74" spans="1:35">
      <c r="A74">
        <v>73</v>
      </c>
      <c r="B74" s="155" t="s">
        <v>333</v>
      </c>
      <c r="C74" s="155" t="s">
        <v>923</v>
      </c>
      <c r="D74" s="157">
        <v>0</v>
      </c>
      <c r="E74" s="157">
        <v>0</v>
      </c>
      <c r="F74" s="157">
        <v>0</v>
      </c>
      <c r="G74" s="157">
        <v>0</v>
      </c>
      <c r="H74" s="456">
        <v>0</v>
      </c>
      <c r="I74" s="157">
        <v>0</v>
      </c>
      <c r="J74" s="157">
        <v>0</v>
      </c>
      <c r="K74" s="157">
        <v>0</v>
      </c>
      <c r="L74" s="157">
        <v>0</v>
      </c>
      <c r="M74" s="157">
        <v>0</v>
      </c>
      <c r="N74" s="99">
        <f t="shared" si="20"/>
        <v>0</v>
      </c>
      <c r="O74" s="99">
        <f t="shared" si="17"/>
        <v>0</v>
      </c>
      <c r="P74" s="99">
        <f t="shared" si="21"/>
        <v>0</v>
      </c>
      <c r="Q74" s="99">
        <f t="shared" si="18"/>
        <v>0</v>
      </c>
      <c r="X74" s="129">
        <f>+X56-X57-X59-X61-X63-X65-X67-X69</f>
        <v>-9.3791641120333225E-12</v>
      </c>
      <c r="Y74" s="129">
        <f t="shared" ref="Y74:AB74" si="26">+Y56-Y57-Y59-Y61-Y63-Y65-Y67-Y69</f>
        <v>1.4551915228366852E-11</v>
      </c>
      <c r="Z74" s="129">
        <f t="shared" si="26"/>
        <v>-4.5474735088646412E-13</v>
      </c>
      <c r="AA74" s="129">
        <f t="shared" si="26"/>
        <v>0</v>
      </c>
      <c r="AB74" s="129">
        <f t="shared" si="26"/>
        <v>-4.5758952182950452E-11</v>
      </c>
      <c r="AH74" s="102" t="s">
        <v>334</v>
      </c>
      <c r="AI74" s="144">
        <v>0</v>
      </c>
    </row>
    <row r="75" spans="1:35">
      <c r="A75">
        <v>74</v>
      </c>
      <c r="B75" s="155" t="s">
        <v>335</v>
      </c>
      <c r="C75" s="155" t="s">
        <v>923</v>
      </c>
      <c r="D75" s="157">
        <v>0</v>
      </c>
      <c r="E75" s="157">
        <v>0</v>
      </c>
      <c r="F75" s="157">
        <v>0</v>
      </c>
      <c r="G75" s="157">
        <v>0</v>
      </c>
      <c r="H75" s="456">
        <v>0</v>
      </c>
      <c r="I75" s="157">
        <v>0</v>
      </c>
      <c r="J75" s="157">
        <v>0</v>
      </c>
      <c r="K75" s="157">
        <v>0</v>
      </c>
      <c r="L75" s="157">
        <v>0</v>
      </c>
      <c r="M75" s="157">
        <v>0</v>
      </c>
      <c r="N75" s="99">
        <f t="shared" si="20"/>
        <v>0</v>
      </c>
      <c r="O75" s="99">
        <f t="shared" si="17"/>
        <v>0</v>
      </c>
      <c r="P75" s="99">
        <f t="shared" si="21"/>
        <v>0</v>
      </c>
      <c r="Q75" s="99">
        <f t="shared" si="18"/>
        <v>0</v>
      </c>
      <c r="R75" s="96" t="s">
        <v>113</v>
      </c>
      <c r="X75" s="130">
        <f>1-X58-X60-X62-X64-X66-X68-X70</f>
        <v>-3.6429192995512949E-17</v>
      </c>
      <c r="Y75" s="130">
        <f t="shared" ref="Y75:AB75" si="27">1-Y58-Y60-Y62-Y64-Y66-Y68-Y70</f>
        <v>0</v>
      </c>
      <c r="Z75" s="130">
        <f t="shared" si="27"/>
        <v>0</v>
      </c>
      <c r="AA75" s="130">
        <f t="shared" si="27"/>
        <v>-5.5511151231257827E-17</v>
      </c>
      <c r="AB75" s="130">
        <f t="shared" si="27"/>
        <v>-7.1123662515049091E-17</v>
      </c>
      <c r="AH75" s="102" t="s">
        <v>336</v>
      </c>
      <c r="AI75" s="144">
        <v>0</v>
      </c>
    </row>
    <row r="76" spans="1:35">
      <c r="A76">
        <v>75</v>
      </c>
      <c r="B76" s="155" t="s">
        <v>337</v>
      </c>
      <c r="C76" s="155" t="s">
        <v>923</v>
      </c>
      <c r="D76" s="157">
        <v>0</v>
      </c>
      <c r="E76" s="157">
        <v>0</v>
      </c>
      <c r="F76" s="157">
        <v>0</v>
      </c>
      <c r="G76" s="157">
        <v>0</v>
      </c>
      <c r="H76" s="456">
        <v>0</v>
      </c>
      <c r="I76" s="157">
        <v>0</v>
      </c>
      <c r="J76" s="157">
        <v>0</v>
      </c>
      <c r="K76" s="157">
        <v>0</v>
      </c>
      <c r="L76" s="157">
        <v>0</v>
      </c>
      <c r="M76" s="157">
        <v>0</v>
      </c>
      <c r="N76" s="99">
        <f t="shared" si="20"/>
        <v>0</v>
      </c>
      <c r="O76" s="99">
        <f t="shared" si="17"/>
        <v>0</v>
      </c>
      <c r="P76" s="99">
        <f t="shared" si="21"/>
        <v>0</v>
      </c>
      <c r="Q76" s="99">
        <f t="shared" si="18"/>
        <v>0</v>
      </c>
      <c r="AH76" s="102" t="s">
        <v>338</v>
      </c>
      <c r="AI76" s="144">
        <v>0</v>
      </c>
    </row>
    <row r="77" spans="1:35">
      <c r="A77">
        <v>76</v>
      </c>
      <c r="B77" s="155" t="s">
        <v>339</v>
      </c>
      <c r="C77" s="155" t="s">
        <v>923</v>
      </c>
      <c r="D77" s="157">
        <v>0</v>
      </c>
      <c r="E77" s="157">
        <v>0</v>
      </c>
      <c r="F77" s="157">
        <v>0</v>
      </c>
      <c r="G77" s="157">
        <v>0</v>
      </c>
      <c r="H77" s="456">
        <v>0</v>
      </c>
      <c r="I77" s="157">
        <v>0</v>
      </c>
      <c r="J77" s="157">
        <v>0</v>
      </c>
      <c r="K77" s="157">
        <v>0</v>
      </c>
      <c r="L77" s="157">
        <v>0</v>
      </c>
      <c r="M77" s="157">
        <v>0</v>
      </c>
      <c r="N77" s="99">
        <f t="shared" si="20"/>
        <v>0</v>
      </c>
      <c r="O77" s="99">
        <f t="shared" si="17"/>
        <v>0</v>
      </c>
      <c r="P77" s="99">
        <f t="shared" si="21"/>
        <v>0</v>
      </c>
      <c r="Q77" s="99">
        <f t="shared" si="18"/>
        <v>0</v>
      </c>
      <c r="AH77" s="102" t="s">
        <v>340</v>
      </c>
      <c r="AI77" s="144">
        <v>0</v>
      </c>
    </row>
    <row r="78" spans="1:35">
      <c r="A78">
        <v>77</v>
      </c>
      <c r="B78" s="155" t="s">
        <v>341</v>
      </c>
      <c r="C78" s="155" t="s">
        <v>923</v>
      </c>
      <c r="D78" s="157">
        <v>0</v>
      </c>
      <c r="E78" s="157">
        <v>0</v>
      </c>
      <c r="F78" s="157">
        <v>0</v>
      </c>
      <c r="G78" s="157">
        <v>0</v>
      </c>
      <c r="H78" s="456">
        <v>0</v>
      </c>
      <c r="I78" s="157">
        <v>0</v>
      </c>
      <c r="J78" s="157">
        <v>0</v>
      </c>
      <c r="K78" s="157">
        <v>0</v>
      </c>
      <c r="L78" s="157">
        <v>0</v>
      </c>
      <c r="M78" s="157">
        <v>0</v>
      </c>
      <c r="N78" s="99">
        <f t="shared" si="20"/>
        <v>0</v>
      </c>
      <c r="O78" s="99">
        <f t="shared" si="17"/>
        <v>0</v>
      </c>
      <c r="P78" s="99">
        <f t="shared" si="21"/>
        <v>0</v>
      </c>
      <c r="Q78" s="99">
        <f t="shared" si="18"/>
        <v>0</v>
      </c>
      <c r="AH78" s="102" t="s">
        <v>342</v>
      </c>
      <c r="AI78" s="144">
        <v>0</v>
      </c>
    </row>
    <row r="79" spans="1:35">
      <c r="A79">
        <v>78</v>
      </c>
      <c r="B79" s="155" t="s">
        <v>343</v>
      </c>
      <c r="C79" s="155" t="s">
        <v>923</v>
      </c>
      <c r="D79" s="157">
        <v>0</v>
      </c>
      <c r="E79" s="157">
        <v>0</v>
      </c>
      <c r="F79" s="157">
        <v>0</v>
      </c>
      <c r="G79" s="157">
        <v>0</v>
      </c>
      <c r="H79" s="456">
        <v>0</v>
      </c>
      <c r="I79" s="157">
        <v>0</v>
      </c>
      <c r="J79" s="157">
        <v>0</v>
      </c>
      <c r="K79" s="157">
        <v>0</v>
      </c>
      <c r="L79" s="157">
        <v>0</v>
      </c>
      <c r="M79" s="157">
        <v>0</v>
      </c>
      <c r="N79" s="99">
        <f t="shared" si="20"/>
        <v>0</v>
      </c>
      <c r="O79" s="99">
        <f t="shared" si="17"/>
        <v>0</v>
      </c>
      <c r="P79" s="99">
        <f t="shared" si="21"/>
        <v>0</v>
      </c>
      <c r="Q79" s="99">
        <f t="shared" si="18"/>
        <v>0</v>
      </c>
      <c r="AH79" s="102" t="s">
        <v>344</v>
      </c>
      <c r="AI79" s="144">
        <v>0</v>
      </c>
    </row>
    <row r="80" spans="1:35">
      <c r="A80">
        <v>79</v>
      </c>
      <c r="B80" s="155" t="s">
        <v>345</v>
      </c>
      <c r="C80" s="155" t="s">
        <v>923</v>
      </c>
      <c r="D80" s="157">
        <v>0</v>
      </c>
      <c r="E80" s="157">
        <v>0</v>
      </c>
      <c r="F80" s="157">
        <v>0</v>
      </c>
      <c r="G80" s="157">
        <v>0</v>
      </c>
      <c r="H80" s="456">
        <v>0</v>
      </c>
      <c r="I80" s="157">
        <v>0</v>
      </c>
      <c r="J80" s="157">
        <v>0</v>
      </c>
      <c r="K80" s="157">
        <v>0</v>
      </c>
      <c r="L80" s="157">
        <v>0</v>
      </c>
      <c r="M80" s="157">
        <v>0</v>
      </c>
      <c r="N80" s="99">
        <f t="shared" si="20"/>
        <v>0</v>
      </c>
      <c r="O80" s="99">
        <f t="shared" si="17"/>
        <v>0</v>
      </c>
      <c r="P80" s="99">
        <f t="shared" si="21"/>
        <v>0</v>
      </c>
      <c r="Q80" s="99">
        <f t="shared" si="18"/>
        <v>0</v>
      </c>
      <c r="AH80" s="102" t="s">
        <v>346</v>
      </c>
      <c r="AI80" s="144">
        <v>0</v>
      </c>
    </row>
    <row r="81" spans="1:36">
      <c r="A81">
        <v>80</v>
      </c>
      <c r="B81" s="155" t="s">
        <v>347</v>
      </c>
      <c r="C81" s="155" t="s">
        <v>923</v>
      </c>
      <c r="D81" s="157">
        <v>0</v>
      </c>
      <c r="E81" s="157">
        <v>0</v>
      </c>
      <c r="F81" s="157">
        <v>0</v>
      </c>
      <c r="G81" s="157">
        <v>0</v>
      </c>
      <c r="H81" s="456">
        <v>0</v>
      </c>
      <c r="I81" s="157">
        <v>0</v>
      </c>
      <c r="J81" s="157">
        <v>0</v>
      </c>
      <c r="K81" s="157">
        <v>0</v>
      </c>
      <c r="L81" s="157">
        <v>0</v>
      </c>
      <c r="M81" s="157">
        <v>0</v>
      </c>
      <c r="N81" s="99">
        <f t="shared" si="20"/>
        <v>0</v>
      </c>
      <c r="O81" s="99">
        <f t="shared" si="17"/>
        <v>0</v>
      </c>
      <c r="P81" s="99">
        <f t="shared" si="21"/>
        <v>0</v>
      </c>
      <c r="Q81" s="99">
        <f t="shared" si="18"/>
        <v>0</v>
      </c>
      <c r="AH81" s="102" t="s">
        <v>348</v>
      </c>
      <c r="AI81" s="144">
        <v>0</v>
      </c>
    </row>
    <row r="82" spans="1:36">
      <c r="A82">
        <v>81</v>
      </c>
      <c r="B82" s="155" t="s">
        <v>349</v>
      </c>
      <c r="C82" s="155" t="s">
        <v>923</v>
      </c>
      <c r="D82" s="157">
        <v>0</v>
      </c>
      <c r="E82" s="157">
        <v>0</v>
      </c>
      <c r="F82" s="157">
        <v>0</v>
      </c>
      <c r="G82" s="157">
        <v>0</v>
      </c>
      <c r="H82" s="456">
        <v>0</v>
      </c>
      <c r="I82" s="157">
        <v>0</v>
      </c>
      <c r="J82" s="157">
        <v>0</v>
      </c>
      <c r="K82" s="157">
        <v>0</v>
      </c>
      <c r="L82" s="157">
        <v>0</v>
      </c>
      <c r="M82" s="157">
        <v>0</v>
      </c>
      <c r="N82" s="99">
        <f t="shared" si="20"/>
        <v>0</v>
      </c>
      <c r="O82" s="99">
        <f t="shared" si="17"/>
        <v>0</v>
      </c>
      <c r="P82" s="99">
        <f t="shared" si="21"/>
        <v>0</v>
      </c>
      <c r="Q82" s="99">
        <f t="shared" si="18"/>
        <v>0</v>
      </c>
      <c r="AH82" s="102" t="s">
        <v>350</v>
      </c>
      <c r="AI82" s="144">
        <v>0</v>
      </c>
    </row>
    <row r="83" spans="1:36">
      <c r="A83">
        <v>82</v>
      </c>
      <c r="B83" s="155" t="s">
        <v>351</v>
      </c>
      <c r="C83" s="155" t="s">
        <v>923</v>
      </c>
      <c r="D83" s="157">
        <v>0</v>
      </c>
      <c r="E83" s="157">
        <v>0</v>
      </c>
      <c r="F83" s="157">
        <v>0</v>
      </c>
      <c r="G83" s="157">
        <v>0</v>
      </c>
      <c r="H83" s="456">
        <v>0</v>
      </c>
      <c r="I83" s="157">
        <v>0</v>
      </c>
      <c r="J83" s="157">
        <v>0</v>
      </c>
      <c r="K83" s="157">
        <v>0</v>
      </c>
      <c r="L83" s="157">
        <v>0</v>
      </c>
      <c r="M83" s="157">
        <v>0</v>
      </c>
      <c r="N83" s="99">
        <f t="shared" si="20"/>
        <v>0</v>
      </c>
      <c r="O83" s="99">
        <f t="shared" si="17"/>
        <v>0</v>
      </c>
      <c r="P83" s="99">
        <f t="shared" si="21"/>
        <v>0</v>
      </c>
      <c r="Q83" s="99">
        <f t="shared" si="18"/>
        <v>0</v>
      </c>
      <c r="AH83" s="102" t="s">
        <v>352</v>
      </c>
      <c r="AI83" s="144">
        <v>0</v>
      </c>
    </row>
    <row r="84" spans="1:36">
      <c r="A84">
        <v>83</v>
      </c>
      <c r="B84" s="155" t="s">
        <v>353</v>
      </c>
      <c r="C84" s="155" t="s">
        <v>923</v>
      </c>
      <c r="D84" s="157">
        <v>0</v>
      </c>
      <c r="E84" s="157">
        <v>0</v>
      </c>
      <c r="F84" s="157">
        <v>0</v>
      </c>
      <c r="G84" s="157">
        <v>0</v>
      </c>
      <c r="H84" s="456">
        <v>0</v>
      </c>
      <c r="I84" s="157">
        <v>0</v>
      </c>
      <c r="J84" s="157">
        <v>0</v>
      </c>
      <c r="K84" s="157">
        <v>0</v>
      </c>
      <c r="L84" s="157">
        <v>0</v>
      </c>
      <c r="M84" s="157">
        <v>0</v>
      </c>
      <c r="N84" s="99">
        <f t="shared" si="20"/>
        <v>0</v>
      </c>
      <c r="O84" s="99">
        <f t="shared" si="17"/>
        <v>0</v>
      </c>
      <c r="P84" s="99">
        <f t="shared" si="21"/>
        <v>0</v>
      </c>
      <c r="Q84" s="99">
        <f t="shared" si="18"/>
        <v>0</v>
      </c>
      <c r="AH84" s="102" t="s">
        <v>354</v>
      </c>
      <c r="AI84" s="144">
        <v>0</v>
      </c>
    </row>
    <row r="85" spans="1:36">
      <c r="A85">
        <v>84</v>
      </c>
      <c r="B85" s="155" t="s">
        <v>355</v>
      </c>
      <c r="C85" s="155" t="s">
        <v>923</v>
      </c>
      <c r="D85" s="157">
        <v>0</v>
      </c>
      <c r="E85" s="157">
        <v>0</v>
      </c>
      <c r="F85" s="157">
        <v>0</v>
      </c>
      <c r="G85" s="157">
        <v>0</v>
      </c>
      <c r="H85" s="456">
        <v>0</v>
      </c>
      <c r="I85" s="157">
        <v>0</v>
      </c>
      <c r="J85" s="157">
        <v>0</v>
      </c>
      <c r="K85" s="157">
        <v>0</v>
      </c>
      <c r="L85" s="157">
        <v>0</v>
      </c>
      <c r="M85" s="157">
        <v>0</v>
      </c>
      <c r="N85" s="99">
        <f t="shared" si="20"/>
        <v>0</v>
      </c>
      <c r="O85" s="99">
        <f t="shared" si="17"/>
        <v>0</v>
      </c>
      <c r="P85" s="99">
        <f t="shared" si="21"/>
        <v>0</v>
      </c>
      <c r="Q85" s="99">
        <f t="shared" si="18"/>
        <v>0</v>
      </c>
      <c r="AH85" s="102" t="s">
        <v>356</v>
      </c>
      <c r="AI85" s="144">
        <v>0</v>
      </c>
    </row>
    <row r="86" spans="1:36">
      <c r="A86">
        <v>85</v>
      </c>
      <c r="B86" s="155" t="s">
        <v>357</v>
      </c>
      <c r="C86" s="155" t="s">
        <v>923</v>
      </c>
      <c r="D86" s="157">
        <v>0</v>
      </c>
      <c r="E86" s="157">
        <v>0</v>
      </c>
      <c r="F86" s="157">
        <v>0</v>
      </c>
      <c r="G86" s="157">
        <v>0</v>
      </c>
      <c r="H86" s="456">
        <v>0</v>
      </c>
      <c r="I86" s="157">
        <v>0</v>
      </c>
      <c r="J86" s="157">
        <v>0</v>
      </c>
      <c r="K86" s="157">
        <v>0</v>
      </c>
      <c r="L86" s="157">
        <v>0</v>
      </c>
      <c r="M86" s="157">
        <v>0</v>
      </c>
      <c r="N86" s="99">
        <f t="shared" si="20"/>
        <v>0</v>
      </c>
      <c r="O86" s="99">
        <f t="shared" si="17"/>
        <v>0</v>
      </c>
      <c r="P86" s="99">
        <f t="shared" si="21"/>
        <v>0</v>
      </c>
      <c r="Q86" s="99">
        <f t="shared" si="18"/>
        <v>0</v>
      </c>
      <c r="AH86" s="102" t="s">
        <v>358</v>
      </c>
      <c r="AI86" s="144">
        <v>0</v>
      </c>
    </row>
    <row r="87" spans="1:36">
      <c r="A87">
        <v>86</v>
      </c>
      <c r="B87" s="155" t="s">
        <v>359</v>
      </c>
      <c r="C87" s="155" t="s">
        <v>923</v>
      </c>
      <c r="D87" s="157">
        <v>0</v>
      </c>
      <c r="E87" s="157">
        <v>0</v>
      </c>
      <c r="F87" s="157">
        <v>0</v>
      </c>
      <c r="G87" s="157">
        <v>0</v>
      </c>
      <c r="H87" s="456">
        <v>0</v>
      </c>
      <c r="I87" s="157">
        <v>0</v>
      </c>
      <c r="J87" s="157">
        <v>0</v>
      </c>
      <c r="K87" s="157">
        <v>0</v>
      </c>
      <c r="L87" s="157">
        <v>0</v>
      </c>
      <c r="M87" s="157">
        <v>0</v>
      </c>
      <c r="N87" s="99">
        <f t="shared" si="20"/>
        <v>0</v>
      </c>
      <c r="O87" s="99">
        <f t="shared" si="17"/>
        <v>0</v>
      </c>
      <c r="P87" s="99">
        <f t="shared" si="21"/>
        <v>0</v>
      </c>
      <c r="Q87" s="99">
        <f t="shared" si="18"/>
        <v>0</v>
      </c>
      <c r="AH87" s="102" t="s">
        <v>360</v>
      </c>
      <c r="AI87" s="144">
        <v>0</v>
      </c>
    </row>
    <row r="88" spans="1:36">
      <c r="A88">
        <v>87</v>
      </c>
      <c r="B88" s="155" t="s">
        <v>361</v>
      </c>
      <c r="C88" s="155" t="s">
        <v>923</v>
      </c>
      <c r="D88" s="157">
        <v>0</v>
      </c>
      <c r="E88" s="157">
        <v>0</v>
      </c>
      <c r="F88" s="157">
        <v>0</v>
      </c>
      <c r="G88" s="157">
        <v>0</v>
      </c>
      <c r="H88" s="456">
        <v>0</v>
      </c>
      <c r="I88" s="157">
        <v>0</v>
      </c>
      <c r="J88" s="157">
        <v>0</v>
      </c>
      <c r="K88" s="157">
        <v>0</v>
      </c>
      <c r="L88" s="157">
        <v>0</v>
      </c>
      <c r="M88" s="157">
        <v>0</v>
      </c>
      <c r="N88" s="99">
        <f t="shared" si="20"/>
        <v>0</v>
      </c>
      <c r="O88" s="99">
        <f t="shared" si="17"/>
        <v>0</v>
      </c>
      <c r="P88" s="99">
        <f t="shared" si="21"/>
        <v>0</v>
      </c>
      <c r="Q88" s="99">
        <f t="shared" si="18"/>
        <v>0</v>
      </c>
      <c r="AH88" s="102" t="s">
        <v>362</v>
      </c>
      <c r="AI88" s="144">
        <v>44894739435</v>
      </c>
    </row>
    <row r="89" spans="1:36">
      <c r="A89">
        <v>88</v>
      </c>
      <c r="B89" s="155" t="s">
        <v>363</v>
      </c>
      <c r="C89" s="155" t="s">
        <v>923</v>
      </c>
      <c r="D89" s="157">
        <v>0</v>
      </c>
      <c r="E89" s="157">
        <v>0</v>
      </c>
      <c r="F89" s="157">
        <v>0</v>
      </c>
      <c r="G89" s="157">
        <v>0</v>
      </c>
      <c r="H89" s="456">
        <v>0</v>
      </c>
      <c r="I89" s="157">
        <v>0</v>
      </c>
      <c r="J89" s="157">
        <v>0</v>
      </c>
      <c r="K89" s="157">
        <v>0</v>
      </c>
      <c r="L89" s="157">
        <v>0</v>
      </c>
      <c r="M89" s="157">
        <v>0</v>
      </c>
      <c r="N89" s="99">
        <f t="shared" si="20"/>
        <v>0</v>
      </c>
      <c r="O89" s="99">
        <f t="shared" si="17"/>
        <v>0</v>
      </c>
      <c r="P89" s="99">
        <f t="shared" si="21"/>
        <v>0</v>
      </c>
      <c r="Q89" s="99">
        <f t="shared" si="18"/>
        <v>0</v>
      </c>
      <c r="AH89" s="102" t="s">
        <v>364</v>
      </c>
      <c r="AI89" s="144">
        <v>44894739435</v>
      </c>
      <c r="AJ89" t="s">
        <v>328</v>
      </c>
    </row>
    <row r="90" spans="1:36">
      <c r="A90">
        <v>89</v>
      </c>
      <c r="B90" s="155" t="s">
        <v>365</v>
      </c>
      <c r="C90" s="155" t="s">
        <v>923</v>
      </c>
      <c r="D90" s="157">
        <v>0</v>
      </c>
      <c r="E90" s="157">
        <v>0</v>
      </c>
      <c r="F90" s="157">
        <v>0</v>
      </c>
      <c r="G90" s="157">
        <v>0</v>
      </c>
      <c r="H90" s="456">
        <v>0</v>
      </c>
      <c r="I90" s="157">
        <v>0</v>
      </c>
      <c r="J90" s="157">
        <v>0</v>
      </c>
      <c r="K90" s="157">
        <v>0</v>
      </c>
      <c r="L90" s="157">
        <v>0</v>
      </c>
      <c r="M90" s="157">
        <v>0</v>
      </c>
      <c r="N90" s="99">
        <f t="shared" si="20"/>
        <v>0</v>
      </c>
      <c r="O90" s="99">
        <f t="shared" si="17"/>
        <v>0</v>
      </c>
      <c r="P90" s="99">
        <f t="shared" si="21"/>
        <v>0</v>
      </c>
      <c r="Q90" s="99">
        <f t="shared" si="18"/>
        <v>0</v>
      </c>
      <c r="AH90" s="102" t="s">
        <v>366</v>
      </c>
      <c r="AI90" s="144">
        <v>11814069090092</v>
      </c>
    </row>
    <row r="91" spans="1:36">
      <c r="A91">
        <v>90</v>
      </c>
      <c r="B91" s="155" t="s">
        <v>367</v>
      </c>
      <c r="C91" s="155" t="s">
        <v>923</v>
      </c>
      <c r="D91" s="157">
        <v>0</v>
      </c>
      <c r="E91" s="157">
        <v>0</v>
      </c>
      <c r="F91" s="157">
        <v>0</v>
      </c>
      <c r="G91" s="157">
        <v>0</v>
      </c>
      <c r="H91" s="456">
        <v>0</v>
      </c>
      <c r="I91" s="157">
        <v>0</v>
      </c>
      <c r="J91" s="157">
        <v>0</v>
      </c>
      <c r="K91" s="157">
        <v>0</v>
      </c>
      <c r="L91" s="157">
        <v>0</v>
      </c>
      <c r="M91" s="157">
        <v>0</v>
      </c>
      <c r="N91" s="99">
        <f t="shared" si="20"/>
        <v>0</v>
      </c>
      <c r="O91" s="99">
        <f t="shared" si="17"/>
        <v>0</v>
      </c>
      <c r="P91" s="99">
        <f t="shared" si="21"/>
        <v>0</v>
      </c>
      <c r="Q91" s="99">
        <f t="shared" si="18"/>
        <v>0</v>
      </c>
      <c r="AH91" s="102" t="s">
        <v>368</v>
      </c>
      <c r="AI91" s="144">
        <v>11814069090092</v>
      </c>
    </row>
    <row r="92" spans="1:36">
      <c r="A92">
        <v>91</v>
      </c>
      <c r="B92" s="155" t="s">
        <v>369</v>
      </c>
      <c r="C92" s="155" t="s">
        <v>923</v>
      </c>
      <c r="D92" s="156">
        <v>142042965503</v>
      </c>
      <c r="E92" s="157">
        <v>0</v>
      </c>
      <c r="F92" s="157">
        <v>0</v>
      </c>
      <c r="G92" s="157">
        <v>0</v>
      </c>
      <c r="H92" s="455">
        <v>142042965503</v>
      </c>
      <c r="I92" s="157">
        <v>0</v>
      </c>
      <c r="J92" s="157">
        <v>0</v>
      </c>
      <c r="K92" s="157">
        <v>0</v>
      </c>
      <c r="L92" s="157">
        <v>0</v>
      </c>
      <c r="M92" s="156">
        <v>142042965503</v>
      </c>
      <c r="N92" s="99">
        <f t="shared" si="20"/>
        <v>142042965503</v>
      </c>
      <c r="O92" s="99">
        <f t="shared" si="17"/>
        <v>0</v>
      </c>
      <c r="P92" s="99">
        <f t="shared" si="21"/>
        <v>0</v>
      </c>
      <c r="Q92" s="99">
        <f t="shared" si="18"/>
        <v>0</v>
      </c>
      <c r="R92" s="96" t="s">
        <v>370</v>
      </c>
      <c r="AH92" s="102" t="s">
        <v>371</v>
      </c>
      <c r="AI92" s="144">
        <v>0</v>
      </c>
    </row>
    <row r="93" spans="1:36">
      <c r="A93">
        <v>92</v>
      </c>
      <c r="B93" s="155" t="s">
        <v>372</v>
      </c>
      <c r="C93" s="155" t="s">
        <v>923</v>
      </c>
      <c r="D93" s="157">
        <v>0</v>
      </c>
      <c r="E93" s="157">
        <v>0</v>
      </c>
      <c r="F93" s="157">
        <v>0</v>
      </c>
      <c r="G93" s="157">
        <v>0</v>
      </c>
      <c r="H93" s="456">
        <v>0</v>
      </c>
      <c r="I93" s="157">
        <v>0</v>
      </c>
      <c r="J93" s="157">
        <v>0</v>
      </c>
      <c r="K93" s="157">
        <v>0</v>
      </c>
      <c r="L93" s="157">
        <v>0</v>
      </c>
      <c r="M93" s="157">
        <v>0</v>
      </c>
      <c r="N93" s="99">
        <f t="shared" si="20"/>
        <v>0</v>
      </c>
      <c r="O93" s="99">
        <f t="shared" si="17"/>
        <v>0</v>
      </c>
      <c r="P93" s="99">
        <f t="shared" si="21"/>
        <v>0</v>
      </c>
      <c r="Q93" s="99">
        <f t="shared" si="18"/>
        <v>0</v>
      </c>
      <c r="AH93" s="102" t="s">
        <v>373</v>
      </c>
      <c r="AI93" s="144">
        <v>0</v>
      </c>
    </row>
    <row r="94" spans="1:36">
      <c r="A94">
        <v>93</v>
      </c>
      <c r="B94" s="155" t="s">
        <v>374</v>
      </c>
      <c r="C94" s="155" t="s">
        <v>923</v>
      </c>
      <c r="D94" s="157">
        <v>0</v>
      </c>
      <c r="E94" s="157">
        <v>0</v>
      </c>
      <c r="F94" s="157">
        <v>0</v>
      </c>
      <c r="G94" s="157">
        <v>0</v>
      </c>
      <c r="H94" s="456">
        <v>0</v>
      </c>
      <c r="I94" s="157">
        <v>0</v>
      </c>
      <c r="J94" s="157">
        <v>0</v>
      </c>
      <c r="K94" s="157">
        <v>0</v>
      </c>
      <c r="L94" s="157">
        <v>0</v>
      </c>
      <c r="M94" s="157">
        <v>0</v>
      </c>
      <c r="N94" s="99">
        <f t="shared" si="20"/>
        <v>0</v>
      </c>
      <c r="O94" s="99">
        <f t="shared" si="17"/>
        <v>0</v>
      </c>
      <c r="P94" s="99">
        <f t="shared" si="21"/>
        <v>0</v>
      </c>
      <c r="Q94" s="99">
        <f t="shared" si="18"/>
        <v>0</v>
      </c>
      <c r="AH94" s="102" t="s">
        <v>375</v>
      </c>
      <c r="AI94" s="144">
        <v>7322635719612</v>
      </c>
    </row>
    <row r="95" spans="1:36">
      <c r="A95">
        <v>94</v>
      </c>
      <c r="B95" s="155" t="s">
        <v>285</v>
      </c>
      <c r="C95" s="155" t="s">
        <v>923</v>
      </c>
      <c r="D95" s="156">
        <v>142042965503</v>
      </c>
      <c r="E95" s="157">
        <v>0</v>
      </c>
      <c r="F95" s="157">
        <v>0</v>
      </c>
      <c r="G95" s="157">
        <v>0</v>
      </c>
      <c r="H95" s="455">
        <v>142042965503</v>
      </c>
      <c r="I95" s="157">
        <v>0</v>
      </c>
      <c r="J95" s="157">
        <v>0</v>
      </c>
      <c r="K95" s="157">
        <v>0</v>
      </c>
      <c r="L95" s="157">
        <v>0</v>
      </c>
      <c r="M95" s="156">
        <v>142042965503</v>
      </c>
      <c r="N95" s="99">
        <f t="shared" si="20"/>
        <v>142042965503</v>
      </c>
      <c r="O95" s="99">
        <f t="shared" si="17"/>
        <v>0</v>
      </c>
      <c r="P95" s="99">
        <f t="shared" si="21"/>
        <v>0</v>
      </c>
      <c r="Q95" s="99">
        <f t="shared" si="18"/>
        <v>0</v>
      </c>
      <c r="AH95" s="102" t="s">
        <v>376</v>
      </c>
      <c r="AI95" s="144">
        <v>7322635719612</v>
      </c>
    </row>
    <row r="96" spans="1:36">
      <c r="A96">
        <v>95</v>
      </c>
      <c r="B96" s="155" t="s">
        <v>296</v>
      </c>
      <c r="C96" s="155" t="s">
        <v>923</v>
      </c>
      <c r="D96" s="157">
        <v>0</v>
      </c>
      <c r="E96" s="157">
        <v>0</v>
      </c>
      <c r="F96" s="157">
        <v>0</v>
      </c>
      <c r="G96" s="157">
        <v>0</v>
      </c>
      <c r="H96" s="456">
        <v>0</v>
      </c>
      <c r="I96" s="157">
        <v>0</v>
      </c>
      <c r="J96" s="157">
        <v>0</v>
      </c>
      <c r="K96" s="157">
        <v>0</v>
      </c>
      <c r="L96" s="157">
        <v>0</v>
      </c>
      <c r="M96" s="157">
        <v>0</v>
      </c>
      <c r="N96" s="99">
        <f t="shared" si="20"/>
        <v>0</v>
      </c>
      <c r="O96" s="99">
        <f t="shared" si="17"/>
        <v>0</v>
      </c>
      <c r="P96" s="99">
        <f t="shared" si="21"/>
        <v>0</v>
      </c>
      <c r="Q96" s="99">
        <f t="shared" si="18"/>
        <v>0</v>
      </c>
      <c r="AH96" s="102" t="s">
        <v>377</v>
      </c>
      <c r="AI96" s="144">
        <v>0</v>
      </c>
    </row>
    <row r="97" spans="1:35">
      <c r="A97">
        <v>96</v>
      </c>
      <c r="B97" s="155" t="s">
        <v>378</v>
      </c>
      <c r="C97" s="155" t="s">
        <v>923</v>
      </c>
      <c r="D97" s="157">
        <v>0</v>
      </c>
      <c r="E97" s="157">
        <v>0</v>
      </c>
      <c r="F97" s="157">
        <v>0</v>
      </c>
      <c r="G97" s="157">
        <v>0</v>
      </c>
      <c r="H97" s="456">
        <v>0</v>
      </c>
      <c r="I97" s="157">
        <v>0</v>
      </c>
      <c r="J97" s="157">
        <v>0</v>
      </c>
      <c r="K97" s="157">
        <v>0</v>
      </c>
      <c r="L97" s="157">
        <v>0</v>
      </c>
      <c r="M97" s="157">
        <v>0</v>
      </c>
      <c r="N97" s="99">
        <f t="shared" si="20"/>
        <v>0</v>
      </c>
      <c r="O97" s="99">
        <f t="shared" si="17"/>
        <v>0</v>
      </c>
      <c r="P97" s="99">
        <f t="shared" si="21"/>
        <v>0</v>
      </c>
      <c r="Q97" s="99">
        <f t="shared" si="18"/>
        <v>0</v>
      </c>
      <c r="AH97" s="102" t="s">
        <v>379</v>
      </c>
      <c r="AI97" s="144">
        <v>2689859205480</v>
      </c>
    </row>
    <row r="98" spans="1:35">
      <c r="A98">
        <v>97</v>
      </c>
      <c r="B98" s="155" t="s">
        <v>380</v>
      </c>
      <c r="C98" s="155" t="s">
        <v>923</v>
      </c>
      <c r="D98" s="156">
        <v>2158965156917</v>
      </c>
      <c r="E98" s="157">
        <v>0</v>
      </c>
      <c r="F98" s="156">
        <v>190800000000</v>
      </c>
      <c r="G98" s="157">
        <v>0</v>
      </c>
      <c r="H98" s="455">
        <v>1968165156917</v>
      </c>
      <c r="I98" s="157">
        <v>0</v>
      </c>
      <c r="J98" s="157">
        <v>0</v>
      </c>
      <c r="K98" s="157">
        <v>0</v>
      </c>
      <c r="L98" s="156">
        <v>123034103260</v>
      </c>
      <c r="M98" s="156">
        <v>1845131053657</v>
      </c>
      <c r="N98" s="99">
        <f t="shared" si="20"/>
        <v>1845131053657</v>
      </c>
      <c r="O98" s="99">
        <f t="shared" si="17"/>
        <v>190800000000</v>
      </c>
      <c r="P98" s="99">
        <f t="shared" si="21"/>
        <v>123034103260</v>
      </c>
      <c r="Q98" s="99">
        <f t="shared" si="18"/>
        <v>0</v>
      </c>
      <c r="R98" s="96" t="s">
        <v>113</v>
      </c>
      <c r="AH98" s="102" t="s">
        <v>381</v>
      </c>
      <c r="AI98" s="144">
        <v>91234155097</v>
      </c>
    </row>
    <row r="99" spans="1:35">
      <c r="A99">
        <v>98</v>
      </c>
      <c r="B99" s="155" t="s">
        <v>382</v>
      </c>
      <c r="C99" s="155" t="s">
        <v>923</v>
      </c>
      <c r="D99" s="157">
        <v>0</v>
      </c>
      <c r="E99" s="157">
        <v>0</v>
      </c>
      <c r="F99" s="157">
        <v>0</v>
      </c>
      <c r="G99" s="157">
        <v>0</v>
      </c>
      <c r="H99" s="456">
        <v>0</v>
      </c>
      <c r="I99" s="157">
        <v>0</v>
      </c>
      <c r="J99" s="157">
        <v>0</v>
      </c>
      <c r="K99" s="157">
        <v>0</v>
      </c>
      <c r="L99" s="157">
        <v>0</v>
      </c>
      <c r="M99" s="157">
        <v>0</v>
      </c>
      <c r="N99" s="99">
        <f t="shared" si="20"/>
        <v>0</v>
      </c>
      <c r="O99" s="99">
        <f t="shared" si="17"/>
        <v>0</v>
      </c>
      <c r="P99" s="99">
        <f t="shared" si="21"/>
        <v>0</v>
      </c>
      <c r="Q99" s="99">
        <f t="shared" si="18"/>
        <v>0</v>
      </c>
      <c r="AH99" s="102" t="s">
        <v>383</v>
      </c>
      <c r="AI99" s="144">
        <v>417532318275</v>
      </c>
    </row>
    <row r="100" spans="1:35">
      <c r="A100">
        <v>99</v>
      </c>
      <c r="B100" s="155" t="s">
        <v>384</v>
      </c>
      <c r="C100" s="155" t="s">
        <v>923</v>
      </c>
      <c r="D100" s="157">
        <v>0</v>
      </c>
      <c r="E100" s="157">
        <v>0</v>
      </c>
      <c r="F100" s="157">
        <v>0</v>
      </c>
      <c r="G100" s="157">
        <v>0</v>
      </c>
      <c r="H100" s="456">
        <v>0</v>
      </c>
      <c r="I100" s="157">
        <v>0</v>
      </c>
      <c r="J100" s="157">
        <v>0</v>
      </c>
      <c r="K100" s="157">
        <v>0</v>
      </c>
      <c r="L100" s="157">
        <v>0</v>
      </c>
      <c r="M100" s="157">
        <v>0</v>
      </c>
      <c r="N100" s="99">
        <f t="shared" si="20"/>
        <v>0</v>
      </c>
      <c r="O100" s="99">
        <f t="shared" si="17"/>
        <v>0</v>
      </c>
      <c r="P100" s="99">
        <f t="shared" si="21"/>
        <v>0</v>
      </c>
      <c r="Q100" s="99">
        <f t="shared" si="18"/>
        <v>0</v>
      </c>
      <c r="AH100" s="102" t="s">
        <v>385</v>
      </c>
      <c r="AI100" s="144">
        <v>0</v>
      </c>
    </row>
    <row r="101" spans="1:35">
      <c r="A101">
        <v>100</v>
      </c>
      <c r="B101" s="155" t="s">
        <v>386</v>
      </c>
      <c r="C101" s="155" t="s">
        <v>923</v>
      </c>
      <c r="D101" s="157">
        <v>0</v>
      </c>
      <c r="E101" s="157">
        <v>0</v>
      </c>
      <c r="F101" s="157">
        <v>0</v>
      </c>
      <c r="G101" s="157">
        <v>0</v>
      </c>
      <c r="H101" s="456">
        <v>0</v>
      </c>
      <c r="I101" s="157">
        <v>0</v>
      </c>
      <c r="J101" s="157">
        <v>0</v>
      </c>
      <c r="K101" s="157">
        <v>0</v>
      </c>
      <c r="L101" s="157">
        <v>0</v>
      </c>
      <c r="M101" s="157">
        <v>0</v>
      </c>
      <c r="N101" s="99">
        <f t="shared" si="20"/>
        <v>0</v>
      </c>
      <c r="O101" s="99">
        <f t="shared" si="17"/>
        <v>0</v>
      </c>
      <c r="P101" s="99">
        <f t="shared" si="21"/>
        <v>0</v>
      </c>
      <c r="Q101" s="99">
        <f t="shared" si="18"/>
        <v>0</v>
      </c>
      <c r="AH101" s="102" t="s">
        <v>387</v>
      </c>
      <c r="AI101" s="144">
        <v>417532318275</v>
      </c>
    </row>
    <row r="102" spans="1:35">
      <c r="A102">
        <v>101</v>
      </c>
      <c r="B102" s="155" t="s">
        <v>388</v>
      </c>
      <c r="C102" s="155" t="s">
        <v>923</v>
      </c>
      <c r="D102" s="157">
        <v>0</v>
      </c>
      <c r="E102" s="157">
        <v>0</v>
      </c>
      <c r="F102" s="157">
        <v>0</v>
      </c>
      <c r="G102" s="157">
        <v>0</v>
      </c>
      <c r="H102" s="456">
        <v>0</v>
      </c>
      <c r="I102" s="157">
        <v>0</v>
      </c>
      <c r="J102" s="157">
        <v>0</v>
      </c>
      <c r="K102" s="157">
        <v>0</v>
      </c>
      <c r="L102" s="157">
        <v>0</v>
      </c>
      <c r="M102" s="157">
        <v>0</v>
      </c>
      <c r="N102" s="99">
        <f t="shared" si="20"/>
        <v>0</v>
      </c>
      <c r="O102" s="99">
        <f t="shared" si="17"/>
        <v>0</v>
      </c>
      <c r="P102" s="99">
        <f t="shared" si="21"/>
        <v>0</v>
      </c>
      <c r="Q102" s="99">
        <f t="shared" si="18"/>
        <v>0</v>
      </c>
      <c r="AH102" s="102" t="s">
        <v>389</v>
      </c>
      <c r="AI102" s="144">
        <v>0</v>
      </c>
    </row>
    <row r="103" spans="1:35">
      <c r="A103">
        <v>102</v>
      </c>
      <c r="B103" s="155" t="s">
        <v>390</v>
      </c>
      <c r="C103" s="155" t="s">
        <v>923</v>
      </c>
      <c r="D103" s="156">
        <v>-17520403098</v>
      </c>
      <c r="E103" s="157">
        <v>0</v>
      </c>
      <c r="F103" s="157">
        <v>0</v>
      </c>
      <c r="G103" s="157">
        <v>0</v>
      </c>
      <c r="H103" s="455">
        <v>-17520403098</v>
      </c>
      <c r="I103" s="157">
        <v>0</v>
      </c>
      <c r="J103" s="157">
        <v>0</v>
      </c>
      <c r="K103" s="157">
        <v>0</v>
      </c>
      <c r="L103" s="156">
        <v>-136259268</v>
      </c>
      <c r="M103" s="156">
        <v>-17384143830</v>
      </c>
      <c r="N103" s="99">
        <f t="shared" si="20"/>
        <v>-17384143830</v>
      </c>
      <c r="O103" s="99">
        <f t="shared" si="17"/>
        <v>0</v>
      </c>
      <c r="P103" s="99">
        <f t="shared" si="21"/>
        <v>-136259268</v>
      </c>
      <c r="Q103" s="99">
        <f t="shared" si="18"/>
        <v>0</v>
      </c>
      <c r="AH103" s="102" t="s">
        <v>391</v>
      </c>
      <c r="AI103" s="144">
        <v>1292807691628</v>
      </c>
    </row>
    <row r="104" spans="1:35">
      <c r="A104">
        <v>103</v>
      </c>
      <c r="B104" s="155" t="s">
        <v>392</v>
      </c>
      <c r="C104" s="155" t="s">
        <v>923</v>
      </c>
      <c r="D104" s="156">
        <v>-1376951108</v>
      </c>
      <c r="E104" s="157">
        <v>0</v>
      </c>
      <c r="F104" s="157">
        <v>0</v>
      </c>
      <c r="G104" s="157">
        <v>0</v>
      </c>
      <c r="H104" s="455">
        <v>-1376951108</v>
      </c>
      <c r="I104" s="157">
        <v>0</v>
      </c>
      <c r="J104" s="157">
        <v>0</v>
      </c>
      <c r="K104" s="157">
        <v>0</v>
      </c>
      <c r="L104" s="156">
        <v>-118164519</v>
      </c>
      <c r="M104" s="156">
        <v>-1258786589</v>
      </c>
      <c r="N104" s="99">
        <f t="shared" si="20"/>
        <v>-1258786589</v>
      </c>
      <c r="O104" s="99">
        <f t="shared" si="17"/>
        <v>0</v>
      </c>
      <c r="P104" s="99">
        <f t="shared" si="21"/>
        <v>-118164519</v>
      </c>
      <c r="Q104" s="99">
        <f t="shared" si="18"/>
        <v>0</v>
      </c>
      <c r="AH104" s="102" t="s">
        <v>262</v>
      </c>
      <c r="AI104" s="144">
        <v>0</v>
      </c>
    </row>
    <row r="105" spans="1:35">
      <c r="A105">
        <v>104</v>
      </c>
      <c r="B105" s="155" t="s">
        <v>393</v>
      </c>
      <c r="C105" s="155" t="s">
        <v>923</v>
      </c>
      <c r="D105" s="157">
        <v>0</v>
      </c>
      <c r="E105" s="157">
        <v>0</v>
      </c>
      <c r="F105" s="157">
        <v>0</v>
      </c>
      <c r="G105" s="157">
        <v>0</v>
      </c>
      <c r="H105" s="456">
        <v>0</v>
      </c>
      <c r="I105" s="157">
        <v>0</v>
      </c>
      <c r="J105" s="157">
        <v>0</v>
      </c>
      <c r="K105" s="157">
        <v>0</v>
      </c>
      <c r="L105" s="157">
        <v>0</v>
      </c>
      <c r="M105" s="157">
        <v>0</v>
      </c>
      <c r="N105" s="99">
        <f t="shared" si="20"/>
        <v>0</v>
      </c>
      <c r="O105" s="99">
        <f t="shared" si="17"/>
        <v>0</v>
      </c>
      <c r="P105" s="99">
        <f t="shared" si="21"/>
        <v>0</v>
      </c>
      <c r="Q105" s="99">
        <f t="shared" si="18"/>
        <v>0</v>
      </c>
      <c r="AH105" s="102" t="s">
        <v>394</v>
      </c>
      <c r="AI105" s="144">
        <v>1292807691628</v>
      </c>
    </row>
    <row r="106" spans="1:35">
      <c r="A106">
        <v>105</v>
      </c>
      <c r="B106" s="155" t="s">
        <v>395</v>
      </c>
      <c r="C106" s="155" t="s">
        <v>923</v>
      </c>
      <c r="D106" s="157">
        <v>0</v>
      </c>
      <c r="E106" s="157">
        <v>0</v>
      </c>
      <c r="F106" s="157">
        <v>0</v>
      </c>
      <c r="G106" s="157">
        <v>0</v>
      </c>
      <c r="H106" s="456">
        <v>0</v>
      </c>
      <c r="I106" s="157">
        <v>0</v>
      </c>
      <c r="J106" s="157">
        <v>0</v>
      </c>
      <c r="K106" s="157">
        <v>0</v>
      </c>
      <c r="L106" s="157">
        <v>0</v>
      </c>
      <c r="M106" s="157">
        <v>0</v>
      </c>
      <c r="N106" s="99">
        <f t="shared" si="20"/>
        <v>0</v>
      </c>
      <c r="O106" s="99">
        <f t="shared" si="17"/>
        <v>0</v>
      </c>
      <c r="P106" s="99">
        <f t="shared" si="21"/>
        <v>0</v>
      </c>
      <c r="Q106" s="99">
        <f t="shared" si="18"/>
        <v>0</v>
      </c>
      <c r="AH106" s="102" t="s">
        <v>396</v>
      </c>
      <c r="AI106" s="144">
        <v>0</v>
      </c>
    </row>
    <row r="107" spans="1:35">
      <c r="A107">
        <v>106</v>
      </c>
      <c r="B107" s="155" t="s">
        <v>397</v>
      </c>
      <c r="C107" s="155" t="s">
        <v>923</v>
      </c>
      <c r="D107" s="156">
        <v>311921335545</v>
      </c>
      <c r="E107" s="157">
        <v>0</v>
      </c>
      <c r="F107" s="157">
        <v>0</v>
      </c>
      <c r="G107" s="157">
        <v>0</v>
      </c>
      <c r="H107" s="455">
        <v>311921335545</v>
      </c>
      <c r="I107" s="157">
        <v>0</v>
      </c>
      <c r="J107" s="157">
        <v>0</v>
      </c>
      <c r="K107" s="157">
        <v>0</v>
      </c>
      <c r="L107" s="156">
        <v>110000000000</v>
      </c>
      <c r="M107" s="156">
        <v>201921335545</v>
      </c>
      <c r="N107" s="99">
        <f t="shared" si="20"/>
        <v>201921335545</v>
      </c>
      <c r="O107" s="99">
        <f t="shared" si="17"/>
        <v>0</v>
      </c>
      <c r="P107" s="99">
        <f t="shared" si="21"/>
        <v>110000000000</v>
      </c>
      <c r="Q107" s="99">
        <f t="shared" si="18"/>
        <v>0</v>
      </c>
      <c r="AH107" s="102" t="s">
        <v>398</v>
      </c>
      <c r="AI107" s="144">
        <v>0</v>
      </c>
    </row>
    <row r="108" spans="1:35">
      <c r="A108">
        <v>107</v>
      </c>
      <c r="B108" s="155" t="s">
        <v>399</v>
      </c>
      <c r="C108" s="155" t="s">
        <v>923</v>
      </c>
      <c r="D108" s="156">
        <v>426808634854</v>
      </c>
      <c r="E108" s="157">
        <v>0</v>
      </c>
      <c r="F108" s="157">
        <v>0</v>
      </c>
      <c r="G108" s="157">
        <v>0</v>
      </c>
      <c r="H108" s="455">
        <v>426808634854</v>
      </c>
      <c r="I108" s="157">
        <v>0</v>
      </c>
      <c r="J108" s="157">
        <v>0</v>
      </c>
      <c r="K108" s="157">
        <v>0</v>
      </c>
      <c r="L108" s="157">
        <v>0</v>
      </c>
      <c r="M108" s="156">
        <v>426808634854</v>
      </c>
      <c r="N108" s="99">
        <f t="shared" si="20"/>
        <v>426808634854</v>
      </c>
      <c r="O108" s="99">
        <f t="shared" si="17"/>
        <v>0</v>
      </c>
      <c r="P108" s="99">
        <f t="shared" si="21"/>
        <v>0</v>
      </c>
      <c r="Q108" s="99">
        <f t="shared" si="18"/>
        <v>0</v>
      </c>
      <c r="AH108" s="102" t="s">
        <v>400</v>
      </c>
      <c r="AI108" s="144">
        <v>0</v>
      </c>
    </row>
    <row r="109" spans="1:35">
      <c r="A109">
        <v>108</v>
      </c>
      <c r="B109" s="155" t="s">
        <v>401</v>
      </c>
      <c r="C109" s="155" t="s">
        <v>923</v>
      </c>
      <c r="D109" s="157">
        <v>0</v>
      </c>
      <c r="E109" s="157">
        <v>0</v>
      </c>
      <c r="F109" s="157">
        <v>0</v>
      </c>
      <c r="G109" s="157">
        <v>0</v>
      </c>
      <c r="H109" s="456">
        <v>0</v>
      </c>
      <c r="I109" s="157">
        <v>0</v>
      </c>
      <c r="J109" s="157">
        <v>0</v>
      </c>
      <c r="K109" s="157">
        <v>0</v>
      </c>
      <c r="L109" s="157">
        <v>0</v>
      </c>
      <c r="M109" s="157">
        <v>0</v>
      </c>
      <c r="N109" s="99">
        <f t="shared" si="20"/>
        <v>0</v>
      </c>
      <c r="O109" s="99">
        <f t="shared" si="17"/>
        <v>0</v>
      </c>
      <c r="P109" s="99">
        <f t="shared" si="21"/>
        <v>0</v>
      </c>
      <c r="Q109" s="99">
        <f t="shared" si="18"/>
        <v>0</v>
      </c>
      <c r="AH109" s="102" t="s">
        <v>402</v>
      </c>
      <c r="AI109" s="144">
        <v>0</v>
      </c>
    </row>
    <row r="110" spans="1:35">
      <c r="A110">
        <v>109</v>
      </c>
      <c r="B110" s="155" t="s">
        <v>403</v>
      </c>
      <c r="C110" s="155" t="s">
        <v>923</v>
      </c>
      <c r="D110" s="157">
        <v>0</v>
      </c>
      <c r="E110" s="157">
        <v>0</v>
      </c>
      <c r="F110" s="157">
        <v>0</v>
      </c>
      <c r="G110" s="157">
        <v>0</v>
      </c>
      <c r="H110" s="456">
        <v>0</v>
      </c>
      <c r="I110" s="157">
        <v>0</v>
      </c>
      <c r="J110" s="157">
        <v>0</v>
      </c>
      <c r="K110" s="157">
        <v>0</v>
      </c>
      <c r="L110" s="157">
        <v>0</v>
      </c>
      <c r="M110" s="157">
        <v>0</v>
      </c>
      <c r="N110" s="99">
        <f t="shared" si="20"/>
        <v>0</v>
      </c>
      <c r="O110" s="99">
        <f t="shared" si="17"/>
        <v>0</v>
      </c>
      <c r="P110" s="99">
        <f t="shared" si="21"/>
        <v>0</v>
      </c>
      <c r="Q110" s="99">
        <f t="shared" si="18"/>
        <v>0</v>
      </c>
      <c r="AH110" s="102" t="s">
        <v>404</v>
      </c>
      <c r="AI110" s="144">
        <v>0</v>
      </c>
    </row>
    <row r="111" spans="1:35">
      <c r="A111">
        <v>110</v>
      </c>
      <c r="B111" s="155" t="s">
        <v>405</v>
      </c>
      <c r="C111" s="155" t="s">
        <v>923</v>
      </c>
      <c r="D111" s="157">
        <v>0</v>
      </c>
      <c r="E111" s="157">
        <v>0</v>
      </c>
      <c r="F111" s="157">
        <v>0</v>
      </c>
      <c r="G111" s="157">
        <v>0</v>
      </c>
      <c r="H111" s="456">
        <v>0</v>
      </c>
      <c r="I111" s="157">
        <v>0</v>
      </c>
      <c r="J111" s="157">
        <v>0</v>
      </c>
      <c r="K111" s="157">
        <v>0</v>
      </c>
      <c r="L111" s="157">
        <v>0</v>
      </c>
      <c r="M111" s="157">
        <v>0</v>
      </c>
      <c r="N111" s="99">
        <f t="shared" si="20"/>
        <v>0</v>
      </c>
      <c r="O111" s="99">
        <f t="shared" si="17"/>
        <v>0</v>
      </c>
      <c r="P111" s="99">
        <f t="shared" si="21"/>
        <v>0</v>
      </c>
      <c r="Q111" s="99">
        <f t="shared" si="18"/>
        <v>0</v>
      </c>
      <c r="AH111" s="102" t="s">
        <v>406</v>
      </c>
      <c r="AI111" s="144">
        <v>0</v>
      </c>
    </row>
    <row r="112" spans="1:35">
      <c r="A112">
        <v>111</v>
      </c>
      <c r="B112" s="155" t="s">
        <v>407</v>
      </c>
      <c r="C112" s="155" t="s">
        <v>923</v>
      </c>
      <c r="D112" s="157">
        <v>0</v>
      </c>
      <c r="E112" s="157">
        <v>0</v>
      </c>
      <c r="F112" s="157">
        <v>0</v>
      </c>
      <c r="G112" s="157">
        <v>0</v>
      </c>
      <c r="H112" s="456">
        <v>0</v>
      </c>
      <c r="I112" s="157">
        <v>0</v>
      </c>
      <c r="J112" s="157">
        <v>0</v>
      </c>
      <c r="K112" s="157">
        <v>0</v>
      </c>
      <c r="L112" s="157">
        <v>0</v>
      </c>
      <c r="M112" s="157">
        <v>0</v>
      </c>
      <c r="N112" s="99">
        <f t="shared" si="20"/>
        <v>0</v>
      </c>
      <c r="O112" s="99">
        <f t="shared" si="17"/>
        <v>0</v>
      </c>
      <c r="P112" s="99">
        <f t="shared" si="21"/>
        <v>0</v>
      </c>
      <c r="Q112" s="99">
        <f t="shared" si="18"/>
        <v>0</v>
      </c>
      <c r="AH112" s="102" t="s">
        <v>408</v>
      </c>
      <c r="AI112" s="144">
        <v>0</v>
      </c>
    </row>
    <row r="113" spans="1:35">
      <c r="A113">
        <v>112</v>
      </c>
      <c r="B113" s="155" t="s">
        <v>409</v>
      </c>
      <c r="C113" s="155" t="s">
        <v>923</v>
      </c>
      <c r="D113" s="156">
        <v>304071811873</v>
      </c>
      <c r="E113" s="157">
        <v>0</v>
      </c>
      <c r="F113" s="157">
        <v>0</v>
      </c>
      <c r="G113" s="157">
        <v>0</v>
      </c>
      <c r="H113" s="455">
        <v>304071811873</v>
      </c>
      <c r="I113" s="157">
        <v>0</v>
      </c>
      <c r="J113" s="157">
        <v>0</v>
      </c>
      <c r="K113" s="157">
        <v>0</v>
      </c>
      <c r="L113" s="156">
        <v>13288527047</v>
      </c>
      <c r="M113" s="156">
        <v>290783284826</v>
      </c>
      <c r="N113" s="99">
        <f t="shared" si="20"/>
        <v>290783284826</v>
      </c>
      <c r="O113" s="99">
        <f t="shared" si="17"/>
        <v>0</v>
      </c>
      <c r="P113" s="99">
        <f t="shared" si="21"/>
        <v>13288527047</v>
      </c>
      <c r="Q113" s="99">
        <f t="shared" si="18"/>
        <v>0</v>
      </c>
      <c r="AH113" s="102" t="s">
        <v>410</v>
      </c>
      <c r="AI113" s="144">
        <v>0</v>
      </c>
    </row>
    <row r="114" spans="1:35">
      <c r="A114">
        <v>113</v>
      </c>
      <c r="B114" s="155" t="s">
        <v>411</v>
      </c>
      <c r="C114" s="155" t="s">
        <v>923</v>
      </c>
      <c r="D114" s="156">
        <v>1135060728851</v>
      </c>
      <c r="E114" s="157">
        <v>0</v>
      </c>
      <c r="F114" s="156">
        <v>190800000000</v>
      </c>
      <c r="G114" s="157">
        <v>0</v>
      </c>
      <c r="H114" s="455">
        <v>944260728851</v>
      </c>
      <c r="I114" s="157">
        <v>0</v>
      </c>
      <c r="J114" s="157">
        <v>0</v>
      </c>
      <c r="K114" s="157">
        <v>0</v>
      </c>
      <c r="L114" s="157">
        <v>0</v>
      </c>
      <c r="M114" s="156">
        <v>944260728851</v>
      </c>
      <c r="N114" s="99">
        <f t="shared" si="20"/>
        <v>944260728851</v>
      </c>
      <c r="O114" s="99">
        <f t="shared" si="17"/>
        <v>190800000000</v>
      </c>
      <c r="P114" s="99">
        <f t="shared" si="21"/>
        <v>0</v>
      </c>
      <c r="Q114" s="99">
        <f t="shared" si="18"/>
        <v>0</v>
      </c>
      <c r="AH114" s="102" t="s">
        <v>412</v>
      </c>
      <c r="AI114" s="144">
        <v>0</v>
      </c>
    </row>
    <row r="115" spans="1:35">
      <c r="A115">
        <v>114</v>
      </c>
      <c r="B115" s="155" t="s">
        <v>413</v>
      </c>
      <c r="C115" s="155" t="s">
        <v>923</v>
      </c>
      <c r="D115" s="156">
        <v>65998221428</v>
      </c>
      <c r="E115" s="157">
        <v>0</v>
      </c>
      <c r="F115" s="157">
        <v>0</v>
      </c>
      <c r="G115" s="157">
        <v>0</v>
      </c>
      <c r="H115" s="455">
        <v>65998221428</v>
      </c>
      <c r="I115" s="157">
        <v>0</v>
      </c>
      <c r="J115" s="157">
        <v>0</v>
      </c>
      <c r="K115" s="157">
        <v>0</v>
      </c>
      <c r="L115" s="157">
        <v>0</v>
      </c>
      <c r="M115" s="156">
        <v>65998221428</v>
      </c>
      <c r="N115" s="99">
        <f t="shared" si="20"/>
        <v>65998221428</v>
      </c>
      <c r="O115" s="99">
        <f t="shared" si="17"/>
        <v>0</v>
      </c>
      <c r="P115" s="99">
        <f t="shared" si="21"/>
        <v>0</v>
      </c>
      <c r="Q115" s="99">
        <f t="shared" si="18"/>
        <v>0</v>
      </c>
      <c r="AH115" s="102" t="s">
        <v>414</v>
      </c>
      <c r="AI115" s="144">
        <v>0</v>
      </c>
    </row>
    <row r="116" spans="1:35">
      <c r="A116">
        <v>115</v>
      </c>
      <c r="B116" s="155" t="s">
        <v>415</v>
      </c>
      <c r="C116" s="155" t="s">
        <v>923</v>
      </c>
      <c r="D116" s="157">
        <v>0</v>
      </c>
      <c r="E116" s="157">
        <v>0</v>
      </c>
      <c r="F116" s="157">
        <v>0</v>
      </c>
      <c r="G116" s="157">
        <v>0</v>
      </c>
      <c r="H116" s="456">
        <v>0</v>
      </c>
      <c r="I116" s="157">
        <v>0</v>
      </c>
      <c r="J116" s="157">
        <v>0</v>
      </c>
      <c r="K116" s="157">
        <v>0</v>
      </c>
      <c r="L116" s="157">
        <v>0</v>
      </c>
      <c r="M116" s="157">
        <v>0</v>
      </c>
      <c r="N116" s="99">
        <f t="shared" si="20"/>
        <v>0</v>
      </c>
      <c r="O116" s="99">
        <f t="shared" si="17"/>
        <v>0</v>
      </c>
      <c r="P116" s="99">
        <f t="shared" si="21"/>
        <v>0</v>
      </c>
      <c r="Q116" s="99">
        <f t="shared" si="18"/>
        <v>0</v>
      </c>
      <c r="AH116" s="102" t="s">
        <v>416</v>
      </c>
      <c r="AI116" s="144">
        <v>0</v>
      </c>
    </row>
    <row r="117" spans="1:35">
      <c r="A117">
        <v>116</v>
      </c>
      <c r="B117" s="155" t="s">
        <v>417</v>
      </c>
      <c r="C117" s="155" t="s">
        <v>923</v>
      </c>
      <c r="D117" s="157">
        <v>0</v>
      </c>
      <c r="E117" s="157">
        <v>0</v>
      </c>
      <c r="F117" s="157">
        <v>0</v>
      </c>
      <c r="G117" s="157">
        <v>0</v>
      </c>
      <c r="H117" s="456">
        <v>0</v>
      </c>
      <c r="I117" s="157">
        <v>0</v>
      </c>
      <c r="J117" s="157">
        <v>0</v>
      </c>
      <c r="K117" s="157">
        <v>0</v>
      </c>
      <c r="L117" s="157">
        <v>0</v>
      </c>
      <c r="M117" s="157">
        <v>0</v>
      </c>
      <c r="N117" s="99">
        <f t="shared" si="20"/>
        <v>0</v>
      </c>
      <c r="O117" s="99">
        <f t="shared" si="17"/>
        <v>0</v>
      </c>
      <c r="P117" s="99">
        <f t="shared" si="21"/>
        <v>0</v>
      </c>
      <c r="Q117" s="99">
        <f t="shared" si="18"/>
        <v>0</v>
      </c>
      <c r="AH117" s="102" t="s">
        <v>418</v>
      </c>
      <c r="AI117" s="144">
        <v>0</v>
      </c>
    </row>
    <row r="118" spans="1:35">
      <c r="A118">
        <v>117</v>
      </c>
      <c r="B118" s="155" t="s">
        <v>419</v>
      </c>
      <c r="C118" s="155" t="s">
        <v>923</v>
      </c>
      <c r="D118" s="156">
        <v>1069062507423</v>
      </c>
      <c r="E118" s="157">
        <v>0</v>
      </c>
      <c r="F118" s="156">
        <v>190800000000</v>
      </c>
      <c r="G118" s="157">
        <v>0</v>
      </c>
      <c r="H118" s="455">
        <v>878262507423</v>
      </c>
      <c r="I118" s="157">
        <v>0</v>
      </c>
      <c r="J118" s="157">
        <v>0</v>
      </c>
      <c r="K118" s="157">
        <v>0</v>
      </c>
      <c r="L118" s="157">
        <v>0</v>
      </c>
      <c r="M118" s="156">
        <v>878262507423</v>
      </c>
      <c r="N118" s="99">
        <f t="shared" si="20"/>
        <v>878262507423</v>
      </c>
      <c r="O118" s="99">
        <f t="shared" si="17"/>
        <v>190800000000</v>
      </c>
      <c r="P118" s="99">
        <f t="shared" si="21"/>
        <v>0</v>
      </c>
      <c r="Q118" s="99">
        <f t="shared" si="18"/>
        <v>0</v>
      </c>
      <c r="AH118" s="102" t="s">
        <v>420</v>
      </c>
      <c r="AI118" s="144">
        <v>0</v>
      </c>
    </row>
    <row r="119" spans="1:35">
      <c r="A119">
        <v>118</v>
      </c>
      <c r="B119" s="155" t="s">
        <v>421</v>
      </c>
      <c r="C119" s="155" t="s">
        <v>923</v>
      </c>
      <c r="D119" s="156">
        <v>69213985926</v>
      </c>
      <c r="E119" s="157">
        <v>0</v>
      </c>
      <c r="F119" s="157">
        <v>0</v>
      </c>
      <c r="G119" s="157">
        <v>0</v>
      </c>
      <c r="H119" s="455">
        <v>69213985926</v>
      </c>
      <c r="I119" s="157">
        <v>0</v>
      </c>
      <c r="J119" s="157">
        <v>0</v>
      </c>
      <c r="K119" s="157">
        <v>0</v>
      </c>
      <c r="L119" s="157">
        <v>0</v>
      </c>
      <c r="M119" s="156">
        <v>69213985926</v>
      </c>
      <c r="N119" s="99">
        <f t="shared" si="20"/>
        <v>69213985926</v>
      </c>
      <c r="O119" s="99">
        <f t="shared" si="17"/>
        <v>0</v>
      </c>
      <c r="P119" s="99">
        <f t="shared" si="21"/>
        <v>0</v>
      </c>
      <c r="Q119" s="99">
        <f t="shared" si="18"/>
        <v>0</v>
      </c>
      <c r="AH119" s="102" t="s">
        <v>422</v>
      </c>
      <c r="AI119" s="144">
        <v>0</v>
      </c>
    </row>
    <row r="120" spans="1:35">
      <c r="A120">
        <v>119</v>
      </c>
      <c r="B120" s="155" t="s">
        <v>423</v>
      </c>
      <c r="C120" s="155" t="s">
        <v>923</v>
      </c>
      <c r="D120" s="157">
        <v>0</v>
      </c>
      <c r="E120" s="157">
        <v>0</v>
      </c>
      <c r="F120" s="157">
        <v>0</v>
      </c>
      <c r="G120" s="157">
        <v>0</v>
      </c>
      <c r="H120" s="456">
        <v>0</v>
      </c>
      <c r="I120" s="157">
        <v>0</v>
      </c>
      <c r="J120" s="157">
        <v>0</v>
      </c>
      <c r="K120" s="157">
        <v>0</v>
      </c>
      <c r="L120" s="157">
        <v>0</v>
      </c>
      <c r="M120" s="157">
        <v>0</v>
      </c>
      <c r="N120" s="99">
        <f t="shared" si="20"/>
        <v>0</v>
      </c>
      <c r="O120" s="99">
        <f t="shared" si="17"/>
        <v>0</v>
      </c>
      <c r="P120" s="99">
        <f t="shared" si="21"/>
        <v>0</v>
      </c>
      <c r="Q120" s="99">
        <f t="shared" si="18"/>
        <v>0</v>
      </c>
      <c r="AH120" s="102" t="s">
        <v>424</v>
      </c>
      <c r="AI120" s="144">
        <v>0</v>
      </c>
    </row>
    <row r="121" spans="1:35">
      <c r="A121">
        <v>120</v>
      </c>
      <c r="B121" s="155" t="s">
        <v>425</v>
      </c>
      <c r="C121" s="155" t="s">
        <v>923</v>
      </c>
      <c r="D121" s="157">
        <v>0</v>
      </c>
      <c r="E121" s="157">
        <v>0</v>
      </c>
      <c r="F121" s="157">
        <v>0</v>
      </c>
      <c r="G121" s="157">
        <v>0</v>
      </c>
      <c r="H121" s="456">
        <v>0</v>
      </c>
      <c r="I121" s="157">
        <v>0</v>
      </c>
      <c r="J121" s="157">
        <v>0</v>
      </c>
      <c r="K121" s="157">
        <v>0</v>
      </c>
      <c r="L121" s="157">
        <v>0</v>
      </c>
      <c r="M121" s="157">
        <v>0</v>
      </c>
      <c r="N121" s="99">
        <f t="shared" si="20"/>
        <v>0</v>
      </c>
      <c r="O121" s="99">
        <f t="shared" si="17"/>
        <v>0</v>
      </c>
      <c r="P121" s="99">
        <f t="shared" si="21"/>
        <v>0</v>
      </c>
      <c r="Q121" s="99">
        <f t="shared" si="18"/>
        <v>0</v>
      </c>
      <c r="AH121" s="102" t="s">
        <v>426</v>
      </c>
      <c r="AI121" s="144">
        <v>0</v>
      </c>
    </row>
    <row r="122" spans="1:35">
      <c r="A122">
        <v>121</v>
      </c>
      <c r="B122" s="155" t="s">
        <v>427</v>
      </c>
      <c r="C122" s="155" t="s">
        <v>923</v>
      </c>
      <c r="D122" s="157">
        <v>0</v>
      </c>
      <c r="E122" s="157">
        <v>0</v>
      </c>
      <c r="F122" s="157">
        <v>0</v>
      </c>
      <c r="G122" s="157">
        <v>0</v>
      </c>
      <c r="H122" s="456">
        <v>0</v>
      </c>
      <c r="I122" s="157">
        <v>0</v>
      </c>
      <c r="J122" s="157">
        <v>0</v>
      </c>
      <c r="K122" s="157">
        <v>0</v>
      </c>
      <c r="L122" s="157">
        <v>0</v>
      </c>
      <c r="M122" s="157">
        <v>0</v>
      </c>
      <c r="N122" s="99">
        <f t="shared" si="20"/>
        <v>0</v>
      </c>
      <c r="O122" s="99">
        <f t="shared" si="17"/>
        <v>0</v>
      </c>
      <c r="P122" s="99">
        <f t="shared" si="21"/>
        <v>0</v>
      </c>
      <c r="Q122" s="99">
        <f t="shared" si="18"/>
        <v>0</v>
      </c>
      <c r="AH122" s="102" t="s">
        <v>428</v>
      </c>
      <c r="AI122" s="144">
        <v>0</v>
      </c>
    </row>
    <row r="123" spans="1:35">
      <c r="A123">
        <v>122</v>
      </c>
      <c r="B123" s="155" t="s">
        <v>429</v>
      </c>
      <c r="C123" s="155" t="s">
        <v>923</v>
      </c>
      <c r="D123" s="157">
        <v>0</v>
      </c>
      <c r="E123" s="157">
        <v>0</v>
      </c>
      <c r="F123" s="157">
        <v>0</v>
      </c>
      <c r="G123" s="157">
        <v>0</v>
      </c>
      <c r="H123" s="456">
        <v>0</v>
      </c>
      <c r="I123" s="157">
        <v>0</v>
      </c>
      <c r="J123" s="157">
        <v>0</v>
      </c>
      <c r="K123" s="157">
        <v>0</v>
      </c>
      <c r="L123" s="157">
        <v>0</v>
      </c>
      <c r="M123" s="157">
        <v>0</v>
      </c>
      <c r="N123" s="99">
        <f t="shared" si="20"/>
        <v>0</v>
      </c>
      <c r="O123" s="99">
        <f t="shared" si="17"/>
        <v>0</v>
      </c>
      <c r="P123" s="99">
        <f t="shared" si="21"/>
        <v>0</v>
      </c>
      <c r="Q123" s="99">
        <f t="shared" si="18"/>
        <v>0</v>
      </c>
      <c r="AH123" s="102" t="s">
        <v>430</v>
      </c>
      <c r="AI123" s="144">
        <v>0</v>
      </c>
    </row>
    <row r="124" spans="1:35">
      <c r="A124">
        <v>123</v>
      </c>
      <c r="B124" s="155" t="s">
        <v>431</v>
      </c>
      <c r="C124" s="155" t="s">
        <v>923</v>
      </c>
      <c r="D124" s="157">
        <v>0</v>
      </c>
      <c r="E124" s="157">
        <v>0</v>
      </c>
      <c r="F124" s="157">
        <v>0</v>
      </c>
      <c r="G124" s="157">
        <v>0</v>
      </c>
      <c r="H124" s="456">
        <v>0</v>
      </c>
      <c r="I124" s="157">
        <v>0</v>
      </c>
      <c r="J124" s="157">
        <v>0</v>
      </c>
      <c r="K124" s="157">
        <v>0</v>
      </c>
      <c r="L124" s="157">
        <v>0</v>
      </c>
      <c r="M124" s="157">
        <v>0</v>
      </c>
      <c r="N124" s="99">
        <f t="shared" si="20"/>
        <v>0</v>
      </c>
      <c r="O124" s="99">
        <f t="shared" si="17"/>
        <v>0</v>
      </c>
      <c r="P124" s="99">
        <f t="shared" si="21"/>
        <v>0</v>
      </c>
      <c r="Q124" s="99">
        <f t="shared" si="18"/>
        <v>0</v>
      </c>
      <c r="AH124" s="102" t="s">
        <v>432</v>
      </c>
      <c r="AI124" s="144">
        <v>0</v>
      </c>
    </row>
    <row r="125" spans="1:35">
      <c r="A125">
        <v>124</v>
      </c>
      <c r="B125" s="155" t="s">
        <v>433</v>
      </c>
      <c r="C125" s="155" t="s">
        <v>923</v>
      </c>
      <c r="D125" s="157">
        <v>0</v>
      </c>
      <c r="E125" s="157">
        <v>0</v>
      </c>
      <c r="F125" s="157">
        <v>0</v>
      </c>
      <c r="G125" s="157">
        <v>0</v>
      </c>
      <c r="H125" s="456">
        <v>0</v>
      </c>
      <c r="I125" s="157">
        <v>0</v>
      </c>
      <c r="J125" s="157">
        <v>0</v>
      </c>
      <c r="K125" s="157">
        <v>0</v>
      </c>
      <c r="L125" s="157">
        <v>0</v>
      </c>
      <c r="M125" s="157">
        <v>0</v>
      </c>
      <c r="N125" s="99">
        <f t="shared" si="20"/>
        <v>0</v>
      </c>
      <c r="O125" s="99">
        <f t="shared" si="17"/>
        <v>0</v>
      </c>
      <c r="P125" s="99">
        <f t="shared" si="21"/>
        <v>0</v>
      </c>
      <c r="Q125" s="99">
        <f t="shared" si="18"/>
        <v>0</v>
      </c>
      <c r="AH125" s="102" t="s">
        <v>434</v>
      </c>
      <c r="AI125" s="144">
        <v>0</v>
      </c>
    </row>
    <row r="126" spans="1:35">
      <c r="A126">
        <v>125</v>
      </c>
      <c r="B126" s="155" t="s">
        <v>435</v>
      </c>
      <c r="C126" s="155" t="s">
        <v>923</v>
      </c>
      <c r="D126" s="156">
        <v>6787826704</v>
      </c>
      <c r="E126" s="157">
        <v>0</v>
      </c>
      <c r="F126" s="157">
        <v>0</v>
      </c>
      <c r="G126" s="157">
        <v>0</v>
      </c>
      <c r="H126" s="455">
        <v>6787826704</v>
      </c>
      <c r="I126" s="157">
        <v>0</v>
      </c>
      <c r="J126" s="157">
        <v>0</v>
      </c>
      <c r="K126" s="157">
        <v>0</v>
      </c>
      <c r="L126" s="157">
        <v>0</v>
      </c>
      <c r="M126" s="156">
        <v>6787826704</v>
      </c>
      <c r="N126" s="99">
        <f t="shared" si="20"/>
        <v>6787826704</v>
      </c>
      <c r="O126" s="99">
        <f t="shared" si="17"/>
        <v>0</v>
      </c>
      <c r="P126" s="99">
        <f t="shared" si="21"/>
        <v>0</v>
      </c>
      <c r="Q126" s="99">
        <f t="shared" si="18"/>
        <v>0</v>
      </c>
      <c r="AH126" s="102" t="s">
        <v>436</v>
      </c>
      <c r="AI126" s="144">
        <v>0</v>
      </c>
    </row>
    <row r="127" spans="1:35">
      <c r="A127">
        <v>126</v>
      </c>
      <c r="B127" s="155" t="s">
        <v>437</v>
      </c>
      <c r="C127" s="155" t="s">
        <v>923</v>
      </c>
      <c r="D127" s="156">
        <v>62426159222</v>
      </c>
      <c r="E127" s="157">
        <v>0</v>
      </c>
      <c r="F127" s="157">
        <v>0</v>
      </c>
      <c r="G127" s="157">
        <v>0</v>
      </c>
      <c r="H127" s="455">
        <v>62426159222</v>
      </c>
      <c r="I127" s="157">
        <v>0</v>
      </c>
      <c r="J127" s="157">
        <v>0</v>
      </c>
      <c r="K127" s="157">
        <v>0</v>
      </c>
      <c r="L127" s="157">
        <v>0</v>
      </c>
      <c r="M127" s="156">
        <v>62426159222</v>
      </c>
      <c r="N127" s="99">
        <f t="shared" si="20"/>
        <v>62426159222</v>
      </c>
      <c r="O127" s="99">
        <f t="shared" si="17"/>
        <v>0</v>
      </c>
      <c r="P127" s="99">
        <f t="shared" si="21"/>
        <v>0</v>
      </c>
      <c r="Q127" s="99">
        <f t="shared" si="18"/>
        <v>0</v>
      </c>
      <c r="AH127" s="102" t="s">
        <v>438</v>
      </c>
      <c r="AI127" s="144">
        <v>0</v>
      </c>
    </row>
    <row r="128" spans="1:35">
      <c r="A128">
        <v>127</v>
      </c>
      <c r="B128" s="155" t="s">
        <v>439</v>
      </c>
      <c r="C128" s="155" t="s">
        <v>923</v>
      </c>
      <c r="D128" s="156">
        <v>-9330712488</v>
      </c>
      <c r="E128" s="157">
        <v>0</v>
      </c>
      <c r="F128" s="157">
        <v>0</v>
      </c>
      <c r="G128" s="157">
        <v>0</v>
      </c>
      <c r="H128" s="455">
        <v>-9330712488</v>
      </c>
      <c r="I128" s="157">
        <v>0</v>
      </c>
      <c r="J128" s="157">
        <v>0</v>
      </c>
      <c r="K128" s="157">
        <v>0</v>
      </c>
      <c r="L128" s="157">
        <v>0</v>
      </c>
      <c r="M128" s="156">
        <v>-9330712488</v>
      </c>
      <c r="N128" s="99">
        <f t="shared" si="20"/>
        <v>-9330712488</v>
      </c>
      <c r="O128" s="99">
        <f t="shared" si="17"/>
        <v>0</v>
      </c>
      <c r="P128" s="99">
        <f t="shared" si="21"/>
        <v>0</v>
      </c>
      <c r="Q128" s="99">
        <f t="shared" si="18"/>
        <v>0</v>
      </c>
      <c r="AH128" s="102" t="s">
        <v>440</v>
      </c>
      <c r="AI128" s="144">
        <v>0</v>
      </c>
    </row>
    <row r="129" spans="1:35">
      <c r="A129">
        <v>128</v>
      </c>
      <c r="B129" s="155" t="s">
        <v>441</v>
      </c>
      <c r="C129" s="155" t="s">
        <v>923</v>
      </c>
      <c r="D129" s="157">
        <v>0</v>
      </c>
      <c r="E129" s="157">
        <v>0</v>
      </c>
      <c r="F129" s="157">
        <v>0</v>
      </c>
      <c r="G129" s="157">
        <v>0</v>
      </c>
      <c r="H129" s="456">
        <v>0</v>
      </c>
      <c r="I129" s="157">
        <v>0</v>
      </c>
      <c r="J129" s="157">
        <v>0</v>
      </c>
      <c r="K129" s="157">
        <v>0</v>
      </c>
      <c r="L129" s="157">
        <v>0</v>
      </c>
      <c r="M129" s="157">
        <v>0</v>
      </c>
      <c r="N129" s="99">
        <f t="shared" si="20"/>
        <v>0</v>
      </c>
      <c r="O129" s="99">
        <f t="shared" si="17"/>
        <v>0</v>
      </c>
      <c r="P129" s="99">
        <f t="shared" si="21"/>
        <v>0</v>
      </c>
      <c r="Q129" s="99">
        <f t="shared" si="18"/>
        <v>0</v>
      </c>
      <c r="AH129" s="102" t="s">
        <v>442</v>
      </c>
      <c r="AI129" s="144">
        <v>0</v>
      </c>
    </row>
    <row r="130" spans="1:35">
      <c r="A130">
        <v>129</v>
      </c>
      <c r="B130" s="155" t="s">
        <v>439</v>
      </c>
      <c r="C130" s="155" t="s">
        <v>923</v>
      </c>
      <c r="D130" s="157">
        <v>0</v>
      </c>
      <c r="E130" s="157">
        <v>0</v>
      </c>
      <c r="F130" s="157">
        <v>0</v>
      </c>
      <c r="G130" s="157">
        <v>0</v>
      </c>
      <c r="H130" s="456">
        <v>0</v>
      </c>
      <c r="I130" s="157">
        <v>0</v>
      </c>
      <c r="J130" s="157">
        <v>0</v>
      </c>
      <c r="K130" s="157">
        <v>0</v>
      </c>
      <c r="L130" s="157">
        <v>0</v>
      </c>
      <c r="M130" s="157">
        <v>0</v>
      </c>
      <c r="N130" s="99">
        <f t="shared" si="20"/>
        <v>0</v>
      </c>
      <c r="O130" s="99">
        <f t="shared" ref="O130:O193" si="28">+F130</f>
        <v>0</v>
      </c>
      <c r="P130" s="99">
        <f t="shared" si="21"/>
        <v>0</v>
      </c>
      <c r="Q130" s="99">
        <f t="shared" ref="Q130:Q193" si="29">+G130</f>
        <v>0</v>
      </c>
      <c r="AH130" s="102" t="s">
        <v>443</v>
      </c>
      <c r="AI130" s="144">
        <v>0</v>
      </c>
    </row>
    <row r="131" spans="1:35">
      <c r="A131">
        <v>130</v>
      </c>
      <c r="B131" s="155" t="s">
        <v>444</v>
      </c>
      <c r="C131" s="155" t="s">
        <v>923</v>
      </c>
      <c r="D131" s="157">
        <v>0</v>
      </c>
      <c r="E131" s="157">
        <v>0</v>
      </c>
      <c r="F131" s="157">
        <v>0</v>
      </c>
      <c r="G131" s="157">
        <v>0</v>
      </c>
      <c r="H131" s="456">
        <v>0</v>
      </c>
      <c r="I131" s="157">
        <v>0</v>
      </c>
      <c r="J131" s="157">
        <v>0</v>
      </c>
      <c r="K131" s="157">
        <v>0</v>
      </c>
      <c r="L131" s="157">
        <v>0</v>
      </c>
      <c r="M131" s="157">
        <v>0</v>
      </c>
      <c r="N131" s="99">
        <f t="shared" ref="N131:N194" si="30">+M131+I131+J131</f>
        <v>0</v>
      </c>
      <c r="O131" s="99">
        <f t="shared" si="28"/>
        <v>0</v>
      </c>
      <c r="P131" s="99">
        <f t="shared" ref="P131:P194" si="31">+K131+L131</f>
        <v>0</v>
      </c>
      <c r="Q131" s="99">
        <f t="shared" si="29"/>
        <v>0</v>
      </c>
      <c r="AH131" s="102" t="s">
        <v>445</v>
      </c>
      <c r="AI131" s="144">
        <v>0</v>
      </c>
    </row>
    <row r="132" spans="1:35">
      <c r="A132">
        <v>131</v>
      </c>
      <c r="B132" s="155" t="s">
        <v>439</v>
      </c>
      <c r="C132" s="155" t="s">
        <v>923</v>
      </c>
      <c r="D132" s="157">
        <v>0</v>
      </c>
      <c r="E132" s="157">
        <v>0</v>
      </c>
      <c r="F132" s="157">
        <v>0</v>
      </c>
      <c r="G132" s="157">
        <v>0</v>
      </c>
      <c r="H132" s="456">
        <v>0</v>
      </c>
      <c r="I132" s="157">
        <v>0</v>
      </c>
      <c r="J132" s="157">
        <v>0</v>
      </c>
      <c r="K132" s="157">
        <v>0</v>
      </c>
      <c r="L132" s="157">
        <v>0</v>
      </c>
      <c r="M132" s="157">
        <v>0</v>
      </c>
      <c r="N132" s="99">
        <f t="shared" si="30"/>
        <v>0</v>
      </c>
      <c r="O132" s="99">
        <f t="shared" si="28"/>
        <v>0</v>
      </c>
      <c r="P132" s="99">
        <f t="shared" si="31"/>
        <v>0</v>
      </c>
      <c r="Q132" s="99">
        <f t="shared" si="29"/>
        <v>0</v>
      </c>
      <c r="AH132" s="102" t="s">
        <v>376</v>
      </c>
      <c r="AI132" s="144">
        <v>0</v>
      </c>
    </row>
    <row r="133" spans="1:35">
      <c r="A133">
        <v>132</v>
      </c>
      <c r="B133" s="155" t="s">
        <v>446</v>
      </c>
      <c r="C133" s="155" t="s">
        <v>923</v>
      </c>
      <c r="D133" s="157">
        <v>0</v>
      </c>
      <c r="E133" s="157">
        <v>0</v>
      </c>
      <c r="F133" s="157">
        <v>0</v>
      </c>
      <c r="G133" s="157">
        <v>0</v>
      </c>
      <c r="H133" s="456">
        <v>0</v>
      </c>
      <c r="I133" s="157">
        <v>0</v>
      </c>
      <c r="J133" s="157">
        <v>0</v>
      </c>
      <c r="K133" s="157">
        <v>0</v>
      </c>
      <c r="L133" s="157">
        <v>0</v>
      </c>
      <c r="M133" s="157">
        <v>0</v>
      </c>
      <c r="N133" s="99">
        <f t="shared" si="30"/>
        <v>0</v>
      </c>
      <c r="O133" s="99">
        <f t="shared" si="28"/>
        <v>0</v>
      </c>
      <c r="P133" s="99">
        <f t="shared" si="31"/>
        <v>0</v>
      </c>
      <c r="Q133" s="99">
        <f t="shared" si="29"/>
        <v>0</v>
      </c>
      <c r="AH133" s="102" t="s">
        <v>377</v>
      </c>
      <c r="AI133" s="144">
        <v>0</v>
      </c>
    </row>
    <row r="134" spans="1:35">
      <c r="A134">
        <v>133</v>
      </c>
      <c r="B134" s="155" t="s">
        <v>447</v>
      </c>
      <c r="C134" s="155" t="s">
        <v>923</v>
      </c>
      <c r="D134" s="157">
        <v>0</v>
      </c>
      <c r="E134" s="157">
        <v>0</v>
      </c>
      <c r="F134" s="157">
        <v>0</v>
      </c>
      <c r="G134" s="157">
        <v>0</v>
      </c>
      <c r="H134" s="456">
        <v>0</v>
      </c>
      <c r="I134" s="157">
        <v>0</v>
      </c>
      <c r="J134" s="157">
        <v>0</v>
      </c>
      <c r="K134" s="157">
        <v>0</v>
      </c>
      <c r="L134" s="157">
        <v>0</v>
      </c>
      <c r="M134" s="157">
        <v>0</v>
      </c>
      <c r="N134" s="99">
        <f t="shared" si="30"/>
        <v>0</v>
      </c>
      <c r="O134" s="99">
        <f t="shared" si="28"/>
        <v>0</v>
      </c>
      <c r="P134" s="99">
        <f t="shared" si="31"/>
        <v>0</v>
      </c>
      <c r="Q134" s="99">
        <f t="shared" si="29"/>
        <v>0</v>
      </c>
      <c r="AH134" s="102" t="s">
        <v>448</v>
      </c>
      <c r="AI134" s="144">
        <v>0</v>
      </c>
    </row>
    <row r="135" spans="1:35">
      <c r="A135">
        <v>134</v>
      </c>
      <c r="B135" s="155" t="s">
        <v>449</v>
      </c>
      <c r="C135" s="155" t="s">
        <v>923</v>
      </c>
      <c r="D135" s="157">
        <v>0</v>
      </c>
      <c r="E135" s="157">
        <v>0</v>
      </c>
      <c r="F135" s="157">
        <v>0</v>
      </c>
      <c r="G135" s="157">
        <v>0</v>
      </c>
      <c r="H135" s="456">
        <v>0</v>
      </c>
      <c r="I135" s="157">
        <v>0</v>
      </c>
      <c r="J135" s="157">
        <v>0</v>
      </c>
      <c r="K135" s="157">
        <v>0</v>
      </c>
      <c r="L135" s="157">
        <v>0</v>
      </c>
      <c r="M135" s="157">
        <v>0</v>
      </c>
      <c r="N135" s="99">
        <f t="shared" si="30"/>
        <v>0</v>
      </c>
      <c r="O135" s="99">
        <f t="shared" si="28"/>
        <v>0</v>
      </c>
      <c r="P135" s="99">
        <f t="shared" si="31"/>
        <v>0</v>
      </c>
      <c r="Q135" s="99">
        <f t="shared" si="29"/>
        <v>0</v>
      </c>
      <c r="AH135" s="102" t="s">
        <v>450</v>
      </c>
      <c r="AI135" s="144">
        <v>0</v>
      </c>
    </row>
    <row r="136" spans="1:35">
      <c r="A136">
        <v>135</v>
      </c>
      <c r="B136" s="155" t="s">
        <v>451</v>
      </c>
      <c r="C136" s="155" t="s">
        <v>923</v>
      </c>
      <c r="D136" s="157">
        <v>0</v>
      </c>
      <c r="E136" s="157">
        <v>0</v>
      </c>
      <c r="F136" s="157">
        <v>0</v>
      </c>
      <c r="G136" s="157">
        <v>0</v>
      </c>
      <c r="H136" s="456">
        <v>0</v>
      </c>
      <c r="I136" s="157">
        <v>0</v>
      </c>
      <c r="J136" s="157">
        <v>0</v>
      </c>
      <c r="K136" s="157">
        <v>0</v>
      </c>
      <c r="L136" s="157">
        <v>0</v>
      </c>
      <c r="M136" s="157">
        <v>0</v>
      </c>
      <c r="N136" s="99">
        <f t="shared" si="30"/>
        <v>0</v>
      </c>
      <c r="O136" s="99">
        <f t="shared" si="28"/>
        <v>0</v>
      </c>
      <c r="P136" s="99">
        <f t="shared" si="31"/>
        <v>0</v>
      </c>
      <c r="Q136" s="99">
        <f t="shared" si="29"/>
        <v>0</v>
      </c>
      <c r="AH136" s="102" t="s">
        <v>452</v>
      </c>
      <c r="AI136" s="144">
        <v>0</v>
      </c>
    </row>
    <row r="137" spans="1:35">
      <c r="A137">
        <v>136</v>
      </c>
      <c r="B137" s="155" t="s">
        <v>453</v>
      </c>
      <c r="C137" s="155" t="s">
        <v>923</v>
      </c>
      <c r="D137" s="157">
        <v>0</v>
      </c>
      <c r="E137" s="157">
        <v>0</v>
      </c>
      <c r="F137" s="157">
        <v>0</v>
      </c>
      <c r="G137" s="157">
        <v>0</v>
      </c>
      <c r="H137" s="456">
        <v>0</v>
      </c>
      <c r="I137" s="157">
        <v>0</v>
      </c>
      <c r="J137" s="157">
        <v>0</v>
      </c>
      <c r="K137" s="157">
        <v>0</v>
      </c>
      <c r="L137" s="157">
        <v>0</v>
      </c>
      <c r="M137" s="157">
        <v>0</v>
      </c>
      <c r="N137" s="99">
        <f t="shared" si="30"/>
        <v>0</v>
      </c>
      <c r="O137" s="99">
        <f t="shared" si="28"/>
        <v>0</v>
      </c>
      <c r="P137" s="99">
        <f t="shared" si="31"/>
        <v>0</v>
      </c>
      <c r="Q137" s="99">
        <f t="shared" si="29"/>
        <v>0</v>
      </c>
      <c r="AH137" s="102" t="s">
        <v>454</v>
      </c>
      <c r="AI137" s="144">
        <v>0</v>
      </c>
    </row>
    <row r="138" spans="1:35">
      <c r="A138">
        <v>137</v>
      </c>
      <c r="B138" s="155" t="s">
        <v>455</v>
      </c>
      <c r="C138" s="155" t="s">
        <v>923</v>
      </c>
      <c r="D138" s="157">
        <v>0</v>
      </c>
      <c r="E138" s="157">
        <v>0</v>
      </c>
      <c r="F138" s="157">
        <v>0</v>
      </c>
      <c r="G138" s="157">
        <v>0</v>
      </c>
      <c r="H138" s="456">
        <v>0</v>
      </c>
      <c r="I138" s="157">
        <v>0</v>
      </c>
      <c r="J138" s="157">
        <v>0</v>
      </c>
      <c r="K138" s="157">
        <v>0</v>
      </c>
      <c r="L138" s="157">
        <v>0</v>
      </c>
      <c r="M138" s="157">
        <v>0</v>
      </c>
      <c r="N138" s="99">
        <f t="shared" si="30"/>
        <v>0</v>
      </c>
      <c r="O138" s="99">
        <f t="shared" si="28"/>
        <v>0</v>
      </c>
      <c r="P138" s="99">
        <f t="shared" si="31"/>
        <v>0</v>
      </c>
      <c r="Q138" s="99">
        <f t="shared" si="29"/>
        <v>0</v>
      </c>
      <c r="AH138" s="102" t="s">
        <v>456</v>
      </c>
      <c r="AI138" s="144">
        <v>0</v>
      </c>
    </row>
    <row r="139" spans="1:35">
      <c r="A139">
        <v>138</v>
      </c>
      <c r="B139" s="155" t="s">
        <v>439</v>
      </c>
      <c r="C139" s="155" t="s">
        <v>923</v>
      </c>
      <c r="D139" s="157">
        <v>0</v>
      </c>
      <c r="E139" s="157">
        <v>0</v>
      </c>
      <c r="F139" s="157">
        <v>0</v>
      </c>
      <c r="G139" s="157">
        <v>0</v>
      </c>
      <c r="H139" s="456">
        <v>0</v>
      </c>
      <c r="I139" s="157">
        <v>0</v>
      </c>
      <c r="J139" s="157">
        <v>0</v>
      </c>
      <c r="K139" s="157">
        <v>0</v>
      </c>
      <c r="L139" s="157">
        <v>0</v>
      </c>
      <c r="M139" s="157">
        <v>0</v>
      </c>
      <c r="N139" s="99">
        <f t="shared" si="30"/>
        <v>0</v>
      </c>
      <c r="O139" s="99">
        <f t="shared" si="28"/>
        <v>0</v>
      </c>
      <c r="P139" s="99">
        <f t="shared" si="31"/>
        <v>0</v>
      </c>
      <c r="Q139" s="99">
        <f t="shared" si="29"/>
        <v>0</v>
      </c>
      <c r="AH139" s="102" t="s">
        <v>457</v>
      </c>
      <c r="AI139" s="144">
        <v>0</v>
      </c>
    </row>
    <row r="140" spans="1:35">
      <c r="A140">
        <v>139</v>
      </c>
      <c r="B140" s="155" t="s">
        <v>458</v>
      </c>
      <c r="C140" s="155" t="s">
        <v>923</v>
      </c>
      <c r="D140" s="156">
        <v>859421544462</v>
      </c>
      <c r="E140" s="156">
        <v>192544754825</v>
      </c>
      <c r="F140" s="156">
        <v>216733551153</v>
      </c>
      <c r="G140" s="156">
        <v>8370203853</v>
      </c>
      <c r="H140" s="455">
        <v>826862544281</v>
      </c>
      <c r="I140" s="156">
        <v>37007337563</v>
      </c>
      <c r="J140" s="156">
        <v>1310293390</v>
      </c>
      <c r="K140" s="156">
        <v>13484623</v>
      </c>
      <c r="L140" s="156">
        <v>74572394053</v>
      </c>
      <c r="M140" s="156">
        <v>713959034652</v>
      </c>
      <c r="N140" s="99">
        <f t="shared" si="30"/>
        <v>752276665605</v>
      </c>
      <c r="O140" s="99">
        <f t="shared" si="28"/>
        <v>216733551153</v>
      </c>
      <c r="P140" s="99">
        <f t="shared" si="31"/>
        <v>74585878676</v>
      </c>
      <c r="Q140" s="99">
        <f t="shared" si="29"/>
        <v>8370203853</v>
      </c>
      <c r="AH140" s="102" t="s">
        <v>459</v>
      </c>
      <c r="AI140" s="144">
        <v>0</v>
      </c>
    </row>
    <row r="141" spans="1:35">
      <c r="A141">
        <v>140</v>
      </c>
      <c r="B141" s="155" t="s">
        <v>460</v>
      </c>
      <c r="C141" s="155" t="s">
        <v>923</v>
      </c>
      <c r="D141" s="157">
        <v>0</v>
      </c>
      <c r="E141" s="157">
        <v>0</v>
      </c>
      <c r="F141" s="157">
        <v>0</v>
      </c>
      <c r="G141" s="157">
        <v>0</v>
      </c>
      <c r="H141" s="456">
        <v>0</v>
      </c>
      <c r="I141" s="157">
        <v>0</v>
      </c>
      <c r="J141" s="157">
        <v>0</v>
      </c>
      <c r="K141" s="157">
        <v>0</v>
      </c>
      <c r="L141" s="157">
        <v>0</v>
      </c>
      <c r="M141" s="157">
        <v>0</v>
      </c>
      <c r="N141" s="99">
        <f t="shared" si="30"/>
        <v>0</v>
      </c>
      <c r="O141" s="99">
        <f t="shared" si="28"/>
        <v>0</v>
      </c>
      <c r="P141" s="99">
        <f t="shared" si="31"/>
        <v>0</v>
      </c>
      <c r="Q141" s="99">
        <f t="shared" si="29"/>
        <v>0</v>
      </c>
      <c r="AH141" s="102" t="s">
        <v>461</v>
      </c>
      <c r="AI141" s="144">
        <v>0</v>
      </c>
    </row>
    <row r="142" spans="1:35">
      <c r="A142">
        <v>141</v>
      </c>
      <c r="B142" s="155" t="s">
        <v>462</v>
      </c>
      <c r="C142" s="155" t="s">
        <v>923</v>
      </c>
      <c r="D142" s="157">
        <v>0</v>
      </c>
      <c r="E142" s="157">
        <v>0</v>
      </c>
      <c r="F142" s="157">
        <v>0</v>
      </c>
      <c r="G142" s="157">
        <v>0</v>
      </c>
      <c r="H142" s="456">
        <v>0</v>
      </c>
      <c r="I142" s="157">
        <v>0</v>
      </c>
      <c r="J142" s="157">
        <v>0</v>
      </c>
      <c r="K142" s="157">
        <v>0</v>
      </c>
      <c r="L142" s="157">
        <v>0</v>
      </c>
      <c r="M142" s="157">
        <v>0</v>
      </c>
      <c r="N142" s="99">
        <f t="shared" si="30"/>
        <v>0</v>
      </c>
      <c r="O142" s="99">
        <f t="shared" si="28"/>
        <v>0</v>
      </c>
      <c r="P142" s="99">
        <f t="shared" si="31"/>
        <v>0</v>
      </c>
      <c r="Q142" s="99">
        <f t="shared" si="29"/>
        <v>0</v>
      </c>
      <c r="AH142" s="102" t="s">
        <v>463</v>
      </c>
      <c r="AI142" s="144">
        <v>0</v>
      </c>
    </row>
    <row r="143" spans="1:35">
      <c r="A143">
        <v>142</v>
      </c>
      <c r="B143" s="155" t="s">
        <v>464</v>
      </c>
      <c r="C143" s="155" t="s">
        <v>923</v>
      </c>
      <c r="D143" s="157">
        <v>0</v>
      </c>
      <c r="E143" s="157">
        <v>0</v>
      </c>
      <c r="F143" s="157">
        <v>0</v>
      </c>
      <c r="G143" s="157">
        <v>0</v>
      </c>
      <c r="H143" s="456">
        <v>0</v>
      </c>
      <c r="I143" s="157">
        <v>0</v>
      </c>
      <c r="J143" s="157">
        <v>0</v>
      </c>
      <c r="K143" s="157">
        <v>0</v>
      </c>
      <c r="L143" s="157">
        <v>0</v>
      </c>
      <c r="M143" s="157">
        <v>0</v>
      </c>
      <c r="N143" s="99">
        <f t="shared" si="30"/>
        <v>0</v>
      </c>
      <c r="O143" s="99">
        <f t="shared" si="28"/>
        <v>0</v>
      </c>
      <c r="P143" s="99">
        <f t="shared" si="31"/>
        <v>0</v>
      </c>
      <c r="Q143" s="99">
        <f t="shared" si="29"/>
        <v>0</v>
      </c>
      <c r="AH143" s="102" t="s">
        <v>465</v>
      </c>
      <c r="AI143" s="144">
        <v>0</v>
      </c>
    </row>
    <row r="144" spans="1:35">
      <c r="A144">
        <v>143</v>
      </c>
      <c r="B144" s="155" t="s">
        <v>466</v>
      </c>
      <c r="C144" s="155" t="s">
        <v>923</v>
      </c>
      <c r="D144" s="157">
        <v>0</v>
      </c>
      <c r="E144" s="157">
        <v>0</v>
      </c>
      <c r="F144" s="157">
        <v>0</v>
      </c>
      <c r="G144" s="157">
        <v>0</v>
      </c>
      <c r="H144" s="456">
        <v>0</v>
      </c>
      <c r="I144" s="157">
        <v>0</v>
      </c>
      <c r="J144" s="157">
        <v>0</v>
      </c>
      <c r="K144" s="157">
        <v>0</v>
      </c>
      <c r="L144" s="157">
        <v>0</v>
      </c>
      <c r="M144" s="157">
        <v>0</v>
      </c>
      <c r="N144" s="99">
        <f t="shared" si="30"/>
        <v>0</v>
      </c>
      <c r="O144" s="99">
        <f t="shared" si="28"/>
        <v>0</v>
      </c>
      <c r="P144" s="99">
        <f t="shared" si="31"/>
        <v>0</v>
      </c>
      <c r="Q144" s="99">
        <f t="shared" si="29"/>
        <v>0</v>
      </c>
      <c r="AH144" s="102" t="s">
        <v>467</v>
      </c>
      <c r="AI144" s="144">
        <v>0</v>
      </c>
    </row>
    <row r="145" spans="1:35">
      <c r="A145">
        <v>144</v>
      </c>
      <c r="B145" s="155" t="s">
        <v>468</v>
      </c>
      <c r="C145" s="155" t="s">
        <v>923</v>
      </c>
      <c r="D145" s="157">
        <v>0</v>
      </c>
      <c r="E145" s="157">
        <v>0</v>
      </c>
      <c r="F145" s="157">
        <v>0</v>
      </c>
      <c r="G145" s="157">
        <v>0</v>
      </c>
      <c r="H145" s="456">
        <v>0</v>
      </c>
      <c r="I145" s="157">
        <v>0</v>
      </c>
      <c r="J145" s="157">
        <v>0</v>
      </c>
      <c r="K145" s="157">
        <v>0</v>
      </c>
      <c r="L145" s="157">
        <v>0</v>
      </c>
      <c r="M145" s="157">
        <v>0</v>
      </c>
      <c r="N145" s="99">
        <f t="shared" si="30"/>
        <v>0</v>
      </c>
      <c r="O145" s="99">
        <f t="shared" si="28"/>
        <v>0</v>
      </c>
      <c r="P145" s="99">
        <f t="shared" si="31"/>
        <v>0</v>
      </c>
      <c r="Q145" s="99">
        <f t="shared" si="29"/>
        <v>0</v>
      </c>
      <c r="AH145" s="102" t="s">
        <v>469</v>
      </c>
      <c r="AI145" s="144">
        <v>0</v>
      </c>
    </row>
    <row r="146" spans="1:35">
      <c r="A146">
        <v>145</v>
      </c>
      <c r="B146" s="155" t="s">
        <v>470</v>
      </c>
      <c r="C146" s="155" t="s">
        <v>923</v>
      </c>
      <c r="D146" s="157">
        <v>0</v>
      </c>
      <c r="E146" s="157">
        <v>0</v>
      </c>
      <c r="F146" s="157">
        <v>0</v>
      </c>
      <c r="G146" s="157">
        <v>0</v>
      </c>
      <c r="H146" s="456">
        <v>0</v>
      </c>
      <c r="I146" s="157">
        <v>0</v>
      </c>
      <c r="J146" s="157">
        <v>0</v>
      </c>
      <c r="K146" s="157">
        <v>0</v>
      </c>
      <c r="L146" s="157">
        <v>0</v>
      </c>
      <c r="M146" s="157">
        <v>0</v>
      </c>
      <c r="N146" s="99">
        <f t="shared" si="30"/>
        <v>0</v>
      </c>
      <c r="O146" s="99">
        <f t="shared" si="28"/>
        <v>0</v>
      </c>
      <c r="P146" s="99">
        <f t="shared" si="31"/>
        <v>0</v>
      </c>
      <c r="Q146" s="99">
        <f t="shared" si="29"/>
        <v>0</v>
      </c>
      <c r="AH146" s="102" t="s">
        <v>471</v>
      </c>
      <c r="AI146" s="144">
        <v>0</v>
      </c>
    </row>
    <row r="147" spans="1:35">
      <c r="A147">
        <v>146</v>
      </c>
      <c r="B147" s="155" t="s">
        <v>472</v>
      </c>
      <c r="C147" s="155" t="s">
        <v>923</v>
      </c>
      <c r="D147" s="157">
        <v>0</v>
      </c>
      <c r="E147" s="157">
        <v>0</v>
      </c>
      <c r="F147" s="157">
        <v>0</v>
      </c>
      <c r="G147" s="157">
        <v>0</v>
      </c>
      <c r="H147" s="456">
        <v>0</v>
      </c>
      <c r="I147" s="157">
        <v>0</v>
      </c>
      <c r="J147" s="157">
        <v>0</v>
      </c>
      <c r="K147" s="157">
        <v>0</v>
      </c>
      <c r="L147" s="157">
        <v>0</v>
      </c>
      <c r="M147" s="157">
        <v>0</v>
      </c>
      <c r="N147" s="99">
        <f t="shared" si="30"/>
        <v>0</v>
      </c>
      <c r="O147" s="99">
        <f t="shared" si="28"/>
        <v>0</v>
      </c>
      <c r="P147" s="99">
        <f t="shared" si="31"/>
        <v>0</v>
      </c>
      <c r="Q147" s="99">
        <f t="shared" si="29"/>
        <v>0</v>
      </c>
      <c r="AH147" s="102" t="s">
        <v>473</v>
      </c>
      <c r="AI147" s="143">
        <v>3420351209938</v>
      </c>
    </row>
    <row r="148" spans="1:35">
      <c r="A148">
        <v>147</v>
      </c>
      <c r="B148" s="155" t="s">
        <v>464</v>
      </c>
      <c r="C148" s="155" t="s">
        <v>923</v>
      </c>
      <c r="D148" s="157">
        <v>0</v>
      </c>
      <c r="E148" s="157">
        <v>0</v>
      </c>
      <c r="F148" s="157">
        <v>0</v>
      </c>
      <c r="G148" s="157">
        <v>0</v>
      </c>
      <c r="H148" s="456">
        <v>0</v>
      </c>
      <c r="I148" s="157">
        <v>0</v>
      </c>
      <c r="J148" s="157">
        <v>0</v>
      </c>
      <c r="K148" s="157">
        <v>0</v>
      </c>
      <c r="L148" s="157">
        <v>0</v>
      </c>
      <c r="M148" s="157">
        <v>0</v>
      </c>
      <c r="N148" s="99">
        <f t="shared" si="30"/>
        <v>0</v>
      </c>
      <c r="O148" s="99">
        <f t="shared" si="28"/>
        <v>0</v>
      </c>
      <c r="P148" s="99">
        <f t="shared" si="31"/>
        <v>0</v>
      </c>
      <c r="Q148" s="99">
        <f t="shared" si="29"/>
        <v>0</v>
      </c>
      <c r="AH148" s="102" t="s">
        <v>474</v>
      </c>
      <c r="AI148" s="144">
        <v>2711366577135</v>
      </c>
    </row>
    <row r="149" spans="1:35">
      <c r="A149">
        <v>148</v>
      </c>
      <c r="B149" s="155" t="s">
        <v>466</v>
      </c>
      <c r="C149" s="155" t="s">
        <v>923</v>
      </c>
      <c r="D149" s="157">
        <v>0</v>
      </c>
      <c r="E149" s="157">
        <v>0</v>
      </c>
      <c r="F149" s="157">
        <v>0</v>
      </c>
      <c r="G149" s="157">
        <v>0</v>
      </c>
      <c r="H149" s="456">
        <v>0</v>
      </c>
      <c r="I149" s="157">
        <v>0</v>
      </c>
      <c r="J149" s="157">
        <v>0</v>
      </c>
      <c r="K149" s="157">
        <v>0</v>
      </c>
      <c r="L149" s="157">
        <v>0</v>
      </c>
      <c r="M149" s="157">
        <v>0</v>
      </c>
      <c r="N149" s="99">
        <f t="shared" si="30"/>
        <v>0</v>
      </c>
      <c r="O149" s="99">
        <f t="shared" si="28"/>
        <v>0</v>
      </c>
      <c r="P149" s="99">
        <f t="shared" si="31"/>
        <v>0</v>
      </c>
      <c r="Q149" s="99">
        <f t="shared" si="29"/>
        <v>0</v>
      </c>
      <c r="AH149" s="102" t="s">
        <v>408</v>
      </c>
      <c r="AI149" s="144">
        <v>-1537792</v>
      </c>
    </row>
    <row r="150" spans="1:35">
      <c r="A150">
        <v>149</v>
      </c>
      <c r="B150" s="155" t="s">
        <v>475</v>
      </c>
      <c r="C150" s="155" t="s">
        <v>923</v>
      </c>
      <c r="D150" s="157">
        <v>0</v>
      </c>
      <c r="E150" s="157">
        <v>0</v>
      </c>
      <c r="F150" s="157">
        <v>0</v>
      </c>
      <c r="G150" s="157">
        <v>0</v>
      </c>
      <c r="H150" s="456">
        <v>0</v>
      </c>
      <c r="I150" s="157">
        <v>0</v>
      </c>
      <c r="J150" s="157">
        <v>0</v>
      </c>
      <c r="K150" s="157">
        <v>0</v>
      </c>
      <c r="L150" s="157">
        <v>0</v>
      </c>
      <c r="M150" s="157">
        <v>0</v>
      </c>
      <c r="N150" s="99">
        <f t="shared" si="30"/>
        <v>0</v>
      </c>
      <c r="O150" s="99">
        <f t="shared" si="28"/>
        <v>0</v>
      </c>
      <c r="P150" s="99">
        <f t="shared" si="31"/>
        <v>0</v>
      </c>
      <c r="Q150" s="99">
        <f t="shared" si="29"/>
        <v>0</v>
      </c>
      <c r="AH150" s="102" t="s">
        <v>410</v>
      </c>
      <c r="AI150" s="144">
        <v>-15797604448</v>
      </c>
    </row>
    <row r="151" spans="1:35">
      <c r="A151">
        <v>150</v>
      </c>
      <c r="B151" s="155" t="s">
        <v>476</v>
      </c>
      <c r="C151" s="155" t="s">
        <v>923</v>
      </c>
      <c r="D151" s="157">
        <v>0</v>
      </c>
      <c r="E151" s="157">
        <v>0</v>
      </c>
      <c r="F151" s="157">
        <v>0</v>
      </c>
      <c r="G151" s="157">
        <v>0</v>
      </c>
      <c r="H151" s="456">
        <v>0</v>
      </c>
      <c r="I151" s="157">
        <v>0</v>
      </c>
      <c r="J151" s="157">
        <v>0</v>
      </c>
      <c r="K151" s="157">
        <v>0</v>
      </c>
      <c r="L151" s="157">
        <v>0</v>
      </c>
      <c r="M151" s="157">
        <v>0</v>
      </c>
      <c r="N151" s="99">
        <f t="shared" si="30"/>
        <v>0</v>
      </c>
      <c r="O151" s="99">
        <f t="shared" si="28"/>
        <v>0</v>
      </c>
      <c r="P151" s="99">
        <f t="shared" si="31"/>
        <v>0</v>
      </c>
      <c r="Q151" s="99">
        <f t="shared" si="29"/>
        <v>0</v>
      </c>
      <c r="AH151" s="102" t="s">
        <v>412</v>
      </c>
      <c r="AI151" s="144">
        <v>-2063073293</v>
      </c>
    </row>
    <row r="152" spans="1:35">
      <c r="A152">
        <v>151</v>
      </c>
      <c r="B152" s="155" t="s">
        <v>477</v>
      </c>
      <c r="C152" s="155" t="s">
        <v>923</v>
      </c>
      <c r="D152" s="156">
        <v>37355226946</v>
      </c>
      <c r="E152" s="157">
        <v>0</v>
      </c>
      <c r="F152" s="157">
        <v>0</v>
      </c>
      <c r="G152" s="157">
        <v>0</v>
      </c>
      <c r="H152" s="455">
        <v>37355226946</v>
      </c>
      <c r="I152" s="157">
        <v>0</v>
      </c>
      <c r="J152" s="157">
        <v>0</v>
      </c>
      <c r="K152" s="157">
        <v>0</v>
      </c>
      <c r="L152" s="157">
        <v>0</v>
      </c>
      <c r="M152" s="156">
        <v>37355226946</v>
      </c>
      <c r="N152" s="99">
        <f t="shared" si="30"/>
        <v>37355226946</v>
      </c>
      <c r="O152" s="99">
        <f t="shared" si="28"/>
        <v>0</v>
      </c>
      <c r="P152" s="99">
        <f t="shared" si="31"/>
        <v>0</v>
      </c>
      <c r="Q152" s="99">
        <f t="shared" si="29"/>
        <v>0</v>
      </c>
      <c r="AH152" s="102" t="s">
        <v>414</v>
      </c>
      <c r="AI152" s="144">
        <v>0</v>
      </c>
    </row>
    <row r="153" spans="1:35">
      <c r="A153">
        <v>152</v>
      </c>
      <c r="B153" s="155" t="s">
        <v>462</v>
      </c>
      <c r="C153" s="155" t="s">
        <v>923</v>
      </c>
      <c r="D153" s="156">
        <v>-28204481519</v>
      </c>
      <c r="E153" s="157">
        <v>0</v>
      </c>
      <c r="F153" s="157">
        <v>0</v>
      </c>
      <c r="G153" s="157">
        <v>0</v>
      </c>
      <c r="H153" s="455">
        <v>-28204481519</v>
      </c>
      <c r="I153" s="157">
        <v>0</v>
      </c>
      <c r="J153" s="157">
        <v>0</v>
      </c>
      <c r="K153" s="157">
        <v>0</v>
      </c>
      <c r="L153" s="157">
        <v>0</v>
      </c>
      <c r="M153" s="156">
        <v>-28204481519</v>
      </c>
      <c r="N153" s="99">
        <f t="shared" si="30"/>
        <v>-28204481519</v>
      </c>
      <c r="O153" s="99">
        <f t="shared" si="28"/>
        <v>0</v>
      </c>
      <c r="P153" s="99">
        <f t="shared" si="31"/>
        <v>0</v>
      </c>
      <c r="Q153" s="99">
        <f t="shared" si="29"/>
        <v>0</v>
      </c>
      <c r="AH153" s="102" t="s">
        <v>478</v>
      </c>
      <c r="AI153" s="144">
        <v>0</v>
      </c>
    </row>
    <row r="154" spans="1:35">
      <c r="A154">
        <v>153</v>
      </c>
      <c r="B154" s="155" t="s">
        <v>464</v>
      </c>
      <c r="C154" s="155" t="s">
        <v>923</v>
      </c>
      <c r="D154" s="156">
        <v>-87840434639</v>
      </c>
      <c r="E154" s="157">
        <v>0</v>
      </c>
      <c r="F154" s="157">
        <v>0</v>
      </c>
      <c r="G154" s="157">
        <v>0</v>
      </c>
      <c r="H154" s="455">
        <v>-87840434639</v>
      </c>
      <c r="I154" s="157">
        <v>0</v>
      </c>
      <c r="J154" s="157">
        <v>0</v>
      </c>
      <c r="K154" s="157">
        <v>0</v>
      </c>
      <c r="L154" s="157">
        <v>0</v>
      </c>
      <c r="M154" s="156">
        <v>-87840434639</v>
      </c>
      <c r="N154" s="99">
        <f t="shared" si="30"/>
        <v>-87840434639</v>
      </c>
      <c r="O154" s="99">
        <f t="shared" si="28"/>
        <v>0</v>
      </c>
      <c r="P154" s="99">
        <f t="shared" si="31"/>
        <v>0</v>
      </c>
      <c r="Q154" s="99">
        <f t="shared" si="29"/>
        <v>0</v>
      </c>
      <c r="AH154" s="102" t="s">
        <v>479</v>
      </c>
      <c r="AI154" s="144">
        <v>0</v>
      </c>
    </row>
    <row r="155" spans="1:35">
      <c r="A155">
        <v>154</v>
      </c>
      <c r="B155" s="155" t="s">
        <v>466</v>
      </c>
      <c r="C155" s="155" t="s">
        <v>923</v>
      </c>
      <c r="D155" s="156">
        <v>9408706806</v>
      </c>
      <c r="E155" s="157">
        <v>0</v>
      </c>
      <c r="F155" s="157">
        <v>0</v>
      </c>
      <c r="G155" s="157">
        <v>0</v>
      </c>
      <c r="H155" s="455">
        <v>9408706806</v>
      </c>
      <c r="I155" s="157">
        <v>0</v>
      </c>
      <c r="J155" s="157">
        <v>0</v>
      </c>
      <c r="K155" s="157">
        <v>0</v>
      </c>
      <c r="L155" s="157">
        <v>0</v>
      </c>
      <c r="M155" s="156">
        <v>9408706806</v>
      </c>
      <c r="N155" s="99">
        <f t="shared" si="30"/>
        <v>9408706806</v>
      </c>
      <c r="O155" s="99">
        <f t="shared" si="28"/>
        <v>0</v>
      </c>
      <c r="P155" s="99">
        <f t="shared" si="31"/>
        <v>0</v>
      </c>
      <c r="Q155" s="99">
        <f t="shared" si="29"/>
        <v>0</v>
      </c>
      <c r="AH155" s="102" t="s">
        <v>420</v>
      </c>
      <c r="AI155" s="144">
        <v>715821520060</v>
      </c>
    </row>
    <row r="156" spans="1:35">
      <c r="A156">
        <v>155</v>
      </c>
      <c r="B156" s="155" t="s">
        <v>468</v>
      </c>
      <c r="C156" s="155" t="s">
        <v>923</v>
      </c>
      <c r="D156" s="156">
        <v>50227246314</v>
      </c>
      <c r="E156" s="157">
        <v>0</v>
      </c>
      <c r="F156" s="157">
        <v>0</v>
      </c>
      <c r="G156" s="157">
        <v>0</v>
      </c>
      <c r="H156" s="455">
        <v>50227246314</v>
      </c>
      <c r="I156" s="157">
        <v>0</v>
      </c>
      <c r="J156" s="157">
        <v>0</v>
      </c>
      <c r="K156" s="157">
        <v>0</v>
      </c>
      <c r="L156" s="157">
        <v>0</v>
      </c>
      <c r="M156" s="156">
        <v>50227246314</v>
      </c>
      <c r="N156" s="99">
        <f t="shared" si="30"/>
        <v>50227246314</v>
      </c>
      <c r="O156" s="99">
        <f t="shared" si="28"/>
        <v>0</v>
      </c>
      <c r="P156" s="99">
        <f t="shared" si="31"/>
        <v>0</v>
      </c>
      <c r="Q156" s="99">
        <f t="shared" si="29"/>
        <v>0</v>
      </c>
      <c r="AH156" s="102" t="s">
        <v>422</v>
      </c>
      <c r="AI156" s="144">
        <v>441680038261</v>
      </c>
    </row>
    <row r="157" spans="1:35">
      <c r="A157">
        <v>156</v>
      </c>
      <c r="B157" s="155" t="s">
        <v>470</v>
      </c>
      <c r="C157" s="155" t="s">
        <v>923</v>
      </c>
      <c r="D157" s="157">
        <v>0</v>
      </c>
      <c r="E157" s="157">
        <v>0</v>
      </c>
      <c r="F157" s="157">
        <v>0</v>
      </c>
      <c r="G157" s="157">
        <v>0</v>
      </c>
      <c r="H157" s="456">
        <v>0</v>
      </c>
      <c r="I157" s="157">
        <v>0</v>
      </c>
      <c r="J157" s="157">
        <v>0</v>
      </c>
      <c r="K157" s="157">
        <v>0</v>
      </c>
      <c r="L157" s="157">
        <v>0</v>
      </c>
      <c r="M157" s="157">
        <v>0</v>
      </c>
      <c r="N157" s="99">
        <f t="shared" si="30"/>
        <v>0</v>
      </c>
      <c r="O157" s="99">
        <f t="shared" si="28"/>
        <v>0</v>
      </c>
      <c r="P157" s="99">
        <f t="shared" si="31"/>
        <v>0</v>
      </c>
      <c r="Q157" s="99">
        <f t="shared" si="29"/>
        <v>0</v>
      </c>
      <c r="AH157" s="102" t="s">
        <v>424</v>
      </c>
      <c r="AI157" s="144">
        <v>0</v>
      </c>
    </row>
    <row r="158" spans="1:35">
      <c r="A158">
        <v>157</v>
      </c>
      <c r="B158" s="155" t="s">
        <v>472</v>
      </c>
      <c r="C158" s="155" t="s">
        <v>923</v>
      </c>
      <c r="D158" s="156">
        <v>65559708465</v>
      </c>
      <c r="E158" s="157">
        <v>0</v>
      </c>
      <c r="F158" s="157">
        <v>0</v>
      </c>
      <c r="G158" s="157">
        <v>0</v>
      </c>
      <c r="H158" s="455">
        <v>65559708465</v>
      </c>
      <c r="I158" s="157">
        <v>0</v>
      </c>
      <c r="J158" s="157">
        <v>0</v>
      </c>
      <c r="K158" s="157">
        <v>0</v>
      </c>
      <c r="L158" s="157">
        <v>0</v>
      </c>
      <c r="M158" s="156">
        <v>65559708465</v>
      </c>
      <c r="N158" s="99">
        <f t="shared" si="30"/>
        <v>65559708465</v>
      </c>
      <c r="O158" s="99">
        <f t="shared" si="28"/>
        <v>0</v>
      </c>
      <c r="P158" s="99">
        <f t="shared" si="31"/>
        <v>0</v>
      </c>
      <c r="Q158" s="99">
        <f t="shared" si="29"/>
        <v>0</v>
      </c>
      <c r="AH158" s="102" t="s">
        <v>426</v>
      </c>
      <c r="AI158" s="144">
        <v>506555174321</v>
      </c>
    </row>
    <row r="159" spans="1:35">
      <c r="A159">
        <v>158</v>
      </c>
      <c r="B159" s="155" t="s">
        <v>464</v>
      </c>
      <c r="C159" s="155" t="s">
        <v>923</v>
      </c>
      <c r="D159" s="156">
        <v>64954057168</v>
      </c>
      <c r="E159" s="157">
        <v>0</v>
      </c>
      <c r="F159" s="157">
        <v>0</v>
      </c>
      <c r="G159" s="157">
        <v>0</v>
      </c>
      <c r="H159" s="455">
        <v>64954057168</v>
      </c>
      <c r="I159" s="157">
        <v>0</v>
      </c>
      <c r="J159" s="157">
        <v>0</v>
      </c>
      <c r="K159" s="157">
        <v>0</v>
      </c>
      <c r="L159" s="157">
        <v>0</v>
      </c>
      <c r="M159" s="156">
        <v>64954057168</v>
      </c>
      <c r="N159" s="99">
        <f t="shared" si="30"/>
        <v>64954057168</v>
      </c>
      <c r="O159" s="99">
        <f t="shared" si="28"/>
        <v>0</v>
      </c>
      <c r="P159" s="99">
        <f t="shared" si="31"/>
        <v>0</v>
      </c>
      <c r="Q159" s="99">
        <f t="shared" si="29"/>
        <v>0</v>
      </c>
      <c r="AH159" s="102" t="s">
        <v>428</v>
      </c>
      <c r="AI159" s="144">
        <v>1065172060026</v>
      </c>
    </row>
    <row r="160" spans="1:35">
      <c r="A160">
        <v>159</v>
      </c>
      <c r="B160" s="155" t="s">
        <v>466</v>
      </c>
      <c r="C160" s="155" t="s">
        <v>923</v>
      </c>
      <c r="D160" s="156">
        <v>605651297</v>
      </c>
      <c r="E160" s="157">
        <v>0</v>
      </c>
      <c r="F160" s="157">
        <v>0</v>
      </c>
      <c r="G160" s="157">
        <v>0</v>
      </c>
      <c r="H160" s="455">
        <v>605651297</v>
      </c>
      <c r="I160" s="157">
        <v>0</v>
      </c>
      <c r="J160" s="157">
        <v>0</v>
      </c>
      <c r="K160" s="157">
        <v>0</v>
      </c>
      <c r="L160" s="157">
        <v>0</v>
      </c>
      <c r="M160" s="156">
        <v>605651297</v>
      </c>
      <c r="N160" s="99">
        <f t="shared" si="30"/>
        <v>605651297</v>
      </c>
      <c r="O160" s="99">
        <f t="shared" si="28"/>
        <v>0</v>
      </c>
      <c r="P160" s="99">
        <f t="shared" si="31"/>
        <v>0</v>
      </c>
      <c r="Q160" s="99">
        <f t="shared" si="29"/>
        <v>0</v>
      </c>
      <c r="AH160" s="102" t="s">
        <v>430</v>
      </c>
      <c r="AI160" s="144">
        <v>0</v>
      </c>
    </row>
    <row r="161" spans="1:35">
      <c r="A161">
        <v>160</v>
      </c>
      <c r="B161" s="155" t="s">
        <v>480</v>
      </c>
      <c r="C161" s="155" t="s">
        <v>923</v>
      </c>
      <c r="D161" s="156">
        <v>34663029633</v>
      </c>
      <c r="E161" s="157">
        <v>0</v>
      </c>
      <c r="F161" s="156">
        <v>15826138242</v>
      </c>
      <c r="G161" s="156">
        <v>1635416729</v>
      </c>
      <c r="H161" s="455">
        <v>17201474662</v>
      </c>
      <c r="I161" s="157">
        <v>0</v>
      </c>
      <c r="J161" s="157">
        <v>0</v>
      </c>
      <c r="K161" s="157">
        <v>0</v>
      </c>
      <c r="L161" s="156">
        <v>8735549693</v>
      </c>
      <c r="M161" s="156">
        <v>8465924969</v>
      </c>
      <c r="N161" s="99">
        <f t="shared" si="30"/>
        <v>8465924969</v>
      </c>
      <c r="O161" s="99">
        <f t="shared" si="28"/>
        <v>15826138242</v>
      </c>
      <c r="P161" s="99">
        <f t="shared" si="31"/>
        <v>8735549693</v>
      </c>
      <c r="Q161" s="99">
        <f t="shared" si="29"/>
        <v>1635416729</v>
      </c>
      <c r="AH161" s="102" t="s">
        <v>432</v>
      </c>
      <c r="AI161" s="144">
        <v>69312828572</v>
      </c>
    </row>
    <row r="162" spans="1:35">
      <c r="A162">
        <v>161</v>
      </c>
      <c r="B162" s="155" t="s">
        <v>481</v>
      </c>
      <c r="C162" s="155" t="s">
        <v>923</v>
      </c>
      <c r="D162" s="157">
        <v>0</v>
      </c>
      <c r="E162" s="157">
        <v>0</v>
      </c>
      <c r="F162" s="157">
        <v>0</v>
      </c>
      <c r="G162" s="157">
        <v>0</v>
      </c>
      <c r="H162" s="456">
        <v>0</v>
      </c>
      <c r="I162" s="157">
        <v>0</v>
      </c>
      <c r="J162" s="157">
        <v>0</v>
      </c>
      <c r="K162" s="157">
        <v>0</v>
      </c>
      <c r="L162" s="157">
        <v>0</v>
      </c>
      <c r="M162" s="157">
        <v>0</v>
      </c>
      <c r="N162" s="99">
        <f t="shared" si="30"/>
        <v>0</v>
      </c>
      <c r="O162" s="99">
        <f t="shared" si="28"/>
        <v>0</v>
      </c>
      <c r="P162" s="99">
        <f t="shared" si="31"/>
        <v>0</v>
      </c>
      <c r="Q162" s="99">
        <f t="shared" si="29"/>
        <v>0</v>
      </c>
      <c r="AH162" s="102" t="s">
        <v>434</v>
      </c>
      <c r="AI162" s="144">
        <v>0</v>
      </c>
    </row>
    <row r="163" spans="1:35">
      <c r="A163">
        <v>162</v>
      </c>
      <c r="B163" s="155" t="s">
        <v>482</v>
      </c>
      <c r="C163" s="155" t="s">
        <v>923</v>
      </c>
      <c r="D163" s="156">
        <v>-337731640</v>
      </c>
      <c r="E163" s="157">
        <v>0</v>
      </c>
      <c r="F163" s="157">
        <v>0</v>
      </c>
      <c r="G163" s="157">
        <v>0</v>
      </c>
      <c r="H163" s="455">
        <v>-337731640</v>
      </c>
      <c r="I163" s="157">
        <v>0</v>
      </c>
      <c r="J163" s="157">
        <v>0</v>
      </c>
      <c r="K163" s="157">
        <v>0</v>
      </c>
      <c r="L163" s="157">
        <v>0</v>
      </c>
      <c r="M163" s="156">
        <v>-337731640</v>
      </c>
      <c r="N163" s="99">
        <f t="shared" si="30"/>
        <v>-337731640</v>
      </c>
      <c r="O163" s="99">
        <f t="shared" si="28"/>
        <v>0</v>
      </c>
      <c r="P163" s="99">
        <f t="shared" si="31"/>
        <v>0</v>
      </c>
      <c r="Q163" s="99">
        <f t="shared" si="29"/>
        <v>0</v>
      </c>
      <c r="AH163" s="102" t="s">
        <v>483</v>
      </c>
      <c r="AI163" s="144">
        <v>995859231454</v>
      </c>
    </row>
    <row r="164" spans="1:35">
      <c r="A164">
        <v>163</v>
      </c>
      <c r="B164" s="155" t="s">
        <v>484</v>
      </c>
      <c r="C164" s="155" t="s">
        <v>923</v>
      </c>
      <c r="D164" s="156">
        <v>13857146551</v>
      </c>
      <c r="E164" s="157">
        <v>0</v>
      </c>
      <c r="F164" s="157">
        <v>0</v>
      </c>
      <c r="G164" s="157">
        <v>0</v>
      </c>
      <c r="H164" s="455">
        <v>13857146551</v>
      </c>
      <c r="I164" s="157">
        <v>0</v>
      </c>
      <c r="J164" s="157">
        <v>0</v>
      </c>
      <c r="K164" s="157">
        <v>0</v>
      </c>
      <c r="L164" s="157">
        <v>0</v>
      </c>
      <c r="M164" s="156">
        <v>13857146551</v>
      </c>
      <c r="N164" s="99">
        <f t="shared" si="30"/>
        <v>13857146551</v>
      </c>
      <c r="O164" s="99">
        <f t="shared" si="28"/>
        <v>0</v>
      </c>
      <c r="P164" s="99">
        <f t="shared" si="31"/>
        <v>0</v>
      </c>
      <c r="Q164" s="99">
        <f t="shared" si="29"/>
        <v>0</v>
      </c>
      <c r="AH164" s="102" t="s">
        <v>485</v>
      </c>
      <c r="AI164" s="143">
        <v>708984632803</v>
      </c>
    </row>
    <row r="165" spans="1:35">
      <c r="A165">
        <v>164</v>
      </c>
      <c r="B165" s="155" t="s">
        <v>481</v>
      </c>
      <c r="C165" s="155" t="s">
        <v>923</v>
      </c>
      <c r="D165" s="156">
        <v>-395334757</v>
      </c>
      <c r="E165" s="157">
        <v>0</v>
      </c>
      <c r="F165" s="157">
        <v>0</v>
      </c>
      <c r="G165" s="157">
        <v>0</v>
      </c>
      <c r="H165" s="455">
        <v>-395334757</v>
      </c>
      <c r="I165" s="157">
        <v>0</v>
      </c>
      <c r="J165" s="157">
        <v>0</v>
      </c>
      <c r="K165" s="157">
        <v>0</v>
      </c>
      <c r="L165" s="157">
        <v>0</v>
      </c>
      <c r="M165" s="156">
        <v>-395334757</v>
      </c>
      <c r="N165" s="99">
        <f t="shared" si="30"/>
        <v>-395334757</v>
      </c>
      <c r="O165" s="99">
        <f t="shared" si="28"/>
        <v>0</v>
      </c>
      <c r="P165" s="99">
        <f t="shared" si="31"/>
        <v>0</v>
      </c>
      <c r="Q165" s="99">
        <f t="shared" si="29"/>
        <v>0</v>
      </c>
      <c r="AH165" s="102" t="s">
        <v>486</v>
      </c>
      <c r="AI165" s="143">
        <v>87839945256</v>
      </c>
    </row>
    <row r="166" spans="1:35">
      <c r="A166">
        <v>165</v>
      </c>
      <c r="B166" s="155" t="s">
        <v>482</v>
      </c>
      <c r="C166" s="155" t="s">
        <v>923</v>
      </c>
      <c r="D166" s="157">
        <v>0</v>
      </c>
      <c r="E166" s="157">
        <v>0</v>
      </c>
      <c r="F166" s="157">
        <v>0</v>
      </c>
      <c r="G166" s="157">
        <v>0</v>
      </c>
      <c r="H166" s="456">
        <v>0</v>
      </c>
      <c r="I166" s="157">
        <v>0</v>
      </c>
      <c r="J166" s="157">
        <v>0</v>
      </c>
      <c r="K166" s="157">
        <v>0</v>
      </c>
      <c r="L166" s="157">
        <v>0</v>
      </c>
      <c r="M166" s="157">
        <v>0</v>
      </c>
      <c r="N166" s="99">
        <f t="shared" si="30"/>
        <v>0</v>
      </c>
      <c r="O166" s="99">
        <f t="shared" si="28"/>
        <v>0</v>
      </c>
      <c r="P166" s="99">
        <f t="shared" si="31"/>
        <v>0</v>
      </c>
      <c r="Q166" s="99">
        <f t="shared" si="29"/>
        <v>0</v>
      </c>
      <c r="AH166" s="102" t="s">
        <v>487</v>
      </c>
      <c r="AI166" s="144">
        <v>0</v>
      </c>
    </row>
    <row r="167" spans="1:35">
      <c r="A167">
        <v>166</v>
      </c>
      <c r="B167" s="155" t="s">
        <v>488</v>
      </c>
      <c r="C167" s="155" t="s">
        <v>923</v>
      </c>
      <c r="D167" s="156">
        <v>100000000</v>
      </c>
      <c r="E167" s="157">
        <v>0</v>
      </c>
      <c r="F167" s="157">
        <v>0</v>
      </c>
      <c r="G167" s="157">
        <v>0</v>
      </c>
      <c r="H167" s="455">
        <v>100000000</v>
      </c>
      <c r="I167" s="157">
        <v>0</v>
      </c>
      <c r="J167" s="157">
        <v>0</v>
      </c>
      <c r="K167" s="157">
        <v>0</v>
      </c>
      <c r="L167" s="157">
        <v>0</v>
      </c>
      <c r="M167" s="156">
        <v>100000000</v>
      </c>
      <c r="N167" s="99">
        <f t="shared" si="30"/>
        <v>100000000</v>
      </c>
      <c r="O167" s="99">
        <f t="shared" si="28"/>
        <v>0</v>
      </c>
      <c r="P167" s="99">
        <f t="shared" si="31"/>
        <v>0</v>
      </c>
      <c r="Q167" s="99">
        <f t="shared" si="29"/>
        <v>0</v>
      </c>
      <c r="AH167" s="102" t="s">
        <v>489</v>
      </c>
      <c r="AI167" s="143">
        <v>87839945256</v>
      </c>
    </row>
    <row r="168" spans="1:35">
      <c r="A168">
        <v>167</v>
      </c>
      <c r="B168" s="155" t="s">
        <v>490</v>
      </c>
      <c r="C168" s="155" t="s">
        <v>923</v>
      </c>
      <c r="D168" s="156">
        <v>92955206</v>
      </c>
      <c r="E168" s="157">
        <v>0</v>
      </c>
      <c r="F168" s="157">
        <v>0</v>
      </c>
      <c r="G168" s="157">
        <v>0</v>
      </c>
      <c r="H168" s="455">
        <v>92955206</v>
      </c>
      <c r="I168" s="157">
        <v>0</v>
      </c>
      <c r="J168" s="157">
        <v>0</v>
      </c>
      <c r="K168" s="157">
        <v>0</v>
      </c>
      <c r="L168" s="157">
        <v>0</v>
      </c>
      <c r="M168" s="156">
        <v>92955206</v>
      </c>
      <c r="N168" s="99">
        <f t="shared" si="30"/>
        <v>92955206</v>
      </c>
      <c r="O168" s="99">
        <f t="shared" si="28"/>
        <v>0</v>
      </c>
      <c r="P168" s="99">
        <f t="shared" si="31"/>
        <v>0</v>
      </c>
      <c r="Q168" s="99">
        <f t="shared" si="29"/>
        <v>0</v>
      </c>
      <c r="AH168" s="102" t="s">
        <v>491</v>
      </c>
      <c r="AI168" s="144">
        <v>0</v>
      </c>
    </row>
    <row r="169" spans="1:35">
      <c r="A169">
        <v>168</v>
      </c>
      <c r="B169" s="155" t="s">
        <v>492</v>
      </c>
      <c r="C169" s="155" t="s">
        <v>923</v>
      </c>
      <c r="D169" s="156">
        <v>14059526102</v>
      </c>
      <c r="E169" s="157">
        <v>0</v>
      </c>
      <c r="F169" s="157">
        <v>0</v>
      </c>
      <c r="G169" s="157">
        <v>0</v>
      </c>
      <c r="H169" s="455">
        <v>14059526102</v>
      </c>
      <c r="I169" s="157">
        <v>0</v>
      </c>
      <c r="J169" s="157">
        <v>0</v>
      </c>
      <c r="K169" s="157">
        <v>0</v>
      </c>
      <c r="L169" s="157">
        <v>0</v>
      </c>
      <c r="M169" s="156">
        <v>14059526102</v>
      </c>
      <c r="N169" s="99">
        <f t="shared" si="30"/>
        <v>14059526102</v>
      </c>
      <c r="O169" s="99">
        <f t="shared" si="28"/>
        <v>0</v>
      </c>
      <c r="P169" s="99">
        <f t="shared" si="31"/>
        <v>0</v>
      </c>
      <c r="Q169" s="99">
        <f t="shared" si="29"/>
        <v>0</v>
      </c>
      <c r="AH169" s="102" t="s">
        <v>493</v>
      </c>
      <c r="AI169" s="144">
        <v>25696595829</v>
      </c>
    </row>
    <row r="170" spans="1:35">
      <c r="A170">
        <v>169</v>
      </c>
      <c r="B170" s="155" t="s">
        <v>494</v>
      </c>
      <c r="C170" s="155" t="s">
        <v>923</v>
      </c>
      <c r="D170" s="157">
        <v>0</v>
      </c>
      <c r="E170" s="157">
        <v>0</v>
      </c>
      <c r="F170" s="157">
        <v>0</v>
      </c>
      <c r="G170" s="157">
        <v>0</v>
      </c>
      <c r="H170" s="456">
        <v>0</v>
      </c>
      <c r="I170" s="157">
        <v>0</v>
      </c>
      <c r="J170" s="157">
        <v>0</v>
      </c>
      <c r="K170" s="157">
        <v>0</v>
      </c>
      <c r="L170" s="157">
        <v>0</v>
      </c>
      <c r="M170" s="157">
        <v>0</v>
      </c>
      <c r="N170" s="99">
        <f t="shared" si="30"/>
        <v>0</v>
      </c>
      <c r="O170" s="99">
        <f t="shared" si="28"/>
        <v>0</v>
      </c>
      <c r="P170" s="99">
        <f t="shared" si="31"/>
        <v>0</v>
      </c>
      <c r="Q170" s="99">
        <f t="shared" si="29"/>
        <v>0</v>
      </c>
      <c r="AH170" s="102" t="s">
        <v>495</v>
      </c>
      <c r="AI170" s="144">
        <v>0</v>
      </c>
    </row>
    <row r="171" spans="1:35">
      <c r="A171">
        <v>170</v>
      </c>
      <c r="B171" s="155" t="s">
        <v>496</v>
      </c>
      <c r="C171" s="155" t="s">
        <v>923</v>
      </c>
      <c r="D171" s="156">
        <v>546043181845</v>
      </c>
      <c r="E171" s="157">
        <v>0</v>
      </c>
      <c r="F171" s="156">
        <v>10772279256</v>
      </c>
      <c r="G171" s="156">
        <v>181792839</v>
      </c>
      <c r="H171" s="455">
        <v>535089109750</v>
      </c>
      <c r="I171" s="156">
        <v>28397778903</v>
      </c>
      <c r="J171" s="156">
        <v>200949583</v>
      </c>
      <c r="K171" s="156">
        <v>3901933</v>
      </c>
      <c r="L171" s="156">
        <v>6176524203</v>
      </c>
      <c r="M171" s="156">
        <v>500309955128</v>
      </c>
      <c r="N171" s="99">
        <f t="shared" si="30"/>
        <v>528908683614</v>
      </c>
      <c r="O171" s="99">
        <f t="shared" si="28"/>
        <v>10772279256</v>
      </c>
      <c r="P171" s="99">
        <f t="shared" si="31"/>
        <v>6180426136</v>
      </c>
      <c r="Q171" s="99">
        <f t="shared" si="29"/>
        <v>181792839</v>
      </c>
      <c r="AH171" s="102" t="s">
        <v>497</v>
      </c>
      <c r="AI171" s="144">
        <v>-756084019</v>
      </c>
    </row>
    <row r="172" spans="1:35">
      <c r="A172">
        <v>171</v>
      </c>
      <c r="B172" s="155" t="s">
        <v>498</v>
      </c>
      <c r="C172" s="155" t="s">
        <v>923</v>
      </c>
      <c r="D172" s="156">
        <v>-234271127</v>
      </c>
      <c r="E172" s="157">
        <v>0</v>
      </c>
      <c r="F172" s="157">
        <v>0</v>
      </c>
      <c r="G172" s="157">
        <v>0</v>
      </c>
      <c r="H172" s="455">
        <v>-234271127</v>
      </c>
      <c r="I172" s="156">
        <v>-224343</v>
      </c>
      <c r="J172" s="157">
        <v>0</v>
      </c>
      <c r="K172" s="157">
        <v>0</v>
      </c>
      <c r="L172" s="156">
        <v>-735029</v>
      </c>
      <c r="M172" s="156">
        <v>-233311755</v>
      </c>
      <c r="N172" s="99">
        <f t="shared" si="30"/>
        <v>-233536098</v>
      </c>
      <c r="O172" s="99">
        <f t="shared" si="28"/>
        <v>0</v>
      </c>
      <c r="P172" s="99">
        <f t="shared" si="31"/>
        <v>-735029</v>
      </c>
      <c r="Q172" s="99">
        <f t="shared" si="29"/>
        <v>0</v>
      </c>
      <c r="AH172" s="102" t="s">
        <v>499</v>
      </c>
      <c r="AI172" s="144">
        <v>26452679848</v>
      </c>
    </row>
    <row r="173" spans="1:35">
      <c r="A173">
        <v>172</v>
      </c>
      <c r="B173" s="155" t="s">
        <v>500</v>
      </c>
      <c r="C173" s="155" t="s">
        <v>923</v>
      </c>
      <c r="D173" s="156">
        <v>70347835365</v>
      </c>
      <c r="E173" s="157">
        <v>0</v>
      </c>
      <c r="F173" s="157">
        <v>0</v>
      </c>
      <c r="G173" s="157">
        <v>0</v>
      </c>
      <c r="H173" s="455">
        <v>70347835365</v>
      </c>
      <c r="I173" s="157">
        <v>0</v>
      </c>
      <c r="J173" s="157">
        <v>0</v>
      </c>
      <c r="K173" s="157">
        <v>0</v>
      </c>
      <c r="L173" s="157">
        <v>0</v>
      </c>
      <c r="M173" s="156">
        <v>70347835365</v>
      </c>
      <c r="N173" s="99">
        <f t="shared" si="30"/>
        <v>70347835365</v>
      </c>
      <c r="O173" s="99">
        <f t="shared" si="28"/>
        <v>0</v>
      </c>
      <c r="P173" s="99">
        <f t="shared" si="31"/>
        <v>0</v>
      </c>
      <c r="Q173" s="99">
        <f t="shared" si="29"/>
        <v>0</v>
      </c>
      <c r="AH173" s="102" t="s">
        <v>501</v>
      </c>
      <c r="AI173" s="144">
        <v>5881300095</v>
      </c>
    </row>
    <row r="174" spans="1:35">
      <c r="A174">
        <v>173</v>
      </c>
      <c r="B174" s="155" t="s">
        <v>502</v>
      </c>
      <c r="C174" s="155" t="s">
        <v>923</v>
      </c>
      <c r="D174" s="156">
        <v>81381520037</v>
      </c>
      <c r="E174" s="157">
        <v>0</v>
      </c>
      <c r="F174" s="157">
        <v>0</v>
      </c>
      <c r="G174" s="157">
        <v>0</v>
      </c>
      <c r="H174" s="455">
        <v>81381520037</v>
      </c>
      <c r="I174" s="157">
        <v>0</v>
      </c>
      <c r="J174" s="157">
        <v>0</v>
      </c>
      <c r="K174" s="157">
        <v>0</v>
      </c>
      <c r="L174" s="157">
        <v>0</v>
      </c>
      <c r="M174" s="156">
        <v>81381520037</v>
      </c>
      <c r="N174" s="99">
        <f t="shared" si="30"/>
        <v>81381520037</v>
      </c>
      <c r="O174" s="99">
        <f t="shared" si="28"/>
        <v>0</v>
      </c>
      <c r="P174" s="99">
        <f t="shared" si="31"/>
        <v>0</v>
      </c>
      <c r="Q174" s="99">
        <f t="shared" si="29"/>
        <v>0</v>
      </c>
      <c r="AH174" s="102" t="s">
        <v>495</v>
      </c>
      <c r="AI174" s="144">
        <v>-453750727</v>
      </c>
    </row>
    <row r="175" spans="1:35">
      <c r="A175">
        <v>174</v>
      </c>
      <c r="B175" s="155" t="s">
        <v>503</v>
      </c>
      <c r="C175" s="155" t="s">
        <v>923</v>
      </c>
      <c r="D175" s="157">
        <v>0</v>
      </c>
      <c r="E175" s="157">
        <v>0</v>
      </c>
      <c r="F175" s="157">
        <v>0</v>
      </c>
      <c r="G175" s="157">
        <v>0</v>
      </c>
      <c r="H175" s="456">
        <v>0</v>
      </c>
      <c r="I175" s="157">
        <v>0</v>
      </c>
      <c r="J175" s="157">
        <v>0</v>
      </c>
      <c r="K175" s="157">
        <v>0</v>
      </c>
      <c r="L175" s="157">
        <v>0</v>
      </c>
      <c r="M175" s="157">
        <v>0</v>
      </c>
      <c r="N175" s="99">
        <f t="shared" si="30"/>
        <v>0</v>
      </c>
      <c r="O175" s="99">
        <f t="shared" si="28"/>
        <v>0</v>
      </c>
      <c r="P175" s="99">
        <f t="shared" si="31"/>
        <v>0</v>
      </c>
      <c r="Q175" s="99">
        <f t="shared" si="29"/>
        <v>0</v>
      </c>
      <c r="AH175" s="102" t="s">
        <v>497</v>
      </c>
      <c r="AI175" s="144">
        <v>0</v>
      </c>
    </row>
    <row r="176" spans="1:35">
      <c r="A176">
        <v>175</v>
      </c>
      <c r="B176" s="155" t="s">
        <v>504</v>
      </c>
      <c r="C176" s="155" t="s">
        <v>923</v>
      </c>
      <c r="D176" s="157">
        <v>0</v>
      </c>
      <c r="E176" s="157">
        <v>0</v>
      </c>
      <c r="F176" s="157">
        <v>0</v>
      </c>
      <c r="G176" s="157">
        <v>0</v>
      </c>
      <c r="H176" s="456">
        <v>0</v>
      </c>
      <c r="I176" s="157">
        <v>0</v>
      </c>
      <c r="J176" s="157">
        <v>0</v>
      </c>
      <c r="K176" s="157">
        <v>0</v>
      </c>
      <c r="L176" s="157">
        <v>0</v>
      </c>
      <c r="M176" s="157">
        <v>0</v>
      </c>
      <c r="N176" s="99">
        <f t="shared" si="30"/>
        <v>0</v>
      </c>
      <c r="O176" s="99">
        <f t="shared" si="28"/>
        <v>0</v>
      </c>
      <c r="P176" s="99">
        <f t="shared" si="31"/>
        <v>0</v>
      </c>
      <c r="Q176" s="99">
        <f t="shared" si="29"/>
        <v>0</v>
      </c>
      <c r="AH176" s="102" t="s">
        <v>505</v>
      </c>
      <c r="AI176" s="144">
        <v>100000000</v>
      </c>
    </row>
    <row r="177" spans="1:35">
      <c r="A177">
        <v>176</v>
      </c>
      <c r="B177" s="155" t="s">
        <v>506</v>
      </c>
      <c r="C177" s="155" t="s">
        <v>923</v>
      </c>
      <c r="D177" s="157">
        <v>0</v>
      </c>
      <c r="E177" s="157">
        <v>0</v>
      </c>
      <c r="F177" s="157">
        <v>0</v>
      </c>
      <c r="G177" s="157">
        <v>0</v>
      </c>
      <c r="H177" s="456">
        <v>0</v>
      </c>
      <c r="I177" s="157">
        <v>0</v>
      </c>
      <c r="J177" s="157">
        <v>0</v>
      </c>
      <c r="K177" s="157">
        <v>0</v>
      </c>
      <c r="L177" s="157">
        <v>0</v>
      </c>
      <c r="M177" s="157">
        <v>0</v>
      </c>
      <c r="N177" s="99">
        <f t="shared" si="30"/>
        <v>0</v>
      </c>
      <c r="O177" s="99">
        <f t="shared" si="28"/>
        <v>0</v>
      </c>
      <c r="P177" s="99">
        <f t="shared" si="31"/>
        <v>0</v>
      </c>
      <c r="Q177" s="99">
        <f t="shared" si="29"/>
        <v>0</v>
      </c>
      <c r="AH177" s="102" t="s">
        <v>507</v>
      </c>
      <c r="AI177" s="144">
        <v>92955206</v>
      </c>
    </row>
    <row r="178" spans="1:35">
      <c r="A178">
        <v>177</v>
      </c>
      <c r="B178" s="155" t="s">
        <v>508</v>
      </c>
      <c r="C178" s="155" t="s">
        <v>923</v>
      </c>
      <c r="D178" s="157">
        <v>0</v>
      </c>
      <c r="E178" s="157">
        <v>0</v>
      </c>
      <c r="F178" s="157">
        <v>0</v>
      </c>
      <c r="G178" s="157">
        <v>0</v>
      </c>
      <c r="H178" s="456">
        <v>0</v>
      </c>
      <c r="I178" s="157">
        <v>0</v>
      </c>
      <c r="J178" s="157">
        <v>0</v>
      </c>
      <c r="K178" s="157">
        <v>0</v>
      </c>
      <c r="L178" s="157">
        <v>0</v>
      </c>
      <c r="M178" s="157">
        <v>0</v>
      </c>
      <c r="N178" s="99">
        <f t="shared" si="30"/>
        <v>0</v>
      </c>
      <c r="O178" s="99">
        <f t="shared" si="28"/>
        <v>0</v>
      </c>
      <c r="P178" s="99">
        <f t="shared" si="31"/>
        <v>0</v>
      </c>
      <c r="Q178" s="99">
        <f t="shared" si="29"/>
        <v>0</v>
      </c>
      <c r="AH178" s="102" t="s">
        <v>509</v>
      </c>
      <c r="AI178" s="144">
        <v>6142095616</v>
      </c>
    </row>
    <row r="179" spans="1:35">
      <c r="A179">
        <v>178</v>
      </c>
      <c r="B179" s="155" t="s">
        <v>510</v>
      </c>
      <c r="C179" s="155" t="s">
        <v>923</v>
      </c>
      <c r="D179" s="156">
        <v>7739144</v>
      </c>
      <c r="E179" s="157">
        <v>0</v>
      </c>
      <c r="F179" s="157">
        <v>0</v>
      </c>
      <c r="G179" s="157">
        <v>0</v>
      </c>
      <c r="H179" s="455">
        <v>7739144</v>
      </c>
      <c r="I179" s="157">
        <v>0</v>
      </c>
      <c r="J179" s="157">
        <v>0</v>
      </c>
      <c r="K179" s="157">
        <v>0</v>
      </c>
      <c r="L179" s="157">
        <v>0</v>
      </c>
      <c r="M179" s="156">
        <v>7739144</v>
      </c>
      <c r="N179" s="99">
        <f t="shared" si="30"/>
        <v>7739144</v>
      </c>
      <c r="O179" s="99">
        <f t="shared" si="28"/>
        <v>0</v>
      </c>
      <c r="P179" s="99">
        <f t="shared" si="31"/>
        <v>0</v>
      </c>
      <c r="Q179" s="99">
        <f t="shared" si="29"/>
        <v>0</v>
      </c>
      <c r="AH179" s="102" t="s">
        <v>511</v>
      </c>
      <c r="AI179" s="144">
        <v>0</v>
      </c>
    </row>
    <row r="180" spans="1:35">
      <c r="A180">
        <v>179</v>
      </c>
      <c r="B180" s="155" t="s">
        <v>498</v>
      </c>
      <c r="C180" s="155" t="s">
        <v>923</v>
      </c>
      <c r="D180" s="156">
        <v>-425645040</v>
      </c>
      <c r="E180" s="157">
        <v>0</v>
      </c>
      <c r="F180" s="157">
        <v>0</v>
      </c>
      <c r="G180" s="157">
        <v>0</v>
      </c>
      <c r="H180" s="455">
        <v>-425645040</v>
      </c>
      <c r="I180" s="157">
        <v>0</v>
      </c>
      <c r="J180" s="157">
        <v>0</v>
      </c>
      <c r="K180" s="157">
        <v>0</v>
      </c>
      <c r="L180" s="157">
        <v>0</v>
      </c>
      <c r="M180" s="156">
        <v>-425645040</v>
      </c>
      <c r="N180" s="99">
        <f t="shared" si="30"/>
        <v>-425645040</v>
      </c>
      <c r="O180" s="99">
        <f t="shared" si="28"/>
        <v>0</v>
      </c>
      <c r="P180" s="99">
        <f t="shared" si="31"/>
        <v>0</v>
      </c>
      <c r="Q180" s="99">
        <f t="shared" si="29"/>
        <v>0</v>
      </c>
      <c r="AH180" s="102" t="s">
        <v>512</v>
      </c>
      <c r="AI180" s="144">
        <v>589566791623</v>
      </c>
    </row>
    <row r="181" spans="1:35">
      <c r="A181">
        <v>180</v>
      </c>
      <c r="B181" s="155" t="s">
        <v>513</v>
      </c>
      <c r="C181" s="155" t="s">
        <v>923</v>
      </c>
      <c r="D181" s="156">
        <v>433384184</v>
      </c>
      <c r="E181" s="157">
        <v>0</v>
      </c>
      <c r="F181" s="157">
        <v>0</v>
      </c>
      <c r="G181" s="157">
        <v>0</v>
      </c>
      <c r="H181" s="455">
        <v>433384184</v>
      </c>
      <c r="I181" s="157">
        <v>0</v>
      </c>
      <c r="J181" s="157">
        <v>0</v>
      </c>
      <c r="K181" s="157">
        <v>0</v>
      </c>
      <c r="L181" s="157">
        <v>0</v>
      </c>
      <c r="M181" s="156">
        <v>433384184</v>
      </c>
      <c r="N181" s="99">
        <f t="shared" si="30"/>
        <v>433384184</v>
      </c>
      <c r="O181" s="99">
        <f t="shared" si="28"/>
        <v>0</v>
      </c>
      <c r="P181" s="99">
        <f t="shared" si="31"/>
        <v>0</v>
      </c>
      <c r="Q181" s="99">
        <f t="shared" si="29"/>
        <v>0</v>
      </c>
      <c r="AH181" s="102" t="s">
        <v>497</v>
      </c>
      <c r="AI181" s="144">
        <v>-306466279</v>
      </c>
    </row>
    <row r="182" spans="1:35">
      <c r="A182">
        <v>181</v>
      </c>
      <c r="B182" s="155" t="s">
        <v>514</v>
      </c>
      <c r="C182" s="155" t="s">
        <v>923</v>
      </c>
      <c r="D182" s="157">
        <v>0</v>
      </c>
      <c r="E182" s="157">
        <v>0</v>
      </c>
      <c r="F182" s="157">
        <v>0</v>
      </c>
      <c r="G182" s="157">
        <v>0</v>
      </c>
      <c r="H182" s="456">
        <v>0</v>
      </c>
      <c r="I182" s="157">
        <v>0</v>
      </c>
      <c r="J182" s="157">
        <v>0</v>
      </c>
      <c r="K182" s="157">
        <v>0</v>
      </c>
      <c r="L182" s="157">
        <v>0</v>
      </c>
      <c r="M182" s="157">
        <v>0</v>
      </c>
      <c r="N182" s="99">
        <f t="shared" si="30"/>
        <v>0</v>
      </c>
      <c r="O182" s="99">
        <f t="shared" si="28"/>
        <v>0</v>
      </c>
      <c r="P182" s="99">
        <f t="shared" si="31"/>
        <v>0</v>
      </c>
      <c r="Q182" s="99">
        <f t="shared" si="29"/>
        <v>0</v>
      </c>
      <c r="AH182" s="102" t="s">
        <v>515</v>
      </c>
      <c r="AI182" s="144">
        <v>589873257902</v>
      </c>
    </row>
    <row r="183" spans="1:35">
      <c r="A183">
        <v>182</v>
      </c>
      <c r="B183" s="155" t="s">
        <v>516</v>
      </c>
      <c r="C183" s="155" t="s">
        <v>923</v>
      </c>
      <c r="D183" s="157">
        <v>0</v>
      </c>
      <c r="E183" s="157">
        <v>0</v>
      </c>
      <c r="F183" s="157">
        <v>0</v>
      </c>
      <c r="G183" s="157">
        <v>0</v>
      </c>
      <c r="H183" s="456">
        <v>0</v>
      </c>
      <c r="I183" s="157">
        <v>0</v>
      </c>
      <c r="J183" s="157">
        <v>0</v>
      </c>
      <c r="K183" s="157">
        <v>0</v>
      </c>
      <c r="L183" s="157">
        <v>0</v>
      </c>
      <c r="M183" s="157">
        <v>0</v>
      </c>
      <c r="N183" s="99">
        <f t="shared" si="30"/>
        <v>0</v>
      </c>
      <c r="O183" s="99">
        <f t="shared" si="28"/>
        <v>0</v>
      </c>
      <c r="P183" s="99">
        <f t="shared" si="31"/>
        <v>0</v>
      </c>
      <c r="Q183" s="99">
        <f t="shared" si="29"/>
        <v>0</v>
      </c>
      <c r="AH183" s="102" t="s">
        <v>517</v>
      </c>
      <c r="AI183" s="144">
        <v>142042965503</v>
      </c>
    </row>
    <row r="184" spans="1:35">
      <c r="A184">
        <v>183</v>
      </c>
      <c r="B184" s="155" t="s">
        <v>518</v>
      </c>
      <c r="C184" s="155" t="s">
        <v>923</v>
      </c>
      <c r="D184" s="157">
        <v>0</v>
      </c>
      <c r="E184" s="157">
        <v>0</v>
      </c>
      <c r="F184" s="157">
        <v>0</v>
      </c>
      <c r="G184" s="157">
        <v>0</v>
      </c>
      <c r="H184" s="456">
        <v>0</v>
      </c>
      <c r="I184" s="157">
        <v>0</v>
      </c>
      <c r="J184" s="157">
        <v>0</v>
      </c>
      <c r="K184" s="157">
        <v>0</v>
      </c>
      <c r="L184" s="157">
        <v>0</v>
      </c>
      <c r="M184" s="157">
        <v>0</v>
      </c>
      <c r="N184" s="99">
        <f t="shared" si="30"/>
        <v>0</v>
      </c>
      <c r="O184" s="99">
        <f t="shared" si="28"/>
        <v>0</v>
      </c>
      <c r="P184" s="99">
        <f t="shared" si="31"/>
        <v>0</v>
      </c>
      <c r="Q184" s="99">
        <f t="shared" si="29"/>
        <v>0</v>
      </c>
      <c r="AH184" s="102" t="s">
        <v>519</v>
      </c>
      <c r="AI184" s="144">
        <v>142042965503</v>
      </c>
    </row>
    <row r="185" spans="1:35">
      <c r="A185">
        <v>184</v>
      </c>
      <c r="B185" s="155" t="s">
        <v>520</v>
      </c>
      <c r="C185" s="155" t="s">
        <v>923</v>
      </c>
      <c r="D185" s="157">
        <v>0</v>
      </c>
      <c r="E185" s="157">
        <v>0</v>
      </c>
      <c r="F185" s="157">
        <v>0</v>
      </c>
      <c r="G185" s="157">
        <v>0</v>
      </c>
      <c r="H185" s="456">
        <v>0</v>
      </c>
      <c r="I185" s="157">
        <v>0</v>
      </c>
      <c r="J185" s="157">
        <v>0</v>
      </c>
      <c r="K185" s="157">
        <v>0</v>
      </c>
      <c r="L185" s="157">
        <v>0</v>
      </c>
      <c r="M185" s="157">
        <v>0</v>
      </c>
      <c r="N185" s="99">
        <f t="shared" si="30"/>
        <v>0</v>
      </c>
      <c r="O185" s="99">
        <f t="shared" si="28"/>
        <v>0</v>
      </c>
      <c r="P185" s="99">
        <f t="shared" si="31"/>
        <v>0</v>
      </c>
      <c r="Q185" s="99">
        <f t="shared" si="29"/>
        <v>0</v>
      </c>
      <c r="AH185" s="102" t="s">
        <v>521</v>
      </c>
      <c r="AI185" s="144">
        <v>0</v>
      </c>
    </row>
    <row r="186" spans="1:35">
      <c r="A186">
        <v>185</v>
      </c>
      <c r="B186" s="155" t="s">
        <v>522</v>
      </c>
      <c r="C186" s="155" t="s">
        <v>923</v>
      </c>
      <c r="D186" s="157">
        <v>0</v>
      </c>
      <c r="E186" s="157">
        <v>0</v>
      </c>
      <c r="F186" s="157">
        <v>0</v>
      </c>
      <c r="G186" s="157">
        <v>0</v>
      </c>
      <c r="H186" s="456">
        <v>0</v>
      </c>
      <c r="I186" s="157">
        <v>0</v>
      </c>
      <c r="J186" s="157">
        <v>0</v>
      </c>
      <c r="K186" s="157">
        <v>0</v>
      </c>
      <c r="L186" s="157">
        <v>0</v>
      </c>
      <c r="M186" s="157">
        <v>0</v>
      </c>
      <c r="N186" s="99">
        <f t="shared" si="30"/>
        <v>0</v>
      </c>
      <c r="O186" s="99">
        <f t="shared" si="28"/>
        <v>0</v>
      </c>
      <c r="P186" s="99">
        <f t="shared" si="31"/>
        <v>0</v>
      </c>
      <c r="Q186" s="99">
        <f t="shared" si="29"/>
        <v>0</v>
      </c>
      <c r="AH186" s="102" t="s">
        <v>523</v>
      </c>
      <c r="AI186" s="144">
        <v>0</v>
      </c>
    </row>
    <row r="187" spans="1:35">
      <c r="A187">
        <v>186</v>
      </c>
      <c r="B187" s="155" t="s">
        <v>524</v>
      </c>
      <c r="C187" s="155" t="s">
        <v>923</v>
      </c>
      <c r="D187" s="156">
        <v>6377938802</v>
      </c>
      <c r="E187" s="157">
        <v>0</v>
      </c>
      <c r="F187" s="157">
        <v>0</v>
      </c>
      <c r="G187" s="157">
        <v>0</v>
      </c>
      <c r="H187" s="455">
        <v>6377938802</v>
      </c>
      <c r="I187" s="157">
        <v>0</v>
      </c>
      <c r="J187" s="157">
        <v>0</v>
      </c>
      <c r="K187" s="157">
        <v>0</v>
      </c>
      <c r="L187" s="157">
        <v>0</v>
      </c>
      <c r="M187" s="156">
        <v>6377938802</v>
      </c>
      <c r="N187" s="99">
        <f t="shared" si="30"/>
        <v>6377938802</v>
      </c>
      <c r="O187" s="99">
        <f t="shared" si="28"/>
        <v>0</v>
      </c>
      <c r="P187" s="99">
        <f t="shared" si="31"/>
        <v>0</v>
      </c>
      <c r="Q187" s="99">
        <f t="shared" si="29"/>
        <v>0</v>
      </c>
      <c r="AH187" s="102" t="s">
        <v>525</v>
      </c>
      <c r="AI187" s="144">
        <v>0</v>
      </c>
    </row>
    <row r="188" spans="1:35">
      <c r="A188">
        <v>187</v>
      </c>
      <c r="B188" s="155" t="s">
        <v>522</v>
      </c>
      <c r="C188" s="155" t="s">
        <v>923</v>
      </c>
      <c r="D188" s="156">
        <v>-52109170494</v>
      </c>
      <c r="E188" s="157">
        <v>0</v>
      </c>
      <c r="F188" s="157">
        <v>0</v>
      </c>
      <c r="G188" s="157">
        <v>0</v>
      </c>
      <c r="H188" s="455">
        <v>-52109170494</v>
      </c>
      <c r="I188" s="157">
        <v>0</v>
      </c>
      <c r="J188" s="157">
        <v>0</v>
      </c>
      <c r="K188" s="157">
        <v>0</v>
      </c>
      <c r="L188" s="157">
        <v>0</v>
      </c>
      <c r="M188" s="156">
        <v>-52109170494</v>
      </c>
      <c r="N188" s="99">
        <f t="shared" si="30"/>
        <v>-52109170494</v>
      </c>
      <c r="O188" s="99">
        <f t="shared" si="28"/>
        <v>0</v>
      </c>
      <c r="P188" s="99">
        <f t="shared" si="31"/>
        <v>0</v>
      </c>
      <c r="Q188" s="99">
        <f t="shared" si="29"/>
        <v>0</v>
      </c>
      <c r="AH188" s="102" t="s">
        <v>526</v>
      </c>
      <c r="AI188" s="144">
        <v>0</v>
      </c>
    </row>
    <row r="189" spans="1:35">
      <c r="A189">
        <v>188</v>
      </c>
      <c r="B189" s="155" t="s">
        <v>527</v>
      </c>
      <c r="C189" s="155" t="s">
        <v>923</v>
      </c>
      <c r="D189" s="157">
        <v>0</v>
      </c>
      <c r="E189" s="157">
        <v>0</v>
      </c>
      <c r="F189" s="157">
        <v>0</v>
      </c>
      <c r="G189" s="157">
        <v>0</v>
      </c>
      <c r="H189" s="456">
        <v>0</v>
      </c>
      <c r="I189" s="157">
        <v>0</v>
      </c>
      <c r="J189" s="157">
        <v>0</v>
      </c>
      <c r="K189" s="157">
        <v>0</v>
      </c>
      <c r="L189" s="157">
        <v>0</v>
      </c>
      <c r="M189" s="157">
        <v>0</v>
      </c>
      <c r="N189" s="99">
        <f t="shared" si="30"/>
        <v>0</v>
      </c>
      <c r="O189" s="99">
        <f t="shared" si="28"/>
        <v>0</v>
      </c>
      <c r="P189" s="99">
        <f t="shared" si="31"/>
        <v>0</v>
      </c>
      <c r="Q189" s="99">
        <f t="shared" si="29"/>
        <v>0</v>
      </c>
      <c r="AH189" s="102" t="s">
        <v>528</v>
      </c>
      <c r="AI189" s="144">
        <v>0</v>
      </c>
    </row>
    <row r="190" spans="1:35">
      <c r="A190">
        <v>189</v>
      </c>
      <c r="B190" s="155" t="s">
        <v>522</v>
      </c>
      <c r="C190" s="155" t="s">
        <v>923</v>
      </c>
      <c r="D190" s="157">
        <v>0</v>
      </c>
      <c r="E190" s="157">
        <v>0</v>
      </c>
      <c r="F190" s="157">
        <v>0</v>
      </c>
      <c r="G190" s="157">
        <v>0</v>
      </c>
      <c r="H190" s="456">
        <v>0</v>
      </c>
      <c r="I190" s="157">
        <v>0</v>
      </c>
      <c r="J190" s="157">
        <v>0</v>
      </c>
      <c r="K190" s="157">
        <v>0</v>
      </c>
      <c r="L190" s="157">
        <v>0</v>
      </c>
      <c r="M190" s="157">
        <v>0</v>
      </c>
      <c r="N190" s="99">
        <f t="shared" si="30"/>
        <v>0</v>
      </c>
      <c r="O190" s="99">
        <f t="shared" si="28"/>
        <v>0</v>
      </c>
      <c r="P190" s="99">
        <f t="shared" si="31"/>
        <v>0</v>
      </c>
      <c r="Q190" s="99">
        <f t="shared" si="29"/>
        <v>0</v>
      </c>
      <c r="AH190" s="102" t="s">
        <v>529</v>
      </c>
      <c r="AI190" s="144">
        <v>0</v>
      </c>
    </row>
    <row r="191" spans="1:35">
      <c r="A191">
        <v>190</v>
      </c>
      <c r="B191" s="155" t="s">
        <v>530</v>
      </c>
      <c r="C191" s="155" t="s">
        <v>923</v>
      </c>
      <c r="D191" s="156">
        <v>13020330189</v>
      </c>
      <c r="E191" s="157">
        <v>0</v>
      </c>
      <c r="F191" s="157">
        <v>0</v>
      </c>
      <c r="G191" s="157">
        <v>0</v>
      </c>
      <c r="H191" s="455">
        <v>13020330189</v>
      </c>
      <c r="I191" s="157">
        <v>0</v>
      </c>
      <c r="J191" s="157">
        <v>0</v>
      </c>
      <c r="K191" s="157">
        <v>0</v>
      </c>
      <c r="L191" s="157">
        <v>0</v>
      </c>
      <c r="M191" s="156">
        <v>13020330189</v>
      </c>
      <c r="N191" s="99">
        <f t="shared" si="30"/>
        <v>13020330189</v>
      </c>
      <c r="O191" s="99">
        <f t="shared" si="28"/>
        <v>0</v>
      </c>
      <c r="P191" s="99">
        <f t="shared" si="31"/>
        <v>0</v>
      </c>
      <c r="Q191" s="99">
        <f t="shared" si="29"/>
        <v>0</v>
      </c>
      <c r="AH191" s="102" t="s">
        <v>531</v>
      </c>
      <c r="AI191" s="144">
        <v>0</v>
      </c>
    </row>
    <row r="192" spans="1:35">
      <c r="A192">
        <v>191</v>
      </c>
      <c r="B192" s="155" t="s">
        <v>532</v>
      </c>
      <c r="C192" s="155" t="s">
        <v>923</v>
      </c>
      <c r="D192" s="157">
        <v>0</v>
      </c>
      <c r="E192" s="157">
        <v>0</v>
      </c>
      <c r="F192" s="157">
        <v>0</v>
      </c>
      <c r="G192" s="157">
        <v>0</v>
      </c>
      <c r="H192" s="456">
        <v>0</v>
      </c>
      <c r="I192" s="157">
        <v>0</v>
      </c>
      <c r="J192" s="157">
        <v>0</v>
      </c>
      <c r="K192" s="157">
        <v>0</v>
      </c>
      <c r="L192" s="157">
        <v>0</v>
      </c>
      <c r="M192" s="157">
        <v>0</v>
      </c>
      <c r="N192" s="99">
        <f t="shared" si="30"/>
        <v>0</v>
      </c>
      <c r="O192" s="99">
        <f t="shared" si="28"/>
        <v>0</v>
      </c>
      <c r="P192" s="99">
        <f t="shared" si="31"/>
        <v>0</v>
      </c>
      <c r="Q192" s="99">
        <f t="shared" si="29"/>
        <v>0</v>
      </c>
      <c r="AH192" s="102" t="s">
        <v>533</v>
      </c>
      <c r="AI192" s="144">
        <v>0</v>
      </c>
    </row>
    <row r="193" spans="1:35">
      <c r="A193">
        <v>192</v>
      </c>
      <c r="B193" s="155" t="s">
        <v>534</v>
      </c>
      <c r="C193" s="155" t="s">
        <v>923</v>
      </c>
      <c r="D193" s="156">
        <v>28506931125</v>
      </c>
      <c r="E193" s="157">
        <v>0</v>
      </c>
      <c r="F193" s="156">
        <v>4074288158</v>
      </c>
      <c r="G193" s="156">
        <v>69084957</v>
      </c>
      <c r="H193" s="455">
        <v>24363558010</v>
      </c>
      <c r="I193" s="157">
        <v>0</v>
      </c>
      <c r="J193" s="157">
        <v>0</v>
      </c>
      <c r="K193" s="157">
        <v>0</v>
      </c>
      <c r="L193" s="156">
        <v>92906468</v>
      </c>
      <c r="M193" s="156">
        <v>24270651542</v>
      </c>
      <c r="N193" s="99">
        <f t="shared" si="30"/>
        <v>24270651542</v>
      </c>
      <c r="O193" s="99">
        <f t="shared" si="28"/>
        <v>4074288158</v>
      </c>
      <c r="P193" s="99">
        <f t="shared" si="31"/>
        <v>92906468</v>
      </c>
      <c r="Q193" s="99">
        <f t="shared" si="29"/>
        <v>69084957</v>
      </c>
      <c r="AH193" s="102" t="s">
        <v>535</v>
      </c>
      <c r="AI193" s="144">
        <v>28884462926</v>
      </c>
    </row>
    <row r="194" spans="1:35">
      <c r="A194">
        <v>193</v>
      </c>
      <c r="B194" s="155" t="s">
        <v>536</v>
      </c>
      <c r="C194" s="155" t="s">
        <v>923</v>
      </c>
      <c r="D194" s="157">
        <v>0</v>
      </c>
      <c r="E194" s="157">
        <v>0</v>
      </c>
      <c r="F194" s="157">
        <v>0</v>
      </c>
      <c r="G194" s="157">
        <v>0</v>
      </c>
      <c r="H194" s="456">
        <v>0</v>
      </c>
      <c r="I194" s="157">
        <v>0</v>
      </c>
      <c r="J194" s="157">
        <v>0</v>
      </c>
      <c r="K194" s="157">
        <v>0</v>
      </c>
      <c r="L194" s="157">
        <v>0</v>
      </c>
      <c r="M194" s="157">
        <v>0</v>
      </c>
      <c r="N194" s="99">
        <f t="shared" si="30"/>
        <v>0</v>
      </c>
      <c r="O194" s="99">
        <f t="shared" ref="O194:O257" si="32">+F194</f>
        <v>0</v>
      </c>
      <c r="P194" s="99">
        <f t="shared" si="31"/>
        <v>0</v>
      </c>
      <c r="Q194" s="99">
        <f t="shared" ref="Q194:Q257" si="33">+G194</f>
        <v>0</v>
      </c>
      <c r="AH194" s="102" t="s">
        <v>537</v>
      </c>
      <c r="AI194" s="144">
        <v>-13324570024</v>
      </c>
    </row>
    <row r="195" spans="1:35">
      <c r="A195">
        <v>194</v>
      </c>
      <c r="B195" s="155" t="s">
        <v>538</v>
      </c>
      <c r="C195" s="155" t="s">
        <v>923</v>
      </c>
      <c r="D195" s="157">
        <v>0</v>
      </c>
      <c r="E195" s="157">
        <v>0</v>
      </c>
      <c r="F195" s="157">
        <v>0</v>
      </c>
      <c r="G195" s="157">
        <v>0</v>
      </c>
      <c r="H195" s="456">
        <v>0</v>
      </c>
      <c r="I195" s="157">
        <v>0</v>
      </c>
      <c r="J195" s="157">
        <v>0</v>
      </c>
      <c r="K195" s="157">
        <v>0</v>
      </c>
      <c r="L195" s="157">
        <v>0</v>
      </c>
      <c r="M195" s="157">
        <v>0</v>
      </c>
      <c r="N195" s="99">
        <f t="shared" ref="N195:N258" si="34">+M195+I195+J195</f>
        <v>0</v>
      </c>
      <c r="O195" s="99">
        <f t="shared" si="32"/>
        <v>0</v>
      </c>
      <c r="P195" s="99">
        <f t="shared" ref="P195:P258" si="35">+K195+L195</f>
        <v>0</v>
      </c>
      <c r="Q195" s="99">
        <f t="shared" si="33"/>
        <v>0</v>
      </c>
      <c r="AH195" s="102" t="s">
        <v>539</v>
      </c>
      <c r="AI195" s="144">
        <v>42209032950</v>
      </c>
    </row>
    <row r="196" spans="1:35">
      <c r="A196">
        <v>195</v>
      </c>
      <c r="B196" s="155" t="s">
        <v>540</v>
      </c>
      <c r="C196" s="155" t="s">
        <v>923</v>
      </c>
      <c r="D196" s="156">
        <v>22562976803</v>
      </c>
      <c r="E196" s="157">
        <v>0</v>
      </c>
      <c r="F196" s="157">
        <v>0</v>
      </c>
      <c r="G196" s="157">
        <v>0</v>
      </c>
      <c r="H196" s="455">
        <v>22562976803</v>
      </c>
      <c r="I196" s="157">
        <v>0</v>
      </c>
      <c r="J196" s="157">
        <v>0</v>
      </c>
      <c r="K196" s="157">
        <v>0</v>
      </c>
      <c r="L196" s="157">
        <v>0</v>
      </c>
      <c r="M196" s="156">
        <v>22562976803</v>
      </c>
      <c r="N196" s="99">
        <f t="shared" si="34"/>
        <v>22562976803</v>
      </c>
      <c r="O196" s="99">
        <f t="shared" si="32"/>
        <v>0</v>
      </c>
      <c r="P196" s="99">
        <f t="shared" si="35"/>
        <v>0</v>
      </c>
      <c r="Q196" s="99">
        <f t="shared" si="33"/>
        <v>0</v>
      </c>
      <c r="AH196" s="102" t="s">
        <v>541</v>
      </c>
      <c r="AI196" s="144">
        <v>23122735424</v>
      </c>
    </row>
    <row r="197" spans="1:35">
      <c r="A197">
        <v>196</v>
      </c>
      <c r="B197" s="155" t="s">
        <v>542</v>
      </c>
      <c r="C197" s="155" t="s">
        <v>923</v>
      </c>
      <c r="D197" s="156">
        <v>1800581207</v>
      </c>
      <c r="E197" s="157">
        <v>0</v>
      </c>
      <c r="F197" s="157">
        <v>0</v>
      </c>
      <c r="G197" s="157">
        <v>0</v>
      </c>
      <c r="H197" s="455">
        <v>1800581207</v>
      </c>
      <c r="I197" s="157">
        <v>0</v>
      </c>
      <c r="J197" s="157">
        <v>0</v>
      </c>
      <c r="K197" s="157">
        <v>0</v>
      </c>
      <c r="L197" s="156">
        <v>92906468</v>
      </c>
      <c r="M197" s="156">
        <v>1707674739</v>
      </c>
      <c r="N197" s="99">
        <f t="shared" si="34"/>
        <v>1707674739</v>
      </c>
      <c r="O197" s="99">
        <f t="shared" si="32"/>
        <v>0</v>
      </c>
      <c r="P197" s="99">
        <f t="shared" si="35"/>
        <v>92906468</v>
      </c>
      <c r="Q197" s="99">
        <f t="shared" si="33"/>
        <v>0</v>
      </c>
      <c r="AH197" s="102" t="s">
        <v>543</v>
      </c>
      <c r="AI197" s="144">
        <v>19086297526</v>
      </c>
    </row>
    <row r="198" spans="1:35">
      <c r="A198">
        <v>197</v>
      </c>
      <c r="B198" s="155" t="s">
        <v>544</v>
      </c>
      <c r="C198" s="155" t="s">
        <v>923</v>
      </c>
      <c r="D198" s="157">
        <v>0</v>
      </c>
      <c r="E198" s="157">
        <v>0</v>
      </c>
      <c r="F198" s="157">
        <v>0</v>
      </c>
      <c r="G198" s="157">
        <v>0</v>
      </c>
      <c r="H198" s="456">
        <v>0</v>
      </c>
      <c r="I198" s="157">
        <v>0</v>
      </c>
      <c r="J198" s="157">
        <v>0</v>
      </c>
      <c r="K198" s="157">
        <v>0</v>
      </c>
      <c r="L198" s="157">
        <v>0</v>
      </c>
      <c r="M198" s="157">
        <v>0</v>
      </c>
      <c r="N198" s="99">
        <f t="shared" si="34"/>
        <v>0</v>
      </c>
      <c r="O198" s="99">
        <f t="shared" si="32"/>
        <v>0</v>
      </c>
      <c r="P198" s="99">
        <f t="shared" si="35"/>
        <v>0</v>
      </c>
      <c r="Q198" s="99">
        <f t="shared" si="33"/>
        <v>0</v>
      </c>
      <c r="AH198" s="102" t="s">
        <v>545</v>
      </c>
      <c r="AI198" s="144">
        <v>90089672720</v>
      </c>
    </row>
    <row r="199" spans="1:35">
      <c r="A199">
        <v>198</v>
      </c>
      <c r="B199" s="155" t="s">
        <v>546</v>
      </c>
      <c r="C199" s="155" t="s">
        <v>923</v>
      </c>
      <c r="D199" s="157">
        <v>0</v>
      </c>
      <c r="E199" s="157">
        <v>0</v>
      </c>
      <c r="F199" s="157">
        <v>0</v>
      </c>
      <c r="G199" s="157">
        <v>0</v>
      </c>
      <c r="H199" s="456">
        <v>0</v>
      </c>
      <c r="I199" s="157">
        <v>0</v>
      </c>
      <c r="J199" s="157">
        <v>0</v>
      </c>
      <c r="K199" s="157">
        <v>0</v>
      </c>
      <c r="L199" s="157">
        <v>0</v>
      </c>
      <c r="M199" s="157">
        <v>0</v>
      </c>
      <c r="N199" s="99">
        <f t="shared" si="34"/>
        <v>0</v>
      </c>
      <c r="O199" s="99">
        <f t="shared" si="32"/>
        <v>0</v>
      </c>
      <c r="P199" s="99">
        <f t="shared" si="35"/>
        <v>0</v>
      </c>
      <c r="Q199" s="99">
        <f t="shared" si="33"/>
        <v>0</v>
      </c>
      <c r="AH199" s="102" t="s">
        <v>547</v>
      </c>
      <c r="AI199" s="144">
        <v>6787826704</v>
      </c>
    </row>
    <row r="200" spans="1:35">
      <c r="A200">
        <v>199</v>
      </c>
      <c r="B200" s="155" t="s">
        <v>548</v>
      </c>
      <c r="C200" s="155" t="s">
        <v>923</v>
      </c>
      <c r="D200" s="156">
        <v>4143373115</v>
      </c>
      <c r="E200" s="157">
        <v>0</v>
      </c>
      <c r="F200" s="156">
        <v>4074288158</v>
      </c>
      <c r="G200" s="156">
        <v>69084957</v>
      </c>
      <c r="H200" s="456">
        <v>0</v>
      </c>
      <c r="I200" s="157">
        <v>0</v>
      </c>
      <c r="J200" s="157">
        <v>0</v>
      </c>
      <c r="K200" s="157">
        <v>0</v>
      </c>
      <c r="L200" s="157">
        <v>0</v>
      </c>
      <c r="M200" s="157">
        <v>0</v>
      </c>
      <c r="N200" s="99">
        <f t="shared" si="34"/>
        <v>0</v>
      </c>
      <c r="O200" s="99">
        <f t="shared" si="32"/>
        <v>4074288158</v>
      </c>
      <c r="P200" s="99">
        <f t="shared" si="35"/>
        <v>0</v>
      </c>
      <c r="Q200" s="99">
        <f t="shared" si="33"/>
        <v>69084957</v>
      </c>
      <c r="AH200" s="102" t="s">
        <v>549</v>
      </c>
      <c r="AI200" s="144">
        <v>0</v>
      </c>
    </row>
    <row r="201" spans="1:35">
      <c r="A201">
        <v>200</v>
      </c>
      <c r="B201" s="155" t="s">
        <v>550</v>
      </c>
      <c r="C201" s="155" t="s">
        <v>923</v>
      </c>
      <c r="D201" s="156">
        <v>27860664825</v>
      </c>
      <c r="E201" s="157">
        <v>0</v>
      </c>
      <c r="F201" s="157">
        <v>0</v>
      </c>
      <c r="G201" s="157">
        <v>0</v>
      </c>
      <c r="H201" s="455">
        <v>27860664825</v>
      </c>
      <c r="I201" s="157">
        <v>0</v>
      </c>
      <c r="J201" s="157">
        <v>0</v>
      </c>
      <c r="K201" s="157">
        <v>0</v>
      </c>
      <c r="L201" s="157">
        <v>0</v>
      </c>
      <c r="M201" s="156">
        <v>27860664825</v>
      </c>
      <c r="N201" s="99">
        <f t="shared" si="34"/>
        <v>27860664825</v>
      </c>
      <c r="O201" s="99">
        <f t="shared" si="32"/>
        <v>0</v>
      </c>
      <c r="P201" s="99">
        <f t="shared" si="35"/>
        <v>0</v>
      </c>
      <c r="Q201" s="99">
        <f t="shared" si="33"/>
        <v>0</v>
      </c>
      <c r="AH201" s="102" t="s">
        <v>551</v>
      </c>
      <c r="AI201" s="144">
        <v>6787826704</v>
      </c>
    </row>
    <row r="202" spans="1:35">
      <c r="A202">
        <v>201</v>
      </c>
      <c r="B202" s="155" t="s">
        <v>552</v>
      </c>
      <c r="C202" s="155" t="s">
        <v>923</v>
      </c>
      <c r="D202" s="156">
        <v>-97943900</v>
      </c>
      <c r="E202" s="157">
        <v>0</v>
      </c>
      <c r="F202" s="157">
        <v>0</v>
      </c>
      <c r="G202" s="157">
        <v>0</v>
      </c>
      <c r="H202" s="455">
        <v>-97943900</v>
      </c>
      <c r="I202" s="157">
        <v>0</v>
      </c>
      <c r="J202" s="157">
        <v>0</v>
      </c>
      <c r="K202" s="157">
        <v>0</v>
      </c>
      <c r="L202" s="157">
        <v>0</v>
      </c>
      <c r="M202" s="156">
        <v>-97943900</v>
      </c>
      <c r="N202" s="99">
        <f t="shared" si="34"/>
        <v>-97943900</v>
      </c>
      <c r="O202" s="99">
        <f t="shared" si="32"/>
        <v>0</v>
      </c>
      <c r="P202" s="99">
        <f t="shared" si="35"/>
        <v>0</v>
      </c>
      <c r="Q202" s="99">
        <f t="shared" si="33"/>
        <v>0</v>
      </c>
      <c r="AH202" s="102" t="s">
        <v>553</v>
      </c>
      <c r="AI202" s="144">
        <v>64221188972</v>
      </c>
    </row>
    <row r="203" spans="1:35">
      <c r="A203">
        <v>202</v>
      </c>
      <c r="B203" s="155" t="s">
        <v>554</v>
      </c>
      <c r="C203" s="155" t="s">
        <v>923</v>
      </c>
      <c r="D203" s="157">
        <v>0</v>
      </c>
      <c r="E203" s="157">
        <v>0</v>
      </c>
      <c r="F203" s="157">
        <v>0</v>
      </c>
      <c r="G203" s="157">
        <v>0</v>
      </c>
      <c r="H203" s="456">
        <v>0</v>
      </c>
      <c r="I203" s="157">
        <v>0</v>
      </c>
      <c r="J203" s="157">
        <v>0</v>
      </c>
      <c r="K203" s="157">
        <v>0</v>
      </c>
      <c r="L203" s="157">
        <v>0</v>
      </c>
      <c r="M203" s="157">
        <v>0</v>
      </c>
      <c r="N203" s="99">
        <f t="shared" si="34"/>
        <v>0</v>
      </c>
      <c r="O203" s="99">
        <f t="shared" si="32"/>
        <v>0</v>
      </c>
      <c r="P203" s="99">
        <f t="shared" si="35"/>
        <v>0</v>
      </c>
      <c r="Q203" s="99">
        <f t="shared" si="33"/>
        <v>0</v>
      </c>
      <c r="AH203" s="102" t="s">
        <v>549</v>
      </c>
      <c r="AI203" s="144">
        <v>0</v>
      </c>
    </row>
    <row r="204" spans="1:35">
      <c r="A204">
        <v>203</v>
      </c>
      <c r="B204" s="155" t="s">
        <v>555</v>
      </c>
      <c r="C204" s="155" t="s">
        <v>923</v>
      </c>
      <c r="D204" s="156">
        <v>5186171243</v>
      </c>
      <c r="E204" s="157">
        <v>0</v>
      </c>
      <c r="F204" s="157">
        <v>0</v>
      </c>
      <c r="G204" s="157">
        <v>0</v>
      </c>
      <c r="H204" s="455">
        <v>5186171243</v>
      </c>
      <c r="I204" s="157">
        <v>0</v>
      </c>
      <c r="J204" s="157">
        <v>0</v>
      </c>
      <c r="K204" s="157">
        <v>0</v>
      </c>
      <c r="L204" s="157">
        <v>0</v>
      </c>
      <c r="M204" s="156">
        <v>5186171243</v>
      </c>
      <c r="N204" s="99">
        <f t="shared" si="34"/>
        <v>5186171243</v>
      </c>
      <c r="O204" s="99">
        <f t="shared" si="32"/>
        <v>0</v>
      </c>
      <c r="P204" s="99">
        <f t="shared" si="35"/>
        <v>0</v>
      </c>
      <c r="Q204" s="99">
        <f t="shared" si="33"/>
        <v>0</v>
      </c>
      <c r="AH204" s="102" t="s">
        <v>556</v>
      </c>
      <c r="AI204" s="144">
        <v>-7535682738</v>
      </c>
    </row>
    <row r="205" spans="1:35">
      <c r="A205">
        <v>204</v>
      </c>
      <c r="B205" s="155" t="s">
        <v>557</v>
      </c>
      <c r="C205" s="155" t="s">
        <v>923</v>
      </c>
      <c r="D205" s="157">
        <v>0</v>
      </c>
      <c r="E205" s="157">
        <v>0</v>
      </c>
      <c r="F205" s="157">
        <v>0</v>
      </c>
      <c r="G205" s="157">
        <v>0</v>
      </c>
      <c r="H205" s="456">
        <v>0</v>
      </c>
      <c r="I205" s="157">
        <v>0</v>
      </c>
      <c r="J205" s="157">
        <v>0</v>
      </c>
      <c r="K205" s="157">
        <v>0</v>
      </c>
      <c r="L205" s="157">
        <v>0</v>
      </c>
      <c r="M205" s="157">
        <v>0</v>
      </c>
      <c r="N205" s="99">
        <f t="shared" si="34"/>
        <v>0</v>
      </c>
      <c r="O205" s="99">
        <f t="shared" si="32"/>
        <v>0</v>
      </c>
      <c r="P205" s="99">
        <f t="shared" si="35"/>
        <v>0</v>
      </c>
      <c r="Q205" s="99">
        <f t="shared" si="33"/>
        <v>0</v>
      </c>
      <c r="AH205" s="102" t="s">
        <v>558</v>
      </c>
      <c r="AI205" s="144">
        <v>71756871710</v>
      </c>
    </row>
    <row r="206" spans="1:35">
      <c r="A206">
        <v>205</v>
      </c>
      <c r="B206" s="155" t="s">
        <v>559</v>
      </c>
      <c r="C206" s="155" t="s">
        <v>923</v>
      </c>
      <c r="D206" s="156">
        <v>22772437482</v>
      </c>
      <c r="E206" s="157">
        <v>0</v>
      </c>
      <c r="F206" s="157">
        <v>0</v>
      </c>
      <c r="G206" s="157">
        <v>0</v>
      </c>
      <c r="H206" s="455">
        <v>22772437482</v>
      </c>
      <c r="I206" s="157">
        <v>0</v>
      </c>
      <c r="J206" s="157">
        <v>0</v>
      </c>
      <c r="K206" s="157">
        <v>0</v>
      </c>
      <c r="L206" s="157">
        <v>0</v>
      </c>
      <c r="M206" s="156">
        <v>22772437482</v>
      </c>
      <c r="N206" s="99">
        <f t="shared" si="34"/>
        <v>22772437482</v>
      </c>
      <c r="O206" s="99">
        <f t="shared" si="32"/>
        <v>0</v>
      </c>
      <c r="P206" s="99">
        <f t="shared" si="35"/>
        <v>0</v>
      </c>
      <c r="Q206" s="99">
        <f t="shared" si="33"/>
        <v>0</v>
      </c>
      <c r="AH206" s="102" t="s">
        <v>560</v>
      </c>
      <c r="AI206" s="144">
        <v>0</v>
      </c>
    </row>
    <row r="207" spans="1:35">
      <c r="A207">
        <v>206</v>
      </c>
      <c r="B207" s="155" t="s">
        <v>561</v>
      </c>
      <c r="C207" s="155" t="s">
        <v>923</v>
      </c>
      <c r="D207" s="157">
        <v>0</v>
      </c>
      <c r="E207" s="157">
        <v>0</v>
      </c>
      <c r="F207" s="157">
        <v>0</v>
      </c>
      <c r="G207" s="157">
        <v>0</v>
      </c>
      <c r="H207" s="456">
        <v>0</v>
      </c>
      <c r="I207" s="157">
        <v>0</v>
      </c>
      <c r="J207" s="157">
        <v>0</v>
      </c>
      <c r="K207" s="157">
        <v>0</v>
      </c>
      <c r="L207" s="157">
        <v>0</v>
      </c>
      <c r="M207" s="157">
        <v>0</v>
      </c>
      <c r="N207" s="99">
        <f t="shared" si="34"/>
        <v>0</v>
      </c>
      <c r="O207" s="99">
        <f t="shared" si="32"/>
        <v>0</v>
      </c>
      <c r="P207" s="99">
        <f t="shared" si="35"/>
        <v>0</v>
      </c>
      <c r="Q207" s="99">
        <f t="shared" si="33"/>
        <v>0</v>
      </c>
      <c r="AH207" s="102" t="s">
        <v>549</v>
      </c>
      <c r="AI207" s="144">
        <v>0</v>
      </c>
    </row>
    <row r="208" spans="1:35">
      <c r="A208">
        <v>207</v>
      </c>
      <c r="B208" s="155" t="s">
        <v>498</v>
      </c>
      <c r="C208" s="155" t="s">
        <v>923</v>
      </c>
      <c r="D208" s="157">
        <v>0</v>
      </c>
      <c r="E208" s="157">
        <v>0</v>
      </c>
      <c r="F208" s="157">
        <v>0</v>
      </c>
      <c r="G208" s="157">
        <v>0</v>
      </c>
      <c r="H208" s="456">
        <v>0</v>
      </c>
      <c r="I208" s="157">
        <v>0</v>
      </c>
      <c r="J208" s="157">
        <v>0</v>
      </c>
      <c r="K208" s="157">
        <v>0</v>
      </c>
      <c r="L208" s="157">
        <v>0</v>
      </c>
      <c r="M208" s="157">
        <v>0</v>
      </c>
      <c r="N208" s="99">
        <f t="shared" si="34"/>
        <v>0</v>
      </c>
      <c r="O208" s="99">
        <f t="shared" si="32"/>
        <v>0</v>
      </c>
      <c r="P208" s="99">
        <f t="shared" si="35"/>
        <v>0</v>
      </c>
      <c r="Q208" s="99">
        <f t="shared" si="33"/>
        <v>0</v>
      </c>
      <c r="AH208" s="102" t="s">
        <v>556</v>
      </c>
      <c r="AI208" s="144">
        <v>0</v>
      </c>
    </row>
    <row r="209" spans="1:35">
      <c r="A209">
        <v>208</v>
      </c>
      <c r="B209" s="155" t="s">
        <v>562</v>
      </c>
      <c r="C209" s="155" t="s">
        <v>923</v>
      </c>
      <c r="D209" s="157">
        <v>0</v>
      </c>
      <c r="E209" s="157">
        <v>0</v>
      </c>
      <c r="F209" s="157">
        <v>0</v>
      </c>
      <c r="G209" s="157">
        <v>0</v>
      </c>
      <c r="H209" s="456">
        <v>0</v>
      </c>
      <c r="I209" s="157">
        <v>0</v>
      </c>
      <c r="J209" s="157">
        <v>0</v>
      </c>
      <c r="K209" s="157">
        <v>0</v>
      </c>
      <c r="L209" s="157">
        <v>0</v>
      </c>
      <c r="M209" s="157">
        <v>0</v>
      </c>
      <c r="N209" s="99">
        <f t="shared" si="34"/>
        <v>0</v>
      </c>
      <c r="O209" s="99">
        <f t="shared" si="32"/>
        <v>0</v>
      </c>
      <c r="P209" s="99">
        <f t="shared" si="35"/>
        <v>0</v>
      </c>
      <c r="Q209" s="99">
        <f t="shared" si="33"/>
        <v>0</v>
      </c>
      <c r="AH209" s="102" t="s">
        <v>563</v>
      </c>
      <c r="AI209" s="144">
        <v>0</v>
      </c>
    </row>
    <row r="210" spans="1:35">
      <c r="A210">
        <v>209</v>
      </c>
      <c r="B210" s="155" t="s">
        <v>564</v>
      </c>
      <c r="C210" s="155" t="s">
        <v>923</v>
      </c>
      <c r="D210" s="157">
        <v>0</v>
      </c>
      <c r="E210" s="157">
        <v>0</v>
      </c>
      <c r="F210" s="157">
        <v>0</v>
      </c>
      <c r="G210" s="157">
        <v>0</v>
      </c>
      <c r="H210" s="456">
        <v>0</v>
      </c>
      <c r="I210" s="157">
        <v>0</v>
      </c>
      <c r="J210" s="157">
        <v>0</v>
      </c>
      <c r="K210" s="157">
        <v>0</v>
      </c>
      <c r="L210" s="157">
        <v>0</v>
      </c>
      <c r="M210" s="157">
        <v>0</v>
      </c>
      <c r="N210" s="99">
        <f t="shared" si="34"/>
        <v>0</v>
      </c>
      <c r="O210" s="99">
        <f t="shared" si="32"/>
        <v>0</v>
      </c>
      <c r="P210" s="99">
        <f t="shared" si="35"/>
        <v>0</v>
      </c>
      <c r="Q210" s="99">
        <f t="shared" si="33"/>
        <v>0</v>
      </c>
      <c r="AH210" s="102" t="s">
        <v>565</v>
      </c>
      <c r="AI210" s="144">
        <v>0</v>
      </c>
    </row>
    <row r="211" spans="1:35">
      <c r="A211">
        <v>210</v>
      </c>
      <c r="B211" s="155" t="s">
        <v>566</v>
      </c>
      <c r="C211" s="155" t="s">
        <v>923</v>
      </c>
      <c r="D211" s="157">
        <v>0</v>
      </c>
      <c r="E211" s="157">
        <v>0</v>
      </c>
      <c r="F211" s="157">
        <v>0</v>
      </c>
      <c r="G211" s="157">
        <v>0</v>
      </c>
      <c r="H211" s="456">
        <v>0</v>
      </c>
      <c r="I211" s="157">
        <v>0</v>
      </c>
      <c r="J211" s="157">
        <v>0</v>
      </c>
      <c r="K211" s="157">
        <v>0</v>
      </c>
      <c r="L211" s="157">
        <v>0</v>
      </c>
      <c r="M211" s="157">
        <v>0</v>
      </c>
      <c r="N211" s="99">
        <f t="shared" si="34"/>
        <v>0</v>
      </c>
      <c r="O211" s="99">
        <f t="shared" si="32"/>
        <v>0</v>
      </c>
      <c r="P211" s="99">
        <f t="shared" si="35"/>
        <v>0</v>
      </c>
      <c r="Q211" s="99">
        <f t="shared" si="33"/>
        <v>0</v>
      </c>
      <c r="AH211" s="102" t="s">
        <v>567</v>
      </c>
      <c r="AI211" s="144">
        <v>0</v>
      </c>
    </row>
    <row r="212" spans="1:35">
      <c r="A212">
        <v>211</v>
      </c>
      <c r="B212" s="155" t="s">
        <v>568</v>
      </c>
      <c r="C212" s="155" t="s">
        <v>923</v>
      </c>
      <c r="D212" s="157">
        <v>0</v>
      </c>
      <c r="E212" s="156">
        <v>192544754825</v>
      </c>
      <c r="F212" s="156">
        <v>186060845497</v>
      </c>
      <c r="G212" s="156">
        <v>6483909328</v>
      </c>
      <c r="H212" s="456">
        <v>0</v>
      </c>
      <c r="I212" s="156">
        <v>8609558660</v>
      </c>
      <c r="J212" s="156">
        <v>1109343807</v>
      </c>
      <c r="K212" s="156">
        <v>9582690</v>
      </c>
      <c r="L212" s="156">
        <v>59567413689</v>
      </c>
      <c r="M212" s="156">
        <v>-69295898846</v>
      </c>
      <c r="N212" s="99">
        <f t="shared" si="34"/>
        <v>-59576996379</v>
      </c>
      <c r="O212" s="99">
        <f t="shared" si="32"/>
        <v>186060845497</v>
      </c>
      <c r="P212" s="99">
        <f t="shared" si="35"/>
        <v>59576996379</v>
      </c>
      <c r="Q212" s="99">
        <f t="shared" si="33"/>
        <v>6483909328</v>
      </c>
      <c r="AH212" s="102" t="s">
        <v>556</v>
      </c>
      <c r="AI212" s="144">
        <v>0</v>
      </c>
    </row>
    <row r="213" spans="1:35">
      <c r="A213">
        <v>212</v>
      </c>
      <c r="B213" s="155" t="s">
        <v>569</v>
      </c>
      <c r="C213" s="155" t="s">
        <v>923</v>
      </c>
      <c r="D213" s="157">
        <v>0</v>
      </c>
      <c r="E213" s="157">
        <v>0</v>
      </c>
      <c r="F213" s="157">
        <v>0</v>
      </c>
      <c r="G213" s="157">
        <v>0</v>
      </c>
      <c r="H213" s="456">
        <v>0</v>
      </c>
      <c r="I213" s="157">
        <v>0</v>
      </c>
      <c r="J213" s="157">
        <v>0</v>
      </c>
      <c r="K213" s="157">
        <v>0</v>
      </c>
      <c r="L213" s="157">
        <v>0</v>
      </c>
      <c r="M213" s="157">
        <v>0</v>
      </c>
      <c r="N213" s="99">
        <f t="shared" si="34"/>
        <v>0</v>
      </c>
      <c r="O213" s="99">
        <f t="shared" si="32"/>
        <v>0</v>
      </c>
      <c r="P213" s="99">
        <f t="shared" si="35"/>
        <v>0</v>
      </c>
      <c r="Q213" s="99">
        <f t="shared" si="33"/>
        <v>0</v>
      </c>
      <c r="AH213" s="102" t="s">
        <v>570</v>
      </c>
      <c r="AI213" s="144">
        <v>0</v>
      </c>
    </row>
    <row r="214" spans="1:35">
      <c r="A214">
        <v>213</v>
      </c>
      <c r="B214" s="155" t="s">
        <v>571</v>
      </c>
      <c r="C214" s="155" t="s">
        <v>923</v>
      </c>
      <c r="D214" s="157">
        <v>0</v>
      </c>
      <c r="E214" s="156">
        <v>192544754825</v>
      </c>
      <c r="F214" s="156">
        <v>186060845497</v>
      </c>
      <c r="G214" s="156">
        <v>6483909328</v>
      </c>
      <c r="H214" s="456">
        <v>0</v>
      </c>
      <c r="I214" s="156">
        <v>8609558660</v>
      </c>
      <c r="J214" s="156">
        <v>1109343807</v>
      </c>
      <c r="K214" s="156">
        <v>9582690</v>
      </c>
      <c r="L214" s="156">
        <v>59567413689</v>
      </c>
      <c r="M214" s="156">
        <v>-69295898846</v>
      </c>
      <c r="N214" s="99">
        <f t="shared" si="34"/>
        <v>-59576996379</v>
      </c>
      <c r="O214" s="99">
        <f t="shared" si="32"/>
        <v>186060845497</v>
      </c>
      <c r="P214" s="99">
        <f t="shared" si="35"/>
        <v>59576996379</v>
      </c>
      <c r="Q214" s="99">
        <f t="shared" si="33"/>
        <v>6483909328</v>
      </c>
      <c r="AH214" s="102" t="s">
        <v>572</v>
      </c>
      <c r="AI214" s="144">
        <v>6819481941</v>
      </c>
    </row>
    <row r="215" spans="1:35">
      <c r="A215">
        <v>214</v>
      </c>
      <c r="B215" s="155" t="s">
        <v>573</v>
      </c>
      <c r="C215" s="155" t="s">
        <v>923</v>
      </c>
      <c r="D215" s="157">
        <v>0</v>
      </c>
      <c r="E215" s="156">
        <v>13487230093769</v>
      </c>
      <c r="F215" s="157">
        <v>0</v>
      </c>
      <c r="G215" s="157">
        <v>0</v>
      </c>
      <c r="H215" s="455">
        <v>13487230093769</v>
      </c>
      <c r="I215" s="157">
        <v>0</v>
      </c>
      <c r="J215" s="157">
        <v>0</v>
      </c>
      <c r="K215" s="157">
        <v>0</v>
      </c>
      <c r="L215" s="157">
        <v>0</v>
      </c>
      <c r="M215" s="156">
        <v>13487230093769</v>
      </c>
      <c r="N215" s="99">
        <f t="shared" si="34"/>
        <v>13487230093769</v>
      </c>
      <c r="O215" s="99">
        <f t="shared" si="32"/>
        <v>0</v>
      </c>
      <c r="P215" s="99">
        <f t="shared" si="35"/>
        <v>0</v>
      </c>
      <c r="Q215" s="99">
        <f t="shared" si="33"/>
        <v>0</v>
      </c>
      <c r="AH215" s="102" t="s">
        <v>556</v>
      </c>
      <c r="AI215" s="144">
        <v>-49609131340</v>
      </c>
    </row>
    <row r="216" spans="1:35">
      <c r="A216">
        <v>215</v>
      </c>
      <c r="B216" s="155" t="s">
        <v>574</v>
      </c>
      <c r="C216" s="155" t="s">
        <v>923</v>
      </c>
      <c r="D216" s="157">
        <v>0</v>
      </c>
      <c r="E216" s="156">
        <v>-6483909328</v>
      </c>
      <c r="F216" s="157">
        <v>0</v>
      </c>
      <c r="G216" s="157">
        <v>0</v>
      </c>
      <c r="H216" s="455">
        <v>-6483909328</v>
      </c>
      <c r="I216" s="157">
        <v>0</v>
      </c>
      <c r="J216" s="157">
        <v>0</v>
      </c>
      <c r="K216" s="157">
        <v>0</v>
      </c>
      <c r="L216" s="157">
        <v>0</v>
      </c>
      <c r="M216" s="156">
        <v>-6483909328</v>
      </c>
      <c r="N216" s="99">
        <f t="shared" si="34"/>
        <v>-6483909328</v>
      </c>
      <c r="O216" s="99">
        <f t="shared" si="32"/>
        <v>0</v>
      </c>
      <c r="P216" s="99">
        <f t="shared" si="35"/>
        <v>0</v>
      </c>
      <c r="Q216" s="99">
        <f t="shared" si="33"/>
        <v>0</v>
      </c>
      <c r="R216" s="96" t="s">
        <v>168</v>
      </c>
      <c r="AH216" s="102" t="s">
        <v>575</v>
      </c>
      <c r="AI216" s="144">
        <v>56428613281</v>
      </c>
    </row>
    <row r="217" spans="1:35">
      <c r="A217">
        <v>216</v>
      </c>
      <c r="B217" s="155" t="s">
        <v>576</v>
      </c>
      <c r="C217" s="155" t="s">
        <v>923</v>
      </c>
      <c r="D217" s="157">
        <v>0</v>
      </c>
      <c r="E217" s="156">
        <v>-186060845497</v>
      </c>
      <c r="F217" s="157">
        <v>0</v>
      </c>
      <c r="G217" s="157">
        <v>0</v>
      </c>
      <c r="H217" s="455">
        <v>-186060845497</v>
      </c>
      <c r="I217" s="157">
        <v>0</v>
      </c>
      <c r="J217" s="157">
        <v>0</v>
      </c>
      <c r="K217" s="157">
        <v>0</v>
      </c>
      <c r="L217" s="157">
        <v>0</v>
      </c>
      <c r="M217" s="156">
        <v>-186060845497</v>
      </c>
      <c r="N217" s="99">
        <f t="shared" si="34"/>
        <v>-186060845497</v>
      </c>
      <c r="O217" s="99">
        <f t="shared" si="32"/>
        <v>0</v>
      </c>
      <c r="P217" s="99">
        <f t="shared" si="35"/>
        <v>0</v>
      </c>
      <c r="Q217" s="99">
        <f t="shared" si="33"/>
        <v>0</v>
      </c>
      <c r="R217" s="96" t="s">
        <v>166</v>
      </c>
      <c r="AH217" s="102" t="s">
        <v>577</v>
      </c>
      <c r="AI217" s="144">
        <v>0</v>
      </c>
    </row>
    <row r="218" spans="1:35">
      <c r="A218">
        <v>217</v>
      </c>
      <c r="B218" s="155" t="s">
        <v>578</v>
      </c>
      <c r="C218" s="155" t="s">
        <v>923</v>
      </c>
      <c r="D218" s="157">
        <v>0</v>
      </c>
      <c r="E218" s="156">
        <v>356626729672</v>
      </c>
      <c r="F218" s="157">
        <v>0</v>
      </c>
      <c r="G218" s="157">
        <v>0</v>
      </c>
      <c r="H218" s="455">
        <v>356626729672</v>
      </c>
      <c r="I218" s="157">
        <v>0</v>
      </c>
      <c r="J218" s="157">
        <v>0</v>
      </c>
      <c r="K218" s="157">
        <v>0</v>
      </c>
      <c r="L218" s="157">
        <v>0</v>
      </c>
      <c r="M218" s="156">
        <v>356626729672</v>
      </c>
      <c r="N218" s="99">
        <f t="shared" si="34"/>
        <v>356626729672</v>
      </c>
      <c r="O218" s="99">
        <f t="shared" si="32"/>
        <v>0</v>
      </c>
      <c r="P218" s="99">
        <f t="shared" si="35"/>
        <v>0</v>
      </c>
      <c r="Q218" s="99">
        <f t="shared" si="33"/>
        <v>0</v>
      </c>
      <c r="R218" s="96" t="s">
        <v>168</v>
      </c>
      <c r="AH218" s="102" t="s">
        <v>556</v>
      </c>
      <c r="AI218" s="144">
        <v>0</v>
      </c>
    </row>
    <row r="219" spans="1:35">
      <c r="A219">
        <v>218</v>
      </c>
      <c r="B219" s="155" t="s">
        <v>579</v>
      </c>
      <c r="C219" s="155" t="s">
        <v>923</v>
      </c>
      <c r="D219" s="157">
        <v>0</v>
      </c>
      <c r="E219" s="156">
        <v>13323148118922</v>
      </c>
      <c r="F219" s="157">
        <v>0</v>
      </c>
      <c r="G219" s="157">
        <v>0</v>
      </c>
      <c r="H219" s="455">
        <v>13323148118922</v>
      </c>
      <c r="I219" s="157">
        <v>0</v>
      </c>
      <c r="J219" s="157">
        <v>0</v>
      </c>
      <c r="K219" s="157">
        <v>0</v>
      </c>
      <c r="L219" s="157">
        <v>0</v>
      </c>
      <c r="M219" s="156">
        <v>13323148118922</v>
      </c>
      <c r="N219" s="99">
        <f t="shared" si="34"/>
        <v>13323148118922</v>
      </c>
      <c r="O219" s="99">
        <f t="shared" si="32"/>
        <v>0</v>
      </c>
      <c r="P219" s="99">
        <f t="shared" si="35"/>
        <v>0</v>
      </c>
      <c r="Q219" s="99">
        <f t="shared" si="33"/>
        <v>0</v>
      </c>
      <c r="R219" s="96" t="s">
        <v>166</v>
      </c>
      <c r="AH219" s="102" t="s">
        <v>580</v>
      </c>
      <c r="AI219" s="144">
        <v>0</v>
      </c>
    </row>
    <row r="220" spans="1:35">
      <c r="A220">
        <v>219</v>
      </c>
      <c r="B220" s="155" t="s">
        <v>581</v>
      </c>
      <c r="C220" s="155" t="s">
        <v>923</v>
      </c>
      <c r="D220" s="156">
        <v>-30418680379437</v>
      </c>
      <c r="E220" s="156">
        <v>-13679774907797</v>
      </c>
      <c r="F220" s="156">
        <v>-13323148118922</v>
      </c>
      <c r="G220" s="156">
        <v>-356626729672</v>
      </c>
      <c r="H220" s="455">
        <v>-30418680438640</v>
      </c>
      <c r="I220" s="156">
        <v>-1634729294400</v>
      </c>
      <c r="J220" s="156">
        <v>-34862287173</v>
      </c>
      <c r="K220" s="156">
        <v>-17246396780</v>
      </c>
      <c r="L220" s="156">
        <v>-1879942208891</v>
      </c>
      <c r="M220" s="156">
        <v>-26851900251396</v>
      </c>
      <c r="N220" s="99">
        <f t="shared" si="34"/>
        <v>-28521491832969</v>
      </c>
      <c r="O220" s="99">
        <f t="shared" si="32"/>
        <v>-13323148118922</v>
      </c>
      <c r="P220" s="99">
        <f t="shared" si="35"/>
        <v>-1897188605671</v>
      </c>
      <c r="Q220" s="99">
        <f t="shared" si="33"/>
        <v>-356626729672</v>
      </c>
      <c r="AH220" s="102" t="s">
        <v>582</v>
      </c>
      <c r="AI220" s="144">
        <v>12261175103</v>
      </c>
    </row>
    <row r="221" spans="1:35">
      <c r="A221">
        <v>220</v>
      </c>
      <c r="B221" s="155" t="s">
        <v>583</v>
      </c>
      <c r="C221" s="155" t="s">
        <v>923</v>
      </c>
      <c r="D221" s="157">
        <v>0</v>
      </c>
      <c r="E221" s="157">
        <v>0</v>
      </c>
      <c r="F221" s="157">
        <v>0</v>
      </c>
      <c r="G221" s="157">
        <v>0</v>
      </c>
      <c r="H221" s="456">
        <v>0</v>
      </c>
      <c r="I221" s="157">
        <v>0</v>
      </c>
      <c r="J221" s="157">
        <v>0</v>
      </c>
      <c r="K221" s="157">
        <v>0</v>
      </c>
      <c r="L221" s="157">
        <v>0</v>
      </c>
      <c r="M221" s="157">
        <v>0</v>
      </c>
      <c r="N221" s="99">
        <f t="shared" si="34"/>
        <v>0</v>
      </c>
      <c r="O221" s="99">
        <f t="shared" si="32"/>
        <v>0</v>
      </c>
      <c r="P221" s="99">
        <f t="shared" si="35"/>
        <v>0</v>
      </c>
      <c r="Q221" s="99">
        <f t="shared" si="33"/>
        <v>0</v>
      </c>
      <c r="AH221" s="102" t="s">
        <v>549</v>
      </c>
      <c r="AI221" s="144">
        <v>0</v>
      </c>
    </row>
    <row r="222" spans="1:35">
      <c r="A222">
        <v>221</v>
      </c>
      <c r="B222" s="155" t="s">
        <v>584</v>
      </c>
      <c r="C222" s="155" t="s">
        <v>923</v>
      </c>
      <c r="D222" s="157">
        <v>0</v>
      </c>
      <c r="E222" s="157">
        <v>0</v>
      </c>
      <c r="F222" s="157">
        <v>0</v>
      </c>
      <c r="G222" s="157">
        <v>0</v>
      </c>
      <c r="H222" s="456">
        <v>0</v>
      </c>
      <c r="I222" s="157">
        <v>0</v>
      </c>
      <c r="J222" s="157">
        <v>0</v>
      </c>
      <c r="K222" s="157">
        <v>0</v>
      </c>
      <c r="L222" s="157">
        <v>0</v>
      </c>
      <c r="M222" s="157">
        <v>0</v>
      </c>
      <c r="N222" s="99">
        <f t="shared" si="34"/>
        <v>0</v>
      </c>
      <c r="O222" s="99">
        <f t="shared" si="32"/>
        <v>0</v>
      </c>
      <c r="P222" s="99">
        <f t="shared" si="35"/>
        <v>0</v>
      </c>
      <c r="Q222" s="99">
        <f t="shared" si="33"/>
        <v>0</v>
      </c>
      <c r="AH222" s="102" t="s">
        <v>556</v>
      </c>
      <c r="AI222" s="144">
        <v>-8843613077</v>
      </c>
    </row>
    <row r="223" spans="1:35">
      <c r="A223">
        <v>222</v>
      </c>
      <c r="B223" s="155" t="s">
        <v>585</v>
      </c>
      <c r="C223" s="155" t="s">
        <v>923</v>
      </c>
      <c r="D223" s="157">
        <v>0</v>
      </c>
      <c r="E223" s="157">
        <v>0</v>
      </c>
      <c r="F223" s="157">
        <v>0</v>
      </c>
      <c r="G223" s="157">
        <v>0</v>
      </c>
      <c r="H223" s="456">
        <v>0</v>
      </c>
      <c r="I223" s="157">
        <v>0</v>
      </c>
      <c r="J223" s="157">
        <v>0</v>
      </c>
      <c r="K223" s="157">
        <v>0</v>
      </c>
      <c r="L223" s="157">
        <v>0</v>
      </c>
      <c r="M223" s="157">
        <v>0</v>
      </c>
      <c r="N223" s="99">
        <f t="shared" si="34"/>
        <v>0</v>
      </c>
      <c r="O223" s="99">
        <f t="shared" si="32"/>
        <v>0</v>
      </c>
      <c r="P223" s="99">
        <f t="shared" si="35"/>
        <v>0</v>
      </c>
      <c r="Q223" s="99">
        <f t="shared" si="33"/>
        <v>0</v>
      </c>
      <c r="AH223" s="102" t="s">
        <v>586</v>
      </c>
      <c r="AI223" s="144">
        <v>72000000</v>
      </c>
    </row>
    <row r="224" spans="1:35">
      <c r="A224">
        <v>223</v>
      </c>
      <c r="B224" s="155" t="s">
        <v>587</v>
      </c>
      <c r="C224" s="155" t="s">
        <v>923</v>
      </c>
      <c r="D224" s="157">
        <v>0</v>
      </c>
      <c r="E224" s="157">
        <v>0</v>
      </c>
      <c r="F224" s="157">
        <v>0</v>
      </c>
      <c r="G224" s="157">
        <v>0</v>
      </c>
      <c r="H224" s="456">
        <v>0</v>
      </c>
      <c r="I224" s="157">
        <v>0</v>
      </c>
      <c r="J224" s="157">
        <v>0</v>
      </c>
      <c r="K224" s="157">
        <v>0</v>
      </c>
      <c r="L224" s="157">
        <v>0</v>
      </c>
      <c r="M224" s="157">
        <v>0</v>
      </c>
      <c r="N224" s="99">
        <f t="shared" si="34"/>
        <v>0</v>
      </c>
      <c r="O224" s="99">
        <f t="shared" si="32"/>
        <v>0</v>
      </c>
      <c r="P224" s="99">
        <f t="shared" si="35"/>
        <v>0</v>
      </c>
      <c r="Q224" s="99">
        <f t="shared" si="33"/>
        <v>0</v>
      </c>
      <c r="AH224" s="102" t="s">
        <v>588</v>
      </c>
      <c r="AI224" s="144">
        <v>21032788180</v>
      </c>
    </row>
    <row r="225" spans="1:35">
      <c r="A225">
        <v>224</v>
      </c>
      <c r="B225" s="155" t="s">
        <v>589</v>
      </c>
      <c r="C225" s="155" t="s">
        <v>923</v>
      </c>
      <c r="D225" s="157">
        <v>0</v>
      </c>
      <c r="E225" s="157">
        <v>0</v>
      </c>
      <c r="F225" s="157">
        <v>0</v>
      </c>
      <c r="G225" s="157">
        <v>0</v>
      </c>
      <c r="H225" s="456">
        <v>0</v>
      </c>
      <c r="I225" s="157">
        <v>0</v>
      </c>
      <c r="J225" s="157">
        <v>0</v>
      </c>
      <c r="K225" s="157">
        <v>0</v>
      </c>
      <c r="L225" s="157">
        <v>0</v>
      </c>
      <c r="M225" s="157">
        <v>0</v>
      </c>
      <c r="N225" s="99">
        <f t="shared" si="34"/>
        <v>0</v>
      </c>
      <c r="O225" s="99">
        <f t="shared" si="32"/>
        <v>0</v>
      </c>
      <c r="P225" s="99">
        <f t="shared" si="35"/>
        <v>0</v>
      </c>
      <c r="Q225" s="99">
        <f t="shared" si="33"/>
        <v>0</v>
      </c>
      <c r="AH225" s="102" t="s">
        <v>590</v>
      </c>
      <c r="AI225" s="144">
        <v>0</v>
      </c>
    </row>
    <row r="226" spans="1:35">
      <c r="A226">
        <v>225</v>
      </c>
      <c r="B226" s="155" t="s">
        <v>591</v>
      </c>
      <c r="C226" s="155" t="s">
        <v>923</v>
      </c>
      <c r="D226" s="157">
        <v>0</v>
      </c>
      <c r="E226" s="157">
        <v>0</v>
      </c>
      <c r="F226" s="157">
        <v>0</v>
      </c>
      <c r="G226" s="157">
        <v>0</v>
      </c>
      <c r="H226" s="456">
        <v>0</v>
      </c>
      <c r="I226" s="157">
        <v>0</v>
      </c>
      <c r="J226" s="157">
        <v>0</v>
      </c>
      <c r="K226" s="157">
        <v>0</v>
      </c>
      <c r="L226" s="157">
        <v>0</v>
      </c>
      <c r="M226" s="157">
        <v>0</v>
      </c>
      <c r="N226" s="99">
        <f t="shared" si="34"/>
        <v>0</v>
      </c>
      <c r="O226" s="99">
        <f t="shared" si="32"/>
        <v>0</v>
      </c>
      <c r="P226" s="99">
        <f t="shared" si="35"/>
        <v>0</v>
      </c>
      <c r="Q226" s="99">
        <f t="shared" si="33"/>
        <v>0</v>
      </c>
      <c r="AH226" s="102" t="s">
        <v>556</v>
      </c>
      <c r="AI226" s="144">
        <v>0</v>
      </c>
    </row>
    <row r="227" spans="1:35">
      <c r="A227">
        <v>226</v>
      </c>
      <c r="B227" s="155" t="s">
        <v>592</v>
      </c>
      <c r="C227" s="155" t="s">
        <v>923</v>
      </c>
      <c r="D227" s="157">
        <v>0</v>
      </c>
      <c r="E227" s="157">
        <v>0</v>
      </c>
      <c r="F227" s="157">
        <v>0</v>
      </c>
      <c r="G227" s="157">
        <v>0</v>
      </c>
      <c r="H227" s="456">
        <v>0</v>
      </c>
      <c r="I227" s="157">
        <v>0</v>
      </c>
      <c r="J227" s="157">
        <v>0</v>
      </c>
      <c r="K227" s="157">
        <v>0</v>
      </c>
      <c r="L227" s="157">
        <v>0</v>
      </c>
      <c r="M227" s="157">
        <v>0</v>
      </c>
      <c r="N227" s="99">
        <f t="shared" si="34"/>
        <v>0</v>
      </c>
      <c r="O227" s="99">
        <f t="shared" si="32"/>
        <v>0</v>
      </c>
      <c r="P227" s="99">
        <f t="shared" si="35"/>
        <v>0</v>
      </c>
      <c r="Q227" s="99">
        <f t="shared" si="33"/>
        <v>0</v>
      </c>
      <c r="AH227" s="102" t="s">
        <v>593</v>
      </c>
      <c r="AI227" s="144">
        <v>0</v>
      </c>
    </row>
    <row r="228" spans="1:35">
      <c r="A228">
        <v>227</v>
      </c>
      <c r="B228" s="155" t="s">
        <v>594</v>
      </c>
      <c r="C228" s="155" t="s">
        <v>923</v>
      </c>
      <c r="D228" s="157">
        <v>0</v>
      </c>
      <c r="E228" s="157">
        <v>0</v>
      </c>
      <c r="F228" s="157">
        <v>0</v>
      </c>
      <c r="G228" s="157">
        <v>0</v>
      </c>
      <c r="H228" s="456">
        <v>0</v>
      </c>
      <c r="I228" s="157">
        <v>0</v>
      </c>
      <c r="J228" s="157">
        <v>0</v>
      </c>
      <c r="K228" s="157">
        <v>0</v>
      </c>
      <c r="L228" s="157">
        <v>0</v>
      </c>
      <c r="M228" s="157">
        <v>0</v>
      </c>
      <c r="N228" s="99">
        <f t="shared" si="34"/>
        <v>0</v>
      </c>
      <c r="O228" s="99">
        <f t="shared" si="32"/>
        <v>0</v>
      </c>
      <c r="P228" s="99">
        <f t="shared" si="35"/>
        <v>0</v>
      </c>
      <c r="Q228" s="99">
        <f t="shared" si="33"/>
        <v>0</v>
      </c>
      <c r="AH228" s="102" t="s">
        <v>595</v>
      </c>
      <c r="AI228" s="144">
        <v>0</v>
      </c>
    </row>
    <row r="229" spans="1:35">
      <c r="A229">
        <v>228</v>
      </c>
      <c r="B229" s="155" t="s">
        <v>596</v>
      </c>
      <c r="C229" s="155" t="s">
        <v>923</v>
      </c>
      <c r="D229" s="157">
        <v>0</v>
      </c>
      <c r="E229" s="157">
        <v>0</v>
      </c>
      <c r="F229" s="157">
        <v>0</v>
      </c>
      <c r="G229" s="157">
        <v>0</v>
      </c>
      <c r="H229" s="456">
        <v>0</v>
      </c>
      <c r="I229" s="157">
        <v>0</v>
      </c>
      <c r="J229" s="157">
        <v>0</v>
      </c>
      <c r="K229" s="157">
        <v>0</v>
      </c>
      <c r="L229" s="157">
        <v>0</v>
      </c>
      <c r="M229" s="157">
        <v>0</v>
      </c>
      <c r="N229" s="99">
        <f t="shared" si="34"/>
        <v>0</v>
      </c>
      <c r="O229" s="99">
        <f t="shared" si="32"/>
        <v>0</v>
      </c>
      <c r="P229" s="99">
        <f t="shared" si="35"/>
        <v>0</v>
      </c>
      <c r="Q229" s="99">
        <f t="shared" si="33"/>
        <v>0</v>
      </c>
      <c r="AH229" s="102" t="s">
        <v>549</v>
      </c>
      <c r="AI229" s="144">
        <v>0</v>
      </c>
    </row>
    <row r="230" spans="1:35">
      <c r="A230">
        <v>229</v>
      </c>
      <c r="B230" s="155" t="s">
        <v>597</v>
      </c>
      <c r="C230" s="155" t="s">
        <v>923</v>
      </c>
      <c r="D230" s="157">
        <v>0</v>
      </c>
      <c r="E230" s="157">
        <v>0</v>
      </c>
      <c r="F230" s="157">
        <v>0</v>
      </c>
      <c r="G230" s="157">
        <v>0</v>
      </c>
      <c r="H230" s="456">
        <v>0</v>
      </c>
      <c r="I230" s="157">
        <v>0</v>
      </c>
      <c r="J230" s="157">
        <v>0</v>
      </c>
      <c r="K230" s="157">
        <v>0</v>
      </c>
      <c r="L230" s="157">
        <v>0</v>
      </c>
      <c r="M230" s="157">
        <v>0</v>
      </c>
      <c r="N230" s="99">
        <f t="shared" si="34"/>
        <v>0</v>
      </c>
      <c r="O230" s="99">
        <f t="shared" si="32"/>
        <v>0</v>
      </c>
      <c r="P230" s="99">
        <f t="shared" si="35"/>
        <v>0</v>
      </c>
      <c r="Q230" s="99">
        <f t="shared" si="33"/>
        <v>0</v>
      </c>
      <c r="AH230" s="102" t="s">
        <v>556</v>
      </c>
      <c r="AI230" s="144">
        <v>0</v>
      </c>
    </row>
    <row r="231" spans="1:35">
      <c r="A231">
        <v>230</v>
      </c>
      <c r="B231" s="155" t="s">
        <v>598</v>
      </c>
      <c r="C231" s="155" t="s">
        <v>923</v>
      </c>
      <c r="D231" s="156">
        <v>-29176448156574</v>
      </c>
      <c r="E231" s="157">
        <v>0</v>
      </c>
      <c r="F231" s="156">
        <v>-13271261101982</v>
      </c>
      <c r="G231" s="156">
        <v>-354308229714</v>
      </c>
      <c r="H231" s="455">
        <v>-15550878824878</v>
      </c>
      <c r="I231" s="156">
        <v>-1628450172084</v>
      </c>
      <c r="J231" s="156">
        <v>-33745499406</v>
      </c>
      <c r="K231" s="156">
        <v>-15789160022</v>
      </c>
      <c r="L231" s="156">
        <v>-1857078392897</v>
      </c>
      <c r="M231" s="156">
        <v>-12015815600469</v>
      </c>
      <c r="N231" s="99">
        <f t="shared" si="34"/>
        <v>-13678011271959</v>
      </c>
      <c r="O231" s="99">
        <f t="shared" si="32"/>
        <v>-13271261101982</v>
      </c>
      <c r="P231" s="99">
        <f t="shared" si="35"/>
        <v>-1872867552919</v>
      </c>
      <c r="Q231" s="99">
        <f t="shared" si="33"/>
        <v>-354308229714</v>
      </c>
      <c r="AH231" s="102" t="s">
        <v>599</v>
      </c>
      <c r="AI231" s="144">
        <v>0</v>
      </c>
    </row>
    <row r="232" spans="1:35">
      <c r="A232">
        <v>231</v>
      </c>
      <c r="B232" s="155" t="s">
        <v>600</v>
      </c>
      <c r="C232" s="155" t="s">
        <v>923</v>
      </c>
      <c r="D232" s="156">
        <v>-26996698255523</v>
      </c>
      <c r="E232" s="157">
        <v>0</v>
      </c>
      <c r="F232" s="157">
        <v>0</v>
      </c>
      <c r="G232" s="157">
        <v>0</v>
      </c>
      <c r="H232" s="455">
        <v>-26996698255523</v>
      </c>
      <c r="I232" s="157">
        <v>0</v>
      </c>
      <c r="J232" s="157">
        <v>0</v>
      </c>
      <c r="K232" s="157">
        <v>0</v>
      </c>
      <c r="L232" s="157">
        <v>0</v>
      </c>
      <c r="M232" s="156">
        <v>-26996698255523</v>
      </c>
      <c r="N232" s="99">
        <f t="shared" si="34"/>
        <v>-26996698255523</v>
      </c>
      <c r="O232" s="99">
        <f t="shared" si="32"/>
        <v>0</v>
      </c>
      <c r="P232" s="99">
        <f t="shared" si="35"/>
        <v>0</v>
      </c>
      <c r="Q232" s="99">
        <f t="shared" si="33"/>
        <v>0</v>
      </c>
      <c r="AH232" s="102" t="s">
        <v>601</v>
      </c>
      <c r="AI232" s="144">
        <v>0</v>
      </c>
    </row>
    <row r="233" spans="1:35">
      <c r="A233">
        <v>232</v>
      </c>
      <c r="B233" s="155" t="s">
        <v>602</v>
      </c>
      <c r="C233" s="155" t="s">
        <v>923</v>
      </c>
      <c r="D233" s="157">
        <v>0</v>
      </c>
      <c r="E233" s="157">
        <v>0</v>
      </c>
      <c r="F233" s="157">
        <v>0</v>
      </c>
      <c r="G233" s="157">
        <v>0</v>
      </c>
      <c r="H233" s="456">
        <v>0</v>
      </c>
      <c r="I233" s="157">
        <v>0</v>
      </c>
      <c r="J233" s="157">
        <v>0</v>
      </c>
      <c r="K233" s="157">
        <v>0</v>
      </c>
      <c r="L233" s="157">
        <v>0</v>
      </c>
      <c r="M233" s="157">
        <v>0</v>
      </c>
      <c r="N233" s="99">
        <f t="shared" si="34"/>
        <v>0</v>
      </c>
      <c r="O233" s="99">
        <f t="shared" si="32"/>
        <v>0</v>
      </c>
      <c r="P233" s="99">
        <f t="shared" si="35"/>
        <v>0</v>
      </c>
      <c r="Q233" s="99">
        <f t="shared" si="33"/>
        <v>0</v>
      </c>
      <c r="AH233" s="102" t="s">
        <v>603</v>
      </c>
      <c r="AI233" s="144">
        <v>0</v>
      </c>
    </row>
    <row r="234" spans="1:35">
      <c r="A234">
        <v>233</v>
      </c>
      <c r="B234" s="155" t="s">
        <v>604</v>
      </c>
      <c r="C234" s="155" t="s">
        <v>923</v>
      </c>
      <c r="D234" s="157">
        <v>0</v>
      </c>
      <c r="E234" s="157">
        <v>0</v>
      </c>
      <c r="F234" s="157">
        <v>0</v>
      </c>
      <c r="G234" s="157">
        <v>0</v>
      </c>
      <c r="H234" s="456">
        <v>0</v>
      </c>
      <c r="I234" s="157">
        <v>0</v>
      </c>
      <c r="J234" s="157">
        <v>0</v>
      </c>
      <c r="K234" s="157">
        <v>0</v>
      </c>
      <c r="L234" s="157">
        <v>0</v>
      </c>
      <c r="M234" s="157">
        <v>0</v>
      </c>
      <c r="N234" s="99">
        <f t="shared" si="34"/>
        <v>0</v>
      </c>
      <c r="O234" s="99">
        <f t="shared" si="32"/>
        <v>0</v>
      </c>
      <c r="P234" s="99">
        <f t="shared" si="35"/>
        <v>0</v>
      </c>
      <c r="Q234" s="99">
        <f t="shared" si="33"/>
        <v>0</v>
      </c>
      <c r="AH234" s="102" t="s">
        <v>549</v>
      </c>
      <c r="AI234" s="144">
        <v>0</v>
      </c>
    </row>
    <row r="235" spans="1:35">
      <c r="A235">
        <v>234</v>
      </c>
      <c r="B235" s="155" t="s">
        <v>605</v>
      </c>
      <c r="C235" s="155" t="s">
        <v>923</v>
      </c>
      <c r="D235" s="157">
        <v>0</v>
      </c>
      <c r="E235" s="157">
        <v>0</v>
      </c>
      <c r="F235" s="157">
        <v>0</v>
      </c>
      <c r="G235" s="157">
        <v>0</v>
      </c>
      <c r="H235" s="456">
        <v>0</v>
      </c>
      <c r="I235" s="157">
        <v>0</v>
      </c>
      <c r="J235" s="157">
        <v>0</v>
      </c>
      <c r="K235" s="157">
        <v>0</v>
      </c>
      <c r="L235" s="157">
        <v>0</v>
      </c>
      <c r="M235" s="157">
        <v>0</v>
      </c>
      <c r="N235" s="99">
        <f t="shared" si="34"/>
        <v>0</v>
      </c>
      <c r="O235" s="99">
        <f t="shared" si="32"/>
        <v>0</v>
      </c>
      <c r="P235" s="99">
        <f t="shared" si="35"/>
        <v>0</v>
      </c>
      <c r="Q235" s="99">
        <f t="shared" si="33"/>
        <v>0</v>
      </c>
      <c r="AH235" s="102" t="s">
        <v>551</v>
      </c>
      <c r="AI235" s="144">
        <v>0</v>
      </c>
    </row>
    <row r="236" spans="1:35">
      <c r="A236">
        <v>235</v>
      </c>
      <c r="B236" s="155" t="s">
        <v>606</v>
      </c>
      <c r="C236" s="155" t="s">
        <v>923</v>
      </c>
      <c r="D236" s="157">
        <v>0</v>
      </c>
      <c r="E236" s="157">
        <v>0</v>
      </c>
      <c r="F236" s="157">
        <v>0</v>
      </c>
      <c r="G236" s="157">
        <v>0</v>
      </c>
      <c r="H236" s="456">
        <v>0</v>
      </c>
      <c r="I236" s="157">
        <v>0</v>
      </c>
      <c r="J236" s="157">
        <v>0</v>
      </c>
      <c r="K236" s="157">
        <v>0</v>
      </c>
      <c r="L236" s="157">
        <v>0</v>
      </c>
      <c r="M236" s="157">
        <v>0</v>
      </c>
      <c r="N236" s="99">
        <f t="shared" si="34"/>
        <v>0</v>
      </c>
      <c r="O236" s="99">
        <f t="shared" si="32"/>
        <v>0</v>
      </c>
      <c r="P236" s="99">
        <f t="shared" si="35"/>
        <v>0</v>
      </c>
      <c r="Q236" s="99">
        <f t="shared" si="33"/>
        <v>0</v>
      </c>
      <c r="AH236" s="102" t="s">
        <v>607</v>
      </c>
      <c r="AI236" s="144">
        <v>0</v>
      </c>
    </row>
    <row r="237" spans="1:35">
      <c r="A237">
        <v>236</v>
      </c>
      <c r="B237" s="155" t="s">
        <v>608</v>
      </c>
      <c r="C237" s="155" t="s">
        <v>923</v>
      </c>
      <c r="D237" s="157">
        <v>0</v>
      </c>
      <c r="E237" s="157">
        <v>0</v>
      </c>
      <c r="F237" s="157">
        <v>0</v>
      </c>
      <c r="G237" s="157">
        <v>0</v>
      </c>
      <c r="H237" s="456">
        <v>0</v>
      </c>
      <c r="I237" s="157">
        <v>0</v>
      </c>
      <c r="J237" s="157">
        <v>0</v>
      </c>
      <c r="K237" s="157">
        <v>0</v>
      </c>
      <c r="L237" s="157">
        <v>0</v>
      </c>
      <c r="M237" s="157">
        <v>0</v>
      </c>
      <c r="N237" s="99">
        <f t="shared" si="34"/>
        <v>0</v>
      </c>
      <c r="O237" s="99">
        <f t="shared" si="32"/>
        <v>0</v>
      </c>
      <c r="P237" s="99">
        <f t="shared" si="35"/>
        <v>0</v>
      </c>
      <c r="Q237" s="99">
        <f t="shared" si="33"/>
        <v>0</v>
      </c>
      <c r="AH237" s="102" t="s">
        <v>556</v>
      </c>
      <c r="AI237" s="144">
        <v>0</v>
      </c>
    </row>
    <row r="238" spans="1:35">
      <c r="A238">
        <v>237</v>
      </c>
      <c r="B238" s="155" t="s">
        <v>609</v>
      </c>
      <c r="C238" s="155" t="s">
        <v>923</v>
      </c>
      <c r="D238" s="157">
        <v>0</v>
      </c>
      <c r="E238" s="157">
        <v>0</v>
      </c>
      <c r="F238" s="157">
        <v>0</v>
      </c>
      <c r="G238" s="157">
        <v>0</v>
      </c>
      <c r="H238" s="456">
        <v>0</v>
      </c>
      <c r="I238" s="157">
        <v>0</v>
      </c>
      <c r="J238" s="157">
        <v>0</v>
      </c>
      <c r="K238" s="157">
        <v>0</v>
      </c>
      <c r="L238" s="157">
        <v>0</v>
      </c>
      <c r="M238" s="157">
        <v>0</v>
      </c>
      <c r="N238" s="99">
        <f t="shared" si="34"/>
        <v>0</v>
      </c>
      <c r="O238" s="99">
        <f t="shared" si="32"/>
        <v>0</v>
      </c>
      <c r="P238" s="99">
        <f t="shared" si="35"/>
        <v>0</v>
      </c>
      <c r="Q238" s="99">
        <f t="shared" si="33"/>
        <v>0</v>
      </c>
      <c r="AH238" s="102" t="s">
        <v>549</v>
      </c>
      <c r="AI238" s="144">
        <v>0</v>
      </c>
    </row>
    <row r="239" spans="1:35">
      <c r="A239">
        <v>238</v>
      </c>
      <c r="B239" s="155" t="s">
        <v>610</v>
      </c>
      <c r="C239" s="155" t="s">
        <v>923</v>
      </c>
      <c r="D239" s="157">
        <v>0</v>
      </c>
      <c r="E239" s="157">
        <v>0</v>
      </c>
      <c r="F239" s="157">
        <v>0</v>
      </c>
      <c r="G239" s="157">
        <v>0</v>
      </c>
      <c r="H239" s="456">
        <v>0</v>
      </c>
      <c r="I239" s="157">
        <v>0</v>
      </c>
      <c r="J239" s="157">
        <v>0</v>
      </c>
      <c r="K239" s="157">
        <v>0</v>
      </c>
      <c r="L239" s="157">
        <v>0</v>
      </c>
      <c r="M239" s="157">
        <v>0</v>
      </c>
      <c r="N239" s="99">
        <f t="shared" si="34"/>
        <v>0</v>
      </c>
      <c r="O239" s="99">
        <f t="shared" si="32"/>
        <v>0</v>
      </c>
      <c r="P239" s="99">
        <f t="shared" si="35"/>
        <v>0</v>
      </c>
      <c r="Q239" s="99">
        <f t="shared" si="33"/>
        <v>0</v>
      </c>
      <c r="AH239" s="102" t="s">
        <v>558</v>
      </c>
      <c r="AI239" s="144">
        <v>0</v>
      </c>
    </row>
    <row r="240" spans="1:35">
      <c r="A240">
        <v>239</v>
      </c>
      <c r="B240" s="155" t="s">
        <v>611</v>
      </c>
      <c r="C240" s="155" t="s">
        <v>923</v>
      </c>
      <c r="D240" s="156">
        <v>-26584497012657</v>
      </c>
      <c r="E240" s="157">
        <v>0</v>
      </c>
      <c r="F240" s="157">
        <v>0</v>
      </c>
      <c r="G240" s="157">
        <v>0</v>
      </c>
      <c r="H240" s="455">
        <v>-26584497012657</v>
      </c>
      <c r="I240" s="157">
        <v>0</v>
      </c>
      <c r="J240" s="157">
        <v>0</v>
      </c>
      <c r="K240" s="157">
        <v>0</v>
      </c>
      <c r="L240" s="157">
        <v>0</v>
      </c>
      <c r="M240" s="156">
        <v>-26584497012657</v>
      </c>
      <c r="N240" s="99">
        <f t="shared" si="34"/>
        <v>-26584497012657</v>
      </c>
      <c r="O240" s="99">
        <f t="shared" si="32"/>
        <v>0</v>
      </c>
      <c r="P240" s="99">
        <f t="shared" si="35"/>
        <v>0</v>
      </c>
      <c r="Q240" s="99">
        <f t="shared" si="33"/>
        <v>0</v>
      </c>
      <c r="AH240" s="102" t="s">
        <v>560</v>
      </c>
      <c r="AI240" s="144">
        <v>0</v>
      </c>
    </row>
    <row r="241" spans="1:35">
      <c r="A241">
        <v>240</v>
      </c>
      <c r="B241" s="155" t="s">
        <v>612</v>
      </c>
      <c r="C241" s="155" t="s">
        <v>923</v>
      </c>
      <c r="D241" s="156">
        <v>-24123277596189</v>
      </c>
      <c r="E241" s="157">
        <v>0</v>
      </c>
      <c r="F241" s="157">
        <v>0</v>
      </c>
      <c r="G241" s="157">
        <v>0</v>
      </c>
      <c r="H241" s="455">
        <v>-24123277596189</v>
      </c>
      <c r="I241" s="157">
        <v>0</v>
      </c>
      <c r="J241" s="157">
        <v>0</v>
      </c>
      <c r="K241" s="157">
        <v>0</v>
      </c>
      <c r="L241" s="157">
        <v>0</v>
      </c>
      <c r="M241" s="156">
        <v>-24123277596189</v>
      </c>
      <c r="N241" s="99">
        <f t="shared" si="34"/>
        <v>-24123277596189</v>
      </c>
      <c r="O241" s="99">
        <f t="shared" si="32"/>
        <v>0</v>
      </c>
      <c r="P241" s="99">
        <f t="shared" si="35"/>
        <v>0</v>
      </c>
      <c r="Q241" s="99">
        <f t="shared" si="33"/>
        <v>0</v>
      </c>
      <c r="AH241" s="102" t="s">
        <v>556</v>
      </c>
      <c r="AI241" s="144">
        <v>0</v>
      </c>
    </row>
    <row r="242" spans="1:35">
      <c r="A242">
        <v>241</v>
      </c>
      <c r="B242" s="155" t="s">
        <v>613</v>
      </c>
      <c r="C242" s="155" t="s">
        <v>923</v>
      </c>
      <c r="D242" s="156">
        <v>-402796296421</v>
      </c>
      <c r="E242" s="157">
        <v>0</v>
      </c>
      <c r="F242" s="157">
        <v>0</v>
      </c>
      <c r="G242" s="157">
        <v>0</v>
      </c>
      <c r="H242" s="455">
        <v>-402796296421</v>
      </c>
      <c r="I242" s="157">
        <v>0</v>
      </c>
      <c r="J242" s="157">
        <v>0</v>
      </c>
      <c r="K242" s="157">
        <v>0</v>
      </c>
      <c r="L242" s="157">
        <v>0</v>
      </c>
      <c r="M242" s="156">
        <v>-402796296421</v>
      </c>
      <c r="N242" s="99">
        <f t="shared" si="34"/>
        <v>-402796296421</v>
      </c>
      <c r="O242" s="99">
        <f t="shared" si="32"/>
        <v>0</v>
      </c>
      <c r="P242" s="99">
        <f t="shared" si="35"/>
        <v>0</v>
      </c>
      <c r="Q242" s="99">
        <f t="shared" si="33"/>
        <v>0</v>
      </c>
      <c r="AH242" s="102" t="s">
        <v>549</v>
      </c>
      <c r="AI242" s="144">
        <v>0</v>
      </c>
    </row>
    <row r="243" spans="1:35">
      <c r="A243">
        <v>242</v>
      </c>
      <c r="B243" s="155" t="s">
        <v>614</v>
      </c>
      <c r="C243" s="155" t="s">
        <v>923</v>
      </c>
      <c r="D243" s="156">
        <v>-2058423120047</v>
      </c>
      <c r="E243" s="157">
        <v>0</v>
      </c>
      <c r="F243" s="157">
        <v>0</v>
      </c>
      <c r="G243" s="157">
        <v>0</v>
      </c>
      <c r="H243" s="455">
        <v>-2058423120047</v>
      </c>
      <c r="I243" s="157">
        <v>0</v>
      </c>
      <c r="J243" s="157">
        <v>0</v>
      </c>
      <c r="K243" s="157">
        <v>0</v>
      </c>
      <c r="L243" s="157">
        <v>0</v>
      </c>
      <c r="M243" s="156">
        <v>-2058423120047</v>
      </c>
      <c r="N243" s="99">
        <f t="shared" si="34"/>
        <v>-2058423120047</v>
      </c>
      <c r="O243" s="99">
        <f t="shared" si="32"/>
        <v>0</v>
      </c>
      <c r="P243" s="99">
        <f t="shared" si="35"/>
        <v>0</v>
      </c>
      <c r="Q243" s="99">
        <f t="shared" si="33"/>
        <v>0</v>
      </c>
      <c r="AH243" s="102" t="s">
        <v>563</v>
      </c>
      <c r="AI243" s="144">
        <v>0</v>
      </c>
    </row>
    <row r="244" spans="1:35">
      <c r="A244">
        <v>243</v>
      </c>
      <c r="B244" s="155" t="s">
        <v>615</v>
      </c>
      <c r="C244" s="155" t="s">
        <v>923</v>
      </c>
      <c r="D244" s="157">
        <v>0</v>
      </c>
      <c r="E244" s="157">
        <v>0</v>
      </c>
      <c r="F244" s="157">
        <v>0</v>
      </c>
      <c r="G244" s="157">
        <v>0</v>
      </c>
      <c r="H244" s="456">
        <v>0</v>
      </c>
      <c r="I244" s="157">
        <v>0</v>
      </c>
      <c r="J244" s="157">
        <v>0</v>
      </c>
      <c r="K244" s="157">
        <v>0</v>
      </c>
      <c r="L244" s="157">
        <v>0</v>
      </c>
      <c r="M244" s="157">
        <v>0</v>
      </c>
      <c r="N244" s="99">
        <f t="shared" si="34"/>
        <v>0</v>
      </c>
      <c r="O244" s="99">
        <f t="shared" si="32"/>
        <v>0</v>
      </c>
      <c r="P244" s="99">
        <f t="shared" si="35"/>
        <v>0</v>
      </c>
      <c r="Q244" s="99">
        <f t="shared" si="33"/>
        <v>0</v>
      </c>
      <c r="AH244" s="102" t="s">
        <v>616</v>
      </c>
      <c r="AI244" s="144">
        <v>0</v>
      </c>
    </row>
    <row r="245" spans="1:35">
      <c r="A245">
        <v>244</v>
      </c>
      <c r="B245" s="155" t="s">
        <v>617</v>
      </c>
      <c r="C245" s="155" t="s">
        <v>923</v>
      </c>
      <c r="D245" s="156">
        <v>-412201242866</v>
      </c>
      <c r="E245" s="157">
        <v>0</v>
      </c>
      <c r="F245" s="157">
        <v>0</v>
      </c>
      <c r="G245" s="157">
        <v>0</v>
      </c>
      <c r="H245" s="455">
        <v>-412201242866</v>
      </c>
      <c r="I245" s="157">
        <v>0</v>
      </c>
      <c r="J245" s="157">
        <v>0</v>
      </c>
      <c r="K245" s="157">
        <v>0</v>
      </c>
      <c r="L245" s="157">
        <v>0</v>
      </c>
      <c r="M245" s="156">
        <v>-412201242866</v>
      </c>
      <c r="N245" s="99">
        <f t="shared" si="34"/>
        <v>-412201242866</v>
      </c>
      <c r="O245" s="99">
        <f t="shared" si="32"/>
        <v>0</v>
      </c>
      <c r="P245" s="99">
        <f t="shared" si="35"/>
        <v>0</v>
      </c>
      <c r="Q245" s="99">
        <f t="shared" si="33"/>
        <v>0</v>
      </c>
      <c r="AH245" s="102" t="s">
        <v>556</v>
      </c>
      <c r="AI245" s="144">
        <v>0</v>
      </c>
    </row>
    <row r="246" spans="1:35">
      <c r="A246">
        <v>245</v>
      </c>
      <c r="B246" s="155" t="s">
        <v>612</v>
      </c>
      <c r="C246" s="155" t="s">
        <v>923</v>
      </c>
      <c r="D246" s="156">
        <v>-408951038243</v>
      </c>
      <c r="E246" s="157">
        <v>0</v>
      </c>
      <c r="F246" s="157">
        <v>0</v>
      </c>
      <c r="G246" s="157">
        <v>0</v>
      </c>
      <c r="H246" s="455">
        <v>-408951038243</v>
      </c>
      <c r="I246" s="157">
        <v>0</v>
      </c>
      <c r="J246" s="157">
        <v>0</v>
      </c>
      <c r="K246" s="157">
        <v>0</v>
      </c>
      <c r="L246" s="157">
        <v>0</v>
      </c>
      <c r="M246" s="156">
        <v>-408951038243</v>
      </c>
      <c r="N246" s="99">
        <f t="shared" si="34"/>
        <v>-408951038243</v>
      </c>
      <c r="O246" s="99">
        <f t="shared" si="32"/>
        <v>0</v>
      </c>
      <c r="P246" s="99">
        <f t="shared" si="35"/>
        <v>0</v>
      </c>
      <c r="Q246" s="99">
        <f t="shared" si="33"/>
        <v>0</v>
      </c>
      <c r="AH246" s="102" t="s">
        <v>593</v>
      </c>
      <c r="AI246" s="144">
        <v>0</v>
      </c>
    </row>
    <row r="247" spans="1:35">
      <c r="A247">
        <v>246</v>
      </c>
      <c r="B247" s="155" t="s">
        <v>613</v>
      </c>
      <c r="C247" s="155" t="s">
        <v>923</v>
      </c>
      <c r="D247" s="156">
        <v>-3250204623</v>
      </c>
      <c r="E247" s="157">
        <v>0</v>
      </c>
      <c r="F247" s="157">
        <v>0</v>
      </c>
      <c r="G247" s="157">
        <v>0</v>
      </c>
      <c r="H247" s="455">
        <v>-3250204623</v>
      </c>
      <c r="I247" s="157">
        <v>0</v>
      </c>
      <c r="J247" s="157">
        <v>0</v>
      </c>
      <c r="K247" s="157">
        <v>0</v>
      </c>
      <c r="L247" s="157">
        <v>0</v>
      </c>
      <c r="M247" s="156">
        <v>-3250204623</v>
      </c>
      <c r="N247" s="99">
        <f t="shared" si="34"/>
        <v>-3250204623</v>
      </c>
      <c r="O247" s="99">
        <f t="shared" si="32"/>
        <v>0</v>
      </c>
      <c r="P247" s="99">
        <f t="shared" si="35"/>
        <v>0</v>
      </c>
      <c r="Q247" s="99">
        <f t="shared" si="33"/>
        <v>0</v>
      </c>
      <c r="AH247" s="102" t="s">
        <v>618</v>
      </c>
      <c r="AI247" s="144">
        <v>0</v>
      </c>
    </row>
    <row r="248" spans="1:35">
      <c r="A248">
        <v>247</v>
      </c>
      <c r="B248" s="155" t="s">
        <v>619</v>
      </c>
      <c r="C248" s="155" t="s">
        <v>923</v>
      </c>
      <c r="D248" s="157">
        <v>0</v>
      </c>
      <c r="E248" s="157">
        <v>0</v>
      </c>
      <c r="F248" s="157">
        <v>0</v>
      </c>
      <c r="G248" s="157">
        <v>0</v>
      </c>
      <c r="H248" s="456">
        <v>0</v>
      </c>
      <c r="I248" s="157">
        <v>0</v>
      </c>
      <c r="J248" s="157">
        <v>0</v>
      </c>
      <c r="K248" s="157">
        <v>0</v>
      </c>
      <c r="L248" s="157">
        <v>0</v>
      </c>
      <c r="M248" s="157">
        <v>0</v>
      </c>
      <c r="N248" s="99">
        <f t="shared" si="34"/>
        <v>0</v>
      </c>
      <c r="O248" s="99">
        <f t="shared" si="32"/>
        <v>0</v>
      </c>
      <c r="P248" s="99">
        <f t="shared" si="35"/>
        <v>0</v>
      </c>
      <c r="Q248" s="99">
        <f t="shared" si="33"/>
        <v>0</v>
      </c>
      <c r="AH248" s="102" t="s">
        <v>556</v>
      </c>
      <c r="AI248" s="144">
        <v>0</v>
      </c>
    </row>
    <row r="249" spans="1:35">
      <c r="A249">
        <v>248</v>
      </c>
      <c r="B249" s="155" t="s">
        <v>611</v>
      </c>
      <c r="C249" s="155" t="s">
        <v>923</v>
      </c>
      <c r="D249" s="157">
        <v>0</v>
      </c>
      <c r="E249" s="157">
        <v>0</v>
      </c>
      <c r="F249" s="157">
        <v>0</v>
      </c>
      <c r="G249" s="157">
        <v>0</v>
      </c>
      <c r="H249" s="456">
        <v>0</v>
      </c>
      <c r="I249" s="157">
        <v>0</v>
      </c>
      <c r="J249" s="157">
        <v>0</v>
      </c>
      <c r="K249" s="157">
        <v>0</v>
      </c>
      <c r="L249" s="157">
        <v>0</v>
      </c>
      <c r="M249" s="157">
        <v>0</v>
      </c>
      <c r="N249" s="99">
        <f t="shared" si="34"/>
        <v>0</v>
      </c>
      <c r="O249" s="99">
        <f t="shared" si="32"/>
        <v>0</v>
      </c>
      <c r="P249" s="99">
        <f t="shared" si="35"/>
        <v>0</v>
      </c>
      <c r="Q249" s="99">
        <f t="shared" si="33"/>
        <v>0</v>
      </c>
      <c r="AH249" s="102" t="s">
        <v>549</v>
      </c>
      <c r="AI249" s="144">
        <v>0</v>
      </c>
    </row>
    <row r="250" spans="1:35">
      <c r="A250">
        <v>249</v>
      </c>
      <c r="B250" s="155" t="s">
        <v>612</v>
      </c>
      <c r="C250" s="155" t="s">
        <v>923</v>
      </c>
      <c r="D250" s="157">
        <v>0</v>
      </c>
      <c r="E250" s="157">
        <v>0</v>
      </c>
      <c r="F250" s="157">
        <v>0</v>
      </c>
      <c r="G250" s="157">
        <v>0</v>
      </c>
      <c r="H250" s="456">
        <v>0</v>
      </c>
      <c r="I250" s="157">
        <v>0</v>
      </c>
      <c r="J250" s="157">
        <v>0</v>
      </c>
      <c r="K250" s="157">
        <v>0</v>
      </c>
      <c r="L250" s="157">
        <v>0</v>
      </c>
      <c r="M250" s="157">
        <v>0</v>
      </c>
      <c r="N250" s="99">
        <f t="shared" si="34"/>
        <v>0</v>
      </c>
      <c r="O250" s="99">
        <f t="shared" si="32"/>
        <v>0</v>
      </c>
      <c r="P250" s="99">
        <f t="shared" si="35"/>
        <v>0</v>
      </c>
      <c r="Q250" s="99">
        <f t="shared" si="33"/>
        <v>0</v>
      </c>
      <c r="AH250" s="102" t="s">
        <v>551</v>
      </c>
      <c r="AI250" s="144">
        <v>0</v>
      </c>
    </row>
    <row r="251" spans="1:35">
      <c r="A251">
        <v>250</v>
      </c>
      <c r="B251" s="155" t="s">
        <v>613</v>
      </c>
      <c r="C251" s="155" t="s">
        <v>923</v>
      </c>
      <c r="D251" s="157">
        <v>0</v>
      </c>
      <c r="E251" s="157">
        <v>0</v>
      </c>
      <c r="F251" s="157">
        <v>0</v>
      </c>
      <c r="G251" s="157">
        <v>0</v>
      </c>
      <c r="H251" s="456">
        <v>0</v>
      </c>
      <c r="I251" s="157">
        <v>0</v>
      </c>
      <c r="J251" s="157">
        <v>0</v>
      </c>
      <c r="K251" s="157">
        <v>0</v>
      </c>
      <c r="L251" s="157">
        <v>0</v>
      </c>
      <c r="M251" s="157">
        <v>0</v>
      </c>
      <c r="N251" s="99">
        <f t="shared" si="34"/>
        <v>0</v>
      </c>
      <c r="O251" s="99">
        <f t="shared" si="32"/>
        <v>0</v>
      </c>
      <c r="P251" s="99">
        <f t="shared" si="35"/>
        <v>0</v>
      </c>
      <c r="Q251" s="99">
        <f t="shared" si="33"/>
        <v>0</v>
      </c>
      <c r="AH251" s="102" t="s">
        <v>620</v>
      </c>
      <c r="AI251" s="144">
        <v>0</v>
      </c>
    </row>
    <row r="252" spans="1:35">
      <c r="A252">
        <v>251</v>
      </c>
      <c r="B252" s="155" t="s">
        <v>614</v>
      </c>
      <c r="C252" s="155" t="s">
        <v>923</v>
      </c>
      <c r="D252" s="157">
        <v>0</v>
      </c>
      <c r="E252" s="157">
        <v>0</v>
      </c>
      <c r="F252" s="157">
        <v>0</v>
      </c>
      <c r="G252" s="157">
        <v>0</v>
      </c>
      <c r="H252" s="456">
        <v>0</v>
      </c>
      <c r="I252" s="157">
        <v>0</v>
      </c>
      <c r="J252" s="157">
        <v>0</v>
      </c>
      <c r="K252" s="157">
        <v>0</v>
      </c>
      <c r="L252" s="157">
        <v>0</v>
      </c>
      <c r="M252" s="157">
        <v>0</v>
      </c>
      <c r="N252" s="99">
        <f t="shared" si="34"/>
        <v>0</v>
      </c>
      <c r="O252" s="99">
        <f t="shared" si="32"/>
        <v>0</v>
      </c>
      <c r="P252" s="99">
        <f t="shared" si="35"/>
        <v>0</v>
      </c>
      <c r="Q252" s="99">
        <f t="shared" si="33"/>
        <v>0</v>
      </c>
      <c r="AH252" s="102" t="s">
        <v>621</v>
      </c>
      <c r="AI252" s="144">
        <v>0</v>
      </c>
    </row>
    <row r="253" spans="1:35">
      <c r="A253">
        <v>252</v>
      </c>
      <c r="B253" s="155" t="s">
        <v>615</v>
      </c>
      <c r="C253" s="155" t="s">
        <v>923</v>
      </c>
      <c r="D253" s="157">
        <v>0</v>
      </c>
      <c r="E253" s="157">
        <v>0</v>
      </c>
      <c r="F253" s="157">
        <v>0</v>
      </c>
      <c r="G253" s="157">
        <v>0</v>
      </c>
      <c r="H253" s="456">
        <v>0</v>
      </c>
      <c r="I253" s="157">
        <v>0</v>
      </c>
      <c r="J253" s="157">
        <v>0</v>
      </c>
      <c r="K253" s="157">
        <v>0</v>
      </c>
      <c r="L253" s="157">
        <v>0</v>
      </c>
      <c r="M253" s="157">
        <v>0</v>
      </c>
      <c r="N253" s="99">
        <f t="shared" si="34"/>
        <v>0</v>
      </c>
      <c r="O253" s="99">
        <f t="shared" si="32"/>
        <v>0</v>
      </c>
      <c r="P253" s="99">
        <f t="shared" si="35"/>
        <v>0</v>
      </c>
      <c r="Q253" s="99">
        <f t="shared" si="33"/>
        <v>0</v>
      </c>
      <c r="AH253" s="102" t="s">
        <v>622</v>
      </c>
      <c r="AI253" s="144">
        <v>0</v>
      </c>
    </row>
    <row r="254" spans="1:35">
      <c r="A254">
        <v>253</v>
      </c>
      <c r="B254" s="155" t="s">
        <v>617</v>
      </c>
      <c r="C254" s="155" t="s">
        <v>923</v>
      </c>
      <c r="D254" s="157">
        <v>0</v>
      </c>
      <c r="E254" s="157">
        <v>0</v>
      </c>
      <c r="F254" s="157">
        <v>0</v>
      </c>
      <c r="G254" s="157">
        <v>0</v>
      </c>
      <c r="H254" s="456">
        <v>0</v>
      </c>
      <c r="I254" s="157">
        <v>0</v>
      </c>
      <c r="J254" s="157">
        <v>0</v>
      </c>
      <c r="K254" s="157">
        <v>0</v>
      </c>
      <c r="L254" s="157">
        <v>0</v>
      </c>
      <c r="M254" s="157">
        <v>0</v>
      </c>
      <c r="N254" s="99">
        <f t="shared" si="34"/>
        <v>0</v>
      </c>
      <c r="O254" s="99">
        <f t="shared" si="32"/>
        <v>0</v>
      </c>
      <c r="P254" s="99">
        <f t="shared" si="35"/>
        <v>0</v>
      </c>
      <c r="Q254" s="99">
        <f t="shared" si="33"/>
        <v>0</v>
      </c>
      <c r="AH254" s="102" t="s">
        <v>623</v>
      </c>
      <c r="AI254" s="144">
        <v>30860278334</v>
      </c>
    </row>
    <row r="255" spans="1:35">
      <c r="A255">
        <v>254</v>
      </c>
      <c r="B255" s="155" t="s">
        <v>612</v>
      </c>
      <c r="C255" s="155" t="s">
        <v>923</v>
      </c>
      <c r="D255" s="157">
        <v>0</v>
      </c>
      <c r="E255" s="157">
        <v>0</v>
      </c>
      <c r="F255" s="157">
        <v>0</v>
      </c>
      <c r="G255" s="157">
        <v>0</v>
      </c>
      <c r="H255" s="456">
        <v>0</v>
      </c>
      <c r="I255" s="157">
        <v>0</v>
      </c>
      <c r="J255" s="157">
        <v>0</v>
      </c>
      <c r="K255" s="157">
        <v>0</v>
      </c>
      <c r="L255" s="157">
        <v>0</v>
      </c>
      <c r="M255" s="157">
        <v>0</v>
      </c>
      <c r="N255" s="99">
        <f t="shared" si="34"/>
        <v>0</v>
      </c>
      <c r="O255" s="99">
        <f t="shared" si="32"/>
        <v>0</v>
      </c>
      <c r="P255" s="99">
        <f t="shared" si="35"/>
        <v>0</v>
      </c>
      <c r="Q255" s="99">
        <f t="shared" si="33"/>
        <v>0</v>
      </c>
      <c r="AH255" s="102" t="s">
        <v>624</v>
      </c>
      <c r="AI255" s="144">
        <v>-97943900</v>
      </c>
    </row>
    <row r="256" spans="1:35">
      <c r="A256">
        <v>255</v>
      </c>
      <c r="B256" s="155" t="s">
        <v>613</v>
      </c>
      <c r="C256" s="155" t="s">
        <v>923</v>
      </c>
      <c r="D256" s="157">
        <v>0</v>
      </c>
      <c r="E256" s="157">
        <v>0</v>
      </c>
      <c r="F256" s="157">
        <v>0</v>
      </c>
      <c r="G256" s="157">
        <v>0</v>
      </c>
      <c r="H256" s="456">
        <v>0</v>
      </c>
      <c r="I256" s="157">
        <v>0</v>
      </c>
      <c r="J256" s="157">
        <v>0</v>
      </c>
      <c r="K256" s="157">
        <v>0</v>
      </c>
      <c r="L256" s="157">
        <v>0</v>
      </c>
      <c r="M256" s="157">
        <v>0</v>
      </c>
      <c r="N256" s="99">
        <f t="shared" si="34"/>
        <v>0</v>
      </c>
      <c r="O256" s="99">
        <f t="shared" si="32"/>
        <v>0</v>
      </c>
      <c r="P256" s="99">
        <f t="shared" si="35"/>
        <v>0</v>
      </c>
      <c r="Q256" s="99">
        <f t="shared" si="33"/>
        <v>0</v>
      </c>
      <c r="AH256" s="102" t="s">
        <v>625</v>
      </c>
      <c r="AI256" s="144">
        <v>0</v>
      </c>
    </row>
    <row r="257" spans="1:35">
      <c r="A257">
        <v>256</v>
      </c>
      <c r="B257" s="155" t="s">
        <v>626</v>
      </c>
      <c r="C257" s="155" t="s">
        <v>923</v>
      </c>
      <c r="D257" s="156">
        <v>-2179749901051</v>
      </c>
      <c r="E257" s="157">
        <v>0</v>
      </c>
      <c r="F257" s="157">
        <v>0</v>
      </c>
      <c r="G257" s="157">
        <v>0</v>
      </c>
      <c r="H257" s="455">
        <v>-2179749901051</v>
      </c>
      <c r="I257" s="157">
        <v>0</v>
      </c>
      <c r="J257" s="157">
        <v>0</v>
      </c>
      <c r="K257" s="157">
        <v>0</v>
      </c>
      <c r="L257" s="157">
        <v>0</v>
      </c>
      <c r="M257" s="156">
        <v>-2179749901051</v>
      </c>
      <c r="N257" s="99">
        <f t="shared" si="34"/>
        <v>-2179749901051</v>
      </c>
      <c r="O257" s="99">
        <f t="shared" si="32"/>
        <v>0</v>
      </c>
      <c r="P257" s="99">
        <f t="shared" si="35"/>
        <v>0</v>
      </c>
      <c r="Q257" s="99">
        <f t="shared" si="33"/>
        <v>0</v>
      </c>
      <c r="AH257" s="102" t="s">
        <v>627</v>
      </c>
      <c r="AI257" s="144">
        <v>6147713837</v>
      </c>
    </row>
    <row r="258" spans="1:35">
      <c r="A258">
        <v>257</v>
      </c>
      <c r="B258" s="155" t="s">
        <v>628</v>
      </c>
      <c r="C258" s="155" t="s">
        <v>923</v>
      </c>
      <c r="D258" s="157">
        <v>0</v>
      </c>
      <c r="E258" s="156">
        <v>-59203</v>
      </c>
      <c r="F258" s="157">
        <v>0</v>
      </c>
      <c r="G258" s="157">
        <v>0</v>
      </c>
      <c r="H258" s="455">
        <v>-59203</v>
      </c>
      <c r="I258" s="157">
        <v>0</v>
      </c>
      <c r="J258" s="157">
        <v>0</v>
      </c>
      <c r="K258" s="157">
        <v>0</v>
      </c>
      <c r="L258" s="157">
        <v>0</v>
      </c>
      <c r="M258" s="156">
        <v>-59203</v>
      </c>
      <c r="N258" s="99">
        <f t="shared" si="34"/>
        <v>-59203</v>
      </c>
      <c r="O258" s="99">
        <f t="shared" ref="O258:O321" si="36">+F258</f>
        <v>0</v>
      </c>
      <c r="P258" s="99">
        <f t="shared" si="35"/>
        <v>0</v>
      </c>
      <c r="Q258" s="99">
        <f t="shared" ref="Q258:Q321" si="37">+G258</f>
        <v>0</v>
      </c>
      <c r="AH258" s="102" t="s">
        <v>629</v>
      </c>
      <c r="AI258" s="144">
        <v>0</v>
      </c>
    </row>
    <row r="259" spans="1:35">
      <c r="A259">
        <v>258</v>
      </c>
      <c r="B259" s="155" t="s">
        <v>630</v>
      </c>
      <c r="C259" s="155" t="s">
        <v>923</v>
      </c>
      <c r="D259" s="157">
        <v>0</v>
      </c>
      <c r="E259" s="157">
        <v>0</v>
      </c>
      <c r="F259" s="157">
        <v>0</v>
      </c>
      <c r="G259" s="157">
        <v>0</v>
      </c>
      <c r="H259" s="456">
        <v>0</v>
      </c>
      <c r="I259" s="157">
        <v>0</v>
      </c>
      <c r="J259" s="157">
        <v>0</v>
      </c>
      <c r="K259" s="157">
        <v>0</v>
      </c>
      <c r="L259" s="157">
        <v>0</v>
      </c>
      <c r="M259" s="157">
        <v>0</v>
      </c>
      <c r="N259" s="99">
        <f t="shared" ref="N259:N322" si="38">+M259+I259+J259</f>
        <v>0</v>
      </c>
      <c r="O259" s="99">
        <f t="shared" si="36"/>
        <v>0</v>
      </c>
      <c r="P259" s="99">
        <f t="shared" ref="P259:P322" si="39">+K259+L259</f>
        <v>0</v>
      </c>
      <c r="Q259" s="99">
        <f t="shared" si="37"/>
        <v>0</v>
      </c>
      <c r="AH259" s="102" t="s">
        <v>631</v>
      </c>
      <c r="AI259" s="144">
        <v>24810508397</v>
      </c>
    </row>
    <row r="260" spans="1:35">
      <c r="A260">
        <v>259</v>
      </c>
      <c r="B260" s="155" t="s">
        <v>632</v>
      </c>
      <c r="C260" s="155" t="s">
        <v>923</v>
      </c>
      <c r="D260" s="157">
        <v>0</v>
      </c>
      <c r="E260" s="157">
        <v>0</v>
      </c>
      <c r="F260" s="157">
        <v>0</v>
      </c>
      <c r="G260" s="157">
        <v>0</v>
      </c>
      <c r="H260" s="456">
        <v>0</v>
      </c>
      <c r="I260" s="157">
        <v>0</v>
      </c>
      <c r="J260" s="157">
        <v>0</v>
      </c>
      <c r="K260" s="157">
        <v>0</v>
      </c>
      <c r="L260" s="157">
        <v>0</v>
      </c>
      <c r="M260" s="157">
        <v>0</v>
      </c>
      <c r="N260" s="99">
        <f t="shared" si="38"/>
        <v>0</v>
      </c>
      <c r="O260" s="99">
        <f t="shared" si="36"/>
        <v>0</v>
      </c>
      <c r="P260" s="99">
        <f t="shared" si="39"/>
        <v>0</v>
      </c>
      <c r="Q260" s="99">
        <f t="shared" si="37"/>
        <v>0</v>
      </c>
      <c r="AH260" s="102" t="s">
        <v>633</v>
      </c>
      <c r="AI260" s="144">
        <v>0</v>
      </c>
    </row>
    <row r="261" spans="1:35">
      <c r="A261">
        <v>260</v>
      </c>
      <c r="B261" s="155" t="s">
        <v>634</v>
      </c>
      <c r="C261" s="155" t="s">
        <v>923</v>
      </c>
      <c r="D261" s="157">
        <v>0</v>
      </c>
      <c r="E261" s="156">
        <v>-59203</v>
      </c>
      <c r="F261" s="157">
        <v>0</v>
      </c>
      <c r="G261" s="157">
        <v>0</v>
      </c>
      <c r="H261" s="455">
        <v>-59203</v>
      </c>
      <c r="I261" s="157">
        <v>0</v>
      </c>
      <c r="J261" s="157">
        <v>0</v>
      </c>
      <c r="K261" s="157">
        <v>0</v>
      </c>
      <c r="L261" s="157">
        <v>0</v>
      </c>
      <c r="M261" s="156">
        <v>-59203</v>
      </c>
      <c r="N261" s="99">
        <f t="shared" si="38"/>
        <v>-59203</v>
      </c>
      <c r="O261" s="99">
        <f t="shared" si="36"/>
        <v>0</v>
      </c>
      <c r="P261" s="99">
        <f t="shared" si="39"/>
        <v>0</v>
      </c>
      <c r="Q261" s="99">
        <f t="shared" si="37"/>
        <v>0</v>
      </c>
      <c r="AH261" s="102" t="s">
        <v>635</v>
      </c>
      <c r="AI261" s="144">
        <v>0</v>
      </c>
    </row>
    <row r="262" spans="1:35">
      <c r="A262">
        <v>261</v>
      </c>
      <c r="B262" s="155" t="s">
        <v>636</v>
      </c>
      <c r="C262" s="155" t="s">
        <v>923</v>
      </c>
      <c r="D262" s="156">
        <v>-1242232222863</v>
      </c>
      <c r="E262" s="156">
        <v>-29281993757</v>
      </c>
      <c r="F262" s="156">
        <v>-51887016940</v>
      </c>
      <c r="G262" s="156">
        <v>-2318499958</v>
      </c>
      <c r="H262" s="455">
        <v>-1217308699722</v>
      </c>
      <c r="I262" s="156">
        <v>-6279122316</v>
      </c>
      <c r="J262" s="156">
        <v>-1116787767</v>
      </c>
      <c r="K262" s="156">
        <v>-1457236758</v>
      </c>
      <c r="L262" s="156">
        <v>-22863815994</v>
      </c>
      <c r="M262" s="156">
        <v>-1185591736887</v>
      </c>
      <c r="N262" s="99">
        <f t="shared" si="38"/>
        <v>-1192987646970</v>
      </c>
      <c r="O262" s="99">
        <f t="shared" si="36"/>
        <v>-51887016940</v>
      </c>
      <c r="P262" s="99">
        <f t="shared" si="39"/>
        <v>-24321052752</v>
      </c>
      <c r="Q262" s="99">
        <f t="shared" si="37"/>
        <v>-2318499958</v>
      </c>
      <c r="AH262" s="102" t="s">
        <v>637</v>
      </c>
      <c r="AI262" s="144">
        <v>0</v>
      </c>
    </row>
    <row r="263" spans="1:35">
      <c r="A263">
        <v>262</v>
      </c>
      <c r="B263" s="155" t="s">
        <v>638</v>
      </c>
      <c r="C263" s="155" t="s">
        <v>923</v>
      </c>
      <c r="D263" s="157">
        <v>0</v>
      </c>
      <c r="E263" s="157">
        <v>0</v>
      </c>
      <c r="F263" s="157">
        <v>0</v>
      </c>
      <c r="G263" s="157">
        <v>0</v>
      </c>
      <c r="H263" s="456">
        <v>0</v>
      </c>
      <c r="I263" s="157">
        <v>0</v>
      </c>
      <c r="J263" s="157">
        <v>0</v>
      </c>
      <c r="K263" s="157">
        <v>0</v>
      </c>
      <c r="L263" s="157">
        <v>0</v>
      </c>
      <c r="M263" s="157">
        <v>0</v>
      </c>
      <c r="N263" s="99">
        <f t="shared" si="38"/>
        <v>0</v>
      </c>
      <c r="O263" s="99">
        <f t="shared" si="36"/>
        <v>0</v>
      </c>
      <c r="P263" s="99">
        <f t="shared" si="39"/>
        <v>0</v>
      </c>
      <c r="Q263" s="99">
        <f t="shared" si="37"/>
        <v>0</v>
      </c>
      <c r="AH263" s="102" t="s">
        <v>639</v>
      </c>
      <c r="AI263" s="144">
        <v>65780203593</v>
      </c>
    </row>
    <row r="264" spans="1:35">
      <c r="A264">
        <v>263</v>
      </c>
      <c r="B264" s="155" t="s">
        <v>640</v>
      </c>
      <c r="C264" s="155" t="s">
        <v>923</v>
      </c>
      <c r="D264" s="156">
        <v>-10695930262</v>
      </c>
      <c r="E264" s="157">
        <v>0</v>
      </c>
      <c r="F264" s="156">
        <v>-8594128125</v>
      </c>
      <c r="G264" s="156">
        <v>-330796166</v>
      </c>
      <c r="H264" s="455">
        <v>-1771005971</v>
      </c>
      <c r="I264" s="157">
        <v>0</v>
      </c>
      <c r="J264" s="157">
        <v>0</v>
      </c>
      <c r="K264" s="157">
        <v>0</v>
      </c>
      <c r="L264" s="156">
        <v>-2689501</v>
      </c>
      <c r="M264" s="156">
        <v>-1768316470</v>
      </c>
      <c r="N264" s="99">
        <f t="shared" si="38"/>
        <v>-1768316470</v>
      </c>
      <c r="O264" s="99">
        <f t="shared" si="36"/>
        <v>-8594128125</v>
      </c>
      <c r="P264" s="99">
        <f t="shared" si="39"/>
        <v>-2689501</v>
      </c>
      <c r="Q264" s="99">
        <f t="shared" si="37"/>
        <v>-330796166</v>
      </c>
      <c r="AH264" s="102" t="s">
        <v>641</v>
      </c>
      <c r="AI264" s="144">
        <v>0</v>
      </c>
    </row>
    <row r="265" spans="1:35">
      <c r="A265">
        <v>264</v>
      </c>
      <c r="B265" s="155" t="s">
        <v>642</v>
      </c>
      <c r="C265" s="155" t="s">
        <v>923</v>
      </c>
      <c r="D265" s="156">
        <v>-106206760963</v>
      </c>
      <c r="E265" s="157">
        <v>0</v>
      </c>
      <c r="F265" s="156">
        <v>-6529328860</v>
      </c>
      <c r="G265" s="156">
        <v>-87201842</v>
      </c>
      <c r="H265" s="455">
        <v>-99590230261</v>
      </c>
      <c r="I265" s="157">
        <v>0</v>
      </c>
      <c r="J265" s="156">
        <v>-864554</v>
      </c>
      <c r="K265" s="156">
        <v>-234035499</v>
      </c>
      <c r="L265" s="156">
        <v>-6130287315</v>
      </c>
      <c r="M265" s="156">
        <v>-93225042893</v>
      </c>
      <c r="N265" s="99">
        <f t="shared" si="38"/>
        <v>-93225907447</v>
      </c>
      <c r="O265" s="99">
        <f t="shared" si="36"/>
        <v>-6529328860</v>
      </c>
      <c r="P265" s="99">
        <f t="shared" si="39"/>
        <v>-6364322814</v>
      </c>
      <c r="Q265" s="99">
        <f t="shared" si="37"/>
        <v>-87201842</v>
      </c>
      <c r="AH265" s="102" t="s">
        <v>643</v>
      </c>
      <c r="AI265" s="144">
        <v>8104441693</v>
      </c>
    </row>
    <row r="266" spans="1:35">
      <c r="A266">
        <v>265</v>
      </c>
      <c r="B266" s="155" t="s">
        <v>644</v>
      </c>
      <c r="C266" s="155" t="s">
        <v>923</v>
      </c>
      <c r="D266" s="157">
        <v>0</v>
      </c>
      <c r="E266" s="157">
        <v>0</v>
      </c>
      <c r="F266" s="157">
        <v>0</v>
      </c>
      <c r="G266" s="157">
        <v>0</v>
      </c>
      <c r="H266" s="456">
        <v>0</v>
      </c>
      <c r="I266" s="157">
        <v>0</v>
      </c>
      <c r="J266" s="157">
        <v>0</v>
      </c>
      <c r="K266" s="157">
        <v>0</v>
      </c>
      <c r="L266" s="157">
        <v>0</v>
      </c>
      <c r="M266" s="157">
        <v>0</v>
      </c>
      <c r="N266" s="99">
        <f t="shared" si="38"/>
        <v>0</v>
      </c>
      <c r="O266" s="99">
        <f t="shared" si="36"/>
        <v>0</v>
      </c>
      <c r="P266" s="99">
        <f t="shared" si="39"/>
        <v>0</v>
      </c>
      <c r="Q266" s="99">
        <f t="shared" si="37"/>
        <v>0</v>
      </c>
      <c r="AH266" s="102" t="s">
        <v>645</v>
      </c>
      <c r="AI266" s="144">
        <v>8104441693</v>
      </c>
    </row>
    <row r="267" spans="1:35">
      <c r="A267">
        <v>266</v>
      </c>
      <c r="B267" s="155" t="s">
        <v>646</v>
      </c>
      <c r="C267" s="155" t="s">
        <v>923</v>
      </c>
      <c r="D267" s="157">
        <v>0</v>
      </c>
      <c r="E267" s="157">
        <v>0</v>
      </c>
      <c r="F267" s="157">
        <v>0</v>
      </c>
      <c r="G267" s="157">
        <v>0</v>
      </c>
      <c r="H267" s="456">
        <v>0</v>
      </c>
      <c r="I267" s="157">
        <v>0</v>
      </c>
      <c r="J267" s="157">
        <v>0</v>
      </c>
      <c r="K267" s="157">
        <v>0</v>
      </c>
      <c r="L267" s="157">
        <v>0</v>
      </c>
      <c r="M267" s="157">
        <v>0</v>
      </c>
      <c r="N267" s="99">
        <f t="shared" si="38"/>
        <v>0</v>
      </c>
      <c r="O267" s="99">
        <f t="shared" si="36"/>
        <v>0</v>
      </c>
      <c r="P267" s="99">
        <f t="shared" si="39"/>
        <v>0</v>
      </c>
      <c r="Q267" s="99">
        <f t="shared" si="37"/>
        <v>0</v>
      </c>
      <c r="AH267" s="102" t="s">
        <v>647</v>
      </c>
      <c r="AI267" s="144">
        <v>0</v>
      </c>
    </row>
    <row r="268" spans="1:35">
      <c r="A268">
        <v>267</v>
      </c>
      <c r="B268" s="155" t="s">
        <v>648</v>
      </c>
      <c r="C268" s="155" t="s">
        <v>923</v>
      </c>
      <c r="D268" s="157">
        <v>0</v>
      </c>
      <c r="E268" s="157">
        <v>0</v>
      </c>
      <c r="F268" s="157">
        <v>0</v>
      </c>
      <c r="G268" s="157">
        <v>0</v>
      </c>
      <c r="H268" s="456">
        <v>0</v>
      </c>
      <c r="I268" s="157">
        <v>0</v>
      </c>
      <c r="J268" s="157">
        <v>0</v>
      </c>
      <c r="K268" s="157">
        <v>0</v>
      </c>
      <c r="L268" s="157">
        <v>0</v>
      </c>
      <c r="M268" s="157">
        <v>0</v>
      </c>
      <c r="N268" s="99">
        <f t="shared" si="38"/>
        <v>0</v>
      </c>
      <c r="O268" s="99">
        <f t="shared" si="36"/>
        <v>0</v>
      </c>
      <c r="P268" s="99">
        <f t="shared" si="39"/>
        <v>0</v>
      </c>
      <c r="Q268" s="99">
        <f t="shared" si="37"/>
        <v>0</v>
      </c>
      <c r="AH268" s="102" t="s">
        <v>649</v>
      </c>
      <c r="AI268" s="144">
        <v>0</v>
      </c>
    </row>
    <row r="269" spans="1:35">
      <c r="A269">
        <v>268</v>
      </c>
      <c r="B269" s="155" t="s">
        <v>548</v>
      </c>
      <c r="C269" s="155" t="s">
        <v>923</v>
      </c>
      <c r="D269" s="157">
        <v>0</v>
      </c>
      <c r="E269" s="157">
        <v>0</v>
      </c>
      <c r="F269" s="157">
        <v>0</v>
      </c>
      <c r="G269" s="157">
        <v>0</v>
      </c>
      <c r="H269" s="456">
        <v>0</v>
      </c>
      <c r="I269" s="157">
        <v>0</v>
      </c>
      <c r="J269" s="157">
        <v>0</v>
      </c>
      <c r="K269" s="157">
        <v>0</v>
      </c>
      <c r="L269" s="157">
        <v>0</v>
      </c>
      <c r="M269" s="157">
        <v>0</v>
      </c>
      <c r="N269" s="99">
        <f t="shared" si="38"/>
        <v>0</v>
      </c>
      <c r="O269" s="99">
        <f t="shared" si="36"/>
        <v>0</v>
      </c>
      <c r="P269" s="99">
        <f t="shared" si="39"/>
        <v>0</v>
      </c>
      <c r="Q269" s="99">
        <f t="shared" si="37"/>
        <v>0</v>
      </c>
      <c r="AH269" s="102" t="s">
        <v>650</v>
      </c>
      <c r="AI269" s="144">
        <v>0</v>
      </c>
    </row>
    <row r="270" spans="1:35">
      <c r="A270">
        <v>269</v>
      </c>
      <c r="B270" s="155" t="s">
        <v>651</v>
      </c>
      <c r="C270" s="155" t="s">
        <v>923</v>
      </c>
      <c r="D270" s="157">
        <v>0</v>
      </c>
      <c r="E270" s="157">
        <v>0</v>
      </c>
      <c r="F270" s="157">
        <v>0</v>
      </c>
      <c r="G270" s="157">
        <v>0</v>
      </c>
      <c r="H270" s="456">
        <v>0</v>
      </c>
      <c r="I270" s="157">
        <v>0</v>
      </c>
      <c r="J270" s="157">
        <v>0</v>
      </c>
      <c r="K270" s="157">
        <v>0</v>
      </c>
      <c r="L270" s="157">
        <v>0</v>
      </c>
      <c r="M270" s="157">
        <v>0</v>
      </c>
      <c r="N270" s="99">
        <f t="shared" si="38"/>
        <v>0</v>
      </c>
      <c r="O270" s="99">
        <f t="shared" si="36"/>
        <v>0</v>
      </c>
      <c r="P270" s="99">
        <f t="shared" si="39"/>
        <v>0</v>
      </c>
      <c r="Q270" s="99">
        <f t="shared" si="37"/>
        <v>0</v>
      </c>
      <c r="AH270" s="102" t="s">
        <v>633</v>
      </c>
      <c r="AI270" s="144">
        <v>0</v>
      </c>
    </row>
    <row r="271" spans="1:35">
      <c r="A271">
        <v>270</v>
      </c>
      <c r="B271" s="155" t="s">
        <v>652</v>
      </c>
      <c r="C271" s="155" t="s">
        <v>923</v>
      </c>
      <c r="D271" s="157">
        <v>0</v>
      </c>
      <c r="E271" s="157">
        <v>0</v>
      </c>
      <c r="F271" s="157">
        <v>0</v>
      </c>
      <c r="G271" s="157">
        <v>0</v>
      </c>
      <c r="H271" s="456">
        <v>0</v>
      </c>
      <c r="I271" s="157">
        <v>0</v>
      </c>
      <c r="J271" s="157">
        <v>0</v>
      </c>
      <c r="K271" s="157">
        <v>0</v>
      </c>
      <c r="L271" s="157">
        <v>0</v>
      </c>
      <c r="M271" s="157">
        <v>0</v>
      </c>
      <c r="N271" s="99">
        <f t="shared" si="38"/>
        <v>0</v>
      </c>
      <c r="O271" s="99">
        <f t="shared" si="36"/>
        <v>0</v>
      </c>
      <c r="P271" s="99">
        <f t="shared" si="39"/>
        <v>0</v>
      </c>
      <c r="Q271" s="99">
        <f t="shared" si="37"/>
        <v>0</v>
      </c>
      <c r="AH271" s="102" t="s">
        <v>653</v>
      </c>
      <c r="AI271" s="144">
        <v>0</v>
      </c>
    </row>
    <row r="272" spans="1:35">
      <c r="A272">
        <v>271</v>
      </c>
      <c r="B272" s="155" t="s">
        <v>654</v>
      </c>
      <c r="C272" s="155" t="s">
        <v>923</v>
      </c>
      <c r="D272" s="157">
        <v>0</v>
      </c>
      <c r="E272" s="157">
        <v>0</v>
      </c>
      <c r="F272" s="157">
        <v>0</v>
      </c>
      <c r="G272" s="157">
        <v>0</v>
      </c>
      <c r="H272" s="456">
        <v>0</v>
      </c>
      <c r="I272" s="157">
        <v>0</v>
      </c>
      <c r="J272" s="157">
        <v>0</v>
      </c>
      <c r="K272" s="157">
        <v>0</v>
      </c>
      <c r="L272" s="157">
        <v>0</v>
      </c>
      <c r="M272" s="157">
        <v>0</v>
      </c>
      <c r="N272" s="99">
        <f t="shared" si="38"/>
        <v>0</v>
      </c>
      <c r="O272" s="99">
        <f t="shared" si="36"/>
        <v>0</v>
      </c>
      <c r="P272" s="99">
        <f t="shared" si="39"/>
        <v>0</v>
      </c>
      <c r="Q272" s="99">
        <f t="shared" si="37"/>
        <v>0</v>
      </c>
      <c r="AH272" s="102" t="s">
        <v>655</v>
      </c>
      <c r="AI272" s="144">
        <v>0</v>
      </c>
    </row>
    <row r="273" spans="1:35">
      <c r="A273">
        <v>272</v>
      </c>
      <c r="B273" s="155" t="s">
        <v>656</v>
      </c>
      <c r="C273" s="155" t="s">
        <v>923</v>
      </c>
      <c r="D273" s="157">
        <v>0</v>
      </c>
      <c r="E273" s="157">
        <v>0</v>
      </c>
      <c r="F273" s="157">
        <v>0</v>
      </c>
      <c r="G273" s="157">
        <v>0</v>
      </c>
      <c r="H273" s="456">
        <v>0</v>
      </c>
      <c r="I273" s="157">
        <v>0</v>
      </c>
      <c r="J273" s="157">
        <v>0</v>
      </c>
      <c r="K273" s="157">
        <v>0</v>
      </c>
      <c r="L273" s="157">
        <v>0</v>
      </c>
      <c r="M273" s="157">
        <v>0</v>
      </c>
      <c r="N273" s="99">
        <f t="shared" si="38"/>
        <v>0</v>
      </c>
      <c r="O273" s="99">
        <f t="shared" si="36"/>
        <v>0</v>
      </c>
      <c r="P273" s="99">
        <f t="shared" si="39"/>
        <v>0</v>
      </c>
      <c r="Q273" s="99">
        <f t="shared" si="37"/>
        <v>0</v>
      </c>
      <c r="AH273" s="102" t="s">
        <v>657</v>
      </c>
      <c r="AI273" s="144">
        <v>0</v>
      </c>
    </row>
    <row r="274" spans="1:35">
      <c r="A274">
        <v>273</v>
      </c>
      <c r="B274" s="155" t="s">
        <v>658</v>
      </c>
      <c r="C274" s="155" t="s">
        <v>923</v>
      </c>
      <c r="D274" s="156">
        <v>-598648785162</v>
      </c>
      <c r="E274" s="157">
        <v>0</v>
      </c>
      <c r="F274" s="157">
        <v>0</v>
      </c>
      <c r="G274" s="157">
        <v>0</v>
      </c>
      <c r="H274" s="455">
        <v>-598648785162</v>
      </c>
      <c r="I274" s="157">
        <v>0</v>
      </c>
      <c r="J274" s="157">
        <v>0</v>
      </c>
      <c r="K274" s="157">
        <v>0</v>
      </c>
      <c r="L274" s="157">
        <v>0</v>
      </c>
      <c r="M274" s="156">
        <v>-598648785162</v>
      </c>
      <c r="N274" s="99">
        <f t="shared" si="38"/>
        <v>-598648785162</v>
      </c>
      <c r="O274" s="99">
        <f t="shared" si="36"/>
        <v>0</v>
      </c>
      <c r="P274" s="99">
        <f t="shared" si="39"/>
        <v>0</v>
      </c>
      <c r="Q274" s="99">
        <f t="shared" si="37"/>
        <v>0</v>
      </c>
      <c r="AH274" s="102" t="s">
        <v>659</v>
      </c>
      <c r="AI274" s="144">
        <v>0</v>
      </c>
    </row>
    <row r="275" spans="1:35">
      <c r="A275">
        <v>274</v>
      </c>
      <c r="B275" s="155" t="s">
        <v>660</v>
      </c>
      <c r="C275" s="155" t="s">
        <v>923</v>
      </c>
      <c r="D275" s="156">
        <v>-598648785162</v>
      </c>
      <c r="E275" s="157">
        <v>0</v>
      </c>
      <c r="F275" s="157">
        <v>0</v>
      </c>
      <c r="G275" s="157">
        <v>0</v>
      </c>
      <c r="H275" s="455">
        <v>-598648785162</v>
      </c>
      <c r="I275" s="157">
        <v>0</v>
      </c>
      <c r="J275" s="157">
        <v>0</v>
      </c>
      <c r="K275" s="157">
        <v>0</v>
      </c>
      <c r="L275" s="157">
        <v>0</v>
      </c>
      <c r="M275" s="156">
        <v>-598648785162</v>
      </c>
      <c r="N275" s="99">
        <f t="shared" si="38"/>
        <v>-598648785162</v>
      </c>
      <c r="O275" s="99">
        <f t="shared" si="36"/>
        <v>0</v>
      </c>
      <c r="P275" s="99">
        <f t="shared" si="39"/>
        <v>0</v>
      </c>
      <c r="Q275" s="99">
        <f t="shared" si="37"/>
        <v>0</v>
      </c>
      <c r="AH275" s="131" t="s">
        <v>170</v>
      </c>
      <c r="AI275" s="145">
        <v>32232652833785</v>
      </c>
    </row>
    <row r="276" spans="1:35">
      <c r="A276">
        <v>275</v>
      </c>
      <c r="B276" s="155" t="s">
        <v>661</v>
      </c>
      <c r="C276" s="155" t="s">
        <v>923</v>
      </c>
      <c r="D276" s="157">
        <v>0</v>
      </c>
      <c r="E276" s="157">
        <v>0</v>
      </c>
      <c r="F276" s="157">
        <v>0</v>
      </c>
      <c r="G276" s="157">
        <v>0</v>
      </c>
      <c r="H276" s="456">
        <v>0</v>
      </c>
      <c r="I276" s="157">
        <v>0</v>
      </c>
      <c r="J276" s="157">
        <v>0</v>
      </c>
      <c r="K276" s="157">
        <v>0</v>
      </c>
      <c r="L276" s="157">
        <v>0</v>
      </c>
      <c r="M276" s="157">
        <v>0</v>
      </c>
      <c r="N276" s="99">
        <f t="shared" si="38"/>
        <v>0</v>
      </c>
      <c r="O276" s="99">
        <f t="shared" si="36"/>
        <v>0</v>
      </c>
      <c r="P276" s="99">
        <f t="shared" si="39"/>
        <v>0</v>
      </c>
      <c r="Q276" s="99">
        <f t="shared" si="37"/>
        <v>0</v>
      </c>
      <c r="AH276" s="102" t="s">
        <v>662</v>
      </c>
      <c r="AI276" s="144">
        <v>-26342312823386</v>
      </c>
    </row>
    <row r="277" spans="1:35">
      <c r="A277">
        <v>276</v>
      </c>
      <c r="B277" s="155" t="s">
        <v>663</v>
      </c>
      <c r="C277" s="155" t="s">
        <v>923</v>
      </c>
      <c r="D277" s="157">
        <v>0</v>
      </c>
      <c r="E277" s="157">
        <v>0</v>
      </c>
      <c r="F277" s="157">
        <v>0</v>
      </c>
      <c r="G277" s="157">
        <v>0</v>
      </c>
      <c r="H277" s="456">
        <v>0</v>
      </c>
      <c r="I277" s="157">
        <v>0</v>
      </c>
      <c r="J277" s="157">
        <v>0</v>
      </c>
      <c r="K277" s="157">
        <v>0</v>
      </c>
      <c r="L277" s="157">
        <v>0</v>
      </c>
      <c r="M277" s="157">
        <v>0</v>
      </c>
      <c r="N277" s="99">
        <f t="shared" si="38"/>
        <v>0</v>
      </c>
      <c r="O277" s="99">
        <f t="shared" si="36"/>
        <v>0</v>
      </c>
      <c r="P277" s="99">
        <f t="shared" si="39"/>
        <v>0</v>
      </c>
      <c r="Q277" s="99">
        <f t="shared" si="37"/>
        <v>0</v>
      </c>
      <c r="AH277" s="102" t="s">
        <v>664</v>
      </c>
      <c r="AI277" s="144">
        <v>-25936756300515</v>
      </c>
    </row>
    <row r="278" spans="1:35">
      <c r="A278">
        <v>277</v>
      </c>
      <c r="B278" s="155" t="s">
        <v>665</v>
      </c>
      <c r="C278" s="155" t="s">
        <v>923</v>
      </c>
      <c r="D278" s="156">
        <v>-1972624</v>
      </c>
      <c r="E278" s="157">
        <v>0</v>
      </c>
      <c r="F278" s="157">
        <v>0</v>
      </c>
      <c r="G278" s="157">
        <v>0</v>
      </c>
      <c r="H278" s="455">
        <v>-1972624</v>
      </c>
      <c r="I278" s="157">
        <v>0</v>
      </c>
      <c r="J278" s="157">
        <v>0</v>
      </c>
      <c r="K278" s="157">
        <v>0</v>
      </c>
      <c r="L278" s="157">
        <v>0</v>
      </c>
      <c r="M278" s="156">
        <v>-1972624</v>
      </c>
      <c r="N278" s="99">
        <f t="shared" si="38"/>
        <v>-1972624</v>
      </c>
      <c r="O278" s="99">
        <f t="shared" si="36"/>
        <v>0</v>
      </c>
      <c r="P278" s="99">
        <f t="shared" si="39"/>
        <v>0</v>
      </c>
      <c r="Q278" s="99">
        <f t="shared" si="37"/>
        <v>0</v>
      </c>
      <c r="AH278" s="102" t="s">
        <v>666</v>
      </c>
      <c r="AI278" s="144">
        <v>-405556522871</v>
      </c>
    </row>
    <row r="279" spans="1:35">
      <c r="A279">
        <v>278</v>
      </c>
      <c r="B279" s="155" t="s">
        <v>667</v>
      </c>
      <c r="C279" s="155" t="s">
        <v>923</v>
      </c>
      <c r="D279" s="156">
        <v>-40987529839</v>
      </c>
      <c r="E279" s="157">
        <v>0</v>
      </c>
      <c r="F279" s="157">
        <v>0</v>
      </c>
      <c r="G279" s="157">
        <v>0</v>
      </c>
      <c r="H279" s="455">
        <v>-40987529839</v>
      </c>
      <c r="I279" s="156">
        <v>-32943000</v>
      </c>
      <c r="J279" s="157">
        <v>0</v>
      </c>
      <c r="K279" s="157">
        <v>0</v>
      </c>
      <c r="L279" s="156">
        <v>-95116502</v>
      </c>
      <c r="M279" s="156">
        <v>-40859470337</v>
      </c>
      <c r="N279" s="99">
        <f t="shared" si="38"/>
        <v>-40892413337</v>
      </c>
      <c r="O279" s="99">
        <f t="shared" si="36"/>
        <v>0</v>
      </c>
      <c r="P279" s="99">
        <f t="shared" si="39"/>
        <v>-95116502</v>
      </c>
      <c r="Q279" s="99">
        <f t="shared" si="37"/>
        <v>0</v>
      </c>
      <c r="AH279" s="102" t="s">
        <v>668</v>
      </c>
      <c r="AI279" s="144">
        <v>-284432901250</v>
      </c>
    </row>
    <row r="280" spans="1:35">
      <c r="A280">
        <v>279</v>
      </c>
      <c r="B280" s="155" t="s">
        <v>669</v>
      </c>
      <c r="C280" s="155" t="s">
        <v>923</v>
      </c>
      <c r="D280" s="157">
        <v>0</v>
      </c>
      <c r="E280" s="157">
        <v>0</v>
      </c>
      <c r="F280" s="157">
        <v>0</v>
      </c>
      <c r="G280" s="157">
        <v>0</v>
      </c>
      <c r="H280" s="456">
        <v>0</v>
      </c>
      <c r="I280" s="157">
        <v>0</v>
      </c>
      <c r="J280" s="157">
        <v>0</v>
      </c>
      <c r="K280" s="157">
        <v>0</v>
      </c>
      <c r="L280" s="157">
        <v>0</v>
      </c>
      <c r="M280" s="157">
        <v>0</v>
      </c>
      <c r="N280" s="99">
        <f t="shared" si="38"/>
        <v>0</v>
      </c>
      <c r="O280" s="99">
        <f t="shared" si="36"/>
        <v>0</v>
      </c>
      <c r="P280" s="99">
        <f t="shared" si="39"/>
        <v>0</v>
      </c>
      <c r="Q280" s="99">
        <f t="shared" si="37"/>
        <v>0</v>
      </c>
      <c r="AH280" s="102" t="s">
        <v>670</v>
      </c>
      <c r="AI280" s="144">
        <v>-121123621621</v>
      </c>
    </row>
    <row r="281" spans="1:35">
      <c r="A281">
        <v>280</v>
      </c>
      <c r="B281" s="155" t="s">
        <v>671</v>
      </c>
      <c r="C281" s="155" t="s">
        <v>923</v>
      </c>
      <c r="D281" s="157">
        <v>0</v>
      </c>
      <c r="E281" s="157">
        <v>0</v>
      </c>
      <c r="F281" s="157">
        <v>0</v>
      </c>
      <c r="G281" s="157">
        <v>0</v>
      </c>
      <c r="H281" s="456">
        <v>0</v>
      </c>
      <c r="I281" s="157">
        <v>0</v>
      </c>
      <c r="J281" s="157">
        <v>0</v>
      </c>
      <c r="K281" s="157">
        <v>0</v>
      </c>
      <c r="L281" s="157">
        <v>0</v>
      </c>
      <c r="M281" s="157">
        <v>0</v>
      </c>
      <c r="N281" s="99">
        <f t="shared" si="38"/>
        <v>0</v>
      </c>
      <c r="O281" s="99">
        <f t="shared" si="36"/>
        <v>0</v>
      </c>
      <c r="P281" s="99">
        <f t="shared" si="39"/>
        <v>0</v>
      </c>
      <c r="Q281" s="99">
        <f t="shared" si="37"/>
        <v>0</v>
      </c>
      <c r="AH281" s="102" t="s">
        <v>672</v>
      </c>
      <c r="AI281" s="144">
        <v>-3543138142</v>
      </c>
    </row>
    <row r="282" spans="1:35">
      <c r="A282">
        <v>281</v>
      </c>
      <c r="B282" s="155" t="s">
        <v>673</v>
      </c>
      <c r="C282" s="155" t="s">
        <v>923</v>
      </c>
      <c r="D282" s="157">
        <v>0</v>
      </c>
      <c r="E282" s="157">
        <v>0</v>
      </c>
      <c r="F282" s="157">
        <v>0</v>
      </c>
      <c r="G282" s="157">
        <v>0</v>
      </c>
      <c r="H282" s="456">
        <v>0</v>
      </c>
      <c r="I282" s="157">
        <v>0</v>
      </c>
      <c r="J282" s="157">
        <v>0</v>
      </c>
      <c r="K282" s="157">
        <v>0</v>
      </c>
      <c r="L282" s="157">
        <v>0</v>
      </c>
      <c r="M282" s="157">
        <v>0</v>
      </c>
      <c r="N282" s="99">
        <f t="shared" si="38"/>
        <v>0</v>
      </c>
      <c r="O282" s="99">
        <f t="shared" si="36"/>
        <v>0</v>
      </c>
      <c r="P282" s="99">
        <f t="shared" si="39"/>
        <v>0</v>
      </c>
      <c r="Q282" s="99">
        <f t="shared" si="37"/>
        <v>0</v>
      </c>
      <c r="AH282" s="102" t="s">
        <v>674</v>
      </c>
      <c r="AI282" s="144">
        <v>-10997574740</v>
      </c>
    </row>
    <row r="283" spans="1:35">
      <c r="A283">
        <v>282</v>
      </c>
      <c r="B283" s="155" t="s">
        <v>675</v>
      </c>
      <c r="C283" s="155" t="s">
        <v>923</v>
      </c>
      <c r="D283" s="157">
        <v>0</v>
      </c>
      <c r="E283" s="157">
        <v>0</v>
      </c>
      <c r="F283" s="157">
        <v>0</v>
      </c>
      <c r="G283" s="157">
        <v>0</v>
      </c>
      <c r="H283" s="456">
        <v>0</v>
      </c>
      <c r="I283" s="157">
        <v>0</v>
      </c>
      <c r="J283" s="157">
        <v>0</v>
      </c>
      <c r="K283" s="157">
        <v>0</v>
      </c>
      <c r="L283" s="157">
        <v>0</v>
      </c>
      <c r="M283" s="157">
        <v>0</v>
      </c>
      <c r="N283" s="99">
        <f t="shared" si="38"/>
        <v>0</v>
      </c>
      <c r="O283" s="99">
        <f t="shared" si="36"/>
        <v>0</v>
      </c>
      <c r="P283" s="99">
        <f t="shared" si="39"/>
        <v>0</v>
      </c>
      <c r="Q283" s="99">
        <f t="shared" si="37"/>
        <v>0</v>
      </c>
      <c r="AH283" s="102" t="s">
        <v>676</v>
      </c>
      <c r="AI283" s="144">
        <v>7454436598</v>
      </c>
    </row>
    <row r="284" spans="1:35">
      <c r="A284">
        <v>283</v>
      </c>
      <c r="B284" s="155" t="s">
        <v>677</v>
      </c>
      <c r="C284" s="155" t="s">
        <v>923</v>
      </c>
      <c r="D284" s="156">
        <v>-195366140677</v>
      </c>
      <c r="E284" s="157">
        <v>0</v>
      </c>
      <c r="F284" s="157">
        <v>0</v>
      </c>
      <c r="G284" s="157">
        <v>0</v>
      </c>
      <c r="H284" s="455">
        <v>-195366140677</v>
      </c>
      <c r="I284" s="157">
        <v>0</v>
      </c>
      <c r="J284" s="157">
        <v>0</v>
      </c>
      <c r="K284" s="157">
        <v>0</v>
      </c>
      <c r="L284" s="157">
        <v>0</v>
      </c>
      <c r="M284" s="156">
        <v>-195366140677</v>
      </c>
      <c r="N284" s="99">
        <f t="shared" si="38"/>
        <v>-195366140677</v>
      </c>
      <c r="O284" s="99">
        <f t="shared" si="36"/>
        <v>0</v>
      </c>
      <c r="P284" s="99">
        <f t="shared" si="39"/>
        <v>0</v>
      </c>
      <c r="Q284" s="99">
        <f t="shared" si="37"/>
        <v>0</v>
      </c>
      <c r="AH284" s="102" t="s">
        <v>668</v>
      </c>
      <c r="AI284" s="144">
        <v>4454858246</v>
      </c>
    </row>
    <row r="285" spans="1:35">
      <c r="A285">
        <v>284</v>
      </c>
      <c r="B285" s="155" t="s">
        <v>678</v>
      </c>
      <c r="C285" s="155" t="s">
        <v>923</v>
      </c>
      <c r="D285" s="156">
        <v>-118487000</v>
      </c>
      <c r="E285" s="157">
        <v>0</v>
      </c>
      <c r="F285" s="157">
        <v>0</v>
      </c>
      <c r="G285" s="157">
        <v>0</v>
      </c>
      <c r="H285" s="455">
        <v>-118487000</v>
      </c>
      <c r="I285" s="157">
        <v>0</v>
      </c>
      <c r="J285" s="157">
        <v>0</v>
      </c>
      <c r="K285" s="157">
        <v>0</v>
      </c>
      <c r="L285" s="157">
        <v>0</v>
      </c>
      <c r="M285" s="156">
        <v>-118487000</v>
      </c>
      <c r="N285" s="99">
        <f t="shared" si="38"/>
        <v>-118487000</v>
      </c>
      <c r="O285" s="99">
        <f t="shared" si="36"/>
        <v>0</v>
      </c>
      <c r="P285" s="99">
        <f t="shared" si="39"/>
        <v>0</v>
      </c>
      <c r="Q285" s="99">
        <f t="shared" si="37"/>
        <v>0</v>
      </c>
      <c r="AH285" s="102" t="s">
        <v>670</v>
      </c>
      <c r="AI285" s="144">
        <v>2999578352</v>
      </c>
    </row>
    <row r="286" spans="1:35">
      <c r="A286">
        <v>285</v>
      </c>
      <c r="B286" s="155" t="s">
        <v>679</v>
      </c>
      <c r="C286" s="155" t="s">
        <v>923</v>
      </c>
      <c r="D286" s="157">
        <v>0</v>
      </c>
      <c r="E286" s="157">
        <v>0</v>
      </c>
      <c r="F286" s="157">
        <v>0</v>
      </c>
      <c r="G286" s="157">
        <v>0</v>
      </c>
      <c r="H286" s="456">
        <v>0</v>
      </c>
      <c r="I286" s="157">
        <v>0</v>
      </c>
      <c r="J286" s="157">
        <v>0</v>
      </c>
      <c r="K286" s="157">
        <v>0</v>
      </c>
      <c r="L286" s="157">
        <v>0</v>
      </c>
      <c r="M286" s="157">
        <v>0</v>
      </c>
      <c r="N286" s="99">
        <f t="shared" si="38"/>
        <v>0</v>
      </c>
      <c r="O286" s="99">
        <f t="shared" si="36"/>
        <v>0</v>
      </c>
      <c r="P286" s="99">
        <f t="shared" si="39"/>
        <v>0</v>
      </c>
      <c r="Q286" s="99">
        <f t="shared" si="37"/>
        <v>0</v>
      </c>
      <c r="AH286" s="102" t="s">
        <v>680</v>
      </c>
      <c r="AI286" s="144">
        <v>-2827468038211</v>
      </c>
    </row>
    <row r="287" spans="1:35">
      <c r="A287">
        <v>286</v>
      </c>
      <c r="B287" s="155" t="s">
        <v>681</v>
      </c>
      <c r="C287" s="155" t="s">
        <v>923</v>
      </c>
      <c r="D287" s="156">
        <v>-7087052828</v>
      </c>
      <c r="E287" s="157">
        <v>0</v>
      </c>
      <c r="F287" s="157">
        <v>0</v>
      </c>
      <c r="G287" s="157">
        <v>0</v>
      </c>
      <c r="H287" s="455">
        <v>-7087052828</v>
      </c>
      <c r="I287" s="157">
        <v>0</v>
      </c>
      <c r="J287" s="157">
        <v>0</v>
      </c>
      <c r="K287" s="157">
        <v>0</v>
      </c>
      <c r="L287" s="157">
        <v>0</v>
      </c>
      <c r="M287" s="156">
        <v>-7087052828</v>
      </c>
      <c r="N287" s="99">
        <f t="shared" si="38"/>
        <v>-7087052828</v>
      </c>
      <c r="O287" s="99">
        <f t="shared" si="36"/>
        <v>0</v>
      </c>
      <c r="P287" s="99">
        <f t="shared" si="39"/>
        <v>0</v>
      </c>
      <c r="Q287" s="99">
        <f t="shared" si="37"/>
        <v>0</v>
      </c>
      <c r="AH287" s="102" t="s">
        <v>682</v>
      </c>
      <c r="AI287" s="144">
        <v>-35918768</v>
      </c>
    </row>
    <row r="288" spans="1:35">
      <c r="A288">
        <v>287</v>
      </c>
      <c r="B288" s="155" t="s">
        <v>683</v>
      </c>
      <c r="C288" s="155" t="s">
        <v>923</v>
      </c>
      <c r="D288" s="156">
        <v>-18692268586</v>
      </c>
      <c r="E288" s="157">
        <v>0</v>
      </c>
      <c r="F288" s="157">
        <v>0</v>
      </c>
      <c r="G288" s="157">
        <v>0</v>
      </c>
      <c r="H288" s="455">
        <v>-18692268586</v>
      </c>
      <c r="I288" s="157">
        <v>0</v>
      </c>
      <c r="J288" s="157">
        <v>0</v>
      </c>
      <c r="K288" s="157">
        <v>0</v>
      </c>
      <c r="L288" s="157">
        <v>0</v>
      </c>
      <c r="M288" s="156">
        <v>-18692268586</v>
      </c>
      <c r="N288" s="99">
        <f t="shared" si="38"/>
        <v>-18692268586</v>
      </c>
      <c r="O288" s="99">
        <f t="shared" si="36"/>
        <v>0</v>
      </c>
      <c r="P288" s="99">
        <f t="shared" si="39"/>
        <v>0</v>
      </c>
      <c r="Q288" s="99">
        <f t="shared" si="37"/>
        <v>0</v>
      </c>
      <c r="AH288" s="102" t="s">
        <v>684</v>
      </c>
      <c r="AI288" s="144">
        <v>-2827432119443</v>
      </c>
    </row>
    <row r="289" spans="1:35">
      <c r="A289">
        <v>288</v>
      </c>
      <c r="B289" s="155" t="s">
        <v>685</v>
      </c>
      <c r="C289" s="155" t="s">
        <v>923</v>
      </c>
      <c r="D289" s="157">
        <v>0</v>
      </c>
      <c r="E289" s="157">
        <v>0</v>
      </c>
      <c r="F289" s="157">
        <v>0</v>
      </c>
      <c r="G289" s="157">
        <v>0</v>
      </c>
      <c r="H289" s="456">
        <v>0</v>
      </c>
      <c r="I289" s="157">
        <v>0</v>
      </c>
      <c r="J289" s="157">
        <v>0</v>
      </c>
      <c r="K289" s="157">
        <v>0</v>
      </c>
      <c r="L289" s="157">
        <v>0</v>
      </c>
      <c r="M289" s="157">
        <v>0</v>
      </c>
      <c r="N289" s="99">
        <f t="shared" si="38"/>
        <v>0</v>
      </c>
      <c r="O289" s="99">
        <f t="shared" si="36"/>
        <v>0</v>
      </c>
      <c r="P289" s="99">
        <f t="shared" si="39"/>
        <v>0</v>
      </c>
      <c r="Q289" s="99">
        <f t="shared" si="37"/>
        <v>0</v>
      </c>
      <c r="AH289" s="102" t="s">
        <v>824</v>
      </c>
      <c r="AI289" s="144">
        <v>2903456311</v>
      </c>
    </row>
    <row r="290" spans="1:35">
      <c r="A290">
        <v>289</v>
      </c>
      <c r="B290" s="155" t="s">
        <v>687</v>
      </c>
      <c r="C290" s="155" t="s">
        <v>923</v>
      </c>
      <c r="D290" s="157">
        <v>0</v>
      </c>
      <c r="E290" s="157">
        <v>0</v>
      </c>
      <c r="F290" s="157">
        <v>0</v>
      </c>
      <c r="G290" s="157">
        <v>0</v>
      </c>
      <c r="H290" s="456">
        <v>0</v>
      </c>
      <c r="I290" s="157">
        <v>0</v>
      </c>
      <c r="J290" s="157">
        <v>0</v>
      </c>
      <c r="K290" s="157">
        <v>0</v>
      </c>
      <c r="L290" s="157">
        <v>0</v>
      </c>
      <c r="M290" s="157">
        <v>0</v>
      </c>
      <c r="N290" s="99">
        <f t="shared" si="38"/>
        <v>0</v>
      </c>
      <c r="O290" s="99">
        <f t="shared" si="36"/>
        <v>0</v>
      </c>
      <c r="P290" s="99">
        <f t="shared" si="39"/>
        <v>0</v>
      </c>
      <c r="Q290" s="99">
        <f t="shared" si="37"/>
        <v>0</v>
      </c>
      <c r="AH290" s="102" t="s">
        <v>826</v>
      </c>
      <c r="AI290" s="144">
        <v>2903517501</v>
      </c>
    </row>
    <row r="291" spans="1:35">
      <c r="A291">
        <v>290</v>
      </c>
      <c r="B291" s="155" t="s">
        <v>689</v>
      </c>
      <c r="C291" s="155" t="s">
        <v>923</v>
      </c>
      <c r="D291" s="156">
        <v>11605215758</v>
      </c>
      <c r="E291" s="157">
        <v>0</v>
      </c>
      <c r="F291" s="157">
        <v>0</v>
      </c>
      <c r="G291" s="157">
        <v>0</v>
      </c>
      <c r="H291" s="455">
        <v>11605215758</v>
      </c>
      <c r="I291" s="157">
        <v>0</v>
      </c>
      <c r="J291" s="157">
        <v>0</v>
      </c>
      <c r="K291" s="157">
        <v>0</v>
      </c>
      <c r="L291" s="157">
        <v>0</v>
      </c>
      <c r="M291" s="156">
        <v>11605215758</v>
      </c>
      <c r="N291" s="99">
        <f t="shared" si="38"/>
        <v>11605215758</v>
      </c>
      <c r="O291" s="99">
        <f t="shared" si="36"/>
        <v>0</v>
      </c>
      <c r="P291" s="99">
        <f t="shared" si="39"/>
        <v>0</v>
      </c>
      <c r="Q291" s="99">
        <f t="shared" si="37"/>
        <v>0</v>
      </c>
      <c r="AH291" s="102" t="s">
        <v>828</v>
      </c>
      <c r="AI291" s="144">
        <v>0</v>
      </c>
    </row>
    <row r="292" spans="1:35">
      <c r="A292">
        <v>291</v>
      </c>
      <c r="B292" s="155" t="s">
        <v>691</v>
      </c>
      <c r="C292" s="155" t="s">
        <v>923</v>
      </c>
      <c r="D292" s="156">
        <v>11605215758</v>
      </c>
      <c r="E292" s="157">
        <v>0</v>
      </c>
      <c r="F292" s="157">
        <v>0</v>
      </c>
      <c r="G292" s="157">
        <v>0</v>
      </c>
      <c r="H292" s="455">
        <v>11605215758</v>
      </c>
      <c r="I292" s="157">
        <v>0</v>
      </c>
      <c r="J292" s="157">
        <v>0</v>
      </c>
      <c r="K292" s="157">
        <v>0</v>
      </c>
      <c r="L292" s="157">
        <v>0</v>
      </c>
      <c r="M292" s="156">
        <v>11605215758</v>
      </c>
      <c r="N292" s="99">
        <f t="shared" si="38"/>
        <v>11605215758</v>
      </c>
      <c r="O292" s="99">
        <f t="shared" si="36"/>
        <v>0</v>
      </c>
      <c r="P292" s="99">
        <f t="shared" si="39"/>
        <v>0</v>
      </c>
      <c r="Q292" s="99">
        <f t="shared" si="37"/>
        <v>0</v>
      </c>
      <c r="AH292" s="102" t="s">
        <v>830</v>
      </c>
      <c r="AI292" s="144">
        <v>-61190</v>
      </c>
    </row>
    <row r="293" spans="1:35">
      <c r="A293">
        <v>292</v>
      </c>
      <c r="B293" s="155" t="s">
        <v>693</v>
      </c>
      <c r="C293" s="155" t="s">
        <v>923</v>
      </c>
      <c r="D293" s="157">
        <v>0</v>
      </c>
      <c r="E293" s="157">
        <v>0</v>
      </c>
      <c r="F293" s="157">
        <v>0</v>
      </c>
      <c r="G293" s="157">
        <v>0</v>
      </c>
      <c r="H293" s="456">
        <v>0</v>
      </c>
      <c r="I293" s="157">
        <v>0</v>
      </c>
      <c r="J293" s="157">
        <v>0</v>
      </c>
      <c r="K293" s="157">
        <v>0</v>
      </c>
      <c r="L293" s="157">
        <v>0</v>
      </c>
      <c r="M293" s="157">
        <v>0</v>
      </c>
      <c r="N293" s="99">
        <f t="shared" si="38"/>
        <v>0</v>
      </c>
      <c r="O293" s="99">
        <f t="shared" si="36"/>
        <v>0</v>
      </c>
      <c r="P293" s="99">
        <f t="shared" si="39"/>
        <v>0</v>
      </c>
      <c r="Q293" s="99">
        <f t="shared" si="37"/>
        <v>0</v>
      </c>
      <c r="AH293" s="102" t="s">
        <v>686</v>
      </c>
      <c r="AI293" s="144">
        <v>-18741528857</v>
      </c>
    </row>
    <row r="294" spans="1:35">
      <c r="A294">
        <v>293</v>
      </c>
      <c r="B294" s="155" t="s">
        <v>695</v>
      </c>
      <c r="C294" s="155" t="s">
        <v>923</v>
      </c>
      <c r="D294" s="156">
        <v>-254694875410</v>
      </c>
      <c r="E294" s="157">
        <v>0</v>
      </c>
      <c r="F294" s="156">
        <v>-7479273758</v>
      </c>
      <c r="G294" s="156">
        <v>-286431950</v>
      </c>
      <c r="H294" s="455">
        <v>-246929169702</v>
      </c>
      <c r="I294" s="156">
        <v>-3254313371</v>
      </c>
      <c r="J294" s="157">
        <v>0</v>
      </c>
      <c r="K294" s="157">
        <v>0</v>
      </c>
      <c r="L294" s="156">
        <v>-7123588667</v>
      </c>
      <c r="M294" s="156">
        <v>-236551267664</v>
      </c>
      <c r="N294" s="99">
        <f t="shared" si="38"/>
        <v>-239805581035</v>
      </c>
      <c r="O294" s="99">
        <f t="shared" si="36"/>
        <v>-7479273758</v>
      </c>
      <c r="P294" s="99">
        <f t="shared" si="39"/>
        <v>-7123588667</v>
      </c>
      <c r="Q294" s="99">
        <f t="shared" si="37"/>
        <v>-286431950</v>
      </c>
      <c r="AH294" s="102" t="s">
        <v>688</v>
      </c>
      <c r="AI294" s="144">
        <v>-18741528857</v>
      </c>
    </row>
    <row r="295" spans="1:35">
      <c r="A295">
        <v>294</v>
      </c>
      <c r="B295" s="155" t="s">
        <v>697</v>
      </c>
      <c r="C295" s="155" t="s">
        <v>923</v>
      </c>
      <c r="D295" s="157">
        <v>0</v>
      </c>
      <c r="E295" s="157">
        <v>0</v>
      </c>
      <c r="F295" s="157">
        <v>0</v>
      </c>
      <c r="G295" s="157">
        <v>0</v>
      </c>
      <c r="H295" s="456">
        <v>0</v>
      </c>
      <c r="I295" s="157">
        <v>0</v>
      </c>
      <c r="J295" s="157">
        <v>0</v>
      </c>
      <c r="K295" s="157">
        <v>0</v>
      </c>
      <c r="L295" s="157">
        <v>0</v>
      </c>
      <c r="M295" s="157">
        <v>0</v>
      </c>
      <c r="N295" s="99">
        <f t="shared" si="38"/>
        <v>0</v>
      </c>
      <c r="O295" s="99">
        <f t="shared" si="36"/>
        <v>0</v>
      </c>
      <c r="P295" s="99">
        <f t="shared" si="39"/>
        <v>0</v>
      </c>
      <c r="Q295" s="99">
        <f t="shared" si="37"/>
        <v>0</v>
      </c>
      <c r="AH295" s="102" t="s">
        <v>690</v>
      </c>
      <c r="AI295" s="144">
        <v>-701404094</v>
      </c>
    </row>
    <row r="296" spans="1:35">
      <c r="A296">
        <v>295</v>
      </c>
      <c r="B296" s="155" t="s">
        <v>699</v>
      </c>
      <c r="C296" s="155" t="s">
        <v>923</v>
      </c>
      <c r="D296" s="157">
        <v>0</v>
      </c>
      <c r="E296" s="157">
        <v>0</v>
      </c>
      <c r="F296" s="157">
        <v>0</v>
      </c>
      <c r="G296" s="157">
        <v>0</v>
      </c>
      <c r="H296" s="456">
        <v>0</v>
      </c>
      <c r="I296" s="157">
        <v>0</v>
      </c>
      <c r="J296" s="157">
        <v>0</v>
      </c>
      <c r="K296" s="157">
        <v>0</v>
      </c>
      <c r="L296" s="157">
        <v>0</v>
      </c>
      <c r="M296" s="157">
        <v>0</v>
      </c>
      <c r="N296" s="99">
        <f t="shared" si="38"/>
        <v>0</v>
      </c>
      <c r="O296" s="99">
        <f t="shared" si="36"/>
        <v>0</v>
      </c>
      <c r="P296" s="99">
        <f t="shared" si="39"/>
        <v>0</v>
      </c>
      <c r="Q296" s="99">
        <f t="shared" si="37"/>
        <v>0</v>
      </c>
      <c r="AH296" s="102" t="s">
        <v>692</v>
      </c>
      <c r="AI296" s="144">
        <v>-18032803590</v>
      </c>
    </row>
    <row r="297" spans="1:35">
      <c r="A297">
        <v>296</v>
      </c>
      <c r="B297" s="155" t="s">
        <v>701</v>
      </c>
      <c r="C297" s="155" t="s">
        <v>923</v>
      </c>
      <c r="D297" s="156">
        <v>-79365718858</v>
      </c>
      <c r="E297" s="157">
        <v>0</v>
      </c>
      <c r="F297" s="157">
        <v>0</v>
      </c>
      <c r="G297" s="157">
        <v>0</v>
      </c>
      <c r="H297" s="455">
        <v>-79365718858</v>
      </c>
      <c r="I297" s="157">
        <v>0</v>
      </c>
      <c r="J297" s="157">
        <v>0</v>
      </c>
      <c r="K297" s="157">
        <v>0</v>
      </c>
      <c r="L297" s="157">
        <v>0</v>
      </c>
      <c r="M297" s="156">
        <v>-79365718858</v>
      </c>
      <c r="N297" s="99">
        <f t="shared" si="38"/>
        <v>-79365718858</v>
      </c>
      <c r="O297" s="99">
        <f t="shared" si="36"/>
        <v>0</v>
      </c>
      <c r="P297" s="99">
        <f t="shared" si="39"/>
        <v>0</v>
      </c>
      <c r="Q297" s="99">
        <f t="shared" si="37"/>
        <v>0</v>
      </c>
      <c r="AH297" s="102" t="s">
        <v>694</v>
      </c>
      <c r="AI297" s="144">
        <v>0</v>
      </c>
    </row>
    <row r="298" spans="1:35">
      <c r="A298">
        <v>297</v>
      </c>
      <c r="B298" s="155" t="s">
        <v>703</v>
      </c>
      <c r="C298" s="155" t="s">
        <v>923</v>
      </c>
      <c r="D298" s="156">
        <v>-167563450844</v>
      </c>
      <c r="E298" s="157">
        <v>0</v>
      </c>
      <c r="F298" s="157">
        <v>0</v>
      </c>
      <c r="G298" s="157">
        <v>0</v>
      </c>
      <c r="H298" s="455">
        <v>-167563450844</v>
      </c>
      <c r="I298" s="156">
        <v>-3254313371</v>
      </c>
      <c r="J298" s="157">
        <v>0</v>
      </c>
      <c r="K298" s="157">
        <v>0</v>
      </c>
      <c r="L298" s="156">
        <v>-7123588667</v>
      </c>
      <c r="M298" s="156">
        <v>-157185548806</v>
      </c>
      <c r="N298" s="99">
        <f t="shared" si="38"/>
        <v>-160439862177</v>
      </c>
      <c r="O298" s="99">
        <f t="shared" si="36"/>
        <v>0</v>
      </c>
      <c r="P298" s="99">
        <f t="shared" si="39"/>
        <v>-7123588667</v>
      </c>
      <c r="Q298" s="99">
        <f t="shared" si="37"/>
        <v>0</v>
      </c>
      <c r="AH298" s="102" t="s">
        <v>696</v>
      </c>
      <c r="AI298" s="144">
        <v>0</v>
      </c>
    </row>
    <row r="299" spans="1:35">
      <c r="A299">
        <v>298</v>
      </c>
      <c r="B299" s="155" t="s">
        <v>704</v>
      </c>
      <c r="C299" s="155" t="s">
        <v>923</v>
      </c>
      <c r="D299" s="157">
        <v>0</v>
      </c>
      <c r="E299" s="157">
        <v>0</v>
      </c>
      <c r="F299" s="157">
        <v>0</v>
      </c>
      <c r="G299" s="157">
        <v>0</v>
      </c>
      <c r="H299" s="456">
        <v>0</v>
      </c>
      <c r="I299" s="157">
        <v>0</v>
      </c>
      <c r="J299" s="157">
        <v>0</v>
      </c>
      <c r="K299" s="157">
        <v>0</v>
      </c>
      <c r="L299" s="157">
        <v>0</v>
      </c>
      <c r="M299" s="157">
        <v>0</v>
      </c>
      <c r="N299" s="99">
        <f t="shared" si="38"/>
        <v>0</v>
      </c>
      <c r="O299" s="99">
        <f t="shared" si="36"/>
        <v>0</v>
      </c>
      <c r="P299" s="99">
        <f t="shared" si="39"/>
        <v>0</v>
      </c>
      <c r="Q299" s="99">
        <f t="shared" si="37"/>
        <v>0</v>
      </c>
      <c r="AH299" s="102" t="s">
        <v>698</v>
      </c>
      <c r="AI299" s="144">
        <v>0</v>
      </c>
    </row>
    <row r="300" spans="1:35">
      <c r="A300">
        <v>299</v>
      </c>
      <c r="B300" s="155" t="s">
        <v>705</v>
      </c>
      <c r="C300" s="155" t="s">
        <v>923</v>
      </c>
      <c r="D300" s="157">
        <v>0</v>
      </c>
      <c r="E300" s="157">
        <v>0</v>
      </c>
      <c r="F300" s="157">
        <v>0</v>
      </c>
      <c r="G300" s="157">
        <v>0</v>
      </c>
      <c r="H300" s="456">
        <v>0</v>
      </c>
      <c r="I300" s="157">
        <v>0</v>
      </c>
      <c r="J300" s="157">
        <v>0</v>
      </c>
      <c r="K300" s="157">
        <v>0</v>
      </c>
      <c r="L300" s="157">
        <v>0</v>
      </c>
      <c r="M300" s="157">
        <v>0</v>
      </c>
      <c r="N300" s="99">
        <f t="shared" si="38"/>
        <v>0</v>
      </c>
      <c r="O300" s="99">
        <f t="shared" si="36"/>
        <v>0</v>
      </c>
      <c r="P300" s="99">
        <f t="shared" si="39"/>
        <v>0</v>
      </c>
      <c r="Q300" s="99">
        <f t="shared" si="37"/>
        <v>0</v>
      </c>
      <c r="AH300" s="102" t="s">
        <v>700</v>
      </c>
      <c r="AI300" s="144">
        <v>-7321173</v>
      </c>
    </row>
    <row r="301" spans="1:35">
      <c r="A301">
        <v>300</v>
      </c>
      <c r="B301" s="155" t="s">
        <v>706</v>
      </c>
      <c r="C301" s="155" t="s">
        <v>923</v>
      </c>
      <c r="D301" s="156">
        <v>-7765705708</v>
      </c>
      <c r="E301" s="157">
        <v>0</v>
      </c>
      <c r="F301" s="156">
        <v>-7479273758</v>
      </c>
      <c r="G301" s="156">
        <v>-286431950</v>
      </c>
      <c r="H301" s="456">
        <v>0</v>
      </c>
      <c r="I301" s="157">
        <v>0</v>
      </c>
      <c r="J301" s="157">
        <v>0</v>
      </c>
      <c r="K301" s="157">
        <v>0</v>
      </c>
      <c r="L301" s="157">
        <v>0</v>
      </c>
      <c r="M301" s="157">
        <v>0</v>
      </c>
      <c r="N301" s="99">
        <f t="shared" si="38"/>
        <v>0</v>
      </c>
      <c r="O301" s="99">
        <f t="shared" si="36"/>
        <v>-7479273758</v>
      </c>
      <c r="P301" s="99">
        <f t="shared" si="39"/>
        <v>0</v>
      </c>
      <c r="Q301" s="99">
        <f t="shared" si="37"/>
        <v>-286431950</v>
      </c>
      <c r="AH301" s="102" t="s">
        <v>702</v>
      </c>
      <c r="AI301" s="144">
        <v>0</v>
      </c>
    </row>
    <row r="302" spans="1:35">
      <c r="A302">
        <v>301</v>
      </c>
      <c r="B302" s="155" t="s">
        <v>707</v>
      </c>
      <c r="C302" s="155" t="s">
        <v>923</v>
      </c>
      <c r="D302" s="157">
        <v>0</v>
      </c>
      <c r="E302" s="157">
        <v>0</v>
      </c>
      <c r="F302" s="157">
        <v>0</v>
      </c>
      <c r="G302" s="157">
        <v>0</v>
      </c>
      <c r="H302" s="456">
        <v>0</v>
      </c>
      <c r="I302" s="157">
        <v>0</v>
      </c>
      <c r="J302" s="157">
        <v>0</v>
      </c>
      <c r="K302" s="157">
        <v>0</v>
      </c>
      <c r="L302" s="157">
        <v>0</v>
      </c>
      <c r="M302" s="157">
        <v>0</v>
      </c>
      <c r="N302" s="99">
        <f t="shared" si="38"/>
        <v>0</v>
      </c>
      <c r="O302" s="99">
        <f t="shared" si="36"/>
        <v>0</v>
      </c>
      <c r="P302" s="99">
        <f t="shared" si="39"/>
        <v>0</v>
      </c>
      <c r="Q302" s="99">
        <f t="shared" si="37"/>
        <v>0</v>
      </c>
      <c r="AH302" s="102" t="s">
        <v>690</v>
      </c>
      <c r="AI302" s="144">
        <v>0</v>
      </c>
    </row>
    <row r="303" spans="1:35">
      <c r="A303">
        <v>302</v>
      </c>
      <c r="B303" s="155" t="s">
        <v>708</v>
      </c>
      <c r="C303" s="155" t="s">
        <v>923</v>
      </c>
      <c r="D303" s="156">
        <v>-2108722998</v>
      </c>
      <c r="E303" s="157">
        <v>0</v>
      </c>
      <c r="F303" s="157">
        <v>0</v>
      </c>
      <c r="G303" s="157">
        <v>0</v>
      </c>
      <c r="H303" s="455">
        <v>-2108722998</v>
      </c>
      <c r="I303" s="157">
        <v>0</v>
      </c>
      <c r="J303" s="157">
        <v>0</v>
      </c>
      <c r="K303" s="157">
        <v>0</v>
      </c>
      <c r="L303" s="157">
        <v>0</v>
      </c>
      <c r="M303" s="156">
        <v>-2108722998</v>
      </c>
      <c r="N303" s="99">
        <f t="shared" si="38"/>
        <v>-2108722998</v>
      </c>
      <c r="O303" s="99">
        <f t="shared" si="36"/>
        <v>0</v>
      </c>
      <c r="P303" s="99">
        <f t="shared" si="39"/>
        <v>0</v>
      </c>
      <c r="Q303" s="99">
        <f t="shared" si="37"/>
        <v>0</v>
      </c>
      <c r="AH303" s="102" t="s">
        <v>692</v>
      </c>
      <c r="AI303" s="144">
        <v>0</v>
      </c>
    </row>
    <row r="304" spans="1:35">
      <c r="A304">
        <v>303</v>
      </c>
      <c r="B304" s="155" t="s">
        <v>710</v>
      </c>
      <c r="C304" s="155" t="s">
        <v>923</v>
      </c>
      <c r="D304" s="157">
        <v>0</v>
      </c>
      <c r="E304" s="157">
        <v>0</v>
      </c>
      <c r="F304" s="157">
        <v>0</v>
      </c>
      <c r="G304" s="157">
        <v>0</v>
      </c>
      <c r="H304" s="456">
        <v>0</v>
      </c>
      <c r="I304" s="157">
        <v>0</v>
      </c>
      <c r="J304" s="157">
        <v>0</v>
      </c>
      <c r="K304" s="157">
        <v>0</v>
      </c>
      <c r="L304" s="157">
        <v>0</v>
      </c>
      <c r="M304" s="157">
        <v>0</v>
      </c>
      <c r="N304" s="99">
        <f t="shared" si="38"/>
        <v>0</v>
      </c>
      <c r="O304" s="99">
        <f t="shared" si="36"/>
        <v>0</v>
      </c>
      <c r="P304" s="99">
        <f t="shared" si="39"/>
        <v>0</v>
      </c>
      <c r="Q304" s="99">
        <f t="shared" si="37"/>
        <v>0</v>
      </c>
      <c r="AH304" s="102" t="s">
        <v>694</v>
      </c>
      <c r="AI304" s="144">
        <v>0</v>
      </c>
    </row>
    <row r="305" spans="1:35">
      <c r="A305">
        <v>304</v>
      </c>
      <c r="B305" s="155" t="s">
        <v>712</v>
      </c>
      <c r="C305" s="155" t="s">
        <v>923</v>
      </c>
      <c r="D305" s="157">
        <v>0</v>
      </c>
      <c r="E305" s="157">
        <v>0</v>
      </c>
      <c r="F305" s="157">
        <v>0</v>
      </c>
      <c r="G305" s="157">
        <v>0</v>
      </c>
      <c r="H305" s="456">
        <v>0</v>
      </c>
      <c r="I305" s="157">
        <v>0</v>
      </c>
      <c r="J305" s="157">
        <v>0</v>
      </c>
      <c r="K305" s="157">
        <v>0</v>
      </c>
      <c r="L305" s="157">
        <v>0</v>
      </c>
      <c r="M305" s="157">
        <v>0</v>
      </c>
      <c r="N305" s="99">
        <f t="shared" si="38"/>
        <v>0</v>
      </c>
      <c r="O305" s="99">
        <f t="shared" si="36"/>
        <v>0</v>
      </c>
      <c r="P305" s="99">
        <f t="shared" si="39"/>
        <v>0</v>
      </c>
      <c r="Q305" s="99">
        <f t="shared" si="37"/>
        <v>0</v>
      </c>
      <c r="AH305" s="102" t="s">
        <v>696</v>
      </c>
      <c r="AI305" s="144">
        <v>0</v>
      </c>
    </row>
    <row r="306" spans="1:35">
      <c r="A306">
        <v>305</v>
      </c>
      <c r="B306" s="155" t="s">
        <v>714</v>
      </c>
      <c r="C306" s="155" t="s">
        <v>923</v>
      </c>
      <c r="D306" s="157">
        <v>0</v>
      </c>
      <c r="E306" s="157">
        <v>0</v>
      </c>
      <c r="F306" s="157">
        <v>0</v>
      </c>
      <c r="G306" s="157">
        <v>0</v>
      </c>
      <c r="H306" s="456">
        <v>0</v>
      </c>
      <c r="I306" s="157">
        <v>0</v>
      </c>
      <c r="J306" s="157">
        <v>0</v>
      </c>
      <c r="K306" s="157">
        <v>0</v>
      </c>
      <c r="L306" s="157">
        <v>0</v>
      </c>
      <c r="M306" s="157">
        <v>0</v>
      </c>
      <c r="N306" s="99">
        <f t="shared" si="38"/>
        <v>0</v>
      </c>
      <c r="O306" s="99">
        <f t="shared" si="36"/>
        <v>0</v>
      </c>
      <c r="P306" s="99">
        <f t="shared" si="39"/>
        <v>0</v>
      </c>
      <c r="Q306" s="99">
        <f t="shared" si="37"/>
        <v>0</v>
      </c>
      <c r="AH306" s="102" t="s">
        <v>698</v>
      </c>
      <c r="AI306" s="144">
        <v>0</v>
      </c>
    </row>
    <row r="307" spans="1:35">
      <c r="A307">
        <v>306</v>
      </c>
      <c r="B307" s="155" t="s">
        <v>716</v>
      </c>
      <c r="C307" s="155" t="s">
        <v>923</v>
      </c>
      <c r="D307" s="157">
        <v>0</v>
      </c>
      <c r="E307" s="157">
        <v>0</v>
      </c>
      <c r="F307" s="157">
        <v>0</v>
      </c>
      <c r="G307" s="157">
        <v>0</v>
      </c>
      <c r="H307" s="456">
        <v>0</v>
      </c>
      <c r="I307" s="157">
        <v>0</v>
      </c>
      <c r="J307" s="157">
        <v>0</v>
      </c>
      <c r="K307" s="157">
        <v>0</v>
      </c>
      <c r="L307" s="157">
        <v>0</v>
      </c>
      <c r="M307" s="157">
        <v>0</v>
      </c>
      <c r="N307" s="99">
        <f t="shared" si="38"/>
        <v>0</v>
      </c>
      <c r="O307" s="99">
        <f t="shared" si="36"/>
        <v>0</v>
      </c>
      <c r="P307" s="99">
        <f t="shared" si="39"/>
        <v>0</v>
      </c>
      <c r="Q307" s="99">
        <f t="shared" si="37"/>
        <v>0</v>
      </c>
      <c r="AH307" s="102" t="s">
        <v>709</v>
      </c>
      <c r="AI307" s="144">
        <v>-299402579359</v>
      </c>
    </row>
    <row r="308" spans="1:35">
      <c r="A308">
        <v>307</v>
      </c>
      <c r="B308" s="155" t="s">
        <v>718</v>
      </c>
      <c r="C308" s="155" t="s">
        <v>923</v>
      </c>
      <c r="D308" s="157">
        <v>0</v>
      </c>
      <c r="E308" s="157">
        <v>0</v>
      </c>
      <c r="F308" s="157">
        <v>0</v>
      </c>
      <c r="G308" s="157">
        <v>0</v>
      </c>
      <c r="H308" s="456">
        <v>0</v>
      </c>
      <c r="I308" s="157">
        <v>0</v>
      </c>
      <c r="J308" s="157">
        <v>0</v>
      </c>
      <c r="K308" s="157">
        <v>0</v>
      </c>
      <c r="L308" s="157">
        <v>0</v>
      </c>
      <c r="M308" s="157">
        <v>0</v>
      </c>
      <c r="N308" s="99">
        <f t="shared" si="38"/>
        <v>0</v>
      </c>
      <c r="O308" s="99">
        <f t="shared" si="36"/>
        <v>0</v>
      </c>
      <c r="P308" s="99">
        <f t="shared" si="39"/>
        <v>0</v>
      </c>
      <c r="Q308" s="99">
        <f t="shared" si="37"/>
        <v>0</v>
      </c>
      <c r="AH308" s="102" t="s">
        <v>711</v>
      </c>
      <c r="AI308" s="144">
        <v>0</v>
      </c>
    </row>
    <row r="309" spans="1:35">
      <c r="A309">
        <v>308</v>
      </c>
      <c r="B309" s="155" t="s">
        <v>720</v>
      </c>
      <c r="C309" s="155" t="s">
        <v>923</v>
      </c>
      <c r="D309" s="157">
        <v>0</v>
      </c>
      <c r="E309" s="157">
        <v>0</v>
      </c>
      <c r="F309" s="157">
        <v>0</v>
      </c>
      <c r="G309" s="157">
        <v>0</v>
      </c>
      <c r="H309" s="456">
        <v>0</v>
      </c>
      <c r="I309" s="157">
        <v>0</v>
      </c>
      <c r="J309" s="157">
        <v>0</v>
      </c>
      <c r="K309" s="157">
        <v>0</v>
      </c>
      <c r="L309" s="157">
        <v>0</v>
      </c>
      <c r="M309" s="157">
        <v>0</v>
      </c>
      <c r="N309" s="99">
        <f t="shared" si="38"/>
        <v>0</v>
      </c>
      <c r="O309" s="99">
        <f t="shared" si="36"/>
        <v>0</v>
      </c>
      <c r="P309" s="99">
        <f t="shared" si="39"/>
        <v>0</v>
      </c>
      <c r="Q309" s="99">
        <f t="shared" si="37"/>
        <v>0</v>
      </c>
      <c r="AH309" s="102" t="s">
        <v>713</v>
      </c>
      <c r="AI309" s="144">
        <v>0</v>
      </c>
    </row>
    <row r="310" spans="1:35">
      <c r="A310">
        <v>309</v>
      </c>
      <c r="B310" s="155" t="s">
        <v>722</v>
      </c>
      <c r="C310" s="155" t="s">
        <v>923</v>
      </c>
      <c r="D310" s="157">
        <v>0</v>
      </c>
      <c r="E310" s="157">
        <v>0</v>
      </c>
      <c r="F310" s="157">
        <v>0</v>
      </c>
      <c r="G310" s="157">
        <v>0</v>
      </c>
      <c r="H310" s="456">
        <v>0</v>
      </c>
      <c r="I310" s="157">
        <v>0</v>
      </c>
      <c r="J310" s="157">
        <v>0</v>
      </c>
      <c r="K310" s="157">
        <v>0</v>
      </c>
      <c r="L310" s="157">
        <v>0</v>
      </c>
      <c r="M310" s="157">
        <v>0</v>
      </c>
      <c r="N310" s="99">
        <f t="shared" si="38"/>
        <v>0</v>
      </c>
      <c r="O310" s="99">
        <f t="shared" si="36"/>
        <v>0</v>
      </c>
      <c r="P310" s="99">
        <f t="shared" si="39"/>
        <v>0</v>
      </c>
      <c r="Q310" s="99">
        <f t="shared" si="37"/>
        <v>0</v>
      </c>
      <c r="AH310" s="102" t="s">
        <v>715</v>
      </c>
      <c r="AI310" s="144">
        <v>0</v>
      </c>
    </row>
    <row r="311" spans="1:35">
      <c r="A311">
        <v>310</v>
      </c>
      <c r="B311" s="155" t="s">
        <v>724</v>
      </c>
      <c r="C311" s="155" t="s">
        <v>923</v>
      </c>
      <c r="D311" s="157">
        <v>0</v>
      </c>
      <c r="E311" s="157">
        <v>0</v>
      </c>
      <c r="F311" s="157">
        <v>0</v>
      </c>
      <c r="G311" s="157">
        <v>0</v>
      </c>
      <c r="H311" s="456">
        <v>0</v>
      </c>
      <c r="I311" s="157">
        <v>0</v>
      </c>
      <c r="J311" s="157">
        <v>0</v>
      </c>
      <c r="K311" s="157">
        <v>0</v>
      </c>
      <c r="L311" s="157">
        <v>0</v>
      </c>
      <c r="M311" s="157">
        <v>0</v>
      </c>
      <c r="N311" s="99">
        <f t="shared" si="38"/>
        <v>0</v>
      </c>
      <c r="O311" s="99">
        <f t="shared" si="36"/>
        <v>0</v>
      </c>
      <c r="P311" s="99">
        <f t="shared" si="39"/>
        <v>0</v>
      </c>
      <c r="Q311" s="99">
        <f t="shared" si="37"/>
        <v>0</v>
      </c>
      <c r="AH311" s="102" t="s">
        <v>717</v>
      </c>
      <c r="AI311" s="144">
        <v>0</v>
      </c>
    </row>
    <row r="312" spans="1:35">
      <c r="A312">
        <v>311</v>
      </c>
      <c r="B312" s="155" t="s">
        <v>726</v>
      </c>
      <c r="C312" s="155" t="s">
        <v>923</v>
      </c>
      <c r="D312" s="156">
        <v>-26315965100</v>
      </c>
      <c r="E312" s="156">
        <v>-29281993757</v>
      </c>
      <c r="F312" s="156">
        <v>-29284286197</v>
      </c>
      <c r="G312" s="156">
        <v>-1614070000</v>
      </c>
      <c r="H312" s="455">
        <v>-24699602660</v>
      </c>
      <c r="I312" s="156">
        <v>-2991865945</v>
      </c>
      <c r="J312" s="156">
        <v>-1115923213</v>
      </c>
      <c r="K312" s="156">
        <v>-1223201259</v>
      </c>
      <c r="L312" s="156">
        <v>-9512134009</v>
      </c>
      <c r="M312" s="156">
        <v>-9856478234</v>
      </c>
      <c r="N312" s="99">
        <f t="shared" si="38"/>
        <v>-13964267392</v>
      </c>
      <c r="O312" s="99">
        <f t="shared" si="36"/>
        <v>-29284286197</v>
      </c>
      <c r="P312" s="99">
        <f t="shared" si="39"/>
        <v>-10735335268</v>
      </c>
      <c r="Q312" s="99">
        <f t="shared" si="37"/>
        <v>-1614070000</v>
      </c>
      <c r="AH312" s="102" t="s">
        <v>719</v>
      </c>
      <c r="AI312" s="144">
        <v>0</v>
      </c>
    </row>
    <row r="313" spans="1:35">
      <c r="A313">
        <v>312</v>
      </c>
      <c r="B313" s="155" t="s">
        <v>728</v>
      </c>
      <c r="C313" s="155" t="s">
        <v>923</v>
      </c>
      <c r="D313" s="156">
        <v>-26315965100</v>
      </c>
      <c r="E313" s="157">
        <v>0</v>
      </c>
      <c r="F313" s="156">
        <v>-2292440</v>
      </c>
      <c r="G313" s="156">
        <v>-1614070000</v>
      </c>
      <c r="H313" s="455">
        <v>-24699602660</v>
      </c>
      <c r="I313" s="157">
        <v>0</v>
      </c>
      <c r="J313" s="157">
        <v>0</v>
      </c>
      <c r="K313" s="157">
        <v>0</v>
      </c>
      <c r="L313" s="156">
        <v>-6795367</v>
      </c>
      <c r="M313" s="156">
        <v>-24692807293</v>
      </c>
      <c r="N313" s="99">
        <f t="shared" si="38"/>
        <v>-24692807293</v>
      </c>
      <c r="O313" s="99">
        <f t="shared" si="36"/>
        <v>-2292440</v>
      </c>
      <c r="P313" s="99">
        <f t="shared" si="39"/>
        <v>-6795367</v>
      </c>
      <c r="Q313" s="99">
        <f t="shared" si="37"/>
        <v>-1614070000</v>
      </c>
      <c r="AH313" s="102" t="s">
        <v>721</v>
      </c>
      <c r="AI313" s="144">
        <v>0</v>
      </c>
    </row>
    <row r="314" spans="1:35">
      <c r="A314">
        <v>313</v>
      </c>
      <c r="B314" s="155" t="s">
        <v>730</v>
      </c>
      <c r="C314" s="155" t="s">
        <v>923</v>
      </c>
      <c r="D314" s="157">
        <v>0</v>
      </c>
      <c r="E314" s="156">
        <v>-29281993757</v>
      </c>
      <c r="F314" s="156">
        <v>-29281993757</v>
      </c>
      <c r="G314" s="157">
        <v>0</v>
      </c>
      <c r="H314" s="456">
        <v>0</v>
      </c>
      <c r="I314" s="156">
        <v>-2991865945</v>
      </c>
      <c r="J314" s="156">
        <v>-1115923213</v>
      </c>
      <c r="K314" s="156">
        <v>-1223201259</v>
      </c>
      <c r="L314" s="156">
        <v>-9505338642</v>
      </c>
      <c r="M314" s="156">
        <v>14836329059</v>
      </c>
      <c r="N314" s="99">
        <f t="shared" si="38"/>
        <v>10728539901</v>
      </c>
      <c r="O314" s="99">
        <f t="shared" si="36"/>
        <v>-29281993757</v>
      </c>
      <c r="P314" s="99">
        <f t="shared" si="39"/>
        <v>-10728539901</v>
      </c>
      <c r="Q314" s="99">
        <f t="shared" si="37"/>
        <v>0</v>
      </c>
      <c r="AH314" s="102" t="s">
        <v>723</v>
      </c>
      <c r="AI314" s="144">
        <v>-299402579359</v>
      </c>
    </row>
    <row r="315" spans="1:35">
      <c r="A315">
        <v>314</v>
      </c>
      <c r="B315" s="155" t="s">
        <v>732</v>
      </c>
      <c r="C315" s="155" t="s">
        <v>923</v>
      </c>
      <c r="D315" s="157">
        <v>0</v>
      </c>
      <c r="E315" s="156">
        <v>-13650492854837</v>
      </c>
      <c r="F315" s="157">
        <v>0</v>
      </c>
      <c r="G315" s="157">
        <v>0</v>
      </c>
      <c r="H315" s="455">
        <v>-13650492854837</v>
      </c>
      <c r="I315" s="157">
        <v>0</v>
      </c>
      <c r="J315" s="157">
        <v>0</v>
      </c>
      <c r="K315" s="157">
        <v>0</v>
      </c>
      <c r="L315" s="157">
        <v>0</v>
      </c>
      <c r="M315" s="156">
        <v>-13650492854837</v>
      </c>
      <c r="N315" s="99">
        <f t="shared" si="38"/>
        <v>-13650492854837</v>
      </c>
      <c r="O315" s="99">
        <f t="shared" si="36"/>
        <v>0</v>
      </c>
      <c r="P315" s="99">
        <f t="shared" si="39"/>
        <v>0</v>
      </c>
      <c r="Q315" s="99">
        <f t="shared" si="37"/>
        <v>0</v>
      </c>
      <c r="AH315" s="102" t="s">
        <v>725</v>
      </c>
      <c r="AI315" s="144">
        <v>-299402579359</v>
      </c>
    </row>
    <row r="316" spans="1:35">
      <c r="A316">
        <v>315</v>
      </c>
      <c r="B316" s="155" t="s">
        <v>734</v>
      </c>
      <c r="C316" s="155" t="s">
        <v>923</v>
      </c>
      <c r="D316" s="157">
        <v>0</v>
      </c>
      <c r="E316" s="157">
        <v>0</v>
      </c>
      <c r="F316" s="157">
        <v>0</v>
      </c>
      <c r="G316" s="157">
        <v>0</v>
      </c>
      <c r="H316" s="456">
        <v>0</v>
      </c>
      <c r="I316" s="157">
        <v>0</v>
      </c>
      <c r="J316" s="157">
        <v>0</v>
      </c>
      <c r="K316" s="157">
        <v>0</v>
      </c>
      <c r="L316" s="157">
        <v>0</v>
      </c>
      <c r="M316" s="157">
        <v>0</v>
      </c>
      <c r="N316" s="99">
        <f t="shared" si="38"/>
        <v>0</v>
      </c>
      <c r="O316" s="99">
        <f t="shared" si="36"/>
        <v>0</v>
      </c>
      <c r="P316" s="99">
        <f t="shared" si="39"/>
        <v>0</v>
      </c>
      <c r="Q316" s="99">
        <f t="shared" si="37"/>
        <v>0</v>
      </c>
      <c r="AH316" s="102" t="s">
        <v>727</v>
      </c>
      <c r="AI316" s="144">
        <v>0</v>
      </c>
    </row>
    <row r="317" spans="1:35">
      <c r="A317">
        <v>316</v>
      </c>
      <c r="B317" s="155" t="s">
        <v>736</v>
      </c>
      <c r="C317" s="155" t="s">
        <v>923</v>
      </c>
      <c r="D317" s="157">
        <v>0</v>
      </c>
      <c r="E317" s="156">
        <v>29281993757</v>
      </c>
      <c r="F317" s="157">
        <v>0</v>
      </c>
      <c r="G317" s="157">
        <v>0</v>
      </c>
      <c r="H317" s="455">
        <v>29281993757</v>
      </c>
      <c r="I317" s="157">
        <v>0</v>
      </c>
      <c r="J317" s="157">
        <v>0</v>
      </c>
      <c r="K317" s="157">
        <v>0</v>
      </c>
      <c r="L317" s="157">
        <v>0</v>
      </c>
      <c r="M317" s="156">
        <v>29281993757</v>
      </c>
      <c r="N317" s="99">
        <f t="shared" si="38"/>
        <v>29281993757</v>
      </c>
      <c r="O317" s="99">
        <f t="shared" si="36"/>
        <v>0</v>
      </c>
      <c r="P317" s="99">
        <f t="shared" si="39"/>
        <v>0</v>
      </c>
      <c r="Q317" s="99">
        <f t="shared" si="37"/>
        <v>0</v>
      </c>
      <c r="AH317" s="102" t="s">
        <v>729</v>
      </c>
      <c r="AI317" s="144">
        <v>-11811167490</v>
      </c>
    </row>
    <row r="318" spans="1:35">
      <c r="A318">
        <v>317</v>
      </c>
      <c r="B318" s="155" t="s">
        <v>738</v>
      </c>
      <c r="C318" s="155" t="s">
        <v>923</v>
      </c>
      <c r="D318" s="157">
        <v>0</v>
      </c>
      <c r="E318" s="156">
        <v>-356626729672</v>
      </c>
      <c r="F318" s="157">
        <v>0</v>
      </c>
      <c r="G318" s="157">
        <v>0</v>
      </c>
      <c r="H318" s="455">
        <v>-356626729672</v>
      </c>
      <c r="I318" s="157">
        <v>0</v>
      </c>
      <c r="J318" s="157">
        <v>0</v>
      </c>
      <c r="K318" s="157">
        <v>0</v>
      </c>
      <c r="L318" s="157">
        <v>0</v>
      </c>
      <c r="M318" s="156">
        <v>-356626729672</v>
      </c>
      <c r="N318" s="99">
        <f t="shared" si="38"/>
        <v>-356626729672</v>
      </c>
      <c r="O318" s="99">
        <f t="shared" si="36"/>
        <v>0</v>
      </c>
      <c r="P318" s="99">
        <f t="shared" si="39"/>
        <v>0</v>
      </c>
      <c r="Q318" s="99">
        <f t="shared" si="37"/>
        <v>0</v>
      </c>
      <c r="AH318" s="102" t="s">
        <v>731</v>
      </c>
      <c r="AI318" s="144">
        <v>-23607210605</v>
      </c>
    </row>
    <row r="319" spans="1:35">
      <c r="A319">
        <v>318</v>
      </c>
      <c r="B319" s="155" t="s">
        <v>740</v>
      </c>
      <c r="C319" s="155" t="s">
        <v>923</v>
      </c>
      <c r="D319" s="157">
        <v>0</v>
      </c>
      <c r="E319" s="156">
        <v>-13323148118922</v>
      </c>
      <c r="F319" s="157">
        <v>0</v>
      </c>
      <c r="G319" s="157">
        <v>0</v>
      </c>
      <c r="H319" s="455">
        <v>-13323148118922</v>
      </c>
      <c r="I319" s="157">
        <v>0</v>
      </c>
      <c r="J319" s="157">
        <v>0</v>
      </c>
      <c r="K319" s="157">
        <v>0</v>
      </c>
      <c r="L319" s="157">
        <v>0</v>
      </c>
      <c r="M319" s="156">
        <v>-13323148118922</v>
      </c>
      <c r="N319" s="99">
        <f t="shared" si="38"/>
        <v>-13323148118922</v>
      </c>
      <c r="O319" s="99">
        <f t="shared" si="36"/>
        <v>0</v>
      </c>
      <c r="P319" s="99">
        <f t="shared" si="39"/>
        <v>0</v>
      </c>
      <c r="Q319" s="99">
        <f t="shared" si="37"/>
        <v>0</v>
      </c>
      <c r="AH319" s="102" t="s">
        <v>733</v>
      </c>
      <c r="AI319" s="144">
        <v>0</v>
      </c>
    </row>
    <row r="320" spans="1:35">
      <c r="A320">
        <v>319</v>
      </c>
      <c r="B320" s="155" t="s">
        <v>742</v>
      </c>
      <c r="C320" s="155" t="s">
        <v>923</v>
      </c>
      <c r="D320" s="156">
        <v>-2436501555669</v>
      </c>
      <c r="E320" s="156">
        <v>59203</v>
      </c>
      <c r="F320" s="157">
        <v>0</v>
      </c>
      <c r="G320" s="157">
        <v>0</v>
      </c>
      <c r="H320" s="455">
        <v>-2436501496466</v>
      </c>
      <c r="I320" s="156">
        <v>128957332230</v>
      </c>
      <c r="J320" s="157">
        <v>0</v>
      </c>
      <c r="K320" s="157">
        <v>0</v>
      </c>
      <c r="L320" s="156">
        <v>21221748164</v>
      </c>
      <c r="M320" s="156">
        <v>-2586680576860</v>
      </c>
      <c r="N320" s="99">
        <f t="shared" si="38"/>
        <v>-2457723244630</v>
      </c>
      <c r="O320" s="99">
        <f t="shared" si="36"/>
        <v>0</v>
      </c>
      <c r="P320" s="99">
        <f t="shared" si="39"/>
        <v>21221748164</v>
      </c>
      <c r="Q320" s="99">
        <f t="shared" si="37"/>
        <v>0</v>
      </c>
      <c r="AH320" s="102" t="s">
        <v>735</v>
      </c>
      <c r="AI320" s="144">
        <v>0</v>
      </c>
    </row>
    <row r="321" spans="1:35">
      <c r="A321">
        <v>320</v>
      </c>
      <c r="B321" s="155" t="s">
        <v>744</v>
      </c>
      <c r="C321" s="155" t="s">
        <v>923</v>
      </c>
      <c r="D321" s="156">
        <v>-990714745000</v>
      </c>
      <c r="E321" s="157">
        <v>0</v>
      </c>
      <c r="F321" s="157">
        <v>0</v>
      </c>
      <c r="G321" s="157">
        <v>0</v>
      </c>
      <c r="H321" s="455">
        <v>-990714745000</v>
      </c>
      <c r="I321" s="157">
        <v>0</v>
      </c>
      <c r="J321" s="157">
        <v>0</v>
      </c>
      <c r="K321" s="157">
        <v>0</v>
      </c>
      <c r="L321" s="157">
        <v>0</v>
      </c>
      <c r="M321" s="156">
        <v>-990714745000</v>
      </c>
      <c r="N321" s="99">
        <f t="shared" si="38"/>
        <v>-990714745000</v>
      </c>
      <c r="O321" s="99">
        <f t="shared" si="36"/>
        <v>0</v>
      </c>
      <c r="P321" s="99">
        <f t="shared" si="39"/>
        <v>0</v>
      </c>
      <c r="Q321" s="99">
        <f t="shared" si="37"/>
        <v>0</v>
      </c>
      <c r="AH321" s="102" t="s">
        <v>737</v>
      </c>
      <c r="AI321" s="144">
        <v>0</v>
      </c>
    </row>
    <row r="322" spans="1:35">
      <c r="A322">
        <v>321</v>
      </c>
      <c r="B322" s="155" t="s">
        <v>746</v>
      </c>
      <c r="C322" s="155" t="s">
        <v>923</v>
      </c>
      <c r="D322" s="157">
        <v>0</v>
      </c>
      <c r="E322" s="157">
        <v>0</v>
      </c>
      <c r="F322" s="157">
        <v>0</v>
      </c>
      <c r="G322" s="157">
        <v>0</v>
      </c>
      <c r="H322" s="456">
        <v>0</v>
      </c>
      <c r="I322" s="157">
        <v>0</v>
      </c>
      <c r="J322" s="157">
        <v>0</v>
      </c>
      <c r="K322" s="157">
        <v>0</v>
      </c>
      <c r="L322" s="157">
        <v>0</v>
      </c>
      <c r="M322" s="157">
        <v>0</v>
      </c>
      <c r="N322" s="99">
        <f t="shared" si="38"/>
        <v>0</v>
      </c>
      <c r="O322" s="99">
        <f t="shared" ref="O322:O368" si="40">+F322</f>
        <v>0</v>
      </c>
      <c r="P322" s="99">
        <f t="shared" si="39"/>
        <v>0</v>
      </c>
      <c r="Q322" s="99">
        <f t="shared" ref="Q322:Q368" si="41">+G322</f>
        <v>0</v>
      </c>
      <c r="AH322" s="102" t="s">
        <v>739</v>
      </c>
      <c r="AI322" s="144">
        <v>0</v>
      </c>
    </row>
    <row r="323" spans="1:35">
      <c r="A323">
        <v>322</v>
      </c>
      <c r="B323" s="155" t="s">
        <v>748</v>
      </c>
      <c r="C323" s="155" t="s">
        <v>923</v>
      </c>
      <c r="D323" s="157">
        <v>0</v>
      </c>
      <c r="E323" s="157">
        <v>0</v>
      </c>
      <c r="F323" s="157">
        <v>0</v>
      </c>
      <c r="G323" s="157">
        <v>0</v>
      </c>
      <c r="H323" s="456">
        <v>0</v>
      </c>
      <c r="I323" s="157">
        <v>0</v>
      </c>
      <c r="J323" s="157">
        <v>0</v>
      </c>
      <c r="K323" s="157">
        <v>0</v>
      </c>
      <c r="L323" s="157">
        <v>0</v>
      </c>
      <c r="M323" s="157">
        <v>0</v>
      </c>
      <c r="N323" s="99">
        <f t="shared" ref="N323:N368" si="42">+M323+I323+J323</f>
        <v>0</v>
      </c>
      <c r="O323" s="99">
        <f t="shared" si="40"/>
        <v>0</v>
      </c>
      <c r="P323" s="99">
        <f t="shared" ref="P323:P368" si="43">+K323+L323</f>
        <v>0</v>
      </c>
      <c r="Q323" s="99">
        <f t="shared" si="41"/>
        <v>0</v>
      </c>
      <c r="AH323" s="102" t="s">
        <v>741</v>
      </c>
      <c r="AI323" s="144">
        <v>0</v>
      </c>
    </row>
    <row r="324" spans="1:35">
      <c r="A324">
        <v>323</v>
      </c>
      <c r="B324" s="155" t="s">
        <v>750</v>
      </c>
      <c r="C324" s="155" t="s">
        <v>923</v>
      </c>
      <c r="D324" s="156">
        <v>-885080945000</v>
      </c>
      <c r="E324" s="157">
        <v>0</v>
      </c>
      <c r="F324" s="157">
        <v>0</v>
      </c>
      <c r="G324" s="157">
        <v>0</v>
      </c>
      <c r="H324" s="455">
        <v>-885080945000</v>
      </c>
      <c r="I324" s="157">
        <v>0</v>
      </c>
      <c r="J324" s="157">
        <v>0</v>
      </c>
      <c r="K324" s="157">
        <v>0</v>
      </c>
      <c r="L324" s="157">
        <v>0</v>
      </c>
      <c r="M324" s="156">
        <v>-885080945000</v>
      </c>
      <c r="N324" s="99">
        <f t="shared" si="42"/>
        <v>-885080945000</v>
      </c>
      <c r="O324" s="99">
        <f t="shared" si="40"/>
        <v>0</v>
      </c>
      <c r="P324" s="99">
        <f t="shared" si="43"/>
        <v>0</v>
      </c>
      <c r="Q324" s="99">
        <f t="shared" si="41"/>
        <v>0</v>
      </c>
      <c r="AH324" s="102" t="s">
        <v>743</v>
      </c>
      <c r="AI324" s="144">
        <v>11796043115</v>
      </c>
    </row>
    <row r="325" spans="1:35">
      <c r="A325">
        <v>324</v>
      </c>
      <c r="B325" s="155" t="s">
        <v>752</v>
      </c>
      <c r="C325" s="155" t="s">
        <v>923</v>
      </c>
      <c r="D325" s="157">
        <v>0</v>
      </c>
      <c r="E325" s="157">
        <v>0</v>
      </c>
      <c r="F325" s="157">
        <v>0</v>
      </c>
      <c r="G325" s="157">
        <v>0</v>
      </c>
      <c r="H325" s="456">
        <v>0</v>
      </c>
      <c r="I325" s="157">
        <v>0</v>
      </c>
      <c r="J325" s="157">
        <v>0</v>
      </c>
      <c r="K325" s="157">
        <v>0</v>
      </c>
      <c r="L325" s="157">
        <v>0</v>
      </c>
      <c r="M325" s="157">
        <v>0</v>
      </c>
      <c r="N325" s="99">
        <f t="shared" si="42"/>
        <v>0</v>
      </c>
      <c r="O325" s="99">
        <f t="shared" si="40"/>
        <v>0</v>
      </c>
      <c r="P325" s="99">
        <f t="shared" si="43"/>
        <v>0</v>
      </c>
      <c r="Q325" s="99">
        <f t="shared" si="41"/>
        <v>0</v>
      </c>
      <c r="AH325" s="102" t="s">
        <v>745</v>
      </c>
      <c r="AI325" s="144">
        <v>11796043115</v>
      </c>
    </row>
    <row r="326" spans="1:35">
      <c r="A326">
        <v>325</v>
      </c>
      <c r="B326" s="155" t="s">
        <v>754</v>
      </c>
      <c r="C326" s="155" t="s">
        <v>923</v>
      </c>
      <c r="D326" s="156">
        <v>-105633800000</v>
      </c>
      <c r="E326" s="157">
        <v>0</v>
      </c>
      <c r="F326" s="157">
        <v>0</v>
      </c>
      <c r="G326" s="157">
        <v>0</v>
      </c>
      <c r="H326" s="455">
        <v>-105633800000</v>
      </c>
      <c r="I326" s="157">
        <v>0</v>
      </c>
      <c r="J326" s="157">
        <v>0</v>
      </c>
      <c r="K326" s="157">
        <v>0</v>
      </c>
      <c r="L326" s="157">
        <v>0</v>
      </c>
      <c r="M326" s="156">
        <v>-105633800000</v>
      </c>
      <c r="N326" s="99">
        <f t="shared" si="42"/>
        <v>-105633800000</v>
      </c>
      <c r="O326" s="99">
        <f t="shared" si="40"/>
        <v>0</v>
      </c>
      <c r="P326" s="99">
        <f t="shared" si="43"/>
        <v>0</v>
      </c>
      <c r="Q326" s="99">
        <f t="shared" si="41"/>
        <v>0</v>
      </c>
      <c r="AH326" s="102" t="s">
        <v>747</v>
      </c>
      <c r="AI326" s="144">
        <v>0</v>
      </c>
    </row>
    <row r="327" spans="1:35">
      <c r="A327">
        <v>326</v>
      </c>
      <c r="B327" s="155" t="s">
        <v>756</v>
      </c>
      <c r="C327" s="155" t="s">
        <v>923</v>
      </c>
      <c r="D327" s="157">
        <v>0</v>
      </c>
      <c r="E327" s="157">
        <v>0</v>
      </c>
      <c r="F327" s="157">
        <v>0</v>
      </c>
      <c r="G327" s="157">
        <v>0</v>
      </c>
      <c r="H327" s="456">
        <v>0</v>
      </c>
      <c r="I327" s="157">
        <v>0</v>
      </c>
      <c r="J327" s="157">
        <v>0</v>
      </c>
      <c r="K327" s="157">
        <v>0</v>
      </c>
      <c r="L327" s="157">
        <v>0</v>
      </c>
      <c r="M327" s="157">
        <v>0</v>
      </c>
      <c r="N327" s="99">
        <f t="shared" si="42"/>
        <v>0</v>
      </c>
      <c r="O327" s="99">
        <f t="shared" si="40"/>
        <v>0</v>
      </c>
      <c r="P327" s="99">
        <f t="shared" si="43"/>
        <v>0</v>
      </c>
      <c r="Q327" s="99">
        <f t="shared" si="41"/>
        <v>0</v>
      </c>
      <c r="AH327" s="102" t="s">
        <v>749</v>
      </c>
      <c r="AI327" s="144">
        <v>-2079621929</v>
      </c>
    </row>
    <row r="328" spans="1:35">
      <c r="A328">
        <v>327</v>
      </c>
      <c r="B328" s="155" t="s">
        <v>758</v>
      </c>
      <c r="C328" s="155" t="s">
        <v>923</v>
      </c>
      <c r="D328" s="156">
        <v>-181384483840</v>
      </c>
      <c r="E328" s="157">
        <v>0</v>
      </c>
      <c r="F328" s="157">
        <v>0</v>
      </c>
      <c r="G328" s="157">
        <v>0</v>
      </c>
      <c r="H328" s="455">
        <v>-181384483840</v>
      </c>
      <c r="I328" s="157">
        <v>0</v>
      </c>
      <c r="J328" s="157">
        <v>0</v>
      </c>
      <c r="K328" s="157">
        <v>0</v>
      </c>
      <c r="L328" s="157">
        <v>0</v>
      </c>
      <c r="M328" s="156">
        <v>-181384483840</v>
      </c>
      <c r="N328" s="99">
        <f t="shared" si="42"/>
        <v>-181384483840</v>
      </c>
      <c r="O328" s="99">
        <f t="shared" si="40"/>
        <v>0</v>
      </c>
      <c r="P328" s="99">
        <f t="shared" si="43"/>
        <v>0</v>
      </c>
      <c r="Q328" s="99">
        <f t="shared" si="41"/>
        <v>0</v>
      </c>
      <c r="AH328" s="102" t="s">
        <v>751</v>
      </c>
      <c r="AI328" s="144">
        <v>-1793957866</v>
      </c>
    </row>
    <row r="329" spans="1:35">
      <c r="A329">
        <v>328</v>
      </c>
      <c r="B329" s="155" t="s">
        <v>760</v>
      </c>
      <c r="C329" s="155" t="s">
        <v>923</v>
      </c>
      <c r="D329" s="156">
        <v>-181361275262</v>
      </c>
      <c r="E329" s="157">
        <v>0</v>
      </c>
      <c r="F329" s="157">
        <v>0</v>
      </c>
      <c r="G329" s="157">
        <v>0</v>
      </c>
      <c r="H329" s="455">
        <v>-181361275262</v>
      </c>
      <c r="I329" s="157">
        <v>0</v>
      </c>
      <c r="J329" s="157">
        <v>0</v>
      </c>
      <c r="K329" s="157">
        <v>0</v>
      </c>
      <c r="L329" s="157">
        <v>0</v>
      </c>
      <c r="M329" s="156">
        <v>-181361275262</v>
      </c>
      <c r="N329" s="99">
        <f t="shared" si="42"/>
        <v>-181361275262</v>
      </c>
      <c r="O329" s="99">
        <f t="shared" si="40"/>
        <v>0</v>
      </c>
      <c r="P329" s="99">
        <f t="shared" si="43"/>
        <v>0</v>
      </c>
      <c r="Q329" s="99">
        <f t="shared" si="41"/>
        <v>0</v>
      </c>
      <c r="AH329" s="102" t="s">
        <v>753</v>
      </c>
      <c r="AI329" s="144">
        <v>0</v>
      </c>
    </row>
    <row r="330" spans="1:35">
      <c r="A330">
        <v>329</v>
      </c>
      <c r="B330" s="155" t="s">
        <v>762</v>
      </c>
      <c r="C330" s="155" t="s">
        <v>923</v>
      </c>
      <c r="D330" s="157">
        <v>0</v>
      </c>
      <c r="E330" s="157">
        <v>0</v>
      </c>
      <c r="F330" s="157">
        <v>0</v>
      </c>
      <c r="G330" s="157">
        <v>0</v>
      </c>
      <c r="H330" s="456">
        <v>0</v>
      </c>
      <c r="I330" s="157">
        <v>0</v>
      </c>
      <c r="J330" s="157">
        <v>0</v>
      </c>
      <c r="K330" s="157">
        <v>0</v>
      </c>
      <c r="L330" s="157">
        <v>0</v>
      </c>
      <c r="M330" s="157">
        <v>0</v>
      </c>
      <c r="N330" s="99">
        <f t="shared" si="42"/>
        <v>0</v>
      </c>
      <c r="O330" s="99">
        <f t="shared" si="40"/>
        <v>0</v>
      </c>
      <c r="P330" s="99">
        <f t="shared" si="43"/>
        <v>0</v>
      </c>
      <c r="Q330" s="99">
        <f t="shared" si="41"/>
        <v>0</v>
      </c>
      <c r="AH330" s="102" t="s">
        <v>755</v>
      </c>
      <c r="AI330" s="144">
        <v>-285664063</v>
      </c>
    </row>
    <row r="331" spans="1:35">
      <c r="A331">
        <v>330</v>
      </c>
      <c r="B331" s="155" t="s">
        <v>764</v>
      </c>
      <c r="C331" s="155" t="s">
        <v>923</v>
      </c>
      <c r="D331" s="157">
        <v>0</v>
      </c>
      <c r="E331" s="157">
        <v>0</v>
      </c>
      <c r="F331" s="157">
        <v>0</v>
      </c>
      <c r="G331" s="157">
        <v>0</v>
      </c>
      <c r="H331" s="456">
        <v>0</v>
      </c>
      <c r="I331" s="157">
        <v>0</v>
      </c>
      <c r="J331" s="157">
        <v>0</v>
      </c>
      <c r="K331" s="157">
        <v>0</v>
      </c>
      <c r="L331" s="157">
        <v>0</v>
      </c>
      <c r="M331" s="157">
        <v>0</v>
      </c>
      <c r="N331" s="99">
        <f t="shared" si="42"/>
        <v>0</v>
      </c>
      <c r="O331" s="99">
        <f t="shared" si="40"/>
        <v>0</v>
      </c>
      <c r="P331" s="99">
        <f t="shared" si="43"/>
        <v>0</v>
      </c>
      <c r="Q331" s="99">
        <f t="shared" si="41"/>
        <v>0</v>
      </c>
      <c r="AH331" s="102" t="s">
        <v>757</v>
      </c>
      <c r="AI331" s="144">
        <v>-285664063</v>
      </c>
    </row>
    <row r="332" spans="1:35">
      <c r="A332">
        <v>331</v>
      </c>
      <c r="B332" s="155" t="s">
        <v>924</v>
      </c>
      <c r="C332" s="155" t="s">
        <v>923</v>
      </c>
      <c r="D332" s="156">
        <v>-23208578</v>
      </c>
      <c r="E332" s="157">
        <v>0</v>
      </c>
      <c r="F332" s="157">
        <v>0</v>
      </c>
      <c r="G332" s="157">
        <v>0</v>
      </c>
      <c r="H332" s="455">
        <v>-23208578</v>
      </c>
      <c r="I332" s="157">
        <v>0</v>
      </c>
      <c r="J332" s="157">
        <v>0</v>
      </c>
      <c r="K332" s="157">
        <v>0</v>
      </c>
      <c r="L332" s="157">
        <v>0</v>
      </c>
      <c r="M332" s="156">
        <v>-23208578</v>
      </c>
      <c r="N332" s="99">
        <f t="shared" si="42"/>
        <v>-23208578</v>
      </c>
      <c r="O332" s="99">
        <f t="shared" si="40"/>
        <v>0</v>
      </c>
      <c r="P332" s="99">
        <f t="shared" si="43"/>
        <v>0</v>
      </c>
      <c r="Q332" s="99">
        <f t="shared" si="41"/>
        <v>0</v>
      </c>
      <c r="AH332" s="102" t="s">
        <v>759</v>
      </c>
      <c r="AI332" s="144">
        <v>0</v>
      </c>
    </row>
    <row r="333" spans="1:35">
      <c r="A333">
        <v>332</v>
      </c>
      <c r="B333" s="155" t="s">
        <v>925</v>
      </c>
      <c r="C333" s="155" t="s">
        <v>923</v>
      </c>
      <c r="D333" s="157">
        <v>0</v>
      </c>
      <c r="E333" s="157">
        <v>0</v>
      </c>
      <c r="F333" s="157">
        <v>0</v>
      </c>
      <c r="G333" s="157">
        <v>0</v>
      </c>
      <c r="H333" s="456">
        <v>0</v>
      </c>
      <c r="I333" s="157">
        <v>0</v>
      </c>
      <c r="J333" s="157">
        <v>0</v>
      </c>
      <c r="K333" s="157">
        <v>0</v>
      </c>
      <c r="L333" s="157">
        <v>0</v>
      </c>
      <c r="M333" s="157">
        <v>0</v>
      </c>
      <c r="N333" s="99">
        <f t="shared" si="42"/>
        <v>0</v>
      </c>
      <c r="O333" s="99">
        <f t="shared" si="40"/>
        <v>0</v>
      </c>
      <c r="P333" s="99">
        <f t="shared" si="43"/>
        <v>0</v>
      </c>
      <c r="Q333" s="99">
        <f t="shared" si="41"/>
        <v>0</v>
      </c>
      <c r="AH333" s="102" t="s">
        <v>761</v>
      </c>
      <c r="AI333" s="144">
        <v>-196703880689</v>
      </c>
    </row>
    <row r="334" spans="1:35">
      <c r="A334">
        <v>333</v>
      </c>
      <c r="B334" s="155" t="s">
        <v>926</v>
      </c>
      <c r="C334" s="155" t="s">
        <v>923</v>
      </c>
      <c r="D334" s="157">
        <v>0</v>
      </c>
      <c r="E334" s="157">
        <v>0</v>
      </c>
      <c r="F334" s="157">
        <v>0</v>
      </c>
      <c r="G334" s="157">
        <v>0</v>
      </c>
      <c r="H334" s="456">
        <v>0</v>
      </c>
      <c r="I334" s="157">
        <v>0</v>
      </c>
      <c r="J334" s="157">
        <v>0</v>
      </c>
      <c r="K334" s="157">
        <v>0</v>
      </c>
      <c r="L334" s="157">
        <v>0</v>
      </c>
      <c r="M334" s="157">
        <v>0</v>
      </c>
      <c r="N334" s="99">
        <f t="shared" si="42"/>
        <v>0</v>
      </c>
      <c r="O334" s="99">
        <f t="shared" si="40"/>
        <v>0</v>
      </c>
      <c r="P334" s="99">
        <f t="shared" si="43"/>
        <v>0</v>
      </c>
      <c r="Q334" s="99">
        <f t="shared" si="41"/>
        <v>0</v>
      </c>
      <c r="AH334" s="102" t="s">
        <v>763</v>
      </c>
      <c r="AI334" s="144">
        <v>-128692618754</v>
      </c>
    </row>
    <row r="335" spans="1:35">
      <c r="A335">
        <v>334</v>
      </c>
      <c r="B335" s="155" t="s">
        <v>927</v>
      </c>
      <c r="C335" s="155" t="s">
        <v>923</v>
      </c>
      <c r="D335" s="157">
        <v>0</v>
      </c>
      <c r="E335" s="157">
        <v>0</v>
      </c>
      <c r="F335" s="157">
        <v>0</v>
      </c>
      <c r="G335" s="157">
        <v>0</v>
      </c>
      <c r="H335" s="456">
        <v>0</v>
      </c>
      <c r="I335" s="157">
        <v>0</v>
      </c>
      <c r="J335" s="157">
        <v>0</v>
      </c>
      <c r="K335" s="157">
        <v>0</v>
      </c>
      <c r="L335" s="157">
        <v>0</v>
      </c>
      <c r="M335" s="157">
        <v>0</v>
      </c>
      <c r="N335" s="99">
        <f t="shared" si="42"/>
        <v>0</v>
      </c>
      <c r="O335" s="99">
        <f t="shared" si="40"/>
        <v>0</v>
      </c>
      <c r="P335" s="99">
        <f t="shared" si="43"/>
        <v>0</v>
      </c>
      <c r="Q335" s="99">
        <f t="shared" si="41"/>
        <v>0</v>
      </c>
      <c r="AH335" s="102" t="s">
        <v>765</v>
      </c>
      <c r="AI335" s="144">
        <v>-15978690584</v>
      </c>
    </row>
    <row r="336" spans="1:35">
      <c r="A336">
        <v>335</v>
      </c>
      <c r="B336" s="155" t="s">
        <v>771</v>
      </c>
      <c r="C336" s="155" t="s">
        <v>923</v>
      </c>
      <c r="D336" s="156">
        <v>-2067824468220</v>
      </c>
      <c r="E336" s="157">
        <v>0</v>
      </c>
      <c r="F336" s="157">
        <v>0</v>
      </c>
      <c r="G336" s="157">
        <v>0</v>
      </c>
      <c r="H336" s="455">
        <v>-2067824468220</v>
      </c>
      <c r="I336" s="157">
        <v>0</v>
      </c>
      <c r="J336" s="157">
        <v>0</v>
      </c>
      <c r="K336" s="157">
        <v>0</v>
      </c>
      <c r="L336" s="157">
        <v>0</v>
      </c>
      <c r="M336" s="156">
        <v>-2067824468220</v>
      </c>
      <c r="N336" s="99">
        <f t="shared" si="42"/>
        <v>-2067824468220</v>
      </c>
      <c r="O336" s="99">
        <f t="shared" si="40"/>
        <v>0</v>
      </c>
      <c r="P336" s="99">
        <f t="shared" si="43"/>
        <v>0</v>
      </c>
      <c r="Q336" s="99">
        <f t="shared" si="41"/>
        <v>0</v>
      </c>
      <c r="AH336" s="102" t="s">
        <v>766</v>
      </c>
      <c r="AI336" s="144">
        <v>-59854245966</v>
      </c>
    </row>
    <row r="337" spans="1:35">
      <c r="A337">
        <v>336</v>
      </c>
      <c r="B337" s="155" t="s">
        <v>773</v>
      </c>
      <c r="C337" s="155" t="s">
        <v>923</v>
      </c>
      <c r="D337" s="156">
        <v>-29423725175</v>
      </c>
      <c r="E337" s="157">
        <v>0</v>
      </c>
      <c r="F337" s="157">
        <v>0</v>
      </c>
      <c r="G337" s="157">
        <v>0</v>
      </c>
      <c r="H337" s="455">
        <v>-29423725175</v>
      </c>
      <c r="I337" s="157">
        <v>0</v>
      </c>
      <c r="J337" s="157">
        <v>0</v>
      </c>
      <c r="K337" s="157">
        <v>0</v>
      </c>
      <c r="L337" s="157">
        <v>0</v>
      </c>
      <c r="M337" s="156">
        <v>-29423725175</v>
      </c>
      <c r="N337" s="99">
        <f t="shared" si="42"/>
        <v>-29423725175</v>
      </c>
      <c r="O337" s="99">
        <f t="shared" si="40"/>
        <v>0</v>
      </c>
      <c r="P337" s="99">
        <f t="shared" si="43"/>
        <v>0</v>
      </c>
      <c r="Q337" s="99">
        <f t="shared" si="41"/>
        <v>0</v>
      </c>
      <c r="AH337" s="102" t="s">
        <v>768</v>
      </c>
      <c r="AI337" s="144">
        <v>0</v>
      </c>
    </row>
    <row r="338" spans="1:35">
      <c r="A338">
        <v>337</v>
      </c>
      <c r="B338" s="155" t="s">
        <v>775</v>
      </c>
      <c r="C338" s="155" t="s">
        <v>923</v>
      </c>
      <c r="D338" s="157">
        <v>0</v>
      </c>
      <c r="E338" s="157">
        <v>0</v>
      </c>
      <c r="F338" s="157">
        <v>0</v>
      </c>
      <c r="G338" s="157">
        <v>0</v>
      </c>
      <c r="H338" s="456">
        <v>0</v>
      </c>
      <c r="I338" s="157">
        <v>0</v>
      </c>
      <c r="J338" s="157">
        <v>0</v>
      </c>
      <c r="K338" s="157">
        <v>0</v>
      </c>
      <c r="L338" s="157">
        <v>0</v>
      </c>
      <c r="M338" s="157">
        <v>0</v>
      </c>
      <c r="N338" s="99">
        <f t="shared" si="42"/>
        <v>0</v>
      </c>
      <c r="O338" s="99">
        <f t="shared" si="40"/>
        <v>0</v>
      </c>
      <c r="P338" s="99">
        <f t="shared" si="43"/>
        <v>0</v>
      </c>
      <c r="Q338" s="99">
        <f t="shared" si="41"/>
        <v>0</v>
      </c>
      <c r="AH338" s="102" t="s">
        <v>769</v>
      </c>
      <c r="AI338" s="144">
        <v>-106188370</v>
      </c>
    </row>
    <row r="339" spans="1:35">
      <c r="A339">
        <v>338</v>
      </c>
      <c r="B339" s="155" t="s">
        <v>777</v>
      </c>
      <c r="C339" s="155" t="s">
        <v>923</v>
      </c>
      <c r="D339" s="157">
        <v>0</v>
      </c>
      <c r="E339" s="157">
        <v>0</v>
      </c>
      <c r="F339" s="157">
        <v>0</v>
      </c>
      <c r="G339" s="157">
        <v>0</v>
      </c>
      <c r="H339" s="456">
        <v>0</v>
      </c>
      <c r="I339" s="157">
        <v>0</v>
      </c>
      <c r="J339" s="157">
        <v>0</v>
      </c>
      <c r="K339" s="157">
        <v>0</v>
      </c>
      <c r="L339" s="157">
        <v>0</v>
      </c>
      <c r="M339" s="157">
        <v>0</v>
      </c>
      <c r="N339" s="99">
        <f t="shared" si="42"/>
        <v>0</v>
      </c>
      <c r="O339" s="99">
        <f t="shared" si="40"/>
        <v>0</v>
      </c>
      <c r="P339" s="99">
        <f t="shared" si="43"/>
        <v>0</v>
      </c>
      <c r="Q339" s="99">
        <f t="shared" si="41"/>
        <v>0</v>
      </c>
      <c r="AH339" s="102" t="s">
        <v>770</v>
      </c>
      <c r="AI339" s="144">
        <v>-9441661977</v>
      </c>
    </row>
    <row r="340" spans="1:35">
      <c r="A340">
        <v>339</v>
      </c>
      <c r="B340" s="155" t="s">
        <v>779</v>
      </c>
      <c r="C340" s="155" t="s">
        <v>923</v>
      </c>
      <c r="D340" s="156">
        <v>-8123039400</v>
      </c>
      <c r="E340" s="157">
        <v>0</v>
      </c>
      <c r="F340" s="157">
        <v>0</v>
      </c>
      <c r="G340" s="157">
        <v>0</v>
      </c>
      <c r="H340" s="455">
        <v>-8123039400</v>
      </c>
      <c r="I340" s="157">
        <v>0</v>
      </c>
      <c r="J340" s="157">
        <v>0</v>
      </c>
      <c r="K340" s="157">
        <v>0</v>
      </c>
      <c r="L340" s="157">
        <v>0</v>
      </c>
      <c r="M340" s="156">
        <v>-8123039400</v>
      </c>
      <c r="N340" s="99">
        <f t="shared" si="42"/>
        <v>-8123039400</v>
      </c>
      <c r="O340" s="99">
        <f t="shared" si="40"/>
        <v>0</v>
      </c>
      <c r="P340" s="99">
        <f t="shared" si="43"/>
        <v>0</v>
      </c>
      <c r="Q340" s="99">
        <f t="shared" si="41"/>
        <v>0</v>
      </c>
      <c r="AH340" s="102" t="s">
        <v>772</v>
      </c>
      <c r="AI340" s="144">
        <v>0</v>
      </c>
    </row>
    <row r="341" spans="1:35">
      <c r="A341">
        <v>340</v>
      </c>
      <c r="B341" s="155" t="s">
        <v>781</v>
      </c>
      <c r="C341" s="155" t="s">
        <v>923</v>
      </c>
      <c r="D341" s="157">
        <v>0</v>
      </c>
      <c r="E341" s="157">
        <v>0</v>
      </c>
      <c r="F341" s="157">
        <v>0</v>
      </c>
      <c r="G341" s="157">
        <v>0</v>
      </c>
      <c r="H341" s="456">
        <v>0</v>
      </c>
      <c r="I341" s="157">
        <v>0</v>
      </c>
      <c r="J341" s="157">
        <v>0</v>
      </c>
      <c r="K341" s="157">
        <v>0</v>
      </c>
      <c r="L341" s="157">
        <v>0</v>
      </c>
      <c r="M341" s="157">
        <v>0</v>
      </c>
      <c r="N341" s="99">
        <f t="shared" si="42"/>
        <v>0</v>
      </c>
      <c r="O341" s="99">
        <f t="shared" si="40"/>
        <v>0</v>
      </c>
      <c r="P341" s="99">
        <f t="shared" si="43"/>
        <v>0</v>
      </c>
      <c r="Q341" s="99">
        <f t="shared" si="41"/>
        <v>0</v>
      </c>
      <c r="AH341" s="102" t="s">
        <v>774</v>
      </c>
      <c r="AI341" s="144">
        <v>0</v>
      </c>
    </row>
    <row r="342" spans="1:35">
      <c r="A342">
        <v>341</v>
      </c>
      <c r="B342" s="155" t="s">
        <v>783</v>
      </c>
      <c r="C342" s="155" t="s">
        <v>923</v>
      </c>
      <c r="D342" s="156">
        <v>-609270014817</v>
      </c>
      <c r="E342" s="157">
        <v>0</v>
      </c>
      <c r="F342" s="157">
        <v>0</v>
      </c>
      <c r="G342" s="157">
        <v>0</v>
      </c>
      <c r="H342" s="455">
        <v>-609270014817</v>
      </c>
      <c r="I342" s="157">
        <v>0</v>
      </c>
      <c r="J342" s="157">
        <v>0</v>
      </c>
      <c r="K342" s="157">
        <v>0</v>
      </c>
      <c r="L342" s="157">
        <v>0</v>
      </c>
      <c r="M342" s="156">
        <v>-609270014817</v>
      </c>
      <c r="N342" s="99">
        <f t="shared" si="42"/>
        <v>-609270014817</v>
      </c>
      <c r="O342" s="99">
        <f t="shared" si="40"/>
        <v>0</v>
      </c>
      <c r="P342" s="99">
        <f t="shared" si="43"/>
        <v>0</v>
      </c>
      <c r="Q342" s="99">
        <f t="shared" si="41"/>
        <v>0</v>
      </c>
      <c r="AH342" s="102" t="s">
        <v>776</v>
      </c>
      <c r="AI342" s="144">
        <v>0</v>
      </c>
    </row>
    <row r="343" spans="1:35">
      <c r="A343">
        <v>342</v>
      </c>
      <c r="B343" s="155" t="s">
        <v>785</v>
      </c>
      <c r="C343" s="155" t="s">
        <v>923</v>
      </c>
      <c r="D343" s="156">
        <v>-124900389221</v>
      </c>
      <c r="E343" s="157">
        <v>0</v>
      </c>
      <c r="F343" s="157">
        <v>0</v>
      </c>
      <c r="G343" s="157">
        <v>0</v>
      </c>
      <c r="H343" s="455">
        <v>-124900389221</v>
      </c>
      <c r="I343" s="157">
        <v>0</v>
      </c>
      <c r="J343" s="157">
        <v>0</v>
      </c>
      <c r="K343" s="157">
        <v>0</v>
      </c>
      <c r="L343" s="157">
        <v>0</v>
      </c>
      <c r="M343" s="156">
        <v>-124900389221</v>
      </c>
      <c r="N343" s="99">
        <f t="shared" si="42"/>
        <v>-124900389221</v>
      </c>
      <c r="O343" s="99">
        <f t="shared" si="40"/>
        <v>0</v>
      </c>
      <c r="P343" s="99">
        <f t="shared" si="43"/>
        <v>0</v>
      </c>
      <c r="Q343" s="99">
        <f t="shared" si="41"/>
        <v>0</v>
      </c>
      <c r="AH343" s="102" t="s">
        <v>778</v>
      </c>
      <c r="AI343" s="144">
        <v>-114138534</v>
      </c>
    </row>
    <row r="344" spans="1:35">
      <c r="A344">
        <v>343</v>
      </c>
      <c r="B344" s="155" t="s">
        <v>787</v>
      </c>
      <c r="C344" s="155" t="s">
        <v>923</v>
      </c>
      <c r="D344" s="157">
        <v>0</v>
      </c>
      <c r="E344" s="157">
        <v>0</v>
      </c>
      <c r="F344" s="157">
        <v>0</v>
      </c>
      <c r="G344" s="157">
        <v>0</v>
      </c>
      <c r="H344" s="456">
        <v>0</v>
      </c>
      <c r="I344" s="157">
        <v>0</v>
      </c>
      <c r="J344" s="157">
        <v>0</v>
      </c>
      <c r="K344" s="157">
        <v>0</v>
      </c>
      <c r="L344" s="157">
        <v>0</v>
      </c>
      <c r="M344" s="157">
        <v>0</v>
      </c>
      <c r="N344" s="99">
        <f t="shared" si="42"/>
        <v>0</v>
      </c>
      <c r="O344" s="99">
        <f t="shared" si="40"/>
        <v>0</v>
      </c>
      <c r="P344" s="99">
        <f t="shared" si="43"/>
        <v>0</v>
      </c>
      <c r="Q344" s="99">
        <f t="shared" si="41"/>
        <v>0</v>
      </c>
      <c r="AH344" s="102" t="s">
        <v>780</v>
      </c>
      <c r="AI344" s="144">
        <v>4348466</v>
      </c>
    </row>
    <row r="345" spans="1:35">
      <c r="A345">
        <v>344</v>
      </c>
      <c r="B345" s="155" t="s">
        <v>789</v>
      </c>
      <c r="C345" s="155" t="s">
        <v>923</v>
      </c>
      <c r="D345" s="156">
        <v>-1219968190692</v>
      </c>
      <c r="E345" s="157">
        <v>0</v>
      </c>
      <c r="F345" s="157">
        <v>0</v>
      </c>
      <c r="G345" s="157">
        <v>0</v>
      </c>
      <c r="H345" s="455">
        <v>-1219968190692</v>
      </c>
      <c r="I345" s="157">
        <v>0</v>
      </c>
      <c r="J345" s="157">
        <v>0</v>
      </c>
      <c r="K345" s="157">
        <v>0</v>
      </c>
      <c r="L345" s="157">
        <v>0</v>
      </c>
      <c r="M345" s="156">
        <v>-1219968190692</v>
      </c>
      <c r="N345" s="99">
        <f t="shared" si="42"/>
        <v>-1219968190692</v>
      </c>
      <c r="O345" s="99">
        <f t="shared" si="40"/>
        <v>0</v>
      </c>
      <c r="P345" s="99">
        <f t="shared" si="43"/>
        <v>0</v>
      </c>
      <c r="Q345" s="99">
        <f t="shared" si="41"/>
        <v>0</v>
      </c>
      <c r="AH345" s="102" t="s">
        <v>782</v>
      </c>
      <c r="AI345" s="144">
        <v>-118487000</v>
      </c>
    </row>
    <row r="346" spans="1:35">
      <c r="A346">
        <v>345</v>
      </c>
      <c r="B346" s="155" t="s">
        <v>791</v>
      </c>
      <c r="C346" s="155" t="s">
        <v>923</v>
      </c>
      <c r="D346" s="156">
        <v>-201039498136</v>
      </c>
      <c r="E346" s="157">
        <v>0</v>
      </c>
      <c r="F346" s="157">
        <v>0</v>
      </c>
      <c r="G346" s="157">
        <v>0</v>
      </c>
      <c r="H346" s="455">
        <v>-201039498136</v>
      </c>
      <c r="I346" s="157">
        <v>0</v>
      </c>
      <c r="J346" s="157">
        <v>0</v>
      </c>
      <c r="K346" s="157">
        <v>0</v>
      </c>
      <c r="L346" s="157">
        <v>0</v>
      </c>
      <c r="M346" s="156">
        <v>-201039498136</v>
      </c>
      <c r="N346" s="99">
        <f t="shared" si="42"/>
        <v>-201039498136</v>
      </c>
      <c r="O346" s="99">
        <f t="shared" si="40"/>
        <v>0</v>
      </c>
      <c r="P346" s="99">
        <f t="shared" si="43"/>
        <v>0</v>
      </c>
      <c r="Q346" s="99">
        <f t="shared" si="41"/>
        <v>0</v>
      </c>
      <c r="AH346" s="102" t="s">
        <v>784</v>
      </c>
      <c r="AI346" s="144">
        <v>0</v>
      </c>
    </row>
    <row r="347" spans="1:35">
      <c r="A347">
        <v>346</v>
      </c>
      <c r="B347" s="155" t="s">
        <v>793</v>
      </c>
      <c r="C347" s="155" t="s">
        <v>923</v>
      </c>
      <c r="D347" s="156">
        <v>371175448895</v>
      </c>
      <c r="E347" s="157">
        <v>0</v>
      </c>
      <c r="F347" s="157">
        <v>0</v>
      </c>
      <c r="G347" s="157">
        <v>0</v>
      </c>
      <c r="H347" s="455">
        <v>371175448895</v>
      </c>
      <c r="I347" s="157">
        <v>0</v>
      </c>
      <c r="J347" s="157">
        <v>0</v>
      </c>
      <c r="K347" s="157">
        <v>0</v>
      </c>
      <c r="L347" s="157">
        <v>0</v>
      </c>
      <c r="M347" s="156">
        <v>371175448895</v>
      </c>
      <c r="N347" s="99">
        <f t="shared" si="42"/>
        <v>371175448895</v>
      </c>
      <c r="O347" s="99">
        <f t="shared" si="40"/>
        <v>0</v>
      </c>
      <c r="P347" s="99">
        <f t="shared" si="43"/>
        <v>0</v>
      </c>
      <c r="Q347" s="99">
        <f t="shared" si="41"/>
        <v>0</v>
      </c>
      <c r="AH347" s="102" t="s">
        <v>786</v>
      </c>
      <c r="AI347" s="144">
        <v>0</v>
      </c>
    </row>
    <row r="348" spans="1:35">
      <c r="A348">
        <v>347</v>
      </c>
      <c r="B348" s="155" t="s">
        <v>795</v>
      </c>
      <c r="C348" s="155" t="s">
        <v>923</v>
      </c>
      <c r="D348" s="157">
        <v>0</v>
      </c>
      <c r="E348" s="157">
        <v>0</v>
      </c>
      <c r="F348" s="157">
        <v>0</v>
      </c>
      <c r="G348" s="157">
        <v>0</v>
      </c>
      <c r="H348" s="456">
        <v>0</v>
      </c>
      <c r="I348" s="157">
        <v>0</v>
      </c>
      <c r="J348" s="157">
        <v>0</v>
      </c>
      <c r="K348" s="157">
        <v>0</v>
      </c>
      <c r="L348" s="157">
        <v>0</v>
      </c>
      <c r="M348" s="157">
        <v>0</v>
      </c>
      <c r="N348" s="99">
        <f t="shared" si="42"/>
        <v>0</v>
      </c>
      <c r="O348" s="99">
        <f t="shared" si="40"/>
        <v>0</v>
      </c>
      <c r="P348" s="99">
        <f t="shared" si="43"/>
        <v>0</v>
      </c>
      <c r="Q348" s="99">
        <f t="shared" si="41"/>
        <v>0</v>
      </c>
      <c r="AH348" s="102" t="s">
        <v>788</v>
      </c>
      <c r="AI348" s="144">
        <v>0</v>
      </c>
    </row>
    <row r="349" spans="1:35">
      <c r="A349">
        <v>348</v>
      </c>
      <c r="B349" s="155" t="s">
        <v>797</v>
      </c>
      <c r="C349" s="155" t="s">
        <v>923</v>
      </c>
      <c r="D349" s="156">
        <v>371164575305</v>
      </c>
      <c r="E349" s="157">
        <v>0</v>
      </c>
      <c r="F349" s="157">
        <v>0</v>
      </c>
      <c r="G349" s="157">
        <v>0</v>
      </c>
      <c r="H349" s="455">
        <v>371164575305</v>
      </c>
      <c r="I349" s="157">
        <v>0</v>
      </c>
      <c r="J349" s="157">
        <v>0</v>
      </c>
      <c r="K349" s="157">
        <v>0</v>
      </c>
      <c r="L349" s="157">
        <v>0</v>
      </c>
      <c r="M349" s="156">
        <v>371164575305</v>
      </c>
      <c r="N349" s="99">
        <f t="shared" si="42"/>
        <v>371164575305</v>
      </c>
      <c r="O349" s="99">
        <f t="shared" si="40"/>
        <v>0</v>
      </c>
      <c r="P349" s="99">
        <f t="shared" si="43"/>
        <v>0</v>
      </c>
      <c r="Q349" s="99">
        <f t="shared" si="41"/>
        <v>0</v>
      </c>
      <c r="AH349" s="102" t="s">
        <v>790</v>
      </c>
      <c r="AI349" s="144">
        <v>0</v>
      </c>
    </row>
    <row r="350" spans="1:35">
      <c r="A350">
        <v>349</v>
      </c>
      <c r="B350" s="155" t="s">
        <v>799</v>
      </c>
      <c r="C350" s="155" t="s">
        <v>923</v>
      </c>
      <c r="D350" s="156">
        <v>10873590</v>
      </c>
      <c r="E350" s="157">
        <v>0</v>
      </c>
      <c r="F350" s="157">
        <v>0</v>
      </c>
      <c r="G350" s="157">
        <v>0</v>
      </c>
      <c r="H350" s="455">
        <v>10873590</v>
      </c>
      <c r="I350" s="157">
        <v>0</v>
      </c>
      <c r="J350" s="157">
        <v>0</v>
      </c>
      <c r="K350" s="157">
        <v>0</v>
      </c>
      <c r="L350" s="157">
        <v>0</v>
      </c>
      <c r="M350" s="156">
        <v>10873590</v>
      </c>
      <c r="N350" s="99">
        <f t="shared" si="42"/>
        <v>10873590</v>
      </c>
      <c r="O350" s="99">
        <f t="shared" si="40"/>
        <v>0</v>
      </c>
      <c r="P350" s="99">
        <f t="shared" si="43"/>
        <v>0</v>
      </c>
      <c r="Q350" s="99">
        <f t="shared" si="41"/>
        <v>0</v>
      </c>
      <c r="AH350" s="102" t="s">
        <v>792</v>
      </c>
      <c r="AI350" s="144">
        <v>-43197693323</v>
      </c>
    </row>
    <row r="351" spans="1:35">
      <c r="A351">
        <v>350</v>
      </c>
      <c r="B351" s="155" t="s">
        <v>801</v>
      </c>
      <c r="C351" s="155" t="s">
        <v>923</v>
      </c>
      <c r="D351" s="156">
        <v>432246692496</v>
      </c>
      <c r="E351" s="156">
        <v>59203</v>
      </c>
      <c r="F351" s="157">
        <v>0</v>
      </c>
      <c r="G351" s="157">
        <v>0</v>
      </c>
      <c r="H351" s="455">
        <v>432246751699</v>
      </c>
      <c r="I351" s="156">
        <v>128957332230</v>
      </c>
      <c r="J351" s="157">
        <v>0</v>
      </c>
      <c r="K351" s="157">
        <v>0</v>
      </c>
      <c r="L351" s="156">
        <v>21221748164</v>
      </c>
      <c r="M351" s="156">
        <v>282067671305</v>
      </c>
      <c r="N351" s="99">
        <f t="shared" si="42"/>
        <v>411025003535</v>
      </c>
      <c r="O351" s="99">
        <f t="shared" si="40"/>
        <v>0</v>
      </c>
      <c r="P351" s="99">
        <f t="shared" si="43"/>
        <v>21221748164</v>
      </c>
      <c r="Q351" s="99">
        <f t="shared" si="41"/>
        <v>0</v>
      </c>
      <c r="AH351" s="102" t="s">
        <v>794</v>
      </c>
      <c r="AI351" s="144">
        <v>567075927</v>
      </c>
    </row>
    <row r="352" spans="1:35">
      <c r="A352">
        <v>351</v>
      </c>
      <c r="B352" s="155" t="s">
        <v>767</v>
      </c>
      <c r="C352" s="155" t="s">
        <v>923</v>
      </c>
      <c r="D352" s="156">
        <v>1046921695128</v>
      </c>
      <c r="E352" s="157">
        <v>0</v>
      </c>
      <c r="F352" s="157">
        <v>0</v>
      </c>
      <c r="G352" s="157">
        <v>0</v>
      </c>
      <c r="H352" s="455">
        <v>1046921695128</v>
      </c>
      <c r="I352" s="156">
        <v>128650670683</v>
      </c>
      <c r="J352" s="157">
        <v>0</v>
      </c>
      <c r="K352" s="157">
        <v>0</v>
      </c>
      <c r="L352" s="156">
        <v>19633654608</v>
      </c>
      <c r="M352" s="156">
        <v>898637369837</v>
      </c>
      <c r="N352" s="99">
        <f t="shared" si="42"/>
        <v>1027288040520</v>
      </c>
      <c r="O352" s="99">
        <f t="shared" si="40"/>
        <v>0</v>
      </c>
      <c r="P352" s="99">
        <f t="shared" si="43"/>
        <v>19633654608</v>
      </c>
      <c r="Q352" s="99">
        <f t="shared" si="41"/>
        <v>0</v>
      </c>
      <c r="AH352" s="102" t="s">
        <v>796</v>
      </c>
      <c r="AI352" s="144">
        <v>-43764769250</v>
      </c>
    </row>
    <row r="353" spans="1:35">
      <c r="A353">
        <v>352</v>
      </c>
      <c r="B353" s="155" t="s">
        <v>804</v>
      </c>
      <c r="C353" s="155" t="s">
        <v>923</v>
      </c>
      <c r="D353" s="157">
        <v>0</v>
      </c>
      <c r="E353" s="157">
        <v>0</v>
      </c>
      <c r="F353" s="157">
        <v>0</v>
      </c>
      <c r="G353" s="157">
        <v>0</v>
      </c>
      <c r="H353" s="456">
        <v>0</v>
      </c>
      <c r="I353" s="157">
        <v>0</v>
      </c>
      <c r="J353" s="157">
        <v>0</v>
      </c>
      <c r="K353" s="157">
        <v>0</v>
      </c>
      <c r="L353" s="157">
        <v>0</v>
      </c>
      <c r="M353" s="157">
        <v>0</v>
      </c>
      <c r="N353" s="99">
        <f t="shared" si="42"/>
        <v>0</v>
      </c>
      <c r="O353" s="99">
        <f t="shared" si="40"/>
        <v>0</v>
      </c>
      <c r="P353" s="99">
        <f t="shared" si="43"/>
        <v>0</v>
      </c>
      <c r="Q353" s="99">
        <f t="shared" si="41"/>
        <v>0</v>
      </c>
      <c r="AH353" s="102" t="s">
        <v>798</v>
      </c>
      <c r="AI353" s="144">
        <v>0</v>
      </c>
    </row>
    <row r="354" spans="1:35">
      <c r="A354">
        <v>353</v>
      </c>
      <c r="B354" s="155" t="s">
        <v>806</v>
      </c>
      <c r="C354" s="155" t="s">
        <v>923</v>
      </c>
      <c r="D354" s="156">
        <v>-673804825</v>
      </c>
      <c r="E354" s="157">
        <v>0</v>
      </c>
      <c r="F354" s="157">
        <v>0</v>
      </c>
      <c r="G354" s="157">
        <v>0</v>
      </c>
      <c r="H354" s="455">
        <v>-673804825</v>
      </c>
      <c r="I354" s="156">
        <v>-54090637</v>
      </c>
      <c r="J354" s="157">
        <v>0</v>
      </c>
      <c r="K354" s="157">
        <v>0</v>
      </c>
      <c r="L354" s="156">
        <v>-90764094</v>
      </c>
      <c r="M354" s="156">
        <v>-528950094</v>
      </c>
      <c r="N354" s="99">
        <f t="shared" si="42"/>
        <v>-583040731</v>
      </c>
      <c r="O354" s="99">
        <f t="shared" si="40"/>
        <v>0</v>
      </c>
      <c r="P354" s="99">
        <f t="shared" si="43"/>
        <v>-90764094</v>
      </c>
      <c r="Q354" s="99">
        <f t="shared" si="41"/>
        <v>0</v>
      </c>
      <c r="AH354" s="102" t="s">
        <v>800</v>
      </c>
      <c r="AI354" s="144">
        <v>0</v>
      </c>
    </row>
    <row r="355" spans="1:35">
      <c r="A355">
        <v>354</v>
      </c>
      <c r="B355" s="155" t="s">
        <v>807</v>
      </c>
      <c r="C355" s="155" t="s">
        <v>923</v>
      </c>
      <c r="D355" s="157">
        <v>0</v>
      </c>
      <c r="E355" s="157">
        <v>0</v>
      </c>
      <c r="F355" s="157">
        <v>0</v>
      </c>
      <c r="G355" s="157">
        <v>0</v>
      </c>
      <c r="H355" s="456">
        <v>0</v>
      </c>
      <c r="I355" s="157">
        <v>0</v>
      </c>
      <c r="J355" s="157">
        <v>0</v>
      </c>
      <c r="K355" s="157">
        <v>0</v>
      </c>
      <c r="L355" s="157">
        <v>0</v>
      </c>
      <c r="M355" s="157">
        <v>0</v>
      </c>
      <c r="N355" s="99">
        <f t="shared" si="42"/>
        <v>0</v>
      </c>
      <c r="O355" s="99">
        <f t="shared" si="40"/>
        <v>0</v>
      </c>
      <c r="P355" s="99">
        <f t="shared" si="43"/>
        <v>0</v>
      </c>
      <c r="Q355" s="99">
        <f t="shared" si="41"/>
        <v>0</v>
      </c>
      <c r="AH355" s="102" t="s">
        <v>802</v>
      </c>
      <c r="AI355" s="144">
        <v>0</v>
      </c>
    </row>
    <row r="356" spans="1:35">
      <c r="A356">
        <v>355</v>
      </c>
      <c r="B356" s="155" t="s">
        <v>809</v>
      </c>
      <c r="C356" s="155" t="s">
        <v>923</v>
      </c>
      <c r="D356" s="156">
        <v>-632811513596</v>
      </c>
      <c r="E356" s="157">
        <v>0</v>
      </c>
      <c r="F356" s="157">
        <v>0</v>
      </c>
      <c r="G356" s="157">
        <v>0</v>
      </c>
      <c r="H356" s="455">
        <v>-632811513596</v>
      </c>
      <c r="I356" s="157">
        <v>0</v>
      </c>
      <c r="J356" s="157">
        <v>0</v>
      </c>
      <c r="K356" s="157">
        <v>0</v>
      </c>
      <c r="L356" s="157">
        <v>0</v>
      </c>
      <c r="M356" s="156">
        <v>-632811513596</v>
      </c>
      <c r="N356" s="99">
        <f t="shared" si="42"/>
        <v>-632811513596</v>
      </c>
      <c r="O356" s="99">
        <f t="shared" si="40"/>
        <v>0</v>
      </c>
      <c r="P356" s="99">
        <f t="shared" si="43"/>
        <v>0</v>
      </c>
      <c r="Q356" s="99">
        <f t="shared" si="41"/>
        <v>0</v>
      </c>
      <c r="AH356" s="102" t="s">
        <v>803</v>
      </c>
      <c r="AI356" s="144">
        <v>0</v>
      </c>
    </row>
    <row r="357" spans="1:35">
      <c r="A357">
        <v>356</v>
      </c>
      <c r="B357" s="155" t="s">
        <v>811</v>
      </c>
      <c r="C357" s="155" t="s">
        <v>923</v>
      </c>
      <c r="D357" s="156">
        <v>2748773194</v>
      </c>
      <c r="E357" s="157">
        <v>0</v>
      </c>
      <c r="F357" s="157">
        <v>0</v>
      </c>
      <c r="G357" s="157">
        <v>0</v>
      </c>
      <c r="H357" s="455">
        <v>2748773194</v>
      </c>
      <c r="I357" s="157">
        <v>0</v>
      </c>
      <c r="J357" s="157">
        <v>0</v>
      </c>
      <c r="K357" s="157">
        <v>0</v>
      </c>
      <c r="L357" s="157">
        <v>0</v>
      </c>
      <c r="M357" s="156">
        <v>2748773194</v>
      </c>
      <c r="N357" s="99">
        <f t="shared" si="42"/>
        <v>2748773194</v>
      </c>
      <c r="O357" s="99">
        <f t="shared" si="40"/>
        <v>0</v>
      </c>
      <c r="P357" s="99">
        <f t="shared" si="43"/>
        <v>0</v>
      </c>
      <c r="Q357" s="99">
        <f t="shared" si="41"/>
        <v>0</v>
      </c>
      <c r="AH357" s="102" t="s">
        <v>805</v>
      </c>
      <c r="AI357" s="144">
        <v>0</v>
      </c>
    </row>
    <row r="358" spans="1:35">
      <c r="A358">
        <v>357</v>
      </c>
      <c r="B358" s="155" t="s">
        <v>813</v>
      </c>
      <c r="C358" s="155" t="s">
        <v>923</v>
      </c>
      <c r="D358" s="157">
        <v>0</v>
      </c>
      <c r="E358" s="157">
        <v>0</v>
      </c>
      <c r="F358" s="157">
        <v>0</v>
      </c>
      <c r="G358" s="157">
        <v>0</v>
      </c>
      <c r="H358" s="456">
        <v>0</v>
      </c>
      <c r="I358" s="157">
        <v>0</v>
      </c>
      <c r="J358" s="157">
        <v>0</v>
      </c>
      <c r="K358" s="157">
        <v>0</v>
      </c>
      <c r="L358" s="157">
        <v>0</v>
      </c>
      <c r="M358" s="157">
        <v>0</v>
      </c>
      <c r="N358" s="99">
        <f t="shared" si="42"/>
        <v>0</v>
      </c>
      <c r="O358" s="99">
        <f t="shared" si="40"/>
        <v>0</v>
      </c>
      <c r="P358" s="99">
        <f t="shared" si="43"/>
        <v>0</v>
      </c>
      <c r="Q358" s="99">
        <f t="shared" si="41"/>
        <v>0</v>
      </c>
      <c r="AH358" s="102" t="s">
        <v>581</v>
      </c>
      <c r="AI358" s="146">
        <v>-29827851940506</v>
      </c>
    </row>
    <row r="359" spans="1:35">
      <c r="A359">
        <v>358</v>
      </c>
      <c r="B359" s="155" t="s">
        <v>815</v>
      </c>
      <c r="C359" s="155" t="s">
        <v>923</v>
      </c>
      <c r="D359" s="156">
        <v>20537736696</v>
      </c>
      <c r="E359" s="157">
        <v>0</v>
      </c>
      <c r="F359" s="157">
        <v>0</v>
      </c>
      <c r="G359" s="157">
        <v>0</v>
      </c>
      <c r="H359" s="455">
        <v>20537736696</v>
      </c>
      <c r="I359" s="156">
        <v>360752184</v>
      </c>
      <c r="J359" s="157">
        <v>0</v>
      </c>
      <c r="K359" s="157">
        <v>0</v>
      </c>
      <c r="L359" s="156">
        <v>1678857650</v>
      </c>
      <c r="M359" s="156">
        <v>18498126862</v>
      </c>
      <c r="N359" s="99">
        <f t="shared" si="42"/>
        <v>18858879046</v>
      </c>
      <c r="O359" s="99">
        <f t="shared" si="40"/>
        <v>0</v>
      </c>
      <c r="P359" s="99">
        <f t="shared" si="43"/>
        <v>1678857650</v>
      </c>
      <c r="Q359" s="99">
        <f t="shared" si="41"/>
        <v>0</v>
      </c>
      <c r="AH359" s="102" t="s">
        <v>808</v>
      </c>
      <c r="AI359" s="144">
        <v>-990714745000</v>
      </c>
    </row>
    <row r="360" spans="1:35">
      <c r="A360">
        <v>359</v>
      </c>
      <c r="B360" s="155" t="s">
        <v>817</v>
      </c>
      <c r="C360" s="155" t="s">
        <v>923</v>
      </c>
      <c r="D360" s="156">
        <v>-23815962952</v>
      </c>
      <c r="E360" s="157">
        <v>0</v>
      </c>
      <c r="F360" s="157">
        <v>0</v>
      </c>
      <c r="G360" s="157">
        <v>0</v>
      </c>
      <c r="H360" s="455">
        <v>-23815962952</v>
      </c>
      <c r="I360" s="156">
        <v>-2677810</v>
      </c>
      <c r="J360" s="157">
        <v>0</v>
      </c>
      <c r="K360" s="157">
        <v>0</v>
      </c>
      <c r="L360" s="157">
        <v>0</v>
      </c>
      <c r="M360" s="156">
        <v>-23813285142</v>
      </c>
      <c r="N360" s="99">
        <f t="shared" si="42"/>
        <v>-23815962952</v>
      </c>
      <c r="O360" s="99">
        <f t="shared" si="40"/>
        <v>0</v>
      </c>
      <c r="P360" s="99">
        <f t="shared" si="43"/>
        <v>0</v>
      </c>
      <c r="Q360" s="99">
        <f t="shared" si="41"/>
        <v>0</v>
      </c>
      <c r="AH360" s="102" t="s">
        <v>810</v>
      </c>
      <c r="AI360" s="144">
        <v>-885080945000</v>
      </c>
    </row>
    <row r="361" spans="1:35">
      <c r="A361">
        <v>360</v>
      </c>
      <c r="B361" s="155" t="s">
        <v>819</v>
      </c>
      <c r="C361" s="155" t="s">
        <v>923</v>
      </c>
      <c r="D361" s="156">
        <v>50062271829</v>
      </c>
      <c r="E361" s="157">
        <v>0</v>
      </c>
      <c r="F361" s="157">
        <v>0</v>
      </c>
      <c r="G361" s="157">
        <v>0</v>
      </c>
      <c r="H361" s="455">
        <v>50062271829</v>
      </c>
      <c r="I361" s="156">
        <v>363429994</v>
      </c>
      <c r="J361" s="157">
        <v>0</v>
      </c>
      <c r="K361" s="157">
        <v>0</v>
      </c>
      <c r="L361" s="156">
        <v>1678857650</v>
      </c>
      <c r="M361" s="156">
        <v>48019984185</v>
      </c>
      <c r="N361" s="99">
        <f t="shared" si="42"/>
        <v>48383414179</v>
      </c>
      <c r="O361" s="99">
        <f t="shared" si="40"/>
        <v>0</v>
      </c>
      <c r="P361" s="99">
        <f t="shared" si="43"/>
        <v>1678857650</v>
      </c>
      <c r="Q361" s="99">
        <f t="shared" si="41"/>
        <v>0</v>
      </c>
      <c r="AH361" s="102" t="s">
        <v>812</v>
      </c>
      <c r="AI361" s="144">
        <v>-105633800000</v>
      </c>
    </row>
    <row r="362" spans="1:35">
      <c r="A362">
        <v>361</v>
      </c>
      <c r="B362" s="155" t="s">
        <v>821</v>
      </c>
      <c r="C362" s="155" t="s">
        <v>923</v>
      </c>
      <c r="D362" s="157">
        <v>0</v>
      </c>
      <c r="E362" s="157">
        <v>0</v>
      </c>
      <c r="F362" s="157">
        <v>0</v>
      </c>
      <c r="G362" s="157">
        <v>0</v>
      </c>
      <c r="H362" s="456">
        <v>0</v>
      </c>
      <c r="I362" s="157">
        <v>0</v>
      </c>
      <c r="J362" s="157">
        <v>0</v>
      </c>
      <c r="K362" s="157">
        <v>0</v>
      </c>
      <c r="L362" s="157">
        <v>0</v>
      </c>
      <c r="M362" s="157">
        <v>0</v>
      </c>
      <c r="N362" s="99">
        <f t="shared" si="42"/>
        <v>0</v>
      </c>
      <c r="O362" s="99">
        <f t="shared" si="40"/>
        <v>0</v>
      </c>
      <c r="P362" s="99">
        <f t="shared" si="43"/>
        <v>0</v>
      </c>
      <c r="Q362" s="99">
        <f t="shared" si="41"/>
        <v>0</v>
      </c>
      <c r="AH362" s="102" t="s">
        <v>814</v>
      </c>
      <c r="AI362" s="144">
        <v>-181384483840</v>
      </c>
    </row>
    <row r="363" spans="1:35">
      <c r="A363">
        <v>362</v>
      </c>
      <c r="B363" s="155" t="s">
        <v>823</v>
      </c>
      <c r="C363" s="155" t="s">
        <v>923</v>
      </c>
      <c r="D363" s="157">
        <v>0</v>
      </c>
      <c r="E363" s="157">
        <v>0</v>
      </c>
      <c r="F363" s="157">
        <v>0</v>
      </c>
      <c r="G363" s="157">
        <v>0</v>
      </c>
      <c r="H363" s="456">
        <v>0</v>
      </c>
      <c r="I363" s="157">
        <v>0</v>
      </c>
      <c r="J363" s="157">
        <v>0</v>
      </c>
      <c r="K363" s="157">
        <v>0</v>
      </c>
      <c r="L363" s="157">
        <v>0</v>
      </c>
      <c r="M363" s="157">
        <v>0</v>
      </c>
      <c r="N363" s="99">
        <f t="shared" si="42"/>
        <v>0</v>
      </c>
      <c r="O363" s="99">
        <f t="shared" si="40"/>
        <v>0</v>
      </c>
      <c r="P363" s="99">
        <f t="shared" si="43"/>
        <v>0</v>
      </c>
      <c r="Q363" s="99">
        <f t="shared" si="41"/>
        <v>0</v>
      </c>
      <c r="AH363" s="102" t="s">
        <v>816</v>
      </c>
      <c r="AI363" s="144">
        <v>-181361275262</v>
      </c>
    </row>
    <row r="364" spans="1:35">
      <c r="A364">
        <v>363</v>
      </c>
      <c r="B364" s="155" t="s">
        <v>825</v>
      </c>
      <c r="C364" s="155" t="s">
        <v>923</v>
      </c>
      <c r="D364" s="156">
        <v>-5708572181</v>
      </c>
      <c r="E364" s="157">
        <v>0</v>
      </c>
      <c r="F364" s="157">
        <v>0</v>
      </c>
      <c r="G364" s="157">
        <v>0</v>
      </c>
      <c r="H364" s="455">
        <v>-5708572181</v>
      </c>
      <c r="I364" s="157">
        <v>0</v>
      </c>
      <c r="J364" s="157">
        <v>0</v>
      </c>
      <c r="K364" s="157">
        <v>0</v>
      </c>
      <c r="L364" s="157">
        <v>0</v>
      </c>
      <c r="M364" s="156">
        <v>-5708572181</v>
      </c>
      <c r="N364" s="99">
        <f t="shared" si="42"/>
        <v>-5708572181</v>
      </c>
      <c r="O364" s="99">
        <f t="shared" si="40"/>
        <v>0</v>
      </c>
      <c r="P364" s="99">
        <f t="shared" si="43"/>
        <v>0</v>
      </c>
      <c r="Q364" s="99">
        <f t="shared" si="41"/>
        <v>0</v>
      </c>
      <c r="AH364" s="102" t="s">
        <v>818</v>
      </c>
      <c r="AI364" s="144">
        <v>0</v>
      </c>
    </row>
    <row r="365" spans="1:35">
      <c r="A365">
        <v>364</v>
      </c>
      <c r="B365" s="155" t="s">
        <v>827</v>
      </c>
      <c r="C365" s="155" t="s">
        <v>923</v>
      </c>
      <c r="D365" s="156">
        <v>-758642</v>
      </c>
      <c r="E365" s="156">
        <v>59203</v>
      </c>
      <c r="F365" s="157">
        <v>0</v>
      </c>
      <c r="G365" s="157">
        <v>0</v>
      </c>
      <c r="H365" s="455">
        <v>-699439</v>
      </c>
      <c r="I365" s="157">
        <v>0</v>
      </c>
      <c r="J365" s="157">
        <v>0</v>
      </c>
      <c r="K365" s="157">
        <v>0</v>
      </c>
      <c r="L365" s="157">
        <v>0</v>
      </c>
      <c r="M365" s="156">
        <v>-699439</v>
      </c>
      <c r="N365" s="99">
        <f t="shared" si="42"/>
        <v>-699439</v>
      </c>
      <c r="O365" s="99">
        <f t="shared" si="40"/>
        <v>0</v>
      </c>
      <c r="P365" s="99">
        <f t="shared" si="43"/>
        <v>0</v>
      </c>
      <c r="Q365" s="99">
        <f t="shared" si="41"/>
        <v>0</v>
      </c>
      <c r="AH365" s="102" t="s">
        <v>820</v>
      </c>
      <c r="AI365" s="144">
        <v>0</v>
      </c>
    </row>
    <row r="366" spans="1:35">
      <c r="B366" s="155" t="s">
        <v>829</v>
      </c>
      <c r="C366" s="155" t="s">
        <v>923</v>
      </c>
      <c r="D366" s="156">
        <v>-4475435459</v>
      </c>
      <c r="E366" s="157">
        <v>0</v>
      </c>
      <c r="F366" s="157">
        <v>0</v>
      </c>
      <c r="G366" s="157">
        <v>0</v>
      </c>
      <c r="H366" s="455">
        <v>-4475435459</v>
      </c>
      <c r="I366" s="157">
        <v>0</v>
      </c>
      <c r="J366" s="157">
        <v>0</v>
      </c>
      <c r="K366" s="157">
        <v>0</v>
      </c>
      <c r="L366" s="157">
        <v>0</v>
      </c>
      <c r="M366" s="156">
        <v>-4475435459</v>
      </c>
      <c r="N366" s="99">
        <f t="shared" si="42"/>
        <v>-4475435459</v>
      </c>
      <c r="O366" s="99">
        <f t="shared" si="40"/>
        <v>0</v>
      </c>
      <c r="P366" s="99">
        <f t="shared" si="43"/>
        <v>0</v>
      </c>
      <c r="Q366" s="99">
        <f t="shared" si="41"/>
        <v>0</v>
      </c>
      <c r="AH366" s="102" t="s">
        <v>822</v>
      </c>
      <c r="AI366" s="144">
        <v>-23208578</v>
      </c>
    </row>
    <row r="367" spans="1:35">
      <c r="B367" s="155" t="s">
        <v>831</v>
      </c>
      <c r="C367" s="155" t="s">
        <v>923</v>
      </c>
      <c r="D367" s="157">
        <v>0</v>
      </c>
      <c r="E367" s="157">
        <v>0</v>
      </c>
      <c r="F367" s="157">
        <v>0</v>
      </c>
      <c r="G367" s="157">
        <v>0</v>
      </c>
      <c r="H367" s="456">
        <v>0</v>
      </c>
      <c r="I367" s="157">
        <v>0</v>
      </c>
      <c r="J367" s="157">
        <v>0</v>
      </c>
      <c r="K367" s="157">
        <v>0</v>
      </c>
      <c r="L367" s="157">
        <v>0</v>
      </c>
      <c r="M367" s="157">
        <v>0</v>
      </c>
      <c r="N367" s="99">
        <f t="shared" si="42"/>
        <v>0</v>
      </c>
      <c r="O367" s="99">
        <f t="shared" si="40"/>
        <v>0</v>
      </c>
      <c r="P367" s="99">
        <f t="shared" si="43"/>
        <v>0</v>
      </c>
      <c r="Q367" s="99">
        <f t="shared" si="41"/>
        <v>0</v>
      </c>
      <c r="AH367" s="102" t="s">
        <v>832</v>
      </c>
      <c r="AI367" s="144">
        <v>-1775408153607</v>
      </c>
    </row>
    <row r="368" spans="1:35">
      <c r="B368" s="155" t="s">
        <v>833</v>
      </c>
      <c r="C368" s="155" t="s">
        <v>834</v>
      </c>
      <c r="D368" s="156">
        <v>-32855181935106</v>
      </c>
      <c r="E368" s="156">
        <v>-13679774848594</v>
      </c>
      <c r="F368" s="156">
        <v>-13323148118922</v>
      </c>
      <c r="G368" s="156">
        <v>-356626729672</v>
      </c>
      <c r="H368" s="455">
        <v>-32855181935106</v>
      </c>
      <c r="I368" s="156">
        <v>-1505771962170</v>
      </c>
      <c r="J368" s="156">
        <v>-34862287173</v>
      </c>
      <c r="K368" s="156">
        <v>-17246396780</v>
      </c>
      <c r="L368" s="156">
        <v>-1858720460727</v>
      </c>
      <c r="M368" s="156">
        <v>-29438580828256</v>
      </c>
      <c r="N368" s="99">
        <f t="shared" si="42"/>
        <v>-30979215077599</v>
      </c>
      <c r="O368" s="99">
        <f t="shared" si="40"/>
        <v>-13323148118922</v>
      </c>
      <c r="P368" s="99">
        <f t="shared" si="43"/>
        <v>-1875966857507</v>
      </c>
      <c r="Q368" s="99">
        <f t="shared" si="41"/>
        <v>-356626729672</v>
      </c>
      <c r="AH368" s="102" t="s">
        <v>835</v>
      </c>
      <c r="AI368" s="144">
        <v>-29423725175</v>
      </c>
    </row>
    <row r="369" spans="34:35">
      <c r="AH369" s="102" t="s">
        <v>836</v>
      </c>
      <c r="AI369" s="144">
        <v>0</v>
      </c>
    </row>
    <row r="370" spans="34:35">
      <c r="AH370" s="102" t="s">
        <v>837</v>
      </c>
      <c r="AI370" s="144">
        <v>-15764940609</v>
      </c>
    </row>
    <row r="371" spans="34:35">
      <c r="AH371" s="102" t="s">
        <v>838</v>
      </c>
      <c r="AI371" s="144">
        <v>0</v>
      </c>
    </row>
    <row r="372" spans="34:35">
      <c r="AH372" s="102" t="s">
        <v>839</v>
      </c>
      <c r="AI372" s="144">
        <v>-513966485749</v>
      </c>
    </row>
    <row r="373" spans="34:35">
      <c r="AH373" s="102" t="s">
        <v>840</v>
      </c>
      <c r="AI373" s="144">
        <v>0</v>
      </c>
    </row>
    <row r="374" spans="34:35">
      <c r="AH374" s="102" t="s">
        <v>841</v>
      </c>
      <c r="AI374" s="144">
        <v>-1039089002581</v>
      </c>
    </row>
    <row r="375" spans="34:35">
      <c r="AH375" s="102" t="s">
        <v>842</v>
      </c>
      <c r="AI375" s="144">
        <v>-177163999493</v>
      </c>
    </row>
    <row r="376" spans="34:35">
      <c r="AH376" s="102" t="s">
        <v>843</v>
      </c>
      <c r="AI376" s="144">
        <v>371175448895</v>
      </c>
    </row>
    <row r="377" spans="34:35">
      <c r="AH377" s="102" t="s">
        <v>844</v>
      </c>
      <c r="AI377" s="144">
        <v>0</v>
      </c>
    </row>
    <row r="378" spans="34:35">
      <c r="AH378" s="102" t="s">
        <v>845</v>
      </c>
      <c r="AI378" s="144">
        <v>371164575305</v>
      </c>
    </row>
    <row r="379" spans="34:35">
      <c r="AH379" s="102" t="s">
        <v>846</v>
      </c>
      <c r="AI379" s="144">
        <v>10873590</v>
      </c>
    </row>
    <row r="380" spans="34:35">
      <c r="AH380" s="102" t="s">
        <v>847</v>
      </c>
      <c r="AI380" s="144">
        <v>171531040273</v>
      </c>
    </row>
    <row r="381" spans="34:35">
      <c r="AH381" s="102" t="s">
        <v>826</v>
      </c>
      <c r="AI381" s="144">
        <v>609244454603</v>
      </c>
    </row>
    <row r="382" spans="34:35">
      <c r="AH382" s="102" t="s">
        <v>848</v>
      </c>
      <c r="AI382" s="144">
        <v>-383594365</v>
      </c>
    </row>
    <row r="383" spans="34:35">
      <c r="AH383" s="102" t="s">
        <v>849</v>
      </c>
      <c r="AI383" s="144">
        <v>0</v>
      </c>
    </row>
    <row r="384" spans="34:35">
      <c r="AH384" s="102" t="s">
        <v>850</v>
      </c>
      <c r="AI384" s="144">
        <v>0</v>
      </c>
    </row>
    <row r="385" spans="34:35">
      <c r="AH385" s="102" t="s">
        <v>851</v>
      </c>
      <c r="AI385" s="144">
        <v>-275539169236</v>
      </c>
    </row>
    <row r="386" spans="34:35">
      <c r="AH386" s="102" t="s">
        <v>852</v>
      </c>
      <c r="AI386" s="144">
        <v>-445954856925</v>
      </c>
    </row>
    <row r="387" spans="34:35">
      <c r="AH387" s="102" t="s">
        <v>853</v>
      </c>
      <c r="AI387" s="144">
        <v>-445531267618</v>
      </c>
    </row>
    <row r="388" spans="34:35">
      <c r="AH388" s="102" t="s">
        <v>854</v>
      </c>
      <c r="AI388" s="144">
        <v>-423589307</v>
      </c>
    </row>
    <row r="389" spans="34:35">
      <c r="AH389" s="102" t="s">
        <v>855</v>
      </c>
      <c r="AI389" s="144">
        <v>170415687689</v>
      </c>
    </row>
    <row r="390" spans="34:35">
      <c r="AH390" s="102" t="s">
        <v>856</v>
      </c>
      <c r="AI390" s="144">
        <v>170228022973</v>
      </c>
    </row>
    <row r="391" spans="34:35">
      <c r="AH391" s="102" t="s">
        <v>857</v>
      </c>
      <c r="AI391" s="144">
        <v>187664716</v>
      </c>
    </row>
    <row r="392" spans="34:35">
      <c r="AH392" s="102" t="s">
        <v>858</v>
      </c>
      <c r="AI392" s="144">
        <v>-90761249</v>
      </c>
    </row>
    <row r="393" spans="34:35">
      <c r="AH393" s="102" t="s">
        <v>859</v>
      </c>
      <c r="AI393" s="144">
        <v>-1066015742</v>
      </c>
    </row>
    <row r="394" spans="34:35">
      <c r="AH394" s="102" t="s">
        <v>860</v>
      </c>
      <c r="AI394" s="144">
        <v>-1046484200</v>
      </c>
    </row>
    <row r="395" spans="34:35">
      <c r="AH395" s="102" t="s">
        <v>861</v>
      </c>
      <c r="AI395" s="144">
        <v>-19531542</v>
      </c>
    </row>
    <row r="396" spans="34:35">
      <c r="AH396" s="102" t="s">
        <v>862</v>
      </c>
      <c r="AI396" s="144">
        <v>975254493</v>
      </c>
    </row>
    <row r="397" spans="34:35">
      <c r="AH397" s="102" t="s">
        <v>863</v>
      </c>
      <c r="AI397" s="144">
        <v>907869307</v>
      </c>
    </row>
    <row r="398" spans="34:35">
      <c r="AH398" s="102" t="s">
        <v>864</v>
      </c>
      <c r="AI398" s="144">
        <v>67385186</v>
      </c>
    </row>
    <row r="399" spans="34:35">
      <c r="AH399" s="102" t="s">
        <v>865</v>
      </c>
      <c r="AI399" s="144">
        <v>0</v>
      </c>
    </row>
    <row r="400" spans="34:35">
      <c r="AH400" s="102" t="s">
        <v>866</v>
      </c>
      <c r="AI400" s="144">
        <v>0</v>
      </c>
    </row>
    <row r="401" spans="34:35">
      <c r="AH401" s="102" t="s">
        <v>867</v>
      </c>
      <c r="AI401" s="144">
        <v>-162586860953</v>
      </c>
    </row>
    <row r="402" spans="34:35">
      <c r="AH402" s="102" t="s">
        <v>868</v>
      </c>
      <c r="AI402" s="144">
        <v>-215684789217</v>
      </c>
    </row>
    <row r="403" spans="34:35">
      <c r="AH403" s="102" t="s">
        <v>869</v>
      </c>
      <c r="AI403" s="144">
        <v>6219624372</v>
      </c>
    </row>
    <row r="404" spans="34:35">
      <c r="AH404" s="102" t="s">
        <v>870</v>
      </c>
      <c r="AI404" s="144">
        <v>46878303892</v>
      </c>
    </row>
    <row r="405" spans="34:35">
      <c r="AH405" s="102" t="s">
        <v>871</v>
      </c>
      <c r="AI405" s="144">
        <v>-705038</v>
      </c>
    </row>
    <row r="406" spans="34:35">
      <c r="AH406" s="102" t="s">
        <v>872</v>
      </c>
      <c r="AI406" s="144">
        <v>887676511</v>
      </c>
    </row>
    <row r="407" spans="34:35">
      <c r="AH407" s="102" t="s">
        <v>734</v>
      </c>
      <c r="AI407" s="146">
        <v>-2404800893279</v>
      </c>
    </row>
    <row r="408" spans="34:35">
      <c r="AH408" s="131" t="s">
        <v>873</v>
      </c>
      <c r="AI408" s="147">
        <v>-32232652833785</v>
      </c>
    </row>
  </sheetData>
  <mergeCells count="2">
    <mergeCell ref="V55:W55"/>
    <mergeCell ref="V56:W56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workbookViewId="0">
      <selection activeCell="A7" sqref="A7"/>
    </sheetView>
  </sheetViews>
  <sheetFormatPr defaultRowHeight="16.5"/>
  <cols>
    <col min="1" max="1" width="9.125" bestFit="1" customWidth="1"/>
    <col min="9" max="9" width="10.375" bestFit="1" customWidth="1"/>
    <col min="10" max="10" width="12.25" bestFit="1" customWidth="1"/>
    <col min="11" max="20" width="10.375" bestFit="1" customWidth="1"/>
  </cols>
  <sheetData>
    <row r="1" spans="1:20">
      <c r="C1" s="5" t="s">
        <v>102</v>
      </c>
      <c r="D1" s="5"/>
      <c r="E1" s="5"/>
      <c r="F1" s="5"/>
      <c r="G1" s="5"/>
      <c r="H1" s="5"/>
      <c r="I1" s="17">
        <v>2412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 t="s">
        <v>104</v>
      </c>
      <c r="P4" s="5"/>
      <c r="Q4" s="5"/>
      <c r="R4" s="5"/>
      <c r="S4" s="5"/>
      <c r="T4" s="5"/>
    </row>
    <row r="5" spans="1:20">
      <c r="C5" s="756" t="s">
        <v>105</v>
      </c>
      <c r="D5" s="756"/>
      <c r="E5" s="756"/>
      <c r="F5" s="756"/>
      <c r="G5" s="756"/>
      <c r="H5" s="757"/>
      <c r="I5" s="18" t="s">
        <v>0</v>
      </c>
      <c r="J5" s="18" t="s">
        <v>1</v>
      </c>
      <c r="K5" s="18" t="s">
        <v>2</v>
      </c>
      <c r="L5" s="18" t="s">
        <v>3</v>
      </c>
      <c r="M5" s="18" t="s">
        <v>4</v>
      </c>
      <c r="N5" s="18" t="s">
        <v>5</v>
      </c>
      <c r="O5" s="19" t="s">
        <v>6</v>
      </c>
      <c r="P5" s="18" t="s">
        <v>106</v>
      </c>
      <c r="Q5" s="18" t="s">
        <v>107</v>
      </c>
      <c r="R5" s="18" t="s">
        <v>108</v>
      </c>
      <c r="S5" s="18" t="s">
        <v>109</v>
      </c>
      <c r="T5" s="19" t="s">
        <v>110</v>
      </c>
    </row>
    <row r="6" spans="1:20">
      <c r="A6" s="1"/>
      <c r="B6" s="1"/>
      <c r="C6" s="1" t="s">
        <v>1050</v>
      </c>
      <c r="D6" s="1"/>
      <c r="E6" s="1"/>
      <c r="F6" s="1"/>
      <c r="G6" s="1"/>
      <c r="H6" s="1"/>
      <c r="I6" s="1">
        <f>SUM(I7:I9)</f>
        <v>262484.12</v>
      </c>
      <c r="J6" s="1">
        <f t="shared" ref="J6:T6" si="0">SUM(J7:J9)</f>
        <v>2021562.97</v>
      </c>
      <c r="K6" s="1">
        <f t="shared" si="0"/>
        <v>944412.84</v>
      </c>
      <c r="L6" s="1">
        <f t="shared" si="0"/>
        <v>971481.52</v>
      </c>
      <c r="M6" s="1">
        <f t="shared" si="0"/>
        <v>484192.31000000006</v>
      </c>
      <c r="N6" s="1">
        <f t="shared" si="0"/>
        <v>282214.55</v>
      </c>
      <c r="O6" s="1">
        <f t="shared" si="0"/>
        <v>272097.38</v>
      </c>
      <c r="P6" s="1">
        <f t="shared" si="0"/>
        <v>440606.61</v>
      </c>
      <c r="Q6" s="1">
        <f t="shared" si="0"/>
        <v>291620.43543000001</v>
      </c>
      <c r="R6" s="1">
        <f t="shared" si="0"/>
        <v>228915.78</v>
      </c>
      <c r="S6" s="1">
        <f t="shared" si="0"/>
        <v>225770.58000000002</v>
      </c>
      <c r="T6" s="1">
        <f t="shared" si="0"/>
        <v>253559.63</v>
      </c>
    </row>
    <row r="7" spans="1:20">
      <c r="A7" s="1">
        <f>DATA!BU1</f>
        <v>73</v>
      </c>
      <c r="B7" s="1"/>
      <c r="C7" s="1" t="s">
        <v>1047</v>
      </c>
      <c r="D7" s="1"/>
      <c r="E7" s="1"/>
      <c r="F7" s="1"/>
      <c r="G7" s="1"/>
      <c r="H7" s="1"/>
      <c r="I7" s="1">
        <f>VLOOKUP($I$1&amp;I$5,DATA!$A:$EB,전기말!$A7,0)/100</f>
        <v>237834.87</v>
      </c>
      <c r="J7" s="1">
        <f>VLOOKUP($I$1&amp;J$5,DATA!$A:$EB,전기말!$A7,0)/100</f>
        <v>1862852.41</v>
      </c>
      <c r="K7" s="1">
        <f>VLOOKUP($I$1&amp;K$5,DATA!$A:$EB,전기말!$A7,0)/100</f>
        <v>866608.88</v>
      </c>
      <c r="L7" s="1">
        <f>VLOOKUP($I$1&amp;L$5,DATA!$A:$EB,전기말!$A7,0)/100</f>
        <v>861402.16</v>
      </c>
      <c r="M7" s="1">
        <f>VLOOKUP($I$1&amp;M$5,DATA!$A:$EB,전기말!$A7,0)/100</f>
        <v>398490.28</v>
      </c>
      <c r="N7" s="1">
        <f>VLOOKUP($I$1&amp;N$5,DATA!$A:$EB,전기말!$A7,0)/100</f>
        <v>250789.65</v>
      </c>
      <c r="O7" s="1">
        <f>VLOOKUP($I$1&amp;O$5,DATA!$A:$EB,전기말!$A7,0)/100</f>
        <v>236884.73</v>
      </c>
      <c r="P7" s="1">
        <f>VLOOKUP($I$1&amp;P$5,DATA!$A:$EB,전기말!$A7,0)/100</f>
        <v>282092.71000000002</v>
      </c>
      <c r="Q7" s="1">
        <f>VLOOKUP($I$1&amp;Q$5,DATA!$A:$EB,전기말!$A7,0)/100</f>
        <v>188996.18328000003</v>
      </c>
      <c r="R7" s="1">
        <f>VLOOKUP($I$1&amp;R$5,DATA!$A:$EB,전기말!$A7,0)/100</f>
        <v>102309.75</v>
      </c>
      <c r="S7" s="1">
        <f>VLOOKUP($I$1&amp;S$5,DATA!$A:$EB,전기말!$A7,0)/100</f>
        <v>122994.34</v>
      </c>
      <c r="T7" s="1">
        <f>VLOOKUP($I$1&amp;T$5,DATA!$A:$EB,전기말!$A7,0)/100</f>
        <v>111926.66</v>
      </c>
    </row>
    <row r="8" spans="1:20">
      <c r="A8" s="1">
        <f>DATA!BV1</f>
        <v>74</v>
      </c>
      <c r="B8" s="1"/>
      <c r="C8" s="1" t="s">
        <v>1048</v>
      </c>
      <c r="D8" s="1"/>
      <c r="E8" s="1"/>
      <c r="F8" s="1"/>
      <c r="G8" s="1"/>
      <c r="H8" s="1"/>
      <c r="I8" s="1">
        <f>VLOOKUP($I$1&amp;I$5,DATA!$A:$EB,전기말!$A8,0)/100</f>
        <v>3867.13</v>
      </c>
      <c r="J8" s="1">
        <f>VLOOKUP($I$1&amp;J$5,DATA!$A:$EB,전기말!$A8,0)/100</f>
        <v>29690.33</v>
      </c>
      <c r="K8" s="1">
        <f>VLOOKUP($I$1&amp;K$5,DATA!$A:$EB,전기말!$A8,0)/100</f>
        <v>13423.38</v>
      </c>
      <c r="L8" s="1">
        <f>VLOOKUP($I$1&amp;L$5,DATA!$A:$EB,전기말!$A8,0)/100</f>
        <v>18987.95</v>
      </c>
      <c r="M8" s="1">
        <f>VLOOKUP($I$1&amp;M$5,DATA!$A:$EB,전기말!$A8,0)/100</f>
        <v>13460.89</v>
      </c>
      <c r="N8" s="1">
        <f>VLOOKUP($I$1&amp;N$5,DATA!$A:$EB,전기말!$A8,0)/100</f>
        <v>4714.0200000000004</v>
      </c>
      <c r="O8" s="1">
        <f>VLOOKUP($I$1&amp;O$5,DATA!$A:$EB,전기말!$A8,0)/100</f>
        <v>5107.5600000000004</v>
      </c>
      <c r="P8" s="1">
        <f>VLOOKUP($I$1&amp;P$5,DATA!$A:$EB,전기말!$A8,0)/100</f>
        <v>17774.82</v>
      </c>
      <c r="Q8" s="1">
        <f>VLOOKUP($I$1&amp;Q$5,DATA!$A:$EB,전기말!$A8,0)/100</f>
        <v>19569.379529999998</v>
      </c>
      <c r="R8" s="1">
        <f>VLOOKUP($I$1&amp;R$5,DATA!$A:$EB,전기말!$A8,0)/100</f>
        <v>14727.14</v>
      </c>
      <c r="S8" s="1">
        <f>VLOOKUP($I$1&amp;S$5,DATA!$A:$EB,전기말!$A8,0)/100</f>
        <v>14571.42</v>
      </c>
      <c r="T8" s="1">
        <f>VLOOKUP($I$1&amp;T$5,DATA!$A:$EB,전기말!$A8,0)/100</f>
        <v>19315.38</v>
      </c>
    </row>
    <row r="9" spans="1:20">
      <c r="A9" s="1">
        <f>DATA!BW1</f>
        <v>75</v>
      </c>
      <c r="B9" s="1"/>
      <c r="C9" s="1" t="s">
        <v>1049</v>
      </c>
      <c r="D9" s="1"/>
      <c r="E9" s="1"/>
      <c r="F9" s="1"/>
      <c r="G9" s="1"/>
      <c r="H9" s="1"/>
      <c r="I9" s="1">
        <f>VLOOKUP($I$1&amp;I$5,DATA!$A:$EB,전기말!$A9,0)/100</f>
        <v>20782.12</v>
      </c>
      <c r="J9" s="1">
        <f>VLOOKUP($I$1&amp;J$5,DATA!$A:$EB,전기말!$A9,0)/100</f>
        <v>129020.23</v>
      </c>
      <c r="K9" s="1">
        <f>VLOOKUP($I$1&amp;K$5,DATA!$A:$EB,전기말!$A9,0)/100</f>
        <v>64380.58</v>
      </c>
      <c r="L9" s="1">
        <f>VLOOKUP($I$1&amp;L$5,DATA!$A:$EB,전기말!$A9,0)/100</f>
        <v>91091.41</v>
      </c>
      <c r="M9" s="1">
        <f>VLOOKUP($I$1&amp;M$5,DATA!$A:$EB,전기말!$A9,0)/100</f>
        <v>72241.14</v>
      </c>
      <c r="N9" s="1">
        <f>VLOOKUP($I$1&amp;N$5,DATA!$A:$EB,전기말!$A9,0)/100</f>
        <v>26710.880000000001</v>
      </c>
      <c r="O9" s="1">
        <f>VLOOKUP($I$1&amp;O$5,DATA!$A:$EB,전기말!$A9,0)/100</f>
        <v>30105.09</v>
      </c>
      <c r="P9" s="1">
        <f>VLOOKUP($I$1&amp;P$5,DATA!$A:$EB,전기말!$A9,0)/100</f>
        <v>140739.07999999999</v>
      </c>
      <c r="Q9" s="1">
        <f>VLOOKUP($I$1&amp;Q$5,DATA!$A:$EB,전기말!$A9,0)/100</f>
        <v>83054.872619999995</v>
      </c>
      <c r="R9" s="1">
        <f>VLOOKUP($I$1&amp;R$5,DATA!$A:$EB,전기말!$A9,0)/100</f>
        <v>111878.89</v>
      </c>
      <c r="S9" s="1">
        <f>VLOOKUP($I$1&amp;S$5,DATA!$A:$EB,전기말!$A9,0)/100</f>
        <v>88204.82</v>
      </c>
      <c r="T9" s="1">
        <f>VLOOKUP($I$1&amp;T$5,DATA!$A:$EB,전기말!$A9,0)/100</f>
        <v>122317.59</v>
      </c>
    </row>
    <row r="11" spans="1:20">
      <c r="A11" s="5">
        <f>작업!A79</f>
        <v>25</v>
      </c>
      <c r="B11" s="5"/>
      <c r="C11" s="5" t="s">
        <v>1058</v>
      </c>
      <c r="D11" s="5"/>
      <c r="E11" s="5"/>
      <c r="F11" s="5"/>
      <c r="G11" s="5"/>
      <c r="H11" s="5"/>
      <c r="I11" s="1">
        <f>VLOOKUP($I$1&amp;I$5,DATA!$A:$EB,$A11,0)/100</f>
        <v>-6635.71</v>
      </c>
      <c r="J11" s="1">
        <f>VLOOKUP($I$1&amp;J$5,DATA!$A:$EB,$A11,0)/100</f>
        <v>149959.54999999999</v>
      </c>
      <c r="K11" s="1">
        <f>VLOOKUP($I$1&amp;K$5,DATA!$A:$EB,$A11,0)/100</f>
        <v>-33969.82</v>
      </c>
      <c r="L11" s="1">
        <f>VLOOKUP($I$1&amp;L$5,DATA!$A:$EB,$A11,0)/100</f>
        <v>-18547.169999999998</v>
      </c>
      <c r="M11" s="1">
        <f>VLOOKUP($I$1&amp;M$5,DATA!$A:$EB,$A11,0)/100</f>
        <v>-17664.169999999998</v>
      </c>
      <c r="N11" s="1">
        <f>VLOOKUP($I$1&amp;N$5,DATA!$A:$EB,$A11,0)/100</f>
        <v>-10593.09</v>
      </c>
      <c r="O11" s="1">
        <f>VLOOKUP($I$1&amp;O$5,DATA!$A:$EB,$A11,0)/100</f>
        <v>-604.16999999999996</v>
      </c>
      <c r="P11" s="1">
        <f>VLOOKUP($I$1&amp;P$5,DATA!$A:$EB,$A11,0)/100</f>
        <v>23717.98</v>
      </c>
      <c r="Q11" s="1">
        <f>VLOOKUP($I$1&amp;Q$5,DATA!$A:$EB,$A11,0)/100</f>
        <v>-27421.859260000001</v>
      </c>
      <c r="R11" s="1">
        <f>VLOOKUP($I$1&amp;R$5,DATA!$A:$EB,$A11,0)/100</f>
        <v>-10395.120000000001</v>
      </c>
      <c r="S11" s="1">
        <f>VLOOKUP($I$1&amp;S$5,DATA!$A:$EB,$A11,0)/100</f>
        <v>-10752.77</v>
      </c>
      <c r="T11" s="1">
        <f>VLOOKUP($I$1&amp;T$5,DATA!$A:$EB,$A11,0)/100</f>
        <v>-21176.7</v>
      </c>
    </row>
    <row r="12" spans="1:20">
      <c r="A12" s="5">
        <f>작업!A80</f>
        <v>28</v>
      </c>
      <c r="B12" s="5"/>
      <c r="C12" s="5" t="s">
        <v>1059</v>
      </c>
      <c r="D12" s="5"/>
      <c r="E12" s="5"/>
      <c r="F12" s="5"/>
      <c r="G12" s="5"/>
      <c r="H12" s="5"/>
      <c r="I12" s="1">
        <f>VLOOKUP($I$1&amp;I$5,DATA!$A:$EB,$A12,0)/100</f>
        <v>2154.2800000000002</v>
      </c>
      <c r="J12" s="1">
        <f>VLOOKUP($I$1&amp;J$5,DATA!$A:$EB,$A12,0)/100</f>
        <v>4032.54</v>
      </c>
      <c r="K12" s="1">
        <f>VLOOKUP($I$1&amp;K$5,DATA!$A:$EB,$A12,0)/100</f>
        <v>3013.68</v>
      </c>
      <c r="L12" s="1">
        <f>VLOOKUP($I$1&amp;L$5,DATA!$A:$EB,$A12,0)/100</f>
        <v>-2839.68</v>
      </c>
      <c r="M12" s="1">
        <f>VLOOKUP($I$1&amp;M$5,DATA!$A:$EB,$A12,0)/100</f>
        <v>906.81</v>
      </c>
      <c r="N12" s="1">
        <f>VLOOKUP($I$1&amp;N$5,DATA!$A:$EB,$A12,0)/100</f>
        <v>820.84</v>
      </c>
      <c r="O12" s="1">
        <f>VLOOKUP($I$1&amp;O$5,DATA!$A:$EB,$A12,0)/100</f>
        <v>-26.81</v>
      </c>
      <c r="P12" s="1">
        <f>VLOOKUP($I$1&amp;P$5,DATA!$A:$EB,$A12,0)/100</f>
        <v>1507.51</v>
      </c>
      <c r="Q12" s="1">
        <f>VLOOKUP($I$1&amp;Q$5,DATA!$A:$EB,$A12,0)/100</f>
        <v>674.72421999999995</v>
      </c>
      <c r="R12" s="1">
        <f>VLOOKUP($I$1&amp;R$5,DATA!$A:$EB,$A12,0)/100</f>
        <v>3058.07</v>
      </c>
      <c r="S12" s="1">
        <f>VLOOKUP($I$1&amp;S$5,DATA!$A:$EB,$A12,0)/100</f>
        <v>1500.3</v>
      </c>
      <c r="T12" s="1">
        <f>VLOOKUP($I$1&amp;T$5,DATA!$A:$EB,$A12,0)/100</f>
        <v>1234.45</v>
      </c>
    </row>
    <row r="13" spans="1:20">
      <c r="A13" s="5">
        <f>작업!A81</f>
        <v>26</v>
      </c>
      <c r="B13" s="5"/>
      <c r="C13" s="5" t="s">
        <v>1056</v>
      </c>
      <c r="D13" s="5"/>
      <c r="E13" s="5"/>
      <c r="F13" s="5"/>
      <c r="G13" s="5"/>
      <c r="H13" s="5"/>
      <c r="I13" s="1">
        <f>VLOOKUP($I$1&amp;I$5,DATA!$A:$EB,$A13,0)/100</f>
        <v>2594.38</v>
      </c>
      <c r="J13" s="1">
        <f>VLOOKUP($I$1&amp;J$5,DATA!$A:$EB,$A13,0)/100</f>
        <v>29495.78</v>
      </c>
      <c r="K13" s="1">
        <f>VLOOKUP($I$1&amp;K$5,DATA!$A:$EB,$A13,0)/100</f>
        <v>2306.5500000000002</v>
      </c>
      <c r="L13" s="1">
        <f>VLOOKUP($I$1&amp;L$5,DATA!$A:$EB,$A13,0)/100</f>
        <v>5365.11</v>
      </c>
      <c r="M13" s="1">
        <f>VLOOKUP($I$1&amp;M$5,DATA!$A:$EB,$A13,0)/100</f>
        <v>2186.56</v>
      </c>
      <c r="N13" s="1">
        <f>VLOOKUP($I$1&amp;N$5,DATA!$A:$EB,$A13,0)/100</f>
        <v>-1334.78</v>
      </c>
      <c r="O13" s="1">
        <f>VLOOKUP($I$1&amp;O$5,DATA!$A:$EB,$A13,0)/100</f>
        <v>4339.55</v>
      </c>
      <c r="P13" s="1">
        <f>VLOOKUP($I$1&amp;P$5,DATA!$A:$EB,$A13,0)/100</f>
        <v>-6.85</v>
      </c>
      <c r="Q13" s="1">
        <f>VLOOKUP($I$1&amp;Q$5,DATA!$A:$EB,$A13,0)/100</f>
        <v>-1359.4342800000002</v>
      </c>
      <c r="R13" s="1">
        <f>VLOOKUP($I$1&amp;R$5,DATA!$A:$EB,$A13,0)/100</f>
        <v>1256</v>
      </c>
      <c r="S13" s="1">
        <f>VLOOKUP($I$1&amp;S$5,DATA!$A:$EB,$A13,0)/100</f>
        <v>2361.7199999999998</v>
      </c>
      <c r="T13" s="1">
        <f>VLOOKUP($I$1&amp;T$5,DATA!$A:$EB,$A13,0)/100</f>
        <v>1708.31</v>
      </c>
    </row>
    <row r="14" spans="1:20">
      <c r="A14" s="5">
        <f>작업!A82</f>
        <v>27</v>
      </c>
      <c r="B14" s="5"/>
      <c r="C14" s="5" t="s">
        <v>1057</v>
      </c>
      <c r="D14" s="5"/>
      <c r="E14" s="5"/>
      <c r="F14" s="5"/>
      <c r="G14" s="5"/>
      <c r="H14" s="5"/>
      <c r="I14" s="1">
        <f>VLOOKUP($I$1&amp;I$5,DATA!$A:$EB,$A14,0)/100</f>
        <v>-3.11</v>
      </c>
      <c r="J14" s="1">
        <f>VLOOKUP($I$1&amp;J$5,DATA!$A:$EB,$A14,0)/100</f>
        <v>3111.62</v>
      </c>
      <c r="K14" s="1">
        <f>VLOOKUP($I$1&amp;K$5,DATA!$A:$EB,$A14,0)/100</f>
        <v>38.090000000000003</v>
      </c>
      <c r="L14" s="1">
        <f>VLOOKUP($I$1&amp;L$5,DATA!$A:$EB,$A14,0)/100</f>
        <v>29.94</v>
      </c>
      <c r="M14" s="1">
        <f>VLOOKUP($I$1&amp;M$5,DATA!$A:$EB,$A14,0)/100</f>
        <v>117.36</v>
      </c>
      <c r="N14" s="1">
        <f>VLOOKUP($I$1&amp;N$5,DATA!$A:$EB,$A14,0)/100</f>
        <v>105.51</v>
      </c>
      <c r="O14" s="1">
        <f>VLOOKUP($I$1&amp;O$5,DATA!$A:$EB,$A14,0)/100</f>
        <v>19.2</v>
      </c>
      <c r="P14" s="1">
        <f>VLOOKUP($I$1&amp;P$5,DATA!$A:$EB,$A14,0)/100</f>
        <v>-238.61</v>
      </c>
      <c r="Q14" s="1">
        <f>VLOOKUP($I$1&amp;Q$5,DATA!$A:$EB,$A14,0)/100</f>
        <v>7.80138</v>
      </c>
      <c r="R14" s="1">
        <f>VLOOKUP($I$1&amp;R$5,DATA!$A:$EB,$A14,0)/100</f>
        <v>-104.98</v>
      </c>
      <c r="S14" s="1">
        <f>VLOOKUP($I$1&amp;S$5,DATA!$A:$EB,$A14,0)/100</f>
        <v>-55.78</v>
      </c>
      <c r="T14" s="1">
        <f>VLOOKUP($I$1&amp;T$5,DATA!$A:$EB,$A14,0)/100</f>
        <v>20.61</v>
      </c>
    </row>
    <row r="16" spans="1:20">
      <c r="A16">
        <f>작업!A100</f>
        <v>95</v>
      </c>
      <c r="C16" s="5" t="s">
        <v>1069</v>
      </c>
      <c r="I16" s="1">
        <f>VLOOKUP($I$1&amp;I$5,DATA!$A:$EB,$A16,0)</f>
        <v>1.9239999999999999</v>
      </c>
      <c r="J16" s="1">
        <f>VLOOKUP($I$1&amp;J$5,DATA!$A:$EB,$A16,0)</f>
        <v>1.849</v>
      </c>
      <c r="K16" s="1">
        <f>VLOOKUP($I$1&amp;K$5,DATA!$A:$EB,$A16,0)</f>
        <v>1.6415999999999999</v>
      </c>
      <c r="L16" s="1">
        <f>VLOOKUP($I$1&amp;L$5,DATA!$A:$EB,$A16,0)</f>
        <v>1.637</v>
      </c>
      <c r="M16" s="1">
        <f>VLOOKUP($I$1&amp;M$5,DATA!$A:$EB,$A16,0)</f>
        <v>2.0569999999999999</v>
      </c>
      <c r="N16" s="1">
        <f>VLOOKUP($I$1&amp;N$5,DATA!$A:$EB,$A16,0)</f>
        <v>1.5549999999999999</v>
      </c>
      <c r="O16" s="1">
        <f>VLOOKUP($I$1&amp;O$5,DATA!$A:$EB,$A16,0)</f>
        <v>2.6314000000000002</v>
      </c>
      <c r="P16" s="1">
        <f>VLOOKUP($I$1&amp;P$5,DATA!$A:$EB,$A16,0)</f>
        <v>2.6446000000000001</v>
      </c>
      <c r="Q16" s="1">
        <f>VLOOKUP($I$1&amp;Q$5,DATA!$A:$EB,$A16,0)</f>
        <v>1.57</v>
      </c>
      <c r="R16" s="1">
        <f>VLOOKUP($I$1&amp;R$5,DATA!$A:$EB,$A16,0)</f>
        <v>2.4820000000000002</v>
      </c>
      <c r="S16" s="1">
        <f>VLOOKUP($I$1&amp;S$5,DATA!$A:$EB,$A16,0)</f>
        <v>1.8642000000000001</v>
      </c>
      <c r="T16" s="1">
        <f>VLOOKUP($I$1&amp;T$5,DATA!$A:$EB,$A16,0)</f>
        <v>2.0310000000000001</v>
      </c>
    </row>
    <row r="18" spans="1:20">
      <c r="A18">
        <v>19</v>
      </c>
      <c r="C18" s="5" t="s">
        <v>1073</v>
      </c>
      <c r="I18" s="1">
        <f>VLOOKUP($I$1&amp;I$5,DATA!$A:$EB,$A18,0)/100</f>
        <v>30190.270635449997</v>
      </c>
      <c r="J18" s="1">
        <f>VLOOKUP($I$1&amp;J$5,DATA!$A:$EB,$A18,0)/100</f>
        <v>375277.25</v>
      </c>
      <c r="K18" s="1">
        <f>VLOOKUP($I$1&amp;K$5,DATA!$A:$EB,$A18,0)/100</f>
        <v>99757.553596950005</v>
      </c>
      <c r="L18" s="1">
        <f>VLOOKUP($I$1&amp;L$5,DATA!$A:$EB,$A18,0)/100</f>
        <v>113871.17872621</v>
      </c>
      <c r="M18" s="1">
        <f>VLOOKUP($I$1&amp;M$5,DATA!$A:$EB,$A18,0)/100</f>
        <v>84465.49</v>
      </c>
      <c r="N18" s="1">
        <f>VLOOKUP($I$1&amp;N$5,DATA!$A:$EB,$A18,0)/100</f>
        <v>29517.468177609997</v>
      </c>
      <c r="O18" s="1">
        <f>VLOOKUP($I$1&amp;O$5,DATA!$A:$EB,$A18,0)/100</f>
        <v>53635.06</v>
      </c>
      <c r="P18" s="1">
        <f>VLOOKUP($I$1&amp;P$5,DATA!$A:$EB,$A18,0)/100</f>
        <v>159051.75466966</v>
      </c>
      <c r="Q18" s="1">
        <f>VLOOKUP($I$1&amp;Q$5,DATA!$A:$EB,$A18,0)/100</f>
        <v>61170.945339739999</v>
      </c>
      <c r="R18" s="1">
        <f>VLOOKUP($I$1&amp;R$5,DATA!$A:$EB,$A18,0)/100</f>
        <v>54725.736529829999</v>
      </c>
      <c r="S18" s="1">
        <f>VLOOKUP($I$1&amp;S$5,DATA!$A:$EB,$A18,0)/100</f>
        <v>62978.16</v>
      </c>
      <c r="T18" s="1">
        <f>VLOOKUP($I$1&amp;T$5,DATA!$A:$EB,$A18,0)/100</f>
        <v>86755.500188200007</v>
      </c>
    </row>
    <row r="22" spans="1:20">
      <c r="C22" s="729" t="s">
        <v>105</v>
      </c>
      <c r="D22" s="729"/>
      <c r="E22" s="729"/>
      <c r="F22" s="729"/>
      <c r="G22" s="729"/>
      <c r="H22" s="730"/>
      <c r="I22" s="45" t="s">
        <v>124</v>
      </c>
      <c r="J22" s="45" t="s">
        <v>136</v>
      </c>
      <c r="K22" s="45" t="s">
        <v>137</v>
      </c>
      <c r="L22" s="45" t="s">
        <v>138</v>
      </c>
      <c r="M22" s="45" t="s">
        <v>4</v>
      </c>
      <c r="N22" s="45" t="s">
        <v>139</v>
      </c>
      <c r="O22" s="46" t="s">
        <v>6</v>
      </c>
      <c r="P22" s="46" t="s">
        <v>106</v>
      </c>
      <c r="Q22" s="46" t="s">
        <v>107</v>
      </c>
      <c r="R22" s="46" t="s">
        <v>108</v>
      </c>
      <c r="S22" s="46" t="s">
        <v>109</v>
      </c>
      <c r="T22" s="46" t="s">
        <v>110</v>
      </c>
    </row>
    <row r="23" spans="1:20">
      <c r="A23">
        <f>+작업!A109</f>
        <v>48</v>
      </c>
      <c r="C23" s="748" t="s">
        <v>32</v>
      </c>
      <c r="D23" s="748"/>
      <c r="E23" s="748"/>
      <c r="F23" s="748"/>
      <c r="G23" s="748"/>
      <c r="H23" s="749"/>
      <c r="I23" s="1">
        <f>VLOOKUP($I$1&amp;I$5,DATA!$A:$EB,$A23,0)/100</f>
        <v>1192.75544347</v>
      </c>
      <c r="J23" s="1">
        <f>VLOOKUP($I$1&amp;J$5,DATA!$A:$EB,$A23,0)/100</f>
        <v>5419.9</v>
      </c>
      <c r="K23" s="1">
        <f>VLOOKUP($I$1&amp;K$5,DATA!$A:$EB,$A23,0)/100</f>
        <v>4736.2386440399996</v>
      </c>
      <c r="L23" s="1">
        <f>VLOOKUP($I$1&amp;L$5,DATA!$A:$EB,$A23,0)/100</f>
        <v>5063.0484630700003</v>
      </c>
      <c r="M23" s="1">
        <f>VLOOKUP($I$1&amp;M$5,DATA!$A:$EB,$A23,0)/100</f>
        <v>6583.81</v>
      </c>
      <c r="N23" s="1">
        <f>VLOOKUP($I$1&amp;N$5,DATA!$A:$EB,$A23,0)/100</f>
        <v>2744.0816082599999</v>
      </c>
      <c r="O23" s="1">
        <f>VLOOKUP($I$1&amp;O$5,DATA!$A:$EB,$A23,0)/100</f>
        <v>3138.1</v>
      </c>
      <c r="P23" s="1">
        <f>VLOOKUP($I$1&amp;P$5,DATA!$A:$EB,$A23,0)/100</f>
        <v>17803.703943349999</v>
      </c>
      <c r="Q23" s="1">
        <f>VLOOKUP($I$1&amp;Q$5,DATA!$A:$EB,$A23,0)/100</f>
        <v>10431.02677049</v>
      </c>
      <c r="R23" s="1">
        <f>VLOOKUP($I$1&amp;R$5,DATA!$A:$EB,$A23,0)/100</f>
        <v>15336.44053333</v>
      </c>
      <c r="S23" s="1">
        <f>VLOOKUP($I$1&amp;S$5,DATA!$A:$EB,$A23,0)/100</f>
        <v>9779.99</v>
      </c>
      <c r="T23" s="1">
        <f>VLOOKUP($I$1&amp;T$5,DATA!$A:$EB,$A23,0)/100</f>
        <v>16190.942899490001</v>
      </c>
    </row>
    <row r="24" spans="1:20">
      <c r="A24">
        <f>+작업!A110</f>
        <v>107</v>
      </c>
      <c r="C24" s="329"/>
      <c r="D24" s="770" t="s">
        <v>98</v>
      </c>
      <c r="E24" s="771"/>
      <c r="F24" s="771"/>
      <c r="G24" s="771"/>
      <c r="H24" s="772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 spans="1:20">
      <c r="A25">
        <f>+작업!A111</f>
        <v>104</v>
      </c>
      <c r="C25" s="329"/>
      <c r="D25" s="731" t="s">
        <v>1068</v>
      </c>
      <c r="E25" s="732"/>
      <c r="F25" s="732"/>
      <c r="G25" s="732"/>
      <c r="H25" s="73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 spans="1:20">
      <c r="A26">
        <f>+작업!A112</f>
        <v>0</v>
      </c>
      <c r="C26" s="329"/>
      <c r="D26" s="773" t="s">
        <v>125</v>
      </c>
      <c r="E26" s="771"/>
      <c r="F26" s="770" t="s">
        <v>126</v>
      </c>
      <c r="G26" s="771"/>
      <c r="H26" s="772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 spans="1:20">
      <c r="A27">
        <f>+작업!A113</f>
        <v>0</v>
      </c>
      <c r="C27" s="332"/>
      <c r="D27" s="774"/>
      <c r="E27" s="775"/>
      <c r="F27" s="776" t="s">
        <v>127</v>
      </c>
      <c r="G27" s="777"/>
      <c r="H27" s="778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</row>
    <row r="28" spans="1:20">
      <c r="A28">
        <f>+작업!A114</f>
        <v>49</v>
      </c>
      <c r="C28" s="746" t="s">
        <v>33</v>
      </c>
      <c r="D28" s="746"/>
      <c r="E28" s="746"/>
      <c r="F28" s="746"/>
      <c r="G28" s="746"/>
      <c r="H28" s="747"/>
      <c r="I28" s="1">
        <f>VLOOKUP($I$1&amp;I$5,DATA!$A:$EB,$A28,0)/100</f>
        <v>-43.366400290000001</v>
      </c>
      <c r="J28" s="1">
        <f>VLOOKUP($I$1&amp;J$5,DATA!$A:$EB,$A28,0)/100</f>
        <v>10009.36</v>
      </c>
      <c r="K28" s="1">
        <f>VLOOKUP($I$1&amp;K$5,DATA!$A:$EB,$A28,0)/100</f>
        <v>6713.9962772999997</v>
      </c>
      <c r="L28" s="1">
        <f>VLOOKUP($I$1&amp;L$5,DATA!$A:$EB,$A28,0)/100</f>
        <v>761.54032934999998</v>
      </c>
      <c r="M28" s="1">
        <f>VLOOKUP($I$1&amp;M$5,DATA!$A:$EB,$A28,0)/100</f>
        <v>801.88</v>
      </c>
      <c r="N28" s="1">
        <f>VLOOKUP($I$1&amp;N$5,DATA!$A:$EB,$A28,0)/100</f>
        <v>1046.4486014200002</v>
      </c>
      <c r="O28" s="1">
        <f>VLOOKUP($I$1&amp;O$5,DATA!$A:$EB,$A28,0)/100</f>
        <v>876.1</v>
      </c>
      <c r="P28" s="1">
        <f>VLOOKUP($I$1&amp;P$5,DATA!$A:$EB,$A28,0)/100</f>
        <v>9191.7346410400005</v>
      </c>
      <c r="Q28" s="1">
        <f>VLOOKUP($I$1&amp;Q$5,DATA!$A:$EB,$A28,0)/100</f>
        <v>3587.6863807699997</v>
      </c>
      <c r="R28" s="1">
        <f>VLOOKUP($I$1&amp;R$5,DATA!$A:$EB,$A28,0)/100</f>
        <v>7615.8094249299993</v>
      </c>
      <c r="S28" s="1">
        <f>VLOOKUP($I$1&amp;S$5,DATA!$A:$EB,$A28,0)/100</f>
        <v>1775.71</v>
      </c>
      <c r="T28" s="1">
        <f>VLOOKUP($I$1&amp;T$5,DATA!$A:$EB,$A28,0)/100</f>
        <v>7435.6822472000003</v>
      </c>
    </row>
    <row r="29" spans="1:20">
      <c r="A29">
        <f>+작업!A115</f>
        <v>0</v>
      </c>
      <c r="C29" s="746" t="s">
        <v>128</v>
      </c>
      <c r="D29" s="746"/>
      <c r="E29" s="746"/>
      <c r="F29" s="746"/>
      <c r="G29" s="746"/>
      <c r="H29" s="74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>
      <c r="A30">
        <f>+작업!A116</f>
        <v>50</v>
      </c>
      <c r="C30" s="782" t="s">
        <v>34</v>
      </c>
      <c r="D30" s="782"/>
      <c r="E30" s="782"/>
      <c r="F30" s="782"/>
      <c r="G30" s="782"/>
      <c r="H30" s="783"/>
      <c r="I30" s="1">
        <f>VLOOKUP($I$1&amp;I$5,DATA!$A:$EB,$A30,0)/100</f>
        <v>8.8398245200000005</v>
      </c>
      <c r="J30" s="1">
        <f>VLOOKUP($I$1&amp;J$5,DATA!$A:$EB,$A30,0)/100</f>
        <v>2783.64</v>
      </c>
      <c r="K30" s="1">
        <f>VLOOKUP($I$1&amp;K$5,DATA!$A:$EB,$A30,0)/100</f>
        <v>-2642.3360937800003</v>
      </c>
      <c r="L30" s="1">
        <f>VLOOKUP($I$1&amp;L$5,DATA!$A:$EB,$A30,0)/100</f>
        <v>3224.6249606400002</v>
      </c>
      <c r="M30" s="1">
        <f>VLOOKUP($I$1&amp;M$5,DATA!$A:$EB,$A30,0)/100</f>
        <v>-29.61</v>
      </c>
      <c r="N30" s="1">
        <f>VLOOKUP($I$1&amp;N$5,DATA!$A:$EB,$A30,0)/100</f>
        <v>29.199416669999991</v>
      </c>
      <c r="O30" s="1">
        <f>VLOOKUP($I$1&amp;O$5,DATA!$A:$EB,$A30,0)/100</f>
        <v>-35.15</v>
      </c>
      <c r="P30" s="1">
        <f>VLOOKUP($I$1&amp;P$5,DATA!$A:$EB,$A30,0)/100</f>
        <v>45.405165560000022</v>
      </c>
      <c r="Q30" s="1">
        <f>VLOOKUP($I$1&amp;Q$5,DATA!$A:$EB,$A30,0)/100</f>
        <v>-354.35700262</v>
      </c>
      <c r="R30" s="1">
        <f>VLOOKUP($I$1&amp;R$5,DATA!$A:$EB,$A30,0)/100</f>
        <v>31.82418989</v>
      </c>
      <c r="S30" s="1">
        <f>VLOOKUP($I$1&amp;S$5,DATA!$A:$EB,$A30,0)/100</f>
        <v>-176.15</v>
      </c>
      <c r="T30" s="1">
        <f>VLOOKUP($I$1&amp;T$5,DATA!$A:$EB,$A30,0)/100</f>
        <v>31.51389897</v>
      </c>
    </row>
    <row r="31" spans="1:20">
      <c r="A31">
        <f>+작업!A117</f>
        <v>51</v>
      </c>
      <c r="C31" s="745" t="s">
        <v>129</v>
      </c>
      <c r="D31" s="745"/>
      <c r="E31" s="745"/>
      <c r="F31" s="745"/>
      <c r="G31" s="745"/>
      <c r="H31" s="740"/>
      <c r="I31" s="1">
        <f>VLOOKUP($I$1&amp;I$5,DATA!$A:$EB,$A31,0)/100</f>
        <v>1158.2288676999999</v>
      </c>
      <c r="J31" s="1">
        <f>VLOOKUP($I$1&amp;J$5,DATA!$A:$EB,$A31,0)/100</f>
        <v>18212.900000000001</v>
      </c>
      <c r="K31" s="1">
        <f>VLOOKUP($I$1&amp;K$5,DATA!$A:$EB,$A31,0)/100</f>
        <v>8807.8988275599986</v>
      </c>
      <c r="L31" s="1">
        <f>VLOOKUP($I$1&amp;L$5,DATA!$A:$EB,$A31,0)/100</f>
        <v>9049.2137530599994</v>
      </c>
      <c r="M31" s="1">
        <f>VLOOKUP($I$1&amp;M$5,DATA!$A:$EB,$A31,0)/100</f>
        <v>7356.08</v>
      </c>
      <c r="N31" s="1">
        <f>VLOOKUP($I$1&amp;N$5,DATA!$A:$EB,$A31,0)/100</f>
        <v>3819.7296263500002</v>
      </c>
      <c r="O31" s="1">
        <f>VLOOKUP($I$1&amp;O$5,DATA!$A:$EB,$A31,0)/100</f>
        <v>3979.05</v>
      </c>
      <c r="P31" s="1">
        <f>VLOOKUP($I$1&amp;P$5,DATA!$A:$EB,$A31,0)/100</f>
        <v>27040.843749950003</v>
      </c>
      <c r="Q31" s="1">
        <f>VLOOKUP($I$1&amp;Q$5,DATA!$A:$EB,$A31,0)/100</f>
        <v>13664.356148639999</v>
      </c>
      <c r="R31" s="1">
        <f>VLOOKUP($I$1&amp;R$5,DATA!$A:$EB,$A31,0)/100</f>
        <v>22984.074148149997</v>
      </c>
      <c r="S31" s="1">
        <f>VLOOKUP($I$1&amp;S$5,DATA!$A:$EB,$A31,0)/100</f>
        <v>11379.55</v>
      </c>
      <c r="T31" s="1">
        <f>VLOOKUP($I$1&amp;T$5,DATA!$A:$EB,$A31,0)/100</f>
        <v>23658.139045660002</v>
      </c>
    </row>
    <row r="32" spans="1:20">
      <c r="A32">
        <f>+작업!A118</f>
        <v>44</v>
      </c>
      <c r="C32" s="752" t="s">
        <v>130</v>
      </c>
      <c r="D32" s="752"/>
      <c r="E32" s="752"/>
      <c r="F32" s="752"/>
      <c r="G32" s="752"/>
      <c r="H32" s="753"/>
      <c r="I32" s="1">
        <f>VLOOKUP($I$1&amp;I$5,DATA!$A:$EB,$A32,0)/100</f>
        <v>1250.3895284</v>
      </c>
      <c r="J32" s="1">
        <f>VLOOKUP($I$1&amp;J$5,DATA!$A:$EB,$A32,0)/100</f>
        <v>14869.36</v>
      </c>
      <c r="K32" s="1">
        <f>VLOOKUP($I$1&amp;K$5,DATA!$A:$EB,$A32,0)/100</f>
        <v>6987.3608933999994</v>
      </c>
      <c r="L32" s="1">
        <f>VLOOKUP($I$1&amp;L$5,DATA!$A:$EB,$A32,0)/100</f>
        <v>7205.6972916900004</v>
      </c>
      <c r="M32" s="1">
        <f>VLOOKUP($I$1&amp;M$5,DATA!$A:$EB,$A32,0)/100</f>
        <v>5336.81</v>
      </c>
      <c r="N32" s="1">
        <f>VLOOKUP($I$1&amp;N$5,DATA!$A:$EB,$A32,0)/100</f>
        <v>3101.58029898</v>
      </c>
      <c r="O32" s="1">
        <f>VLOOKUP($I$1&amp;O$5,DATA!$A:$EB,$A32,0)/100</f>
        <v>2998.78</v>
      </c>
      <c r="P32" s="1">
        <f>VLOOKUP($I$1&amp;P$5,DATA!$A:$EB,$A32,0)/100</f>
        <v>20477.81248104</v>
      </c>
      <c r="Q32" s="1">
        <f>VLOOKUP($I$1&amp;Q$5,DATA!$A:$EB,$A32,0)/100</f>
        <v>10306.84310373</v>
      </c>
      <c r="R32" s="1">
        <f>VLOOKUP($I$1&amp;R$5,DATA!$A:$EB,$A32,0)/100</f>
        <v>17105.498833829999</v>
      </c>
      <c r="S32" s="1">
        <f>VLOOKUP($I$1&amp;S$5,DATA!$A:$EB,$A32,0)/100</f>
        <v>8567.49</v>
      </c>
      <c r="T32" s="1">
        <f>VLOOKUP($I$1&amp;T$5,DATA!$A:$EB,$A32,0)/100</f>
        <v>17722.292018210002</v>
      </c>
    </row>
    <row r="36" spans="1:20">
      <c r="A36">
        <f>작업!A136</f>
        <v>76</v>
      </c>
      <c r="C36" t="s">
        <v>1076</v>
      </c>
      <c r="I36" s="1">
        <f>VLOOKUP($I$1&amp;I$5,DATA!$A:$EB,$A36,0)/100</f>
        <v>3946.05</v>
      </c>
      <c r="J36" s="1">
        <f>VLOOKUP($I$1&amp;J$5,DATA!$A:$EB,$A36,0)/100</f>
        <v>32606.04</v>
      </c>
      <c r="K36" s="1">
        <f>VLOOKUP($I$1&amp;K$5,DATA!$A:$EB,$A36,0)/100</f>
        <v>13715.68</v>
      </c>
      <c r="L36" s="1">
        <f>VLOOKUP($I$1&amp;L$5,DATA!$A:$EB,$A36,0)/100</f>
        <v>21230.86</v>
      </c>
      <c r="M36" s="1">
        <f>VLOOKUP($I$1&amp;M$5,DATA!$A:$EB,$A36,0)/100</f>
        <v>12646.82</v>
      </c>
      <c r="N36" s="1">
        <f>VLOOKUP($I$1&amp;N$5,DATA!$A:$EB,$A36,0)/100</f>
        <v>7319.76</v>
      </c>
      <c r="O36" s="1">
        <f>VLOOKUP($I$1&amp;O$5,DATA!$A:$EB,$A36,0)/100</f>
        <v>5013.04</v>
      </c>
      <c r="P36" s="1">
        <f>VLOOKUP($I$1&amp;P$5,DATA!$A:$EB,$A36,0)/100</f>
        <v>34511.83</v>
      </c>
      <c r="Q36" s="1">
        <f>VLOOKUP($I$1&amp;Q$5,DATA!$A:$EB,$A36,0)/100</f>
        <v>18278.793529999999</v>
      </c>
      <c r="R36" s="1">
        <f>VLOOKUP($I$1&amp;R$5,DATA!$A:$EB,$A36,0)/100</f>
        <v>13795.71</v>
      </c>
      <c r="S36" s="1">
        <f>VLOOKUP($I$1&amp;S$5,DATA!$A:$EB,$A36,0)/100</f>
        <v>19323.21</v>
      </c>
      <c r="T36" s="1">
        <f>VLOOKUP($I$1&amp;T$5,DATA!$A:$EB,$A36,0)/100</f>
        <v>30780.38</v>
      </c>
    </row>
    <row r="37" spans="1:20">
      <c r="A37">
        <f>작업!A137</f>
        <v>77</v>
      </c>
      <c r="C37" t="s">
        <v>1078</v>
      </c>
      <c r="I37" s="1">
        <f>VLOOKUP($I$1&amp;I$5,DATA!$A:$EB,$A37,0)/100</f>
        <v>1976.91</v>
      </c>
      <c r="J37" s="1">
        <f>VLOOKUP($I$1&amp;J$5,DATA!$A:$EB,$A37,0)/100</f>
        <v>13695.41</v>
      </c>
      <c r="K37" s="1">
        <f>VLOOKUP($I$1&amp;K$5,DATA!$A:$EB,$A37,0)/100</f>
        <v>6009.84</v>
      </c>
      <c r="L37" s="1">
        <f>VLOOKUP($I$1&amp;L$5,DATA!$A:$EB,$A37,0)/100</f>
        <v>8519.18</v>
      </c>
      <c r="M37" s="1">
        <f>VLOOKUP($I$1&amp;M$5,DATA!$A:$EB,$A37,0)/100</f>
        <v>7326.5</v>
      </c>
      <c r="N37" s="1">
        <f>VLOOKUP($I$1&amp;N$5,DATA!$A:$EB,$A37,0)/100</f>
        <v>2599.87</v>
      </c>
      <c r="O37" s="1">
        <f>VLOOKUP($I$1&amp;O$5,DATA!$A:$EB,$A37,0)/100</f>
        <v>2930.8</v>
      </c>
      <c r="P37" s="1">
        <f>VLOOKUP($I$1&amp;P$5,DATA!$A:$EB,$A37,0)/100</f>
        <v>16122.98</v>
      </c>
      <c r="Q37" s="1">
        <f>VLOOKUP($I$1&amp;Q$5,DATA!$A:$EB,$A37,0)/100</f>
        <v>9511.0175999999992</v>
      </c>
      <c r="R37" s="1">
        <f>VLOOKUP($I$1&amp;R$5,DATA!$A:$EB,$A37,0)/100</f>
        <v>11501.68</v>
      </c>
      <c r="S37" s="1">
        <f>VLOOKUP($I$1&amp;S$5,DATA!$A:$EB,$A37,0)/100</f>
        <v>8376.64</v>
      </c>
      <c r="T37" s="1">
        <f>VLOOKUP($I$1&amp;T$5,DATA!$A:$EB,$A37,0)/100</f>
        <v>12975.08</v>
      </c>
    </row>
    <row r="39" spans="1:20">
      <c r="A39">
        <v>13</v>
      </c>
      <c r="C39" t="s">
        <v>1087</v>
      </c>
    </row>
  </sheetData>
  <mergeCells count="13">
    <mergeCell ref="C30:H30"/>
    <mergeCell ref="C31:H31"/>
    <mergeCell ref="C32:H32"/>
    <mergeCell ref="D26:E27"/>
    <mergeCell ref="F26:H26"/>
    <mergeCell ref="F27:H27"/>
    <mergeCell ref="C28:H28"/>
    <mergeCell ref="C29:H29"/>
    <mergeCell ref="C5:H5"/>
    <mergeCell ref="C22:H22"/>
    <mergeCell ref="C23:H23"/>
    <mergeCell ref="D24:H24"/>
    <mergeCell ref="D25:H25"/>
  </mergeCells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workbookViewId="0">
      <selection activeCell="H43" sqref="H43"/>
    </sheetView>
  </sheetViews>
  <sheetFormatPr defaultRowHeight="16.5"/>
  <cols>
    <col min="9" max="20" width="10.375" customWidth="1"/>
  </cols>
  <sheetData>
    <row r="1" spans="1:20">
      <c r="C1" s="5" t="s">
        <v>102</v>
      </c>
      <c r="D1" s="5"/>
      <c r="E1" s="5"/>
      <c r="F1" s="5"/>
      <c r="G1" s="5"/>
      <c r="H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 t="s">
        <v>104</v>
      </c>
      <c r="P4" s="5"/>
      <c r="Q4" s="5"/>
      <c r="R4" s="5"/>
      <c r="S4" s="5"/>
      <c r="T4" s="5"/>
    </row>
    <row r="5" spans="1:20">
      <c r="C5" s="756" t="s">
        <v>105</v>
      </c>
      <c r="D5" s="756"/>
      <c r="E5" s="756"/>
      <c r="F5" s="756"/>
      <c r="G5" s="756"/>
      <c r="H5" s="757"/>
      <c r="I5" s="18" t="s">
        <v>0</v>
      </c>
      <c r="J5" s="18" t="s">
        <v>1</v>
      </c>
      <c r="K5" s="18" t="s">
        <v>2</v>
      </c>
      <c r="L5" s="18" t="s">
        <v>3</v>
      </c>
      <c r="M5" s="18" t="s">
        <v>4</v>
      </c>
      <c r="N5" s="18" t="s">
        <v>5</v>
      </c>
      <c r="O5" s="19" t="s">
        <v>6</v>
      </c>
      <c r="P5" s="18" t="s">
        <v>106</v>
      </c>
      <c r="Q5" s="18" t="s">
        <v>107</v>
      </c>
      <c r="R5" s="18" t="s">
        <v>108</v>
      </c>
      <c r="S5" s="18" t="s">
        <v>109</v>
      </c>
      <c r="T5" s="19" t="s">
        <v>110</v>
      </c>
    </row>
    <row r="6" spans="1:20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>
        <f>DATA!BT1</f>
        <v>72</v>
      </c>
      <c r="B7" s="17">
        <v>2212</v>
      </c>
      <c r="C7" s="1" t="s">
        <v>1095</v>
      </c>
      <c r="D7" s="1"/>
      <c r="E7" s="1" t="s">
        <v>1096</v>
      </c>
      <c r="F7" s="1"/>
      <c r="G7" s="1"/>
      <c r="H7" s="1"/>
      <c r="I7" s="1">
        <f>VLOOKUP($B7&amp;I$5,DATA!$A:$EB,이익잉여금!$A7,0)/100</f>
        <v>8102.4202336199996</v>
      </c>
      <c r="J7" s="1">
        <f>VLOOKUP($B7&amp;J$5,DATA!$A:$EB,이익잉여금!$A7,0)/100</f>
        <v>144526.71</v>
      </c>
      <c r="K7" s="1">
        <f>VLOOKUP($B7&amp;K$5,DATA!$A:$EB,이익잉여금!$A7,0)/100</f>
        <v>78882.048028079997</v>
      </c>
      <c r="L7" s="1">
        <f>VLOOKUP($B7&amp;L$5,DATA!$A:$EB,이익잉여금!$A7,0)/100</f>
        <v>39898.890667330001</v>
      </c>
      <c r="M7" s="1">
        <f>VLOOKUP($B7&amp;M$5,DATA!$A:$EB,이익잉여금!$A7,0)/100</f>
        <v>38691.879999999997</v>
      </c>
      <c r="N7" s="1">
        <f>VLOOKUP($B7&amp;N$5,DATA!$A:$EB,이익잉여금!$A7,0)/100</f>
        <v>12924.77232511</v>
      </c>
      <c r="O7" s="1">
        <f>VLOOKUP($B7&amp;O$5,DATA!$A:$EB,이익잉여금!$A7,0)/100</f>
        <v>23542.91</v>
      </c>
      <c r="P7" s="1">
        <f>VLOOKUP($B7&amp;P$5,DATA!$A:$EB,이익잉여금!$A7,0)/100</f>
        <v>107052.16533996</v>
      </c>
      <c r="Q7" s="1">
        <f>VLOOKUP($B7&amp;Q$5,DATA!$A:$EB,이익잉여금!$A7,0)/100</f>
        <v>41805.911323469998</v>
      </c>
      <c r="R7" s="1">
        <f>VLOOKUP($B7&amp;R$5,DATA!$A:$EB,이익잉여금!$A7,0)/100</f>
        <v>32995.671903300004</v>
      </c>
      <c r="S7" s="1">
        <f>VLOOKUP($B7&amp;S$5,DATA!$A:$EB,이익잉여금!$A7,0)/100</f>
        <v>35038.82</v>
      </c>
      <c r="T7" s="1">
        <f>VLOOKUP($B7&amp;T$5,DATA!$A:$EB,이익잉여금!$A7,0)/100</f>
        <v>63581.790987159999</v>
      </c>
    </row>
    <row r="8" spans="1:20">
      <c r="A8">
        <f>DATA!BM1</f>
        <v>65</v>
      </c>
      <c r="B8" s="17">
        <v>2312</v>
      </c>
      <c r="C8" t="s">
        <v>1097</v>
      </c>
      <c r="E8" t="s">
        <v>1098</v>
      </c>
      <c r="I8" s="1">
        <f>VLOOKUP($B8&amp;I$5,DATA!$A:$EB,이익잉여금!$A8,0)/100</f>
        <v>17086.84794874</v>
      </c>
      <c r="J8" s="1">
        <f>VLOOKUP($B8&amp;J$5,DATA!$A:$EB,이익잉여금!$A8,0)/100</f>
        <v>123337.77</v>
      </c>
      <c r="K8" s="1">
        <f>VLOOKUP($B8&amp;K$5,DATA!$A:$EB,이익잉여금!$A8,0)/100</f>
        <v>59204.201919589999</v>
      </c>
      <c r="L8" s="1">
        <f>VLOOKUP($B8&amp;L$5,DATA!$A:$EB,이익잉여금!$A8,0)/100</f>
        <v>56944.142814929997</v>
      </c>
      <c r="M8" s="1">
        <f>VLOOKUP($B8&amp;M$5,DATA!$A:$EB,이익잉여금!$A8,0)/100</f>
        <v>63211.29</v>
      </c>
      <c r="N8" s="1">
        <f>VLOOKUP($B8&amp;N$5,DATA!$A:$EB,이익잉여금!$A8,0)/100</f>
        <v>10967.919021870001</v>
      </c>
      <c r="O8" s="1">
        <f>VLOOKUP($B8&amp;O$5,DATA!$A:$EB,이익잉여금!$A8,0)/100</f>
        <v>28652.48</v>
      </c>
      <c r="P8" s="1">
        <f>VLOOKUP($B8&amp;P$5,DATA!$A:$EB,이익잉여금!$A8,0)/100</f>
        <v>109107.54577966001</v>
      </c>
      <c r="Q8" s="1">
        <f>VLOOKUP($B8&amp;Q$5,DATA!$A:$EB,이익잉여금!$A8,0)/100</f>
        <v>59182.96842220999</v>
      </c>
      <c r="R8" s="1">
        <f>VLOOKUP($B8&amp;R$5,DATA!$A:$EB,이익잉여금!$A8,0)/100</f>
        <v>31695.824767999999</v>
      </c>
      <c r="S8" s="1">
        <f>VLOOKUP($B8&amp;S$5,DATA!$A:$EB,이익잉여금!$A8,0)/100</f>
        <v>51652.2</v>
      </c>
      <c r="T8" s="1">
        <f>VLOOKUP($B8&amp;T$5,DATA!$A:$EB,이익잉여금!$A8,0)/100</f>
        <v>73905.515849169999</v>
      </c>
    </row>
    <row r="9" spans="1:20">
      <c r="C9" t="s">
        <v>1099</v>
      </c>
      <c r="I9" s="8">
        <f>I8/I7</f>
        <v>2.1088572865969377</v>
      </c>
      <c r="J9" s="8">
        <f t="shared" ref="J9:T9" si="0">J8/J7</f>
        <v>0.85339083689098028</v>
      </c>
      <c r="K9" s="8">
        <f t="shared" si="0"/>
        <v>0.75054088223615611</v>
      </c>
      <c r="L9" s="8">
        <f t="shared" si="0"/>
        <v>1.4272111796220186</v>
      </c>
      <c r="M9" s="8">
        <f t="shared" si="0"/>
        <v>1.6337094501481966</v>
      </c>
      <c r="N9" s="8">
        <f t="shared" si="0"/>
        <v>0.84859669060179399</v>
      </c>
      <c r="O9" s="8">
        <f t="shared" si="0"/>
        <v>1.2170322190417413</v>
      </c>
      <c r="P9" s="8">
        <f t="shared" si="0"/>
        <v>1.0191998025745004</v>
      </c>
      <c r="Q9" s="8">
        <f t="shared" si="0"/>
        <v>1.4156602869935393</v>
      </c>
      <c r="R9" s="8">
        <f t="shared" si="0"/>
        <v>0.96060552610931971</v>
      </c>
      <c r="S9" s="8">
        <f t="shared" si="0"/>
        <v>1.4741421086669013</v>
      </c>
      <c r="T9" s="8">
        <f t="shared" si="0"/>
        <v>1.1623692051092871</v>
      </c>
    </row>
    <row r="10" spans="1:20"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2" spans="1:20">
      <c r="C12" t="s">
        <v>1100</v>
      </c>
    </row>
    <row r="15" spans="1:20">
      <c r="C15" s="729" t="s">
        <v>105</v>
      </c>
      <c r="D15" s="729"/>
      <c r="E15" s="729"/>
      <c r="F15" s="729"/>
      <c r="G15" s="729"/>
      <c r="H15" s="730"/>
      <c r="I15" s="45" t="s">
        <v>124</v>
      </c>
      <c r="J15" s="45" t="s">
        <v>136</v>
      </c>
      <c r="K15" s="45" t="s">
        <v>137</v>
      </c>
      <c r="L15" s="45" t="s">
        <v>138</v>
      </c>
      <c r="M15" s="45" t="s">
        <v>4</v>
      </c>
      <c r="N15" s="45" t="s">
        <v>139</v>
      </c>
      <c r="O15" s="46" t="s">
        <v>6</v>
      </c>
      <c r="P15" s="46" t="s">
        <v>106</v>
      </c>
      <c r="Q15" s="46" t="s">
        <v>107</v>
      </c>
      <c r="R15" s="46" t="s">
        <v>108</v>
      </c>
      <c r="S15" s="46" t="s">
        <v>109</v>
      </c>
      <c r="T15" s="46" t="s">
        <v>110</v>
      </c>
    </row>
    <row r="16" spans="1:20">
      <c r="A16">
        <f>DATA!BS1</f>
        <v>71</v>
      </c>
      <c r="B16" s="17">
        <v>2412</v>
      </c>
      <c r="C16" s="740" t="s">
        <v>1101</v>
      </c>
      <c r="D16" s="741"/>
      <c r="E16" s="741"/>
      <c r="F16" s="741"/>
      <c r="G16" s="741"/>
      <c r="H16" s="741"/>
      <c r="I16" s="1">
        <f>VLOOKUP($B16&amp;I$5,DATA!$A:$EB,이익잉여금!$A16,0)/100</f>
        <v>19429.240789989999</v>
      </c>
      <c r="J16" s="1">
        <f>VLOOKUP($B16&amp;J$5,DATA!$A:$EB,이익잉여금!$A16,0)/100</f>
        <v>140005.85999999999</v>
      </c>
      <c r="K16" s="1">
        <f>VLOOKUP($B16&amp;K$5,DATA!$A:$EB,이익잉여금!$A16,0)/100</f>
        <v>70340.021165919999</v>
      </c>
      <c r="L16" s="1">
        <f>VLOOKUP($B16&amp;L$5,DATA!$A:$EB,이익잉여금!$A16,0)/100</f>
        <v>68864.765367119995</v>
      </c>
      <c r="M16" s="1">
        <f>VLOOKUP($B16&amp;M$5,DATA!$A:$EB,이익잉여금!$A16,0)/100</f>
        <v>68374.2</v>
      </c>
      <c r="N16" s="1">
        <f>VLOOKUP($B16&amp;N$5,DATA!$A:$EB,이익잉여금!$A16,0)/100</f>
        <v>15614.98237695</v>
      </c>
      <c r="O16" s="1">
        <f>VLOOKUP($B16&amp;O$5,DATA!$A:$EB,이익잉여금!$A16,0)/100</f>
        <v>31459.3</v>
      </c>
      <c r="P16" s="1">
        <f>VLOOKUP($B16&amp;P$5,DATA!$A:$EB,이익잉여금!$A16,0)/100</f>
        <v>134451.70648237001</v>
      </c>
      <c r="Q16" s="1">
        <f>VLOOKUP($B16&amp;Q$5,DATA!$A:$EB,이익잉여금!$A16,0)/100</f>
        <v>73913.769267330004</v>
      </c>
      <c r="R16" s="1">
        <f>VLOOKUP($B16&amp;R$5,DATA!$A:$EB,이익잉여금!$A16,0)/100</f>
        <v>54663.333034460004</v>
      </c>
      <c r="S16" s="1">
        <f>VLOOKUP($B16&amp;S$5,DATA!$A:$EB,이익잉여금!$A16,0)/100</f>
        <v>61587.61</v>
      </c>
      <c r="T16" s="1">
        <f>VLOOKUP($B16&amp;T$5,DATA!$A:$EB,이익잉여금!$A16,0)/100</f>
        <v>101046.33161235</v>
      </c>
    </row>
    <row r="17" spans="1:20">
      <c r="A17">
        <f>DATA!CU1</f>
        <v>99</v>
      </c>
      <c r="B17" s="17">
        <v>2412</v>
      </c>
      <c r="C17" s="748" t="s">
        <v>1024</v>
      </c>
      <c r="D17" s="748"/>
      <c r="E17" s="748"/>
      <c r="F17" s="748"/>
      <c r="G17" s="748"/>
      <c r="H17" s="749"/>
      <c r="I17" s="1">
        <f>VLOOKUP($B17&amp;I$5,DATA!$A:$EB,이익잉여금!$A17,0)/100</f>
        <v>9923.43</v>
      </c>
      <c r="J17" s="1">
        <f>VLOOKUP($B17&amp;J$5,DATA!$A:$EB,이익잉여금!$A17,0)/100</f>
        <v>0</v>
      </c>
      <c r="K17" s="1">
        <f>VLOOKUP($B17&amp;K$5,DATA!$A:$EB,이익잉여금!$A17,0)/100</f>
        <v>0</v>
      </c>
      <c r="L17" s="1">
        <f>VLOOKUP($B17&amp;L$5,DATA!$A:$EB,이익잉여금!$A17,0)/100</f>
        <v>36312.056025990001</v>
      </c>
      <c r="M17" s="1">
        <f>VLOOKUP($B17&amp;M$5,DATA!$A:$EB,이익잉여금!$A17,0)/100</f>
        <v>36381.160000000003</v>
      </c>
      <c r="N17" s="1">
        <f>VLOOKUP($B17&amp;N$5,DATA!$A:$EB,이익잉여금!$A17,0)/100</f>
        <v>9188.35</v>
      </c>
      <c r="O17" s="1">
        <f>VLOOKUP($B17&amp;O$5,DATA!$A:$EB,이익잉여금!$A17,0)/100</f>
        <v>9383.43</v>
      </c>
      <c r="P17" s="1">
        <f>VLOOKUP($B17&amp;P$5,DATA!$A:$EB,이익잉여금!$A17,0)/100</f>
        <v>22130.992953019999</v>
      </c>
      <c r="Q17" s="1">
        <f>VLOOKUP($B17&amp;Q$5,DATA!$A:$EB,이익잉여금!$A17,0)/100</f>
        <v>40183.370000000003</v>
      </c>
      <c r="R17" s="1">
        <f>VLOOKUP($B17&amp;R$5,DATA!$A:$EB,이익잉여금!$A17,0)/100</f>
        <v>17930.893491030001</v>
      </c>
      <c r="S17" s="1">
        <f>VLOOKUP($B17&amp;S$5,DATA!$A:$EB,이익잉여금!$A17,0)/100</f>
        <v>28380.12</v>
      </c>
      <c r="T17" s="1">
        <f>VLOOKUP($B17&amp;T$5,DATA!$A:$EB,이익잉여금!$A17,0)/100</f>
        <v>32392.273570520003</v>
      </c>
    </row>
    <row r="18" spans="1:20">
      <c r="C18" s="750" t="s">
        <v>1063</v>
      </c>
      <c r="D18" s="750"/>
      <c r="E18" s="750"/>
      <c r="F18" s="750"/>
      <c r="G18" s="750"/>
      <c r="H18" s="751"/>
      <c r="I18" s="8">
        <f>+I17/I16</f>
        <v>0.51074718293226262</v>
      </c>
      <c r="J18" s="8">
        <f t="shared" ref="J18:T18" si="1">+J17/J16</f>
        <v>0</v>
      </c>
      <c r="K18" s="8">
        <f t="shared" si="1"/>
        <v>0</v>
      </c>
      <c r="L18" s="8">
        <f t="shared" si="1"/>
        <v>0.52729513899320524</v>
      </c>
      <c r="M18" s="8">
        <f t="shared" si="1"/>
        <v>0.53208900433204342</v>
      </c>
      <c r="N18" s="8">
        <f t="shared" si="1"/>
        <v>0.5884316599398377</v>
      </c>
      <c r="O18" s="8">
        <f t="shared" si="1"/>
        <v>0.29827205309717636</v>
      </c>
      <c r="P18" s="8">
        <f t="shared" si="1"/>
        <v>0.16460180039382338</v>
      </c>
      <c r="Q18" s="8">
        <f t="shared" si="1"/>
        <v>0.54365202043296568</v>
      </c>
      <c r="R18" s="8">
        <f t="shared" si="1"/>
        <v>0.32802415249224354</v>
      </c>
      <c r="S18" s="8">
        <f t="shared" si="1"/>
        <v>0.46080891919657213</v>
      </c>
      <c r="T18" s="8">
        <f t="shared" si="1"/>
        <v>0.3205685258796766</v>
      </c>
    </row>
    <row r="19" spans="1:20">
      <c r="C19" s="752" t="s">
        <v>1064</v>
      </c>
      <c r="D19" s="752"/>
      <c r="E19" s="752"/>
      <c r="F19" s="752"/>
      <c r="G19" s="752"/>
      <c r="H19" s="753"/>
      <c r="I19" s="8">
        <f>+I17/I26</f>
        <v>0.38866060254594342</v>
      </c>
      <c r="J19" s="8">
        <f t="shared" ref="J19:T19" si="2">+J17/J26</f>
        <v>0</v>
      </c>
      <c r="K19" s="8">
        <f t="shared" si="2"/>
        <v>0</v>
      </c>
      <c r="L19" s="8">
        <f t="shared" si="2"/>
        <v>0.39249742233174156</v>
      </c>
      <c r="M19" s="8">
        <f t="shared" si="2"/>
        <v>0.53795603924380997</v>
      </c>
      <c r="N19" s="8">
        <f t="shared" si="2"/>
        <v>0.55073133256813067</v>
      </c>
      <c r="O19" s="8">
        <f t="shared" si="2"/>
        <v>0.2091081210814916</v>
      </c>
      <c r="P19" s="8">
        <f t="shared" si="2"/>
        <v>0.14468637552096933</v>
      </c>
      <c r="Q19" s="8">
        <f t="shared" si="2"/>
        <v>0.81555011964149404</v>
      </c>
      <c r="R19" s="8">
        <f t="shared" si="2"/>
        <v>0.32862392844191241</v>
      </c>
      <c r="S19" s="8">
        <f t="shared" si="2"/>
        <v>0.48459670301468072</v>
      </c>
      <c r="T19" s="8">
        <f t="shared" si="2"/>
        <v>0.38488924315337258</v>
      </c>
    </row>
    <row r="20" spans="1:20">
      <c r="C20" s="752" t="s">
        <v>1102</v>
      </c>
      <c r="D20" s="752"/>
      <c r="E20" s="752"/>
      <c r="F20" s="752"/>
      <c r="G20" s="752"/>
      <c r="H20" s="753"/>
      <c r="I20" s="8">
        <f>+I17/I30</f>
        <v>3.7805829929825854E-2</v>
      </c>
      <c r="J20" s="8">
        <f t="shared" ref="J20:T20" si="3">+J17/J30</f>
        <v>0</v>
      </c>
      <c r="K20" s="8">
        <f t="shared" si="3"/>
        <v>0</v>
      </c>
      <c r="L20" s="8">
        <f t="shared" si="3"/>
        <v>3.7378020351833352E-2</v>
      </c>
      <c r="M20" s="8">
        <f t="shared" si="3"/>
        <v>7.5137831082034326E-2</v>
      </c>
      <c r="N20" s="8">
        <f t="shared" si="3"/>
        <v>3.255803076063938E-2</v>
      </c>
      <c r="O20" s="8">
        <f t="shared" si="3"/>
        <v>3.4485558074833354E-2</v>
      </c>
      <c r="P20" s="8">
        <f t="shared" si="3"/>
        <v>5.022846332927234E-2</v>
      </c>
      <c r="Q20" s="8">
        <f t="shared" si="3"/>
        <v>0.13779339551684311</v>
      </c>
      <c r="R20" s="8">
        <f t="shared" si="3"/>
        <v>7.8329652464456584E-2</v>
      </c>
      <c r="S20" s="8">
        <f t="shared" si="3"/>
        <v>0.12570335780684974</v>
      </c>
      <c r="T20" s="8">
        <f t="shared" si="3"/>
        <v>0.12775012162038571</v>
      </c>
    </row>
    <row r="26" spans="1:20">
      <c r="A26">
        <f>DATA!N1</f>
        <v>14</v>
      </c>
      <c r="B26" s="17">
        <v>2412</v>
      </c>
      <c r="C26" t="s">
        <v>1103</v>
      </c>
      <c r="I26" s="1">
        <f>VLOOKUP($B26&amp;I$5,DATA!$A:$EB,이익잉여금!$A26,0)/100</f>
        <v>25532.379497679998</v>
      </c>
      <c r="J26" s="1">
        <f>VLOOKUP($B26&amp;J$5,DATA!$A:$EB,이익잉여금!$A26,0)/100</f>
        <v>304884.96999999997</v>
      </c>
      <c r="K26" s="1">
        <f>VLOOKUP($B26&amp;K$5,DATA!$A:$EB,이익잉여금!$A26,0)/100</f>
        <v>51004.94515218999</v>
      </c>
      <c r="L26" s="1">
        <f>VLOOKUP($B26&amp;L$5,DATA!$A:$EB,이익잉여금!$A26,0)/100</f>
        <v>92515.4</v>
      </c>
      <c r="M26" s="1">
        <f>VLOOKUP($B26&amp;M$5,DATA!$A:$EB,이익잉여금!$A26,0)/100</f>
        <v>67628.5</v>
      </c>
      <c r="N26" s="1">
        <f>VLOOKUP($B26&amp;N$5,DATA!$A:$EB,이익잉여금!$A26,0)/100</f>
        <v>16683.90639253</v>
      </c>
      <c r="O26" s="1">
        <f>VLOOKUP($B26&amp;O$5,DATA!$A:$EB,이익잉여금!$A26,0)/100</f>
        <v>44873.58</v>
      </c>
      <c r="P26" s="1">
        <f>VLOOKUP($B26&amp;P$5,DATA!$A:$EB,이익잉여금!$A26,0)/100</f>
        <v>152958.37547477</v>
      </c>
      <c r="Q26" s="1">
        <f>VLOOKUP($B26&amp;Q$5,DATA!$A:$EB,이익잉여금!$A26,0)/100</f>
        <v>49271.490534100005</v>
      </c>
      <c r="R26" s="1">
        <f>VLOOKUP($B26&amp;R$5,DATA!$A:$EB,이익잉여금!$A26,0)/100</f>
        <v>54563.566250470001</v>
      </c>
      <c r="S26" s="1">
        <f>VLOOKUP($B26&amp;S$5,DATA!$A:$EB,이익잉여금!$A26,0)/100</f>
        <v>58564.41</v>
      </c>
      <c r="T26" s="1">
        <f>VLOOKUP($B26&amp;T$5,DATA!$A:$EB,이익잉여금!$A26,0)/100</f>
        <v>84159.986663000003</v>
      </c>
    </row>
    <row r="27" spans="1:20">
      <c r="A27">
        <f>DATA!BU1</f>
        <v>73</v>
      </c>
      <c r="B27" s="17">
        <f>+B26</f>
        <v>2412</v>
      </c>
      <c r="C27" t="s">
        <v>51</v>
      </c>
      <c r="I27" s="1">
        <f>VLOOKUP($B27&amp;I$5,DATA!$A:$EB,이익잉여금!$A27,0)/100</f>
        <v>237834.87</v>
      </c>
      <c r="J27" s="1">
        <f>VLOOKUP($B27&amp;J$5,DATA!$A:$EB,이익잉여금!$A27,0)/100</f>
        <v>1862852.41</v>
      </c>
      <c r="K27" s="1">
        <f>VLOOKUP($B27&amp;K$5,DATA!$A:$EB,이익잉여금!$A27,0)/100</f>
        <v>866608.88</v>
      </c>
      <c r="L27" s="1">
        <f>VLOOKUP($B27&amp;L$5,DATA!$A:$EB,이익잉여금!$A27,0)/100</f>
        <v>861402.16</v>
      </c>
      <c r="M27" s="1">
        <f>VLOOKUP($B27&amp;M$5,DATA!$A:$EB,이익잉여금!$A27,0)/100</f>
        <v>398490.28</v>
      </c>
      <c r="N27" s="1">
        <f>VLOOKUP($B27&amp;N$5,DATA!$A:$EB,이익잉여금!$A27,0)/100</f>
        <v>250789.65</v>
      </c>
      <c r="O27" s="1">
        <f>VLOOKUP($B27&amp;O$5,DATA!$A:$EB,이익잉여금!$A27,0)/100</f>
        <v>236884.73</v>
      </c>
      <c r="P27" s="1">
        <f>VLOOKUP($B27&amp;P$5,DATA!$A:$EB,이익잉여금!$A27,0)/100</f>
        <v>282092.71000000002</v>
      </c>
      <c r="Q27" s="1">
        <f>VLOOKUP($B27&amp;Q$5,DATA!$A:$EB,이익잉여금!$A27,0)/100</f>
        <v>188996.18328000003</v>
      </c>
      <c r="R27" s="1">
        <f>VLOOKUP($B27&amp;R$5,DATA!$A:$EB,이익잉여금!$A27,0)/100</f>
        <v>102309.75</v>
      </c>
      <c r="S27" s="1">
        <f>VLOOKUP($B27&amp;S$5,DATA!$A:$EB,이익잉여금!$A27,0)/100</f>
        <v>122994.34</v>
      </c>
      <c r="T27" s="1">
        <f>VLOOKUP($B27&amp;T$5,DATA!$A:$EB,이익잉여금!$A27,0)/100</f>
        <v>111926.66</v>
      </c>
    </row>
    <row r="28" spans="1:20">
      <c r="A28" s="129">
        <f>DATA!BV1</f>
        <v>74</v>
      </c>
      <c r="B28" s="17">
        <f t="shared" ref="B28:B29" si="4">+B27</f>
        <v>2412</v>
      </c>
      <c r="C28" t="s">
        <v>52</v>
      </c>
      <c r="I28" s="1">
        <f>VLOOKUP($B28&amp;I$5,DATA!$A:$EB,이익잉여금!$A28,0)/100</f>
        <v>3867.13</v>
      </c>
      <c r="J28" s="1">
        <f>VLOOKUP($B28&amp;J$5,DATA!$A:$EB,이익잉여금!$A28,0)/100</f>
        <v>29690.33</v>
      </c>
      <c r="K28" s="1">
        <f>VLOOKUP($B28&amp;K$5,DATA!$A:$EB,이익잉여금!$A28,0)/100</f>
        <v>13423.38</v>
      </c>
      <c r="L28" s="1">
        <f>VLOOKUP($B28&amp;L$5,DATA!$A:$EB,이익잉여금!$A28,0)/100</f>
        <v>18987.95</v>
      </c>
      <c r="M28" s="1">
        <f>VLOOKUP($B28&amp;M$5,DATA!$A:$EB,이익잉여금!$A28,0)/100</f>
        <v>13460.89</v>
      </c>
      <c r="N28" s="1">
        <f>VLOOKUP($B28&amp;N$5,DATA!$A:$EB,이익잉여금!$A28,0)/100</f>
        <v>4714.0200000000004</v>
      </c>
      <c r="O28" s="1">
        <f>VLOOKUP($B28&amp;O$5,DATA!$A:$EB,이익잉여금!$A28,0)/100</f>
        <v>5107.5600000000004</v>
      </c>
      <c r="P28" s="1">
        <f>VLOOKUP($B28&amp;P$5,DATA!$A:$EB,이익잉여금!$A28,0)/100</f>
        <v>17774.82</v>
      </c>
      <c r="Q28" s="1">
        <f>VLOOKUP($B28&amp;Q$5,DATA!$A:$EB,이익잉여금!$A28,0)/100</f>
        <v>19569.379529999998</v>
      </c>
      <c r="R28" s="1">
        <f>VLOOKUP($B28&amp;R$5,DATA!$A:$EB,이익잉여금!$A28,0)/100</f>
        <v>14727.14</v>
      </c>
      <c r="S28" s="1">
        <f>VLOOKUP($B28&amp;S$5,DATA!$A:$EB,이익잉여금!$A28,0)/100</f>
        <v>14571.42</v>
      </c>
      <c r="T28" s="1">
        <f>VLOOKUP($B28&amp;T$5,DATA!$A:$EB,이익잉여금!$A28,0)/100</f>
        <v>19315.38</v>
      </c>
    </row>
    <row r="29" spans="1:20">
      <c r="A29">
        <f>DATA!BW1</f>
        <v>75</v>
      </c>
      <c r="B29" s="17">
        <f t="shared" si="4"/>
        <v>2412</v>
      </c>
      <c r="C29" t="s">
        <v>53</v>
      </c>
      <c r="I29" s="1">
        <f>VLOOKUP($B29&amp;I$5,DATA!$A:$EB,이익잉여금!$A29,0)/100</f>
        <v>20782.12</v>
      </c>
      <c r="J29" s="1">
        <f>VLOOKUP($B29&amp;J$5,DATA!$A:$EB,이익잉여금!$A29,0)/100</f>
        <v>129020.23</v>
      </c>
      <c r="K29" s="1">
        <f>VLOOKUP($B29&amp;K$5,DATA!$A:$EB,이익잉여금!$A29,0)/100</f>
        <v>64380.58</v>
      </c>
      <c r="L29" s="1">
        <f>VLOOKUP($B29&amp;L$5,DATA!$A:$EB,이익잉여금!$A29,0)/100</f>
        <v>91091.41</v>
      </c>
      <c r="M29" s="1">
        <f>VLOOKUP($B29&amp;M$5,DATA!$A:$EB,이익잉여금!$A29,0)/100</f>
        <v>72241.14</v>
      </c>
      <c r="N29" s="1">
        <f>VLOOKUP($B29&amp;N$5,DATA!$A:$EB,이익잉여금!$A29,0)/100</f>
        <v>26710.880000000001</v>
      </c>
      <c r="O29" s="1">
        <f>VLOOKUP($B29&amp;O$5,DATA!$A:$EB,이익잉여금!$A29,0)/100</f>
        <v>30105.09</v>
      </c>
      <c r="P29" s="1">
        <f>VLOOKUP($B29&amp;P$5,DATA!$A:$EB,이익잉여금!$A29,0)/100</f>
        <v>140739.07999999999</v>
      </c>
      <c r="Q29" s="1">
        <f>VLOOKUP($B29&amp;Q$5,DATA!$A:$EB,이익잉여금!$A29,0)/100</f>
        <v>83054.872619999995</v>
      </c>
      <c r="R29" s="1">
        <f>VLOOKUP($B29&amp;R$5,DATA!$A:$EB,이익잉여금!$A29,0)/100</f>
        <v>111878.89</v>
      </c>
      <c r="S29" s="1">
        <f>VLOOKUP($B29&amp;S$5,DATA!$A:$EB,이익잉여금!$A29,0)/100</f>
        <v>88204.82</v>
      </c>
      <c r="T29" s="1">
        <f>VLOOKUP($B29&amp;T$5,DATA!$A:$EB,이익잉여금!$A29,0)/100</f>
        <v>122317.59</v>
      </c>
    </row>
    <row r="30" spans="1:20">
      <c r="C30" t="s">
        <v>1104</v>
      </c>
      <c r="I30" s="129">
        <f>SUM(I27:I29)</f>
        <v>262484.12</v>
      </c>
      <c r="J30" s="129">
        <f t="shared" ref="J30:T30" si="5">SUM(J27:J29)</f>
        <v>2021562.97</v>
      </c>
      <c r="K30" s="129">
        <f t="shared" si="5"/>
        <v>944412.84</v>
      </c>
      <c r="L30" s="129">
        <f t="shared" si="5"/>
        <v>971481.52</v>
      </c>
      <c r="M30" s="129">
        <f t="shared" si="5"/>
        <v>484192.31000000006</v>
      </c>
      <c r="N30" s="129">
        <f t="shared" si="5"/>
        <v>282214.55</v>
      </c>
      <c r="O30" s="129">
        <f t="shared" si="5"/>
        <v>272097.38</v>
      </c>
      <c r="P30" s="129">
        <f t="shared" si="5"/>
        <v>440606.61</v>
      </c>
      <c r="Q30" s="129">
        <f t="shared" si="5"/>
        <v>291620.43543000001</v>
      </c>
      <c r="R30" s="129">
        <f t="shared" si="5"/>
        <v>228915.78</v>
      </c>
      <c r="S30" s="129">
        <f t="shared" si="5"/>
        <v>225770.58000000002</v>
      </c>
      <c r="T30" s="129">
        <f t="shared" si="5"/>
        <v>253559.63</v>
      </c>
    </row>
  </sheetData>
  <mergeCells count="7">
    <mergeCell ref="C20:H20"/>
    <mergeCell ref="C5:H5"/>
    <mergeCell ref="C15:H15"/>
    <mergeCell ref="C16:H16"/>
    <mergeCell ref="C17:H17"/>
    <mergeCell ref="C18:H18"/>
    <mergeCell ref="C19:H19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AH101"/>
  <sheetViews>
    <sheetView topLeftCell="C1" workbookViewId="0">
      <selection activeCell="M50" sqref="M50"/>
    </sheetView>
  </sheetViews>
  <sheetFormatPr defaultRowHeight="16.5"/>
  <cols>
    <col min="6" max="6" width="9.5" bestFit="1" customWidth="1"/>
    <col min="7" max="7" width="10.875" bestFit="1" customWidth="1"/>
    <col min="8" max="8" width="10.25" bestFit="1" customWidth="1"/>
    <col min="9" max="9" width="9.5" bestFit="1" customWidth="1"/>
    <col min="10" max="10" width="10.25" bestFit="1" customWidth="1"/>
    <col min="11" max="11" width="9.375" bestFit="1" customWidth="1"/>
    <col min="12" max="13" width="9.5" bestFit="1" customWidth="1"/>
    <col min="14" max="14" width="10.25" bestFit="1" customWidth="1"/>
    <col min="15" max="17" width="9.5" bestFit="1" customWidth="1"/>
    <col min="18" max="18" width="9.125" bestFit="1" customWidth="1"/>
    <col min="23" max="23" width="9.375" bestFit="1" customWidth="1"/>
    <col min="24" max="24" width="10" bestFit="1" customWidth="1"/>
    <col min="25" max="25" width="9.125" bestFit="1" customWidth="1"/>
    <col min="26" max="26" width="10" bestFit="1" customWidth="1"/>
    <col min="27" max="29" width="9.125" bestFit="1" customWidth="1"/>
    <col min="30" max="30" width="10" bestFit="1" customWidth="1"/>
    <col min="31" max="34" width="9.125" bestFit="1" customWidth="1"/>
  </cols>
  <sheetData>
    <row r="2" spans="4:34">
      <c r="F2" t="s">
        <v>1001</v>
      </c>
      <c r="G2" s="221" t="e">
        <f>G8-SUM(G10:G12)</f>
        <v>#N/A</v>
      </c>
      <c r="H2" s="221" t="e">
        <f t="shared" ref="H2:R2" si="0">H8-SUM(H10:H12)</f>
        <v>#N/A</v>
      </c>
      <c r="I2" s="221" t="e">
        <f t="shared" si="0"/>
        <v>#N/A</v>
      </c>
      <c r="J2" s="221" t="e">
        <f t="shared" si="0"/>
        <v>#N/A</v>
      </c>
      <c r="K2" s="221" t="e">
        <f t="shared" si="0"/>
        <v>#N/A</v>
      </c>
      <c r="L2" s="221" t="e">
        <f t="shared" si="0"/>
        <v>#N/A</v>
      </c>
      <c r="M2" s="221" t="e">
        <f t="shared" si="0"/>
        <v>#N/A</v>
      </c>
      <c r="N2" s="221" t="e">
        <f t="shared" si="0"/>
        <v>#N/A</v>
      </c>
      <c r="O2" s="221" t="e">
        <f t="shared" si="0"/>
        <v>#N/A</v>
      </c>
      <c r="P2" s="221" t="e">
        <f t="shared" si="0"/>
        <v>#N/A</v>
      </c>
      <c r="Q2" s="221" t="e">
        <f t="shared" si="0"/>
        <v>#N/A</v>
      </c>
      <c r="R2" s="221" t="e">
        <f t="shared" si="0"/>
        <v>#N/A</v>
      </c>
    </row>
    <row r="3" spans="4:34">
      <c r="G3" s="129">
        <f>작업!I15+작업!I16+작업!I18</f>
        <v>269956.96255323006</v>
      </c>
      <c r="H3" s="129">
        <f>작업!J15+작업!J16+작업!J18</f>
        <v>2008463.4500000002</v>
      </c>
      <c r="I3" s="129">
        <f>작업!K15+작업!K16+작업!K18</f>
        <v>968327.58000000007</v>
      </c>
      <c r="J3" s="129">
        <f>작업!L15+작업!L16+작업!L18</f>
        <v>969300.44000000006</v>
      </c>
      <c r="K3" s="129">
        <f>작업!M15+작업!M16+작업!M18</f>
        <v>479114.70999999996</v>
      </c>
      <c r="L3" s="129">
        <f>작업!N15+작업!N16+작업!N18</f>
        <v>281450.79000000004</v>
      </c>
      <c r="M3" s="129">
        <f>작업!O15+작업!O16+작업!O18</f>
        <v>284773.69999999995</v>
      </c>
      <c r="N3" s="129">
        <f>작업!P15+작업!P16+작업!P18</f>
        <v>411108.34</v>
      </c>
      <c r="O3" s="129">
        <f>작업!Q15+작업!Q16+작업!Q18</f>
        <v>291268.37788281002</v>
      </c>
      <c r="P3" s="129">
        <f>작업!R15+작업!R16+작업!R18</f>
        <v>221454.19</v>
      </c>
      <c r="Q3" s="129">
        <f>작업!S15+작업!S16+작업!S18</f>
        <v>221927.08</v>
      </c>
      <c r="R3" s="129">
        <f>작업!T15+작업!T16+작업!T18</f>
        <v>261379.05</v>
      </c>
    </row>
    <row r="4" spans="4:34" ht="17.25" thickBot="1">
      <c r="G4" s="130" t="e">
        <f>G12/G3</f>
        <v>#N/A</v>
      </c>
      <c r="H4" s="294" t="e">
        <f t="shared" ref="H4:R4" si="1">H12/H3</f>
        <v>#N/A</v>
      </c>
      <c r="I4" s="294" t="e">
        <f t="shared" si="1"/>
        <v>#N/A</v>
      </c>
      <c r="J4" s="294" t="e">
        <f t="shared" si="1"/>
        <v>#N/A</v>
      </c>
      <c r="K4" s="294" t="e">
        <f t="shared" si="1"/>
        <v>#N/A</v>
      </c>
      <c r="L4" s="294" t="e">
        <f t="shared" si="1"/>
        <v>#N/A</v>
      </c>
      <c r="M4" s="294" t="e">
        <f t="shared" si="1"/>
        <v>#N/A</v>
      </c>
      <c r="N4" s="294" t="e">
        <f t="shared" si="1"/>
        <v>#N/A</v>
      </c>
      <c r="O4" s="294" t="e">
        <f t="shared" si="1"/>
        <v>#N/A</v>
      </c>
      <c r="P4" s="294" t="e">
        <f t="shared" si="1"/>
        <v>#N/A</v>
      </c>
      <c r="Q4" s="294" t="e">
        <f t="shared" si="1"/>
        <v>#N/A</v>
      </c>
      <c r="R4" s="294" t="e">
        <f t="shared" si="1"/>
        <v>#N/A</v>
      </c>
    </row>
    <row r="5" spans="4:34">
      <c r="D5" s="814" t="s">
        <v>930</v>
      </c>
      <c r="E5" s="814"/>
      <c r="F5" s="815"/>
      <c r="G5" s="818" t="s">
        <v>931</v>
      </c>
      <c r="H5" s="820" t="s">
        <v>932</v>
      </c>
      <c r="I5" s="821"/>
      <c r="J5" s="821"/>
      <c r="K5" s="821"/>
      <c r="L5" s="821"/>
      <c r="M5" s="822"/>
      <c r="N5" s="826" t="s">
        <v>933</v>
      </c>
      <c r="O5" s="821"/>
      <c r="P5" s="821"/>
      <c r="Q5" s="821"/>
      <c r="R5" s="821"/>
      <c r="S5" s="821"/>
      <c r="U5" s="814" t="s">
        <v>930</v>
      </c>
      <c r="V5" s="814"/>
      <c r="W5" s="818" t="s">
        <v>931</v>
      </c>
      <c r="X5" s="820" t="s">
        <v>932</v>
      </c>
      <c r="Y5" s="821"/>
      <c r="Z5" s="821"/>
      <c r="AA5" s="821"/>
      <c r="AB5" s="821"/>
      <c r="AC5" s="822"/>
    </row>
    <row r="6" spans="4:34" ht="17.25" thickBot="1">
      <c r="D6" s="816"/>
      <c r="E6" s="816"/>
      <c r="F6" s="817"/>
      <c r="G6" s="819"/>
      <c r="H6" s="159" t="s">
        <v>1</v>
      </c>
      <c r="I6" s="159" t="s">
        <v>2</v>
      </c>
      <c r="J6" s="159" t="s">
        <v>3</v>
      </c>
      <c r="K6" s="159" t="s">
        <v>934</v>
      </c>
      <c r="L6" s="159" t="s">
        <v>5</v>
      </c>
      <c r="M6" s="160" t="s">
        <v>935</v>
      </c>
      <c r="N6" s="159" t="s">
        <v>1</v>
      </c>
      <c r="O6" s="159" t="s">
        <v>936</v>
      </c>
      <c r="P6" s="159" t="s">
        <v>937</v>
      </c>
      <c r="Q6" s="159" t="s">
        <v>935</v>
      </c>
      <c r="R6" s="161" t="s">
        <v>938</v>
      </c>
      <c r="S6" s="163"/>
      <c r="U6" s="816"/>
      <c r="V6" s="816"/>
      <c r="W6" s="819"/>
      <c r="X6" s="159" t="s">
        <v>1</v>
      </c>
      <c r="Y6" s="159" t="s">
        <v>2</v>
      </c>
      <c r="Z6" s="159" t="s">
        <v>3</v>
      </c>
      <c r="AA6" s="159" t="s">
        <v>934</v>
      </c>
      <c r="AB6" s="159" t="s">
        <v>5</v>
      </c>
      <c r="AC6" s="160" t="s">
        <v>935</v>
      </c>
      <c r="AD6" s="159" t="s">
        <v>1</v>
      </c>
      <c r="AE6" s="159" t="s">
        <v>936</v>
      </c>
      <c r="AF6" s="159" t="s">
        <v>937</v>
      </c>
      <c r="AG6" s="159" t="s">
        <v>935</v>
      </c>
      <c r="AH6" s="161" t="s">
        <v>938</v>
      </c>
    </row>
    <row r="7" spans="4:34">
      <c r="D7" s="823" t="s">
        <v>939</v>
      </c>
      <c r="E7" s="823"/>
      <c r="F7" s="824"/>
      <c r="G7" s="224">
        <f>작업!I19</f>
        <v>24365.015556689999</v>
      </c>
      <c r="H7" s="225">
        <f>작업!J19</f>
        <v>564168.15</v>
      </c>
      <c r="I7" s="225">
        <f>작업!K19</f>
        <v>54490.329597030002</v>
      </c>
      <c r="J7" s="225">
        <f>작업!L19</f>
        <v>94003.23</v>
      </c>
      <c r="K7" s="225">
        <f>작업!M19</f>
        <v>62392.94</v>
      </c>
      <c r="L7" s="225">
        <f>작업!N19</f>
        <v>15339.71</v>
      </c>
      <c r="M7" s="226">
        <f>작업!O19</f>
        <v>41687.879999999997</v>
      </c>
      <c r="N7" s="225">
        <f>작업!P19</f>
        <v>206277.77238042999</v>
      </c>
      <c r="O7" s="225">
        <f>작업!Q19</f>
        <v>48834.874665219999</v>
      </c>
      <c r="P7" s="225">
        <f>작업!R19</f>
        <v>56751.234787949994</v>
      </c>
      <c r="Q7" s="225">
        <f>작업!S19</f>
        <v>57172.34</v>
      </c>
      <c r="R7" s="227">
        <f>작업!T19</f>
        <v>89898.95</v>
      </c>
      <c r="S7" s="163"/>
      <c r="U7" s="823" t="s">
        <v>939</v>
      </c>
      <c r="V7" s="823"/>
      <c r="W7" s="164">
        <f>작업!Z19</f>
        <v>0</v>
      </c>
      <c r="X7" s="165">
        <f>작업!AA19</f>
        <v>0</v>
      </c>
      <c r="Y7" s="165">
        <f>작업!AB19</f>
        <v>0</v>
      </c>
      <c r="Z7" s="165">
        <f>작업!AC19</f>
        <v>0</v>
      </c>
      <c r="AA7" s="165">
        <f>작업!AD19</f>
        <v>0</v>
      </c>
      <c r="AB7" s="165">
        <f>작업!AE19</f>
        <v>0</v>
      </c>
      <c r="AC7" s="166">
        <f>작업!AF19</f>
        <v>0</v>
      </c>
      <c r="AD7" s="165">
        <f>작업!AG19</f>
        <v>0</v>
      </c>
      <c r="AE7" s="165">
        <f>작업!AH19</f>
        <v>0</v>
      </c>
      <c r="AF7" s="165">
        <f>작업!AI19</f>
        <v>0</v>
      </c>
      <c r="AG7" s="165">
        <f>작업!AJ19</f>
        <v>0</v>
      </c>
      <c r="AH7" s="167">
        <f>작업!AK19</f>
        <v>0</v>
      </c>
    </row>
    <row r="8" spans="4:34">
      <c r="D8" s="168"/>
      <c r="E8" s="168"/>
      <c r="F8" s="169" t="s">
        <v>940</v>
      </c>
      <c r="G8" s="224">
        <f>W12-W9</f>
        <v>-1167.3639409899988</v>
      </c>
      <c r="H8" s="225">
        <f t="shared" ref="H8:R8" si="2">X12-X9</f>
        <v>259283.18000000005</v>
      </c>
      <c r="I8" s="225">
        <f t="shared" si="2"/>
        <v>3485.3844448400123</v>
      </c>
      <c r="J8" s="225">
        <f t="shared" si="2"/>
        <v>1487.8300000000017</v>
      </c>
      <c r="K8" s="225">
        <f t="shared" si="2"/>
        <v>-5235.5599999999977</v>
      </c>
      <c r="L8" s="225">
        <f t="shared" si="2"/>
        <v>-1344.1963925300006</v>
      </c>
      <c r="M8" s="226">
        <f t="shared" si="2"/>
        <v>-3185.7000000000044</v>
      </c>
      <c r="N8" s="225">
        <f t="shared" si="2"/>
        <v>53319.396905659989</v>
      </c>
      <c r="O8" s="225">
        <f t="shared" si="2"/>
        <v>-436.61586888000602</v>
      </c>
      <c r="P8" s="225">
        <f t="shared" si="2"/>
        <v>2187.6685374799927</v>
      </c>
      <c r="Q8" s="225">
        <f t="shared" si="2"/>
        <v>-1392.070000000007</v>
      </c>
      <c r="R8" s="227">
        <f t="shared" si="2"/>
        <v>5738.9633369999938</v>
      </c>
      <c r="S8" s="163"/>
      <c r="U8" s="168"/>
      <c r="V8" s="168"/>
      <c r="W8" s="170"/>
      <c r="X8" s="171"/>
      <c r="Y8" s="171"/>
      <c r="Z8" s="171"/>
      <c r="AA8" s="171"/>
      <c r="AB8" s="171"/>
      <c r="AC8" s="172"/>
      <c r="AD8" s="171"/>
      <c r="AE8" s="171"/>
      <c r="AF8" s="171"/>
      <c r="AG8" s="171"/>
      <c r="AH8" s="173"/>
    </row>
    <row r="9" spans="4:34">
      <c r="D9" s="174"/>
      <c r="E9" s="175"/>
      <c r="F9" s="176" t="s">
        <v>941</v>
      </c>
      <c r="G9" s="256">
        <f t="shared" ref="G9:R9" si="3">G8/W9</f>
        <v>-4.5720922372161646E-2</v>
      </c>
      <c r="H9" s="257">
        <f t="shared" si="3"/>
        <v>0.85042952428911167</v>
      </c>
      <c r="I9" s="257">
        <f t="shared" si="3"/>
        <v>6.8334245521492559E-2</v>
      </c>
      <c r="J9" s="257">
        <f t="shared" si="3"/>
        <v>1.6081971217764845E-2</v>
      </c>
      <c r="K9" s="257">
        <f t="shared" si="3"/>
        <v>-7.7416473823905568E-2</v>
      </c>
      <c r="L9" s="257">
        <f t="shared" si="3"/>
        <v>-8.0568444877624518E-2</v>
      </c>
      <c r="M9" s="258">
        <f t="shared" si="3"/>
        <v>-7.0992775704546068E-2</v>
      </c>
      <c r="N9" s="257">
        <f t="shared" si="3"/>
        <v>0.34858762549066724</v>
      </c>
      <c r="O9" s="257">
        <f t="shared" si="3"/>
        <v>-8.8614300916638848E-3</v>
      </c>
      <c r="P9" s="257">
        <f t="shared" si="3"/>
        <v>4.0093943409740901E-2</v>
      </c>
      <c r="Q9" s="257">
        <f t="shared" si="3"/>
        <v>-2.3769897109865989E-2</v>
      </c>
      <c r="R9" s="259">
        <f t="shared" si="3"/>
        <v>6.8191115095828134E-2</v>
      </c>
      <c r="S9" s="163"/>
      <c r="U9" s="174"/>
      <c r="V9" s="175"/>
      <c r="W9" s="214">
        <f>작업!I36</f>
        <v>25532.379497679998</v>
      </c>
      <c r="X9" s="215">
        <f>작업!J36</f>
        <v>304884.96999999997</v>
      </c>
      <c r="Y9" s="215">
        <f>작업!K36</f>
        <v>51004.94515218999</v>
      </c>
      <c r="Z9" s="215">
        <f>작업!L36</f>
        <v>92515.4</v>
      </c>
      <c r="AA9" s="215">
        <f>작업!M36</f>
        <v>67628.5</v>
      </c>
      <c r="AB9" s="215">
        <f>작업!N36</f>
        <v>16683.90639253</v>
      </c>
      <c r="AC9" s="216">
        <f>작업!O36</f>
        <v>44873.58</v>
      </c>
      <c r="AD9" s="215">
        <f>작업!P36</f>
        <v>152958.37547477</v>
      </c>
      <c r="AE9" s="215">
        <f>작업!Q36</f>
        <v>49271.490534100005</v>
      </c>
      <c r="AF9" s="215">
        <f>작업!R36</f>
        <v>54563.566250470001</v>
      </c>
      <c r="AG9" s="215">
        <f>작업!S36</f>
        <v>58564.41</v>
      </c>
      <c r="AH9" s="217">
        <f>작업!T36</f>
        <v>84159.986663000003</v>
      </c>
    </row>
    <row r="10" spans="4:34">
      <c r="D10" s="168"/>
      <c r="E10" s="168"/>
      <c r="F10" s="177" t="s">
        <v>942</v>
      </c>
      <c r="G10" s="224" t="e">
        <f>W10-W9</f>
        <v>#N/A</v>
      </c>
      <c r="H10" s="225" t="e">
        <f t="shared" ref="H10:R10" si="4">X10-X9</f>
        <v>#N/A</v>
      </c>
      <c r="I10" s="225" t="e">
        <f>'2403'!K26</f>
        <v>#N/A</v>
      </c>
      <c r="J10" s="225" t="e">
        <f t="shared" si="4"/>
        <v>#N/A</v>
      </c>
      <c r="K10" s="225" t="e">
        <f t="shared" si="4"/>
        <v>#N/A</v>
      </c>
      <c r="L10" s="225" t="e">
        <f t="shared" si="4"/>
        <v>#N/A</v>
      </c>
      <c r="M10" s="226" t="e">
        <f t="shared" si="4"/>
        <v>#N/A</v>
      </c>
      <c r="N10" s="225" t="e">
        <f t="shared" si="4"/>
        <v>#N/A</v>
      </c>
      <c r="O10" s="225" t="e">
        <f t="shared" si="4"/>
        <v>#N/A</v>
      </c>
      <c r="P10" s="225" t="e">
        <f t="shared" si="4"/>
        <v>#N/A</v>
      </c>
      <c r="Q10" s="225" t="e">
        <f t="shared" si="4"/>
        <v>#N/A</v>
      </c>
      <c r="R10" s="227" t="e">
        <f t="shared" si="4"/>
        <v>#N/A</v>
      </c>
      <c r="S10" s="163"/>
      <c r="U10" s="168"/>
      <c r="V10" s="168"/>
      <c r="W10" s="218" t="e">
        <f>'2403'!I19</f>
        <v>#N/A</v>
      </c>
      <c r="X10" s="179" t="e">
        <f>'2403'!J19</f>
        <v>#N/A</v>
      </c>
      <c r="Y10" s="295" t="e">
        <f>'2403'!K19</f>
        <v>#N/A</v>
      </c>
      <c r="Z10" s="295" t="e">
        <f>'2403'!L19</f>
        <v>#N/A</v>
      </c>
      <c r="AA10" s="295" t="e">
        <f>'2403'!M19</f>
        <v>#N/A</v>
      </c>
      <c r="AB10" s="295" t="e">
        <f>'2403'!N19</f>
        <v>#N/A</v>
      </c>
      <c r="AC10" s="296" t="e">
        <f>'2403'!O19</f>
        <v>#N/A</v>
      </c>
      <c r="AD10" s="165" t="e">
        <f>'2403'!P19</f>
        <v>#N/A</v>
      </c>
      <c r="AE10" s="179" t="e">
        <f>'2403'!Q19</f>
        <v>#N/A</v>
      </c>
      <c r="AF10" s="179" t="e">
        <f>'2403'!R19</f>
        <v>#N/A</v>
      </c>
      <c r="AG10" s="179" t="e">
        <f>'2403'!S19</f>
        <v>#N/A</v>
      </c>
      <c r="AH10" s="174" t="e">
        <f>'2403'!T19</f>
        <v>#N/A</v>
      </c>
    </row>
    <row r="11" spans="4:34">
      <c r="D11" s="174"/>
      <c r="E11" s="175"/>
      <c r="F11" s="177" t="s">
        <v>943</v>
      </c>
      <c r="G11" s="224" t="e">
        <f t="shared" ref="G11:G12" si="5">W11-W10</f>
        <v>#N/A</v>
      </c>
      <c r="H11" s="225" t="e">
        <f t="shared" ref="H11:H12" si="6">X11-X10</f>
        <v>#N/A</v>
      </c>
      <c r="I11" s="225" t="e">
        <f>'2406'!K26-I10</f>
        <v>#N/A</v>
      </c>
      <c r="J11" s="225" t="e">
        <f t="shared" ref="J11:J12" si="7">Z11-Z10</f>
        <v>#N/A</v>
      </c>
      <c r="K11" s="225" t="e">
        <f t="shared" ref="K11:K12" si="8">AA11-AA10</f>
        <v>#N/A</v>
      </c>
      <c r="L11" s="225" t="e">
        <f t="shared" ref="L11:L12" si="9">AB11-AB10</f>
        <v>#N/A</v>
      </c>
      <c r="M11" s="226" t="e">
        <f t="shared" ref="M11:M12" si="10">AC11-AC10</f>
        <v>#N/A</v>
      </c>
      <c r="N11" s="225" t="e">
        <f t="shared" ref="N11:N12" si="11">AD11-AD10</f>
        <v>#N/A</v>
      </c>
      <c r="O11" s="225" t="e">
        <f t="shared" ref="O11:O12" si="12">AE11-AE10</f>
        <v>#N/A</v>
      </c>
      <c r="P11" s="225" t="e">
        <f t="shared" ref="P11:P12" si="13">AF11-AF10</f>
        <v>#N/A</v>
      </c>
      <c r="Q11" s="225" t="e">
        <f t="shared" ref="Q11:Q12" si="14">AG11-AG10</f>
        <v>#N/A</v>
      </c>
      <c r="R11" s="227" t="e">
        <f t="shared" ref="R11:R12" si="15">AH11-AH10</f>
        <v>#N/A</v>
      </c>
      <c r="S11" s="163"/>
      <c r="U11" s="174"/>
      <c r="V11" s="175"/>
      <c r="W11" s="218" t="e">
        <f>'2406'!I19</f>
        <v>#N/A</v>
      </c>
      <c r="X11" s="179" t="e">
        <f>'2406'!J19</f>
        <v>#N/A</v>
      </c>
      <c r="Y11" s="295" t="e">
        <f>'2406'!K19</f>
        <v>#N/A</v>
      </c>
      <c r="Z11" s="295" t="e">
        <f>'2406'!L19</f>
        <v>#N/A</v>
      </c>
      <c r="AA11" s="295" t="e">
        <f>'2406'!M19</f>
        <v>#N/A</v>
      </c>
      <c r="AB11" s="295" t="e">
        <f>'2406'!N19</f>
        <v>#N/A</v>
      </c>
      <c r="AC11" s="296" t="e">
        <f>'2406'!O19</f>
        <v>#N/A</v>
      </c>
      <c r="AD11" s="165" t="e">
        <f>'2406'!P19</f>
        <v>#N/A</v>
      </c>
      <c r="AE11" s="179" t="e">
        <f>'2406'!Q19</f>
        <v>#N/A</v>
      </c>
      <c r="AF11" s="165" t="e">
        <f>'2406'!R19</f>
        <v>#N/A</v>
      </c>
      <c r="AG11" s="179" t="e">
        <f>'2406'!S19</f>
        <v>#N/A</v>
      </c>
      <c r="AH11" s="174" t="e">
        <f>'2406'!T19</f>
        <v>#N/A</v>
      </c>
    </row>
    <row r="12" spans="4:34" ht="17.25" thickBot="1">
      <c r="D12" s="168"/>
      <c r="E12" s="168"/>
      <c r="F12" s="181" t="s">
        <v>945</v>
      </c>
      <c r="G12" s="228" t="e">
        <f t="shared" si="5"/>
        <v>#N/A</v>
      </c>
      <c r="H12" s="229" t="e">
        <f t="shared" si="6"/>
        <v>#N/A</v>
      </c>
      <c r="I12" s="229" t="e">
        <f t="shared" ref="I12" si="16">Y12-Y11</f>
        <v>#N/A</v>
      </c>
      <c r="J12" s="229" t="e">
        <f t="shared" si="7"/>
        <v>#N/A</v>
      </c>
      <c r="K12" s="229" t="e">
        <f t="shared" si="8"/>
        <v>#N/A</v>
      </c>
      <c r="L12" s="229" t="e">
        <f t="shared" si="9"/>
        <v>#N/A</v>
      </c>
      <c r="M12" s="230" t="e">
        <f t="shared" si="10"/>
        <v>#N/A</v>
      </c>
      <c r="N12" s="229" t="e">
        <f t="shared" si="11"/>
        <v>#N/A</v>
      </c>
      <c r="O12" s="229" t="e">
        <f t="shared" si="12"/>
        <v>#N/A</v>
      </c>
      <c r="P12" s="229" t="e">
        <f t="shared" si="13"/>
        <v>#N/A</v>
      </c>
      <c r="Q12" s="229" t="e">
        <f t="shared" si="14"/>
        <v>#N/A</v>
      </c>
      <c r="R12" s="231" t="e">
        <f t="shared" si="15"/>
        <v>#N/A</v>
      </c>
      <c r="S12" s="163"/>
      <c r="U12" s="168"/>
      <c r="V12" s="168"/>
      <c r="W12" s="219">
        <f>G7</f>
        <v>24365.015556689999</v>
      </c>
      <c r="X12" s="183">
        <f t="shared" ref="X12:AH12" si="17">H7</f>
        <v>564168.15</v>
      </c>
      <c r="Y12" s="184">
        <f t="shared" si="17"/>
        <v>54490.329597030002</v>
      </c>
      <c r="Z12" s="184">
        <f t="shared" si="17"/>
        <v>94003.23</v>
      </c>
      <c r="AA12" s="183">
        <f t="shared" si="17"/>
        <v>62392.94</v>
      </c>
      <c r="AB12" s="183">
        <f t="shared" si="17"/>
        <v>15339.71</v>
      </c>
      <c r="AC12" s="185">
        <f t="shared" si="17"/>
        <v>41687.879999999997</v>
      </c>
      <c r="AD12" s="183">
        <f t="shared" si="17"/>
        <v>206277.77238042999</v>
      </c>
      <c r="AE12" s="183">
        <f t="shared" si="17"/>
        <v>48834.874665219999</v>
      </c>
      <c r="AF12" s="184">
        <f t="shared" si="17"/>
        <v>56751.234787949994</v>
      </c>
      <c r="AG12" s="183">
        <f t="shared" si="17"/>
        <v>57172.34</v>
      </c>
      <c r="AH12" s="186">
        <f t="shared" si="17"/>
        <v>89898.95</v>
      </c>
    </row>
    <row r="13" spans="4:34">
      <c r="D13" s="825" t="s">
        <v>946</v>
      </c>
      <c r="E13" s="825"/>
      <c r="F13" s="830"/>
      <c r="G13" s="232">
        <f>W16-W13</f>
        <v>1249.0038922099993</v>
      </c>
      <c r="H13" s="233">
        <v>8865</v>
      </c>
      <c r="I13" s="234">
        <v>8747</v>
      </c>
      <c r="J13" s="233">
        <v>4569</v>
      </c>
      <c r="K13" s="233">
        <v>3121</v>
      </c>
      <c r="L13" s="233">
        <v>1823</v>
      </c>
      <c r="M13" s="235">
        <v>1433</v>
      </c>
      <c r="N13" s="233">
        <v>11543</v>
      </c>
      <c r="O13" s="233">
        <v>8806</v>
      </c>
      <c r="P13" s="233">
        <v>7033</v>
      </c>
      <c r="Q13" s="233">
        <v>5089</v>
      </c>
      <c r="R13" s="236">
        <v>12597</v>
      </c>
      <c r="S13" s="163"/>
      <c r="U13" s="825" t="s">
        <v>1002</v>
      </c>
      <c r="V13" s="825"/>
      <c r="W13" s="222">
        <f>작업!I55</f>
        <v>19429.240789989999</v>
      </c>
      <c r="X13" s="187">
        <f>작업!J55</f>
        <v>140005.85999999999</v>
      </c>
      <c r="Y13" s="188">
        <f>작업!K55</f>
        <v>70340.021165919999</v>
      </c>
      <c r="Z13" s="187">
        <f>작업!L55</f>
        <v>68864.759999999995</v>
      </c>
      <c r="AA13" s="187">
        <f>작업!M55</f>
        <v>68374.2</v>
      </c>
      <c r="AB13" s="187">
        <f>작업!N55</f>
        <v>15614.98</v>
      </c>
      <c r="AC13" s="189">
        <f>작업!O55</f>
        <v>31459.3</v>
      </c>
      <c r="AD13" s="187">
        <f>작업!P55</f>
        <v>134451.70648237001</v>
      </c>
      <c r="AE13" s="187">
        <f>작업!Q55</f>
        <v>73913.76929733</v>
      </c>
      <c r="AF13" s="187">
        <f>작업!R55</f>
        <v>54570.501611390006</v>
      </c>
      <c r="AG13" s="187">
        <f>작업!S55</f>
        <v>61587.61</v>
      </c>
      <c r="AH13" s="190">
        <f>작업!T55</f>
        <v>101046.33</v>
      </c>
    </row>
    <row r="14" spans="4:34">
      <c r="D14" s="168"/>
      <c r="E14" s="168"/>
      <c r="F14" s="169" t="s">
        <v>942</v>
      </c>
      <c r="G14" s="237" t="e">
        <f>'2403'!I41</f>
        <v>#N/A</v>
      </c>
      <c r="H14" s="238" t="e">
        <f>'2403'!J41</f>
        <v>#N/A</v>
      </c>
      <c r="I14" s="239" t="e">
        <f>'2403'!K41</f>
        <v>#N/A</v>
      </c>
      <c r="J14" s="238" t="e">
        <f>'2403'!L41</f>
        <v>#N/A</v>
      </c>
      <c r="K14" s="238" t="e">
        <f>'2403'!M41</f>
        <v>#N/A</v>
      </c>
      <c r="L14" s="238" t="e">
        <f>'2403'!N41</f>
        <v>#N/A</v>
      </c>
      <c r="M14" s="240" t="e">
        <f>'2403'!O41</f>
        <v>#N/A</v>
      </c>
      <c r="N14" s="238" t="e">
        <f>'2403'!P41</f>
        <v>#N/A</v>
      </c>
      <c r="O14" s="238" t="e">
        <f>'2403'!Q41</f>
        <v>#N/A</v>
      </c>
      <c r="P14" s="238" t="e">
        <f>'2403'!R41</f>
        <v>#N/A</v>
      </c>
      <c r="Q14" s="238" t="e">
        <f>'2403'!S41</f>
        <v>#N/A</v>
      </c>
      <c r="R14" s="241" t="e">
        <f>'2403'!T41</f>
        <v>#N/A</v>
      </c>
      <c r="S14" s="163"/>
      <c r="U14" s="168"/>
      <c r="V14" s="168"/>
      <c r="W14" s="220" t="e">
        <f>'2403'!I20</f>
        <v>#N/A</v>
      </c>
      <c r="X14" s="171" t="e">
        <f>'2403'!J20</f>
        <v>#N/A</v>
      </c>
      <c r="Y14" s="191" t="e">
        <f>'2403'!K20</f>
        <v>#N/A</v>
      </c>
      <c r="Z14" s="171" t="e">
        <f>'2403'!L20</f>
        <v>#N/A</v>
      </c>
      <c r="AA14" s="171" t="e">
        <f>'2403'!M20</f>
        <v>#N/A</v>
      </c>
      <c r="AB14" s="171" t="e">
        <f>'2403'!N20</f>
        <v>#N/A</v>
      </c>
      <c r="AC14" s="172" t="e">
        <f>'2403'!O20</f>
        <v>#N/A</v>
      </c>
      <c r="AD14" s="171" t="e">
        <f>'2403'!P20</f>
        <v>#N/A</v>
      </c>
      <c r="AE14" s="192" t="e">
        <f>'2403'!Q20</f>
        <v>#N/A</v>
      </c>
      <c r="AF14" s="171" t="e">
        <f>'2403'!R20</f>
        <v>#N/A</v>
      </c>
      <c r="AG14" s="171" t="e">
        <f>'2403'!S20</f>
        <v>#N/A</v>
      </c>
      <c r="AH14" s="193" t="e">
        <f>'2403'!T20</f>
        <v>#N/A</v>
      </c>
    </row>
    <row r="15" spans="4:34">
      <c r="D15" s="174"/>
      <c r="E15" s="175"/>
      <c r="F15" s="177" t="s">
        <v>943</v>
      </c>
      <c r="G15" s="242" t="e">
        <f>'2406'!I41-G14</f>
        <v>#N/A</v>
      </c>
      <c r="H15" s="243" t="e">
        <f>'2406'!J41-H14</f>
        <v>#N/A</v>
      </c>
      <c r="I15" s="244" t="e">
        <f>'2406'!K41-I14</f>
        <v>#N/A</v>
      </c>
      <c r="J15" s="243" t="e">
        <f>'2406'!L41-J14</f>
        <v>#N/A</v>
      </c>
      <c r="K15" s="243" t="e">
        <f>'2406'!M41-K14</f>
        <v>#N/A</v>
      </c>
      <c r="L15" s="243" t="e">
        <f>'2406'!N41-L14</f>
        <v>#N/A</v>
      </c>
      <c r="M15" s="245" t="e">
        <f>'2406'!O41-M14</f>
        <v>#N/A</v>
      </c>
      <c r="N15" s="243" t="e">
        <f>'2406'!P41-N14</f>
        <v>#N/A</v>
      </c>
      <c r="O15" s="243" t="e">
        <f>'2406'!Q41-O14</f>
        <v>#N/A</v>
      </c>
      <c r="P15" s="243" t="e">
        <f>'2406'!R41-P14</f>
        <v>#N/A</v>
      </c>
      <c r="Q15" s="243" t="e">
        <f>'2406'!S41-Q14</f>
        <v>#N/A</v>
      </c>
      <c r="R15" s="246" t="e">
        <f>'2406'!T41-R14</f>
        <v>#N/A</v>
      </c>
      <c r="S15" s="163"/>
      <c r="U15" s="174"/>
      <c r="V15" s="175"/>
      <c r="W15" s="218" t="e">
        <f>'2406'!I20</f>
        <v>#N/A</v>
      </c>
      <c r="X15" s="165" t="e">
        <f>'2406'!J20</f>
        <v>#N/A</v>
      </c>
      <c r="Y15" s="194" t="e">
        <f>'2406'!K20</f>
        <v>#N/A</v>
      </c>
      <c r="Z15" s="165" t="e">
        <f>'2406'!L20</f>
        <v>#N/A</v>
      </c>
      <c r="AA15" s="165" t="e">
        <f>'2406'!M20</f>
        <v>#N/A</v>
      </c>
      <c r="AB15" s="179" t="e">
        <f>'2406'!N20</f>
        <v>#N/A</v>
      </c>
      <c r="AC15" s="166" t="e">
        <f>'2406'!O20</f>
        <v>#N/A</v>
      </c>
      <c r="AD15" s="165" t="e">
        <f>'2406'!P20</f>
        <v>#N/A</v>
      </c>
      <c r="AE15" s="165" t="e">
        <f>'2406'!Q20</f>
        <v>#N/A</v>
      </c>
      <c r="AF15" s="165" t="e">
        <f>'2406'!R20</f>
        <v>#N/A</v>
      </c>
      <c r="AG15" s="165" t="e">
        <f>'2406'!S20</f>
        <v>#N/A</v>
      </c>
      <c r="AH15" s="167" t="e">
        <f>'2406'!T20</f>
        <v>#N/A</v>
      </c>
    </row>
    <row r="16" spans="4:34" ht="17.25" thickBot="1">
      <c r="D16" s="168"/>
      <c r="E16" s="168"/>
      <c r="F16" s="181" t="s">
        <v>1000</v>
      </c>
      <c r="G16" s="247" t="e">
        <f>작업!I56-SUM(G14:G15)</f>
        <v>#N/A</v>
      </c>
      <c r="H16" s="248" t="e">
        <f>작업!J56-SUM(H14:H15)</f>
        <v>#N/A</v>
      </c>
      <c r="I16" s="249" t="e">
        <f>작업!K56-SUM(I14:I15)</f>
        <v>#N/A</v>
      </c>
      <c r="J16" s="248" t="e">
        <f>작업!L56-SUM(J14:J15)</f>
        <v>#N/A</v>
      </c>
      <c r="K16" s="248" t="e">
        <f>작업!M56-SUM(K14:K15)</f>
        <v>#N/A</v>
      </c>
      <c r="L16" s="248" t="e">
        <f>작업!N56-SUM(L14:L15)</f>
        <v>#N/A</v>
      </c>
      <c r="M16" s="250" t="e">
        <f>작업!O56-SUM(M14:M15)</f>
        <v>#N/A</v>
      </c>
      <c r="N16" s="248" t="e">
        <f>작업!P56-SUM(N14:N15)</f>
        <v>#N/A</v>
      </c>
      <c r="O16" s="248" t="e">
        <f>작업!Q56-SUM(O14:O15)</f>
        <v>#N/A</v>
      </c>
      <c r="P16" s="248" t="e">
        <f>작업!R56-SUM(P14:P15)</f>
        <v>#N/A</v>
      </c>
      <c r="Q16" s="248" t="e">
        <f>작업!S56-SUM(Q14:Q15)</f>
        <v>#N/A</v>
      </c>
      <c r="R16" s="251" t="e">
        <f>작업!T56-SUM(R14:R15)</f>
        <v>#N/A</v>
      </c>
      <c r="S16" s="163"/>
      <c r="U16" s="168"/>
      <c r="V16" s="168"/>
      <c r="W16" s="223">
        <f>작업!I22</f>
        <v>20678.244682199998</v>
      </c>
      <c r="X16" s="195">
        <f>작업!J22</f>
        <v>150629.44</v>
      </c>
      <c r="Y16" s="196">
        <f>작업!K22</f>
        <v>75757.824339589992</v>
      </c>
      <c r="Z16" s="195">
        <f>작업!L22</f>
        <v>70853.36</v>
      </c>
      <c r="AA16" s="195">
        <f>작업!M22</f>
        <v>69683.97</v>
      </c>
      <c r="AB16" s="197">
        <f>작업!N22</f>
        <v>16044.17</v>
      </c>
      <c r="AC16" s="198">
        <f>작업!O22</f>
        <v>31590.18</v>
      </c>
      <c r="AD16" s="195">
        <f>작업!P22</f>
        <v>140898.61430091001</v>
      </c>
      <c r="AE16" s="195">
        <f>작업!Q22</f>
        <v>79526.518553810005</v>
      </c>
      <c r="AF16" s="195">
        <f>작업!R22</f>
        <v>62729.7347037</v>
      </c>
      <c r="AG16" s="195">
        <f>작업!S22</f>
        <v>69589.56</v>
      </c>
      <c r="AH16" s="199">
        <f>작업!T22</f>
        <v>112011.39</v>
      </c>
    </row>
    <row r="17" spans="4:34">
      <c r="D17" s="825" t="s">
        <v>947</v>
      </c>
      <c r="E17" s="825"/>
      <c r="F17" s="830"/>
      <c r="G17" s="224">
        <f>작업!I23-작업!I38</f>
        <v>-2416.3678332</v>
      </c>
      <c r="H17" s="225">
        <f>작업!J23-작업!J38</f>
        <v>248659.60000000003</v>
      </c>
      <c r="I17" s="225">
        <f>작업!K23-작업!K38</f>
        <v>-1934.5181768299954</v>
      </c>
      <c r="J17" s="225">
        <f>작업!L23-작업!L38</f>
        <v>-568.55999999999949</v>
      </c>
      <c r="K17" s="225">
        <f>작업!M23-작업!M38</f>
        <v>-6539.6299999999992</v>
      </c>
      <c r="L17" s="225">
        <f>작업!N23-작업!N38</f>
        <v>-1206.9299999999985</v>
      </c>
      <c r="M17" s="226">
        <f>작업!O23-작업!O38</f>
        <v>-3316.58</v>
      </c>
      <c r="N17" s="225">
        <f>작업!P23-작업!P38</f>
        <v>44191.651042999998</v>
      </c>
      <c r="O17" s="225">
        <f>작업!Q23-작업!Q38</f>
        <v>-6049.3651553599993</v>
      </c>
      <c r="P17" s="225">
        <f>작업!R23-작업!R38</f>
        <v>-5878.7981388300004</v>
      </c>
      <c r="Q17" s="225">
        <f>작업!S23-작업!S38</f>
        <v>-6241.98</v>
      </c>
      <c r="R17" s="227">
        <f>작업!T23-작업!T38</f>
        <v>-6198.4500000000007</v>
      </c>
      <c r="S17" s="163"/>
      <c r="U17" s="825" t="s">
        <v>947</v>
      </c>
      <c r="V17" s="825"/>
      <c r="W17" s="178" t="s">
        <v>948</v>
      </c>
      <c r="X17" s="179" t="s">
        <v>949</v>
      </c>
      <c r="Y17" s="179" t="s">
        <v>950</v>
      </c>
      <c r="Z17" s="179" t="s">
        <v>951</v>
      </c>
      <c r="AA17" s="179" t="s">
        <v>952</v>
      </c>
      <c r="AB17" s="179" t="s">
        <v>953</v>
      </c>
      <c r="AC17" s="180" t="s">
        <v>954</v>
      </c>
      <c r="AD17" s="179" t="s">
        <v>955</v>
      </c>
      <c r="AE17" s="179" t="s">
        <v>956</v>
      </c>
      <c r="AF17" s="179" t="s">
        <v>957</v>
      </c>
      <c r="AG17" s="179" t="s">
        <v>958</v>
      </c>
      <c r="AH17" s="174" t="s">
        <v>959</v>
      </c>
    </row>
    <row r="18" spans="4:34">
      <c r="D18" s="200"/>
      <c r="E18" s="201"/>
      <c r="F18" s="202" t="s">
        <v>942</v>
      </c>
      <c r="G18" s="252" t="e">
        <f>'2403'!I21-'2403'!I27</f>
        <v>#N/A</v>
      </c>
      <c r="H18" s="253" t="e">
        <f>'2403'!J21-'2403'!J27</f>
        <v>#N/A</v>
      </c>
      <c r="I18" s="253" t="e">
        <f>'2403'!K21-'2403'!K27</f>
        <v>#N/A</v>
      </c>
      <c r="J18" s="253" t="e">
        <f>'2403'!L21-'2403'!L27</f>
        <v>#N/A</v>
      </c>
      <c r="K18" s="253" t="e">
        <f>'2403'!M21-'2403'!M27</f>
        <v>#N/A</v>
      </c>
      <c r="L18" s="253" t="e">
        <f>'2403'!N21-'2403'!N27</f>
        <v>#N/A</v>
      </c>
      <c r="M18" s="254" t="e">
        <f>'2403'!O21-'2403'!O27</f>
        <v>#N/A</v>
      </c>
      <c r="N18" s="253" t="e">
        <f>'2403'!P21-'2403'!P27</f>
        <v>#N/A</v>
      </c>
      <c r="O18" s="253" t="e">
        <f>'2403'!Q21-'2403'!Q27</f>
        <v>#N/A</v>
      </c>
      <c r="P18" s="253" t="e">
        <f>'2403'!R21-'2403'!R27</f>
        <v>#N/A</v>
      </c>
      <c r="Q18" s="253" t="e">
        <f>'2403'!S21-'2403'!S27</f>
        <v>#N/A</v>
      </c>
      <c r="R18" s="255" t="e">
        <f>'2403'!T21-'2403'!T27</f>
        <v>#N/A</v>
      </c>
      <c r="S18" s="163"/>
      <c r="U18" s="200"/>
      <c r="V18" s="201"/>
      <c r="W18" s="170" t="s">
        <v>944</v>
      </c>
      <c r="X18" s="171" t="s">
        <v>960</v>
      </c>
      <c r="Y18" s="171" t="s">
        <v>961</v>
      </c>
      <c r="Z18" s="171" t="s">
        <v>962</v>
      </c>
      <c r="AA18" s="171" t="s">
        <v>963</v>
      </c>
      <c r="AB18" s="171" t="s">
        <v>964</v>
      </c>
      <c r="AC18" s="172" t="s">
        <v>965</v>
      </c>
      <c r="AD18" s="192">
        <v>1218</v>
      </c>
      <c r="AE18" s="171" t="s">
        <v>966</v>
      </c>
      <c r="AF18" s="171" t="s">
        <v>967</v>
      </c>
      <c r="AG18" s="171" t="s">
        <v>968</v>
      </c>
      <c r="AH18" s="173" t="s">
        <v>969</v>
      </c>
    </row>
    <row r="19" spans="4:34">
      <c r="D19" s="203"/>
      <c r="E19" s="204"/>
      <c r="F19" s="177" t="s">
        <v>943</v>
      </c>
      <c r="G19" s="224" t="e">
        <f>'2406'!I21-'2406'!I27-G18</f>
        <v>#N/A</v>
      </c>
      <c r="H19" s="225" t="e">
        <f>'2406'!J21-'2406'!J27-H18</f>
        <v>#N/A</v>
      </c>
      <c r="I19" s="225" t="e">
        <f>'2406'!K21-'2406'!K27-I18</f>
        <v>#N/A</v>
      </c>
      <c r="J19" s="225" t="e">
        <f>'2406'!L21-'2406'!L27-J18</f>
        <v>#N/A</v>
      </c>
      <c r="K19" s="225" t="e">
        <f>'2406'!M21-'2406'!M27-K18</f>
        <v>#N/A</v>
      </c>
      <c r="L19" s="225" t="e">
        <f>'2406'!N21-'2406'!N27-L18</f>
        <v>#N/A</v>
      </c>
      <c r="M19" s="226" t="e">
        <f>'2406'!O21-'2406'!O27-M18</f>
        <v>#N/A</v>
      </c>
      <c r="N19" s="225" t="e">
        <f>'2406'!P21-'2406'!P27-N18</f>
        <v>#N/A</v>
      </c>
      <c r="O19" s="225" t="e">
        <f>'2406'!Q21-'2406'!Q27-O18</f>
        <v>#N/A</v>
      </c>
      <c r="P19" s="225" t="e">
        <f>'2406'!R21-'2406'!R27-P18</f>
        <v>#N/A</v>
      </c>
      <c r="Q19" s="225" t="e">
        <f>'2406'!S21-'2406'!S27-Q18</f>
        <v>#N/A</v>
      </c>
      <c r="R19" s="227" t="e">
        <f>'2406'!T21-'2406'!T27-R18</f>
        <v>#N/A</v>
      </c>
      <c r="S19" s="163"/>
      <c r="U19" s="203"/>
      <c r="V19" s="204"/>
      <c r="W19" s="178"/>
      <c r="X19" s="179"/>
      <c r="Y19" s="179"/>
      <c r="Z19" s="179"/>
      <c r="AA19" s="179"/>
      <c r="AB19" s="179"/>
      <c r="AC19" s="180"/>
      <c r="AD19" s="179"/>
      <c r="AE19" s="179"/>
      <c r="AF19" s="179"/>
      <c r="AG19" s="179"/>
      <c r="AH19" s="174"/>
    </row>
    <row r="20" spans="4:34" ht="17.25" thickBot="1">
      <c r="D20" s="205"/>
      <c r="E20" s="206"/>
      <c r="F20" s="181" t="s">
        <v>1000</v>
      </c>
      <c r="G20" s="228" t="e">
        <f>작업!I23-작업!I38-SUM(G18:G19)</f>
        <v>#N/A</v>
      </c>
      <c r="H20" s="229" t="e">
        <f>작업!J23-작업!J38-SUM(H18:H19)</f>
        <v>#N/A</v>
      </c>
      <c r="I20" s="229" t="e">
        <f>작업!K23-작업!K38-SUM(I18:I19)</f>
        <v>#N/A</v>
      </c>
      <c r="J20" s="229" t="e">
        <f>작업!L23-작업!L38-SUM(J18:J19)</f>
        <v>#N/A</v>
      </c>
      <c r="K20" s="229" t="e">
        <f>작업!M23-작업!M38-SUM(K18:K19)</f>
        <v>#N/A</v>
      </c>
      <c r="L20" s="229" t="e">
        <f>작업!N23-작업!N38-SUM(L18:L19)</f>
        <v>#N/A</v>
      </c>
      <c r="M20" s="230" t="e">
        <f>작업!O23-작업!O38-SUM(M18:M19)</f>
        <v>#N/A</v>
      </c>
      <c r="N20" s="229" t="e">
        <f>작업!P23-작업!P38-SUM(N18:N19)</f>
        <v>#N/A</v>
      </c>
      <c r="O20" s="229" t="e">
        <f>작업!Q23-작업!Q38-SUM(O18:O19)</f>
        <v>#N/A</v>
      </c>
      <c r="P20" s="229" t="e">
        <f>작업!R23-작업!R38-SUM(P18:P19)</f>
        <v>#N/A</v>
      </c>
      <c r="Q20" s="229" t="e">
        <f>작업!S23-작업!S38-SUM(Q18:Q19)</f>
        <v>#N/A</v>
      </c>
      <c r="R20" s="231" t="e">
        <f>작업!T23-작업!T38-SUM(R18:R19)</f>
        <v>#N/A</v>
      </c>
      <c r="S20" s="163"/>
      <c r="U20" s="205"/>
      <c r="V20" s="206"/>
      <c r="W20" s="182" t="s">
        <v>970</v>
      </c>
      <c r="X20" s="183" t="s">
        <v>971</v>
      </c>
      <c r="Y20" s="183" t="s">
        <v>972</v>
      </c>
      <c r="Z20" s="183" t="s">
        <v>973</v>
      </c>
      <c r="AA20" s="183" t="s">
        <v>974</v>
      </c>
      <c r="AB20" s="183" t="s">
        <v>975</v>
      </c>
      <c r="AC20" s="185" t="s">
        <v>976</v>
      </c>
      <c r="AD20" s="183" t="s">
        <v>977</v>
      </c>
      <c r="AE20" s="183" t="s">
        <v>978</v>
      </c>
      <c r="AF20" s="183" t="s">
        <v>979</v>
      </c>
      <c r="AG20" s="183" t="s">
        <v>980</v>
      </c>
      <c r="AH20" s="207" t="s">
        <v>981</v>
      </c>
    </row>
    <row r="21" spans="4:34">
      <c r="D21" s="827" t="s">
        <v>982</v>
      </c>
      <c r="E21" s="827"/>
      <c r="F21" s="831"/>
      <c r="G21" s="260">
        <f>작업!I92</f>
        <v>0</v>
      </c>
      <c r="H21" s="261">
        <f>작업!J92</f>
        <v>1.98</v>
      </c>
      <c r="I21" s="261" t="s">
        <v>1003</v>
      </c>
      <c r="J21" s="261">
        <f>작업!L92</f>
        <v>0</v>
      </c>
      <c r="K21" s="261">
        <f>작업!M92</f>
        <v>2.06</v>
      </c>
      <c r="L21" s="261">
        <f>작업!N92</f>
        <v>1.7729999999999999</v>
      </c>
      <c r="M21" s="262">
        <f>작업!O92</f>
        <v>2.7206000000000001</v>
      </c>
      <c r="N21" s="261">
        <f>작업!P92</f>
        <v>2.6286999999999998</v>
      </c>
      <c r="O21" s="261">
        <f>작업!Q92</f>
        <v>1.901</v>
      </c>
      <c r="P21" s="261">
        <f>작업!R92</f>
        <v>2.3740000000000001</v>
      </c>
      <c r="Q21" s="261">
        <f>작업!S92</f>
        <v>1.9241999999999999</v>
      </c>
      <c r="R21" s="263">
        <f>작업!T92</f>
        <v>2.1779999999999999</v>
      </c>
      <c r="S21" s="163"/>
      <c r="U21" s="827" t="s">
        <v>982</v>
      </c>
      <c r="V21" s="827"/>
      <c r="W21" s="208">
        <v>1.9710000000000001</v>
      </c>
      <c r="X21" s="179" t="s">
        <v>983</v>
      </c>
      <c r="Y21" s="179" t="s">
        <v>62</v>
      </c>
      <c r="Z21" s="209">
        <v>1.63</v>
      </c>
      <c r="AA21" s="209">
        <v>2.38</v>
      </c>
      <c r="AB21" s="209">
        <v>1.671</v>
      </c>
      <c r="AC21" s="210">
        <v>3.1349999999999998</v>
      </c>
      <c r="AD21" s="209">
        <v>2.7890000000000001</v>
      </c>
      <c r="AE21" s="209">
        <v>1.6970000000000001</v>
      </c>
      <c r="AF21" s="209">
        <v>2.2490000000000001</v>
      </c>
      <c r="AG21" s="209">
        <v>2.028</v>
      </c>
      <c r="AH21" s="211">
        <v>2.282</v>
      </c>
    </row>
    <row r="22" spans="4:34">
      <c r="D22" s="212" t="s">
        <v>984</v>
      </c>
      <c r="U22" s="212" t="s">
        <v>984</v>
      </c>
    </row>
    <row r="23" spans="4:34">
      <c r="D23" s="213" t="s">
        <v>985</v>
      </c>
      <c r="U23" s="213" t="s">
        <v>985</v>
      </c>
    </row>
    <row r="24" spans="4:34">
      <c r="D24" s="162"/>
      <c r="U24" s="162"/>
    </row>
    <row r="25" spans="4:34">
      <c r="D25" s="162"/>
      <c r="U25" s="162"/>
    </row>
    <row r="26" spans="4:34">
      <c r="D26" s="212" t="s">
        <v>986</v>
      </c>
      <c r="U26" s="212" t="s">
        <v>986</v>
      </c>
    </row>
    <row r="27" spans="4:34">
      <c r="D27" s="162" t="s">
        <v>987</v>
      </c>
      <c r="U27" s="162" t="s">
        <v>987</v>
      </c>
    </row>
    <row r="28" spans="4:34">
      <c r="D28" s="213" t="s">
        <v>988</v>
      </c>
      <c r="U28" s="213" t="s">
        <v>988</v>
      </c>
    </row>
    <row r="29" spans="4:34">
      <c r="D29" s="162" t="s">
        <v>989</v>
      </c>
      <c r="U29" s="162" t="s">
        <v>989</v>
      </c>
    </row>
    <row r="30" spans="4:34">
      <c r="D30" s="162"/>
      <c r="U30" s="162"/>
    </row>
    <row r="31" spans="4:34">
      <c r="D31" s="213" t="s">
        <v>990</v>
      </c>
      <c r="U31" s="213" t="s">
        <v>990</v>
      </c>
    </row>
    <row r="32" spans="4:34">
      <c r="D32" s="162" t="s">
        <v>991</v>
      </c>
      <c r="U32" s="162" t="s">
        <v>991</v>
      </c>
    </row>
    <row r="33" spans="4:21">
      <c r="D33" s="212" t="s">
        <v>992</v>
      </c>
      <c r="U33" s="212" t="s">
        <v>992</v>
      </c>
    </row>
    <row r="34" spans="4:21">
      <c r="D34" s="162" t="s">
        <v>993</v>
      </c>
      <c r="U34" s="162" t="s">
        <v>993</v>
      </c>
    </row>
    <row r="35" spans="4:21">
      <c r="D35" s="213" t="s">
        <v>994</v>
      </c>
      <c r="U35" s="213" t="s">
        <v>994</v>
      </c>
    </row>
    <row r="36" spans="4:21">
      <c r="D36" s="162" t="s">
        <v>995</v>
      </c>
      <c r="U36" s="162" t="s">
        <v>995</v>
      </c>
    </row>
    <row r="37" spans="4:21">
      <c r="D37" s="162"/>
      <c r="U37" s="162"/>
    </row>
    <row r="38" spans="4:21">
      <c r="D38" s="213" t="s">
        <v>996</v>
      </c>
      <c r="U38" s="213" t="s">
        <v>996</v>
      </c>
    </row>
    <row r="39" spans="4:21">
      <c r="D39" s="162"/>
      <c r="U39" s="162"/>
    </row>
    <row r="40" spans="4:21">
      <c r="D40" s="213" t="s">
        <v>997</v>
      </c>
      <c r="U40" s="213" t="s">
        <v>997</v>
      </c>
    </row>
    <row r="41" spans="4:21">
      <c r="D41" s="162" t="s">
        <v>998</v>
      </c>
      <c r="U41" s="162" t="s">
        <v>998</v>
      </c>
    </row>
    <row r="42" spans="4:21">
      <c r="D42" s="162"/>
      <c r="U42" s="162"/>
    </row>
    <row r="43" spans="4:21">
      <c r="D43" s="213" t="s">
        <v>999</v>
      </c>
      <c r="U43" s="213" t="s">
        <v>999</v>
      </c>
    </row>
    <row r="44" spans="4:21">
      <c r="D44" s="162"/>
      <c r="U44" s="162"/>
    </row>
    <row r="64" ht="17.25" thickBot="1"/>
    <row r="65" spans="4:20">
      <c r="D65" s="814" t="s">
        <v>930</v>
      </c>
      <c r="E65" s="814"/>
      <c r="F65" s="815"/>
      <c r="G65" s="818" t="s">
        <v>931</v>
      </c>
      <c r="H65" s="820" t="s">
        <v>932</v>
      </c>
      <c r="I65" s="821"/>
      <c r="J65" s="821"/>
      <c r="K65" s="821"/>
      <c r="L65" s="821"/>
      <c r="M65" s="822"/>
      <c r="N65" s="826" t="s">
        <v>933</v>
      </c>
      <c r="O65" s="821"/>
      <c r="P65" s="821"/>
      <c r="Q65" s="821"/>
      <c r="R65" s="821"/>
    </row>
    <row r="66" spans="4:20" ht="17.25" thickBot="1">
      <c r="D66" s="816"/>
      <c r="E66" s="816"/>
      <c r="F66" s="817"/>
      <c r="G66" s="819"/>
      <c r="H66" s="159" t="s">
        <v>1</v>
      </c>
      <c r="I66" s="159" t="s">
        <v>2</v>
      </c>
      <c r="J66" s="159" t="s">
        <v>3</v>
      </c>
      <c r="K66" s="159" t="s">
        <v>934</v>
      </c>
      <c r="L66" s="159" t="s">
        <v>5</v>
      </c>
      <c r="M66" s="160" t="s">
        <v>935</v>
      </c>
      <c r="N66" s="159" t="s">
        <v>1</v>
      </c>
      <c r="O66" s="159" t="s">
        <v>936</v>
      </c>
      <c r="P66" s="159" t="s">
        <v>937</v>
      </c>
      <c r="Q66" s="159" t="s">
        <v>935</v>
      </c>
      <c r="R66" s="161" t="s">
        <v>938</v>
      </c>
    </row>
    <row r="67" spans="4:20">
      <c r="D67" s="823" t="s">
        <v>26</v>
      </c>
      <c r="E67" s="823"/>
      <c r="F67" s="824"/>
      <c r="G67" s="224">
        <f>작업!I117</f>
        <v>1892.56776881</v>
      </c>
      <c r="H67" s="225">
        <f>작업!J117</f>
        <v>20070.060000000001</v>
      </c>
      <c r="I67" s="225">
        <f>작업!K117</f>
        <v>9620.9813541500007</v>
      </c>
      <c r="J67" s="225">
        <f>작업!L117</f>
        <v>4126.5</v>
      </c>
      <c r="K67" s="225">
        <f>작업!M117</f>
        <v>7965.38</v>
      </c>
      <c r="L67" s="225">
        <f>작업!N117</f>
        <v>1113.8800000000001</v>
      </c>
      <c r="M67" s="226">
        <f>작업!O117</f>
        <v>4181.92</v>
      </c>
      <c r="N67" s="225">
        <f>작업!P117</f>
        <v>23334.794053190002</v>
      </c>
      <c r="O67" s="225">
        <f>작업!Q117</f>
        <v>6942.7771959300017</v>
      </c>
      <c r="P67" s="225">
        <f>작업!R117</f>
        <v>22940.27456622</v>
      </c>
      <c r="Q67" s="225">
        <f>작업!S117</f>
        <v>11407.59</v>
      </c>
      <c r="R67" s="227">
        <f>작업!T117</f>
        <v>21079.54</v>
      </c>
      <c r="S67" s="267"/>
    </row>
    <row r="68" spans="4:20">
      <c r="D68" s="364"/>
      <c r="E68" s="364" t="s">
        <v>1075</v>
      </c>
      <c r="F68" s="365"/>
      <c r="G68" s="224">
        <f>G67-전기말!I31</f>
        <v>734.33890111000005</v>
      </c>
      <c r="H68" s="225">
        <f>H67-전기말!J31</f>
        <v>1857.1599999999999</v>
      </c>
      <c r="I68" s="225">
        <f>I67-전기말!K31</f>
        <v>813.08252659000209</v>
      </c>
      <c r="J68" s="225">
        <f>J67-전기말!L31</f>
        <v>-4922.7137530599994</v>
      </c>
      <c r="K68" s="225">
        <f>K67-전기말!M31</f>
        <v>609.30000000000018</v>
      </c>
      <c r="L68" s="225">
        <f>L67-전기말!N31</f>
        <v>-2705.8496263500001</v>
      </c>
      <c r="M68" s="226">
        <f>M67-전기말!O31</f>
        <v>202.86999999999989</v>
      </c>
      <c r="N68" s="225">
        <f>N67-전기말!P31</f>
        <v>-3706.0496967600011</v>
      </c>
      <c r="O68" s="225">
        <f>O67-전기말!Q31</f>
        <v>-6721.5789527099978</v>
      </c>
      <c r="P68" s="225">
        <f>P67-전기말!R31</f>
        <v>-43.799581929997657</v>
      </c>
      <c r="Q68" s="225">
        <f>Q67-전기말!S31</f>
        <v>28.040000000000873</v>
      </c>
      <c r="R68" s="227">
        <f>R67-전기말!T31</f>
        <v>-2578.5990456600011</v>
      </c>
      <c r="S68" s="267"/>
    </row>
    <row r="69" spans="4:20">
      <c r="D69" s="168"/>
      <c r="E69" s="834" t="s">
        <v>1004</v>
      </c>
      <c r="F69" s="835"/>
      <c r="G69" s="252">
        <f>작업!I109</f>
        <v>1119.9010958400002</v>
      </c>
      <c r="H69" s="253">
        <f>작업!J109</f>
        <v>9747.16</v>
      </c>
      <c r="I69" s="253">
        <f>작업!K109</f>
        <v>3915.9032983800003</v>
      </c>
      <c r="J69" s="253">
        <f>작업!L109</f>
        <v>3444.19</v>
      </c>
      <c r="K69" s="253">
        <f>작업!M109</f>
        <v>7041.53</v>
      </c>
      <c r="L69" s="253">
        <f>작업!N109</f>
        <v>1137.71</v>
      </c>
      <c r="M69" s="254">
        <f>작업!O109</f>
        <v>2618.85</v>
      </c>
      <c r="N69" s="253">
        <f>작업!P109</f>
        <v>14466.962512849999</v>
      </c>
      <c r="O69" s="253">
        <f>작업!Q109</f>
        <v>3961.1130419400001</v>
      </c>
      <c r="P69" s="253">
        <f>작업!R109</f>
        <v>14254.1127889</v>
      </c>
      <c r="Q69" s="253">
        <f>작업!S109</f>
        <v>6266.95</v>
      </c>
      <c r="R69" s="255">
        <f>작업!T109</f>
        <v>10359.5</v>
      </c>
      <c r="S69" s="267"/>
    </row>
    <row r="70" spans="4:20">
      <c r="D70" s="174"/>
      <c r="E70" s="832" t="s">
        <v>1005</v>
      </c>
      <c r="F70" s="833"/>
      <c r="G70" s="268">
        <f>G69/G67</f>
        <v>0.59173632474157922</v>
      </c>
      <c r="H70" s="269">
        <f t="shared" ref="H70:R70" si="18">H69/H67</f>
        <v>0.48565674442428169</v>
      </c>
      <c r="I70" s="269">
        <f t="shared" si="18"/>
        <v>0.40701703435802622</v>
      </c>
      <c r="J70" s="269">
        <f t="shared" si="18"/>
        <v>0.83465164182721441</v>
      </c>
      <c r="K70" s="269">
        <f t="shared" si="18"/>
        <v>0.8840168328441329</v>
      </c>
      <c r="L70" s="269">
        <f t="shared" si="18"/>
        <v>1.0213936869321649</v>
      </c>
      <c r="M70" s="270">
        <f t="shared" si="18"/>
        <v>0.62623149175498327</v>
      </c>
      <c r="N70" s="269">
        <f t="shared" si="18"/>
        <v>0.61997386734477222</v>
      </c>
      <c r="O70" s="269">
        <f t="shared" si="18"/>
        <v>0.57053725478358797</v>
      </c>
      <c r="P70" s="269">
        <f t="shared" si="18"/>
        <v>0.62135754948153321</v>
      </c>
      <c r="Q70" s="269">
        <f t="shared" si="18"/>
        <v>0.54936669357857359</v>
      </c>
      <c r="R70" s="271">
        <f t="shared" si="18"/>
        <v>0.49144810560382246</v>
      </c>
      <c r="S70" s="272"/>
      <c r="T70" s="272"/>
    </row>
    <row r="71" spans="4:20">
      <c r="D71" s="168"/>
      <c r="E71" s="265"/>
      <c r="F71" s="264" t="s">
        <v>1075</v>
      </c>
      <c r="G71" s="252">
        <f>G69-전기말!I23</f>
        <v>-72.854347629999893</v>
      </c>
      <c r="H71" s="253">
        <f>H69-전기말!J23</f>
        <v>4327.26</v>
      </c>
      <c r="I71" s="253">
        <f>I69-전기말!K23</f>
        <v>-820.33534565999935</v>
      </c>
      <c r="J71" s="253">
        <f>J69-전기말!L23</f>
        <v>-1618.8584630700002</v>
      </c>
      <c r="K71" s="253">
        <f>K69-전기말!M23</f>
        <v>457.71999999999935</v>
      </c>
      <c r="L71" s="253">
        <f>L69-전기말!N23</f>
        <v>-1606.3716082599999</v>
      </c>
      <c r="M71" s="254">
        <f>M69-전기말!O23</f>
        <v>-519.25</v>
      </c>
      <c r="N71" s="253">
        <f>N69-전기말!P23</f>
        <v>-3336.7414305000002</v>
      </c>
      <c r="O71" s="253">
        <f>O69-전기말!Q23</f>
        <v>-6469.9137285500001</v>
      </c>
      <c r="P71" s="253">
        <f>P69-전기말!R23</f>
        <v>-1082.3277444300002</v>
      </c>
      <c r="Q71" s="253">
        <f>Q69-전기말!S23</f>
        <v>-3513.04</v>
      </c>
      <c r="R71" s="255">
        <f>R69-전기말!T23</f>
        <v>-5831.4428994900009</v>
      </c>
      <c r="S71" s="267"/>
    </row>
    <row r="72" spans="4:20" ht="27">
      <c r="D72" s="168"/>
      <c r="E72" s="266"/>
      <c r="F72" s="169" t="s">
        <v>1006</v>
      </c>
      <c r="G72" s="252">
        <f>작업!I126</f>
        <v>2058.3148376500003</v>
      </c>
      <c r="H72" s="253">
        <f>작업!J126</f>
        <v>14795.99</v>
      </c>
      <c r="I72" s="253">
        <f>작업!K126</f>
        <v>5879.96</v>
      </c>
      <c r="J72" s="253">
        <f>작업!L126</f>
        <v>7872.9</v>
      </c>
      <c r="K72" s="253">
        <f>작업!M126</f>
        <v>7352.29</v>
      </c>
      <c r="L72" s="253">
        <f>작업!N126</f>
        <v>2467.5100000000002</v>
      </c>
      <c r="M72" s="254">
        <f>작업!O126</f>
        <v>2976.06</v>
      </c>
      <c r="N72" s="253">
        <f>작업!P126</f>
        <v>16207.81</v>
      </c>
      <c r="O72" s="253">
        <f>작업!Q126</f>
        <v>9639.0135596399996</v>
      </c>
      <c r="P72" s="253">
        <f>작업!R126</f>
        <v>11672.64</v>
      </c>
      <c r="Q72" s="253">
        <f>작업!S126</f>
        <v>8534.36</v>
      </c>
      <c r="R72" s="255">
        <f>작업!T126</f>
        <v>12850.78</v>
      </c>
      <c r="S72" s="267"/>
    </row>
    <row r="73" spans="4:20">
      <c r="D73" s="168"/>
      <c r="E73" s="266"/>
      <c r="F73" s="176" t="s">
        <v>1007</v>
      </c>
      <c r="G73" s="256">
        <f>G72/G69</f>
        <v>1.8379434088383739</v>
      </c>
      <c r="H73" s="257">
        <f t="shared" ref="H73:R73" si="19">H72/H69</f>
        <v>1.5179795961079945</v>
      </c>
      <c r="I73" s="257">
        <f t="shared" si="19"/>
        <v>1.5015590406516233</v>
      </c>
      <c r="J73" s="257">
        <f t="shared" si="19"/>
        <v>2.2858495030761947</v>
      </c>
      <c r="K73" s="257">
        <f t="shared" si="19"/>
        <v>1.0441324541683412</v>
      </c>
      <c r="L73" s="257">
        <f t="shared" si="19"/>
        <v>2.1688391593639857</v>
      </c>
      <c r="M73" s="258">
        <f t="shared" si="19"/>
        <v>1.1363995646944269</v>
      </c>
      <c r="N73" s="257">
        <f t="shared" si="19"/>
        <v>1.1203326189311493</v>
      </c>
      <c r="O73" s="257">
        <f t="shared" si="19"/>
        <v>2.4334103716765383</v>
      </c>
      <c r="P73" s="257">
        <f t="shared" si="19"/>
        <v>0.81889628438255013</v>
      </c>
      <c r="Q73" s="257">
        <f t="shared" si="19"/>
        <v>1.3618043865038019</v>
      </c>
      <c r="R73" s="259">
        <f t="shared" si="19"/>
        <v>1.2404826487764855</v>
      </c>
      <c r="S73" s="267"/>
    </row>
    <row r="74" spans="4:20">
      <c r="D74" s="168"/>
      <c r="E74" s="834" t="s">
        <v>23</v>
      </c>
      <c r="F74" s="835"/>
      <c r="G74" s="224">
        <f>작업!I114</f>
        <v>738.66156524000007</v>
      </c>
      <c r="H74" s="225">
        <f>작업!J114</f>
        <v>6917.45</v>
      </c>
      <c r="I74" s="225">
        <f>작업!K114</f>
        <v>6700.35101553</v>
      </c>
      <c r="J74" s="225">
        <f>작업!L114</f>
        <v>570.17999999999995</v>
      </c>
      <c r="K74" s="225">
        <f>작업!M114</f>
        <v>925.33</v>
      </c>
      <c r="L74" s="225">
        <f>작업!N114</f>
        <v>911.64</v>
      </c>
      <c r="M74" s="226">
        <f>작업!O114</f>
        <v>1518.29</v>
      </c>
      <c r="N74" s="225">
        <f>작업!P114</f>
        <v>8839.8644576300012</v>
      </c>
      <c r="O74" s="225">
        <f>작업!Q114</f>
        <v>3307.5128531800001</v>
      </c>
      <c r="P74" s="225">
        <f>작업!R114</f>
        <v>8623.5169854799988</v>
      </c>
      <c r="Q74" s="225">
        <f>작업!S114</f>
        <v>5282.81</v>
      </c>
      <c r="R74" s="227">
        <f>작업!T114</f>
        <v>10518.3</v>
      </c>
      <c r="S74" s="267"/>
    </row>
    <row r="75" spans="4:20">
      <c r="D75" s="168"/>
      <c r="E75" s="265"/>
      <c r="F75" s="264" t="s">
        <v>1075</v>
      </c>
      <c r="G75" s="252">
        <f>G74-전기말!I28</f>
        <v>782.02796553000007</v>
      </c>
      <c r="H75" s="253">
        <f>H74-전기말!J28</f>
        <v>-3091.9100000000008</v>
      </c>
      <c r="I75" s="253">
        <f>I74-전기말!K28</f>
        <v>-13.645261769999706</v>
      </c>
      <c r="J75" s="253">
        <f>J74-전기말!L28</f>
        <v>-191.36032935000003</v>
      </c>
      <c r="K75" s="253">
        <f>K74-전기말!M28</f>
        <v>123.45000000000005</v>
      </c>
      <c r="L75" s="253">
        <f>L74-전기말!N28</f>
        <v>-134.80860142000017</v>
      </c>
      <c r="M75" s="254">
        <f>M74-전기말!O28</f>
        <v>642.18999999999994</v>
      </c>
      <c r="N75" s="253">
        <f>N74-전기말!P28</f>
        <v>-351.8701834099993</v>
      </c>
      <c r="O75" s="253">
        <f>O74-전기말!Q28</f>
        <v>-280.17352758999959</v>
      </c>
      <c r="P75" s="253">
        <f>P74-전기말!R28</f>
        <v>1007.7075605499995</v>
      </c>
      <c r="Q75" s="253">
        <f>Q74-전기말!S28</f>
        <v>3507.1000000000004</v>
      </c>
      <c r="R75" s="255">
        <f>R74-전기말!T28</f>
        <v>3082.6177527999989</v>
      </c>
      <c r="S75" s="267"/>
    </row>
    <row r="76" spans="4:20">
      <c r="G76" s="267"/>
      <c r="H76" s="267"/>
      <c r="I76" s="267"/>
      <c r="J76" s="267"/>
      <c r="K76" s="267"/>
      <c r="L76" s="267"/>
      <c r="M76" s="267"/>
      <c r="N76" s="267"/>
      <c r="O76" s="267"/>
      <c r="P76" s="267"/>
      <c r="Q76" s="267"/>
      <c r="R76" s="267"/>
      <c r="S76" s="267"/>
    </row>
    <row r="78" spans="4:20" ht="17.25" thickBot="1"/>
    <row r="79" spans="4:20" ht="17.25" thickTop="1">
      <c r="D79" s="838" t="s">
        <v>930</v>
      </c>
      <c r="E79" s="839"/>
      <c r="F79" s="842" t="s">
        <v>931</v>
      </c>
      <c r="G79" s="844" t="s">
        <v>932</v>
      </c>
      <c r="H79" s="829"/>
      <c r="I79" s="829"/>
      <c r="J79" s="829"/>
      <c r="K79" s="829"/>
      <c r="L79" s="845"/>
      <c r="M79" s="828" t="s">
        <v>933</v>
      </c>
      <c r="N79" s="829"/>
      <c r="O79" s="829"/>
      <c r="P79" s="829"/>
      <c r="Q79" s="829"/>
      <c r="R79" s="829"/>
    </row>
    <row r="80" spans="4:20" ht="17.25" thickBot="1">
      <c r="D80" s="840"/>
      <c r="E80" s="841"/>
      <c r="F80" s="843"/>
      <c r="G80" s="273" t="s">
        <v>1</v>
      </c>
      <c r="H80" s="274" t="s">
        <v>2</v>
      </c>
      <c r="I80" s="274" t="s">
        <v>3</v>
      </c>
      <c r="J80" s="274" t="s">
        <v>934</v>
      </c>
      <c r="K80" s="274" t="s">
        <v>5</v>
      </c>
      <c r="L80" s="275" t="s">
        <v>935</v>
      </c>
      <c r="M80" s="273" t="s">
        <v>1</v>
      </c>
      <c r="N80" s="273" t="s">
        <v>936</v>
      </c>
      <c r="O80" s="273" t="s">
        <v>937</v>
      </c>
      <c r="P80" s="273" t="s">
        <v>935</v>
      </c>
      <c r="Q80" s="276" t="s">
        <v>938</v>
      </c>
      <c r="R80" s="163"/>
    </row>
    <row r="81" spans="4:18">
      <c r="D81" s="836" t="s">
        <v>1085</v>
      </c>
      <c r="E81" s="837"/>
      <c r="F81" s="277">
        <f>작업!I133</f>
        <v>20584.23120047</v>
      </c>
      <c r="G81" s="278">
        <f>작업!J133</f>
        <v>132178.74</v>
      </c>
      <c r="H81" s="278">
        <f>작업!K133</f>
        <v>65109.61</v>
      </c>
      <c r="I81" s="278">
        <f>작업!L133</f>
        <v>87136.52</v>
      </c>
      <c r="J81" s="278">
        <f>작업!M133</f>
        <v>75537.34</v>
      </c>
      <c r="K81" s="278">
        <f>작업!N133</f>
        <v>24570.95</v>
      </c>
      <c r="L81" s="279">
        <f>작업!O133</f>
        <v>32637.75</v>
      </c>
      <c r="M81" s="278">
        <f>작업!P133</f>
        <v>141676.64000000001</v>
      </c>
      <c r="N81" s="278">
        <f>작업!Q133</f>
        <v>89778.420693220018</v>
      </c>
      <c r="O81" s="278">
        <f>작업!R133</f>
        <v>111036.96</v>
      </c>
      <c r="P81" s="278">
        <f>작업!S133</f>
        <v>92850.33</v>
      </c>
      <c r="Q81" s="280">
        <f>작업!T133</f>
        <v>122053.43</v>
      </c>
      <c r="R81" s="163"/>
    </row>
    <row r="82" spans="4:18" ht="27.75" thickBot="1">
      <c r="D82" s="281"/>
      <c r="E82" s="282" t="s">
        <v>1008</v>
      </c>
      <c r="F82" s="393">
        <f>작업!I135</f>
        <v>-9.5220699105769396E-3</v>
      </c>
      <c r="G82" s="394">
        <f>작업!J135</f>
        <v>2.4480734532871279E-2</v>
      </c>
      <c r="H82" s="394">
        <f>작업!K135</f>
        <v>1.1323756325276952E-2</v>
      </c>
      <c r="I82" s="394">
        <f>작업!L135</f>
        <v>-4.3416717339209036E-2</v>
      </c>
      <c r="J82" s="394">
        <f>작업!M135</f>
        <v>4.5627740647503585E-2</v>
      </c>
      <c r="K82" s="394">
        <f>작업!N135</f>
        <v>-8.0114545084250324E-2</v>
      </c>
      <c r="L82" s="395">
        <f>작업!O135</f>
        <v>8.4127302060880732E-2</v>
      </c>
      <c r="M82" s="394">
        <f>작업!P135</f>
        <v>6.6616176074466415E-3</v>
      </c>
      <c r="N82" s="394">
        <f>작업!Q135</f>
        <v>8.0953083948172563E-2</v>
      </c>
      <c r="O82" s="394">
        <f>작업!R135</f>
        <v>-7.5253696206674294E-3</v>
      </c>
      <c r="P82" s="394">
        <f>작업!S135</f>
        <v>5.2667303215402451E-2</v>
      </c>
      <c r="Q82" s="396">
        <f>작업!T135</f>
        <v>-2.1595423977486205E-3</v>
      </c>
      <c r="R82" s="163"/>
    </row>
    <row r="83" spans="4:18">
      <c r="D83" s="846" t="s">
        <v>1083</v>
      </c>
      <c r="E83" s="846"/>
      <c r="F83" s="366">
        <f>작업!I136</f>
        <v>5398.7811534300008</v>
      </c>
      <c r="G83" s="367">
        <f>작업!J136</f>
        <v>30594.720000000001</v>
      </c>
      <c r="H83" s="367">
        <f>작업!K136</f>
        <v>12781.34</v>
      </c>
      <c r="I83" s="367">
        <f>작업!L136</f>
        <v>20662.580000000002</v>
      </c>
      <c r="J83" s="367">
        <f>작업!M136</f>
        <v>16459.98</v>
      </c>
      <c r="K83" s="367">
        <f>작업!N136</f>
        <v>5291.32</v>
      </c>
      <c r="L83" s="368">
        <f>작업!O136</f>
        <v>5047.29</v>
      </c>
      <c r="M83" s="367">
        <f>작업!P136</f>
        <v>28983.67</v>
      </c>
      <c r="N83" s="367">
        <f>작업!Q136</f>
        <v>20375.612719799999</v>
      </c>
      <c r="O83" s="367">
        <f>작업!R136</f>
        <v>15881.72</v>
      </c>
      <c r="P83" s="367">
        <f>작업!S136</f>
        <v>17418.560000000001</v>
      </c>
      <c r="Q83" s="369">
        <f>작업!T136</f>
        <v>29326.93</v>
      </c>
      <c r="R83" s="163"/>
    </row>
    <row r="84" spans="4:18" ht="27">
      <c r="D84" s="370"/>
      <c r="E84" s="378" t="s">
        <v>1008</v>
      </c>
      <c r="F84" s="393">
        <f>(F83-F90)/F90</f>
        <v>0.36814818703006819</v>
      </c>
      <c r="G84" s="394">
        <f t="shared" ref="G84:Q84" si="20">(G83-G90)/G90</f>
        <v>-6.1685503667418665E-2</v>
      </c>
      <c r="H84" s="394">
        <f t="shared" si="20"/>
        <v>-6.8122032593353019E-2</v>
      </c>
      <c r="I84" s="394">
        <f t="shared" si="20"/>
        <v>-2.6766697156874419E-2</v>
      </c>
      <c r="J84" s="394">
        <f t="shared" si="20"/>
        <v>0.30151136807513668</v>
      </c>
      <c r="K84" s="394">
        <f t="shared" si="20"/>
        <v>-0.27711837546586232</v>
      </c>
      <c r="L84" s="395">
        <f t="shared" si="20"/>
        <v>6.832181670204108E-3</v>
      </c>
      <c r="M84" s="394">
        <f t="shared" si="20"/>
        <v>-0.16018159570211152</v>
      </c>
      <c r="N84" s="394">
        <f t="shared" si="20"/>
        <v>0.11471321596573669</v>
      </c>
      <c r="O84" s="394">
        <f t="shared" si="20"/>
        <v>0.15120715062870996</v>
      </c>
      <c r="P84" s="394">
        <f t="shared" si="20"/>
        <v>-9.856799155005809E-2</v>
      </c>
      <c r="Q84" s="396">
        <f t="shared" si="20"/>
        <v>-4.7220014827627228E-2</v>
      </c>
      <c r="R84" s="163"/>
    </row>
    <row r="85" spans="4:18" ht="17.25" thickBot="1">
      <c r="D85" s="371"/>
      <c r="E85" s="379" t="s">
        <v>1084</v>
      </c>
      <c r="F85" s="405">
        <f>+F83/F81</f>
        <v>0.26227752209209204</v>
      </c>
      <c r="G85" s="406">
        <f t="shared" ref="G85:Q85" si="21">+G83/G81</f>
        <v>0.23146475749428391</v>
      </c>
      <c r="H85" s="406">
        <f t="shared" si="21"/>
        <v>0.19630496942002879</v>
      </c>
      <c r="I85" s="406">
        <f t="shared" si="21"/>
        <v>0.23712881808913186</v>
      </c>
      <c r="J85" s="406">
        <f t="shared" si="21"/>
        <v>0.21790521085333425</v>
      </c>
      <c r="K85" s="406">
        <f t="shared" si="21"/>
        <v>0.21534861289449531</v>
      </c>
      <c r="L85" s="407">
        <f t="shared" si="21"/>
        <v>0.15464577061837903</v>
      </c>
      <c r="M85" s="406">
        <f t="shared" si="21"/>
        <v>0.20457620959955003</v>
      </c>
      <c r="N85" s="406">
        <f t="shared" si="21"/>
        <v>0.2269544570117254</v>
      </c>
      <c r="O85" s="406">
        <f t="shared" si="21"/>
        <v>0.1430309331235293</v>
      </c>
      <c r="P85" s="406">
        <f t="shared" si="21"/>
        <v>0.18759825624744683</v>
      </c>
      <c r="Q85" s="408">
        <f t="shared" si="21"/>
        <v>0.24027944155276915</v>
      </c>
      <c r="R85" s="163"/>
    </row>
    <row r="86" spans="4:18">
      <c r="D86" s="847" t="s">
        <v>1079</v>
      </c>
      <c r="E86" s="847"/>
      <c r="F86" s="372">
        <f>작업!I137</f>
        <v>2058.3148376500003</v>
      </c>
      <c r="G86" s="373">
        <f>작업!J137</f>
        <v>14795.99</v>
      </c>
      <c r="H86" s="373">
        <f>작업!K137</f>
        <v>5879.96</v>
      </c>
      <c r="I86" s="373">
        <f>작업!L137</f>
        <v>7872.9</v>
      </c>
      <c r="J86" s="373">
        <f>작업!M137</f>
        <v>7352.29</v>
      </c>
      <c r="K86" s="373">
        <f>작업!N137</f>
        <v>2467.5100000000002</v>
      </c>
      <c r="L86" s="374">
        <f>작업!O137</f>
        <v>2976.06</v>
      </c>
      <c r="M86" s="373">
        <f>작업!P137</f>
        <v>16207.81</v>
      </c>
      <c r="N86" s="373">
        <f>작업!Q137</f>
        <v>9639.0135596399996</v>
      </c>
      <c r="O86" s="373">
        <f>작업!R137</f>
        <v>11672.64</v>
      </c>
      <c r="P86" s="373">
        <f>작업!S137</f>
        <v>8534.36</v>
      </c>
      <c r="Q86" s="375">
        <f>작업!T137</f>
        <v>12850.78</v>
      </c>
      <c r="R86" s="163"/>
    </row>
    <row r="87" spans="4:18" ht="27">
      <c r="E87" s="376" t="s">
        <v>1008</v>
      </c>
      <c r="F87" s="397">
        <f>(F86-F91)/F91</f>
        <v>4.117781671902121E-2</v>
      </c>
      <c r="G87" s="398">
        <f t="shared" ref="G87:Q87" si="22">(G86-G91)/G91</f>
        <v>8.0361230514457024E-2</v>
      </c>
      <c r="H87" s="398">
        <f t="shared" si="22"/>
        <v>-2.1611224258882119E-2</v>
      </c>
      <c r="I87" s="398">
        <f t="shared" si="22"/>
        <v>-7.5861761343227946E-2</v>
      </c>
      <c r="J87" s="398">
        <f t="shared" si="22"/>
        <v>3.5200982733911094E-3</v>
      </c>
      <c r="K87" s="398">
        <f t="shared" si="22"/>
        <v>-5.0910237819583162E-2</v>
      </c>
      <c r="L87" s="399">
        <f t="shared" si="22"/>
        <v>1.5442882489422601E-2</v>
      </c>
      <c r="M87" s="398">
        <f t="shared" si="22"/>
        <v>5.2614343006069557E-3</v>
      </c>
      <c r="N87" s="398">
        <f t="shared" si="22"/>
        <v>1.3457651433638433E-2</v>
      </c>
      <c r="O87" s="398">
        <f t="shared" si="22"/>
        <v>1.4863915532339548E-2</v>
      </c>
      <c r="P87" s="398">
        <f t="shared" si="22"/>
        <v>1.882855178209893E-2</v>
      </c>
      <c r="Q87" s="400">
        <f t="shared" si="22"/>
        <v>-9.5799023975188802E-3</v>
      </c>
      <c r="R87" s="163"/>
    </row>
    <row r="88" spans="4:18" ht="17.25" customHeight="1" thickBot="1">
      <c r="E88" s="377" t="s">
        <v>1080</v>
      </c>
      <c r="F88" s="401">
        <f>+F83/F86</f>
        <v>2.6229131980576139</v>
      </c>
      <c r="G88" s="402">
        <v>2.3199999999999998</v>
      </c>
      <c r="H88" s="402">
        <v>2.34</v>
      </c>
      <c r="I88" s="402">
        <v>2.16</v>
      </c>
      <c r="J88" s="402">
        <v>1.7</v>
      </c>
      <c r="K88" s="402">
        <v>2.89</v>
      </c>
      <c r="L88" s="403">
        <v>1.73</v>
      </c>
      <c r="M88" s="402">
        <v>2.0499999999999998</v>
      </c>
      <c r="N88" s="402">
        <v>1.82</v>
      </c>
      <c r="O88" s="402">
        <v>1.23</v>
      </c>
      <c r="P88" s="402">
        <v>2.14</v>
      </c>
      <c r="Q88" s="404">
        <v>2.2000000000000002</v>
      </c>
      <c r="R88" s="163"/>
    </row>
    <row r="89" spans="4:18" ht="17.25" customHeight="1">
      <c r="E89" s="380"/>
      <c r="F89" s="381"/>
      <c r="G89" s="382"/>
      <c r="H89" s="382"/>
      <c r="I89" s="382"/>
      <c r="J89" s="382"/>
      <c r="K89" s="382"/>
      <c r="L89" s="383"/>
      <c r="M89" s="382"/>
      <c r="N89" s="382"/>
      <c r="O89" s="382"/>
      <c r="P89" s="382"/>
      <c r="Q89" s="384"/>
      <c r="R89" s="163"/>
    </row>
    <row r="90" spans="4:18" ht="17.25" customHeight="1">
      <c r="D90" s="380" t="s">
        <v>1081</v>
      </c>
      <c r="E90" t="s">
        <v>1082</v>
      </c>
      <c r="F90" s="385">
        <f>전기말!I36</f>
        <v>3946.05</v>
      </c>
      <c r="G90" s="386">
        <f>전기말!J36</f>
        <v>32606.04</v>
      </c>
      <c r="H90" s="386">
        <f>전기말!K36</f>
        <v>13715.68</v>
      </c>
      <c r="I90" s="386">
        <f>전기말!L36</f>
        <v>21230.86</v>
      </c>
      <c r="J90" s="386">
        <f>전기말!M36</f>
        <v>12646.82</v>
      </c>
      <c r="K90" s="386">
        <f>전기말!N36</f>
        <v>7319.76</v>
      </c>
      <c r="L90" s="387">
        <f>전기말!O36</f>
        <v>5013.04</v>
      </c>
      <c r="M90" s="386">
        <f>전기말!P36</f>
        <v>34511.83</v>
      </c>
      <c r="N90" s="386">
        <f>전기말!Q36</f>
        <v>18278.793529999999</v>
      </c>
      <c r="O90" s="386">
        <f>전기말!R36</f>
        <v>13795.71</v>
      </c>
      <c r="P90" s="386">
        <f>전기말!S36</f>
        <v>19323.21</v>
      </c>
      <c r="Q90" s="388">
        <f>전기말!T36</f>
        <v>30780.38</v>
      </c>
      <c r="R90" s="163"/>
    </row>
    <row r="91" spans="4:18" ht="17.25" customHeight="1">
      <c r="E91" s="380" t="s">
        <v>1077</v>
      </c>
      <c r="F91" s="385">
        <f>전기말!I37</f>
        <v>1976.91</v>
      </c>
      <c r="G91" s="386">
        <f>전기말!J37</f>
        <v>13695.41</v>
      </c>
      <c r="H91" s="386">
        <f>전기말!K37</f>
        <v>6009.84</v>
      </c>
      <c r="I91" s="386">
        <f>전기말!L37</f>
        <v>8519.18</v>
      </c>
      <c r="J91" s="386">
        <f>전기말!M37</f>
        <v>7326.5</v>
      </c>
      <c r="K91" s="386">
        <f>전기말!N37</f>
        <v>2599.87</v>
      </c>
      <c r="L91" s="387">
        <f>전기말!O37</f>
        <v>2930.8</v>
      </c>
      <c r="M91" s="386">
        <f>전기말!P37</f>
        <v>16122.98</v>
      </c>
      <c r="N91" s="386">
        <f>전기말!Q37</f>
        <v>9511.0175999999992</v>
      </c>
      <c r="O91" s="386">
        <f>전기말!R37</f>
        <v>11501.68</v>
      </c>
      <c r="P91" s="386">
        <f>전기말!S37</f>
        <v>8376.64</v>
      </c>
      <c r="Q91" s="388">
        <f>전기말!T37</f>
        <v>12975.08</v>
      </c>
      <c r="R91" s="163"/>
    </row>
    <row r="92" spans="4:18">
      <c r="F92" s="389" t="e">
        <f>#REF!/F81</f>
        <v>#REF!</v>
      </c>
      <c r="G92" s="390" t="e">
        <f>#REF!/G81</f>
        <v>#REF!</v>
      </c>
      <c r="H92" s="390" t="e">
        <f>#REF!/H81</f>
        <v>#REF!</v>
      </c>
      <c r="I92" s="390" t="e">
        <f>#REF!/I81</f>
        <v>#REF!</v>
      </c>
      <c r="J92" s="390" t="e">
        <f>#REF!/J81</f>
        <v>#REF!</v>
      </c>
      <c r="K92" s="390" t="e">
        <f>#REF!/K81</f>
        <v>#REF!</v>
      </c>
      <c r="L92" s="391" t="e">
        <f>#REF!/L81</f>
        <v>#REF!</v>
      </c>
      <c r="M92" s="390" t="e">
        <f>#REF!/M81</f>
        <v>#REF!</v>
      </c>
      <c r="N92" s="390" t="e">
        <f>#REF!/N81</f>
        <v>#REF!</v>
      </c>
      <c r="O92" s="390" t="e">
        <f>#REF!/O81</f>
        <v>#REF!</v>
      </c>
      <c r="P92" s="390" t="e">
        <f>#REF!/P81</f>
        <v>#REF!</v>
      </c>
      <c r="Q92" s="392" t="e">
        <f>#REF!/Q81</f>
        <v>#REF!</v>
      </c>
    </row>
    <row r="93" spans="4:18">
      <c r="F93" s="103" t="e">
        <f>#REF!/#REF!</f>
        <v>#REF!</v>
      </c>
      <c r="G93" s="103" t="e">
        <f>#REF!/#REF!</f>
        <v>#REF!</v>
      </c>
      <c r="H93" s="103" t="e">
        <f>#REF!/#REF!</f>
        <v>#REF!</v>
      </c>
      <c r="I93" s="103" t="e">
        <f>#REF!/#REF!</f>
        <v>#REF!</v>
      </c>
      <c r="J93" s="103" t="e">
        <f>#REF!/#REF!</f>
        <v>#REF!</v>
      </c>
      <c r="K93" s="103" t="e">
        <f>#REF!/#REF!</f>
        <v>#REF!</v>
      </c>
      <c r="L93" s="103" t="e">
        <f>#REF!/#REF!</f>
        <v>#REF!</v>
      </c>
      <c r="M93" s="103" t="e">
        <f>#REF!/#REF!</f>
        <v>#REF!</v>
      </c>
      <c r="N93" s="103" t="e">
        <f>#REF!/#REF!</f>
        <v>#REF!</v>
      </c>
      <c r="O93" s="103" t="e">
        <f>#REF!/#REF!</f>
        <v>#REF!</v>
      </c>
      <c r="P93" s="103" t="e">
        <f>#REF!/#REF!</f>
        <v>#REF!</v>
      </c>
      <c r="Q93" s="103" t="e">
        <f>#REF!/#REF!</f>
        <v>#REF!</v>
      </c>
    </row>
    <row r="94" spans="4:18" ht="17.25" thickBot="1"/>
    <row r="95" spans="4:18" ht="17.25" thickTop="1">
      <c r="D95" s="838" t="s">
        <v>930</v>
      </c>
      <c r="E95" s="839"/>
      <c r="F95" s="842" t="s">
        <v>931</v>
      </c>
      <c r="G95" s="844" t="s">
        <v>932</v>
      </c>
      <c r="H95" s="829"/>
      <c r="I95" s="829"/>
      <c r="J95" s="829"/>
      <c r="K95" s="829"/>
      <c r="L95" s="845"/>
      <c r="M95" s="828" t="s">
        <v>933</v>
      </c>
      <c r="N95" s="829"/>
      <c r="O95" s="829"/>
      <c r="P95" s="829"/>
      <c r="Q95" s="829"/>
      <c r="R95" s="829"/>
    </row>
    <row r="96" spans="4:18" ht="17.25" thickBot="1">
      <c r="D96" s="840"/>
      <c r="E96" s="841"/>
      <c r="F96" s="843"/>
      <c r="G96" s="273" t="s">
        <v>1</v>
      </c>
      <c r="H96" s="274" t="s">
        <v>2</v>
      </c>
      <c r="I96" s="274" t="s">
        <v>3</v>
      </c>
      <c r="J96" s="274" t="s">
        <v>934</v>
      </c>
      <c r="K96" s="274" t="s">
        <v>5</v>
      </c>
      <c r="L96" s="275" t="s">
        <v>935</v>
      </c>
      <c r="M96" s="273" t="s">
        <v>1</v>
      </c>
      <c r="N96" s="273" t="s">
        <v>936</v>
      </c>
      <c r="O96" s="273" t="s">
        <v>937</v>
      </c>
      <c r="P96" s="273" t="s">
        <v>935</v>
      </c>
      <c r="Q96" s="276" t="s">
        <v>938</v>
      </c>
      <c r="R96" s="163"/>
    </row>
    <row r="97" spans="4:18">
      <c r="D97" s="836" t="s">
        <v>1009</v>
      </c>
      <c r="E97" s="837"/>
      <c r="F97" s="290">
        <f>작업!I154</f>
        <v>5.0062889689894245E-2</v>
      </c>
      <c r="G97" s="291">
        <f>작업!J154</f>
        <v>3.9117562802144935E-2</v>
      </c>
      <c r="H97" s="291">
        <f>작업!K154</f>
        <v>0.10202680347700592</v>
      </c>
      <c r="I97" s="291">
        <f>작업!L154</f>
        <v>2.7463561060208107E-2</v>
      </c>
      <c r="J97" s="291">
        <f>작업!M154</f>
        <v>7.7572044738090068E-2</v>
      </c>
      <c r="K97" s="291">
        <f>작업!N154</f>
        <v>3.7123381945339193E-2</v>
      </c>
      <c r="L97" s="292">
        <f>작업!O154</f>
        <v>6.0734516510643419E-2</v>
      </c>
      <c r="M97" s="291">
        <f>작업!P154</f>
        <v>9.4137420432397853E-2</v>
      </c>
      <c r="N97" s="291">
        <f>작업!Q154</f>
        <v>0.11438736036484801</v>
      </c>
      <c r="O97" s="291">
        <f>작업!R154</f>
        <v>0.28997163979926222</v>
      </c>
      <c r="P97" s="291">
        <f>작업!S154</f>
        <v>0.13497475952970858</v>
      </c>
      <c r="Q97" s="293">
        <f>작업!T154</f>
        <v>0.16801361728212622</v>
      </c>
      <c r="R97" s="163"/>
    </row>
    <row r="98" spans="4:18" ht="17.25" thickBot="1">
      <c r="D98" s="287"/>
      <c r="E98" s="288" t="s">
        <v>1010</v>
      </c>
      <c r="F98" s="283">
        <v>5.7000000000000002E-2</v>
      </c>
      <c r="G98" s="284">
        <v>7.0000000000000007E-2</v>
      </c>
      <c r="H98" s="284">
        <v>0.13500000000000001</v>
      </c>
      <c r="I98" s="284">
        <v>6.4000000000000001E-2</v>
      </c>
      <c r="J98" s="284">
        <v>7.8E-2</v>
      </c>
      <c r="K98" s="284">
        <v>0.128</v>
      </c>
      <c r="L98" s="285">
        <v>8.1000000000000003E-2</v>
      </c>
      <c r="M98" s="284">
        <v>0.17100000000000001</v>
      </c>
      <c r="N98" s="284">
        <v>0.32</v>
      </c>
      <c r="O98" s="284">
        <v>0.38100000000000001</v>
      </c>
      <c r="P98" s="284">
        <v>0.19500000000000001</v>
      </c>
      <c r="Q98" s="286">
        <v>0.27300000000000002</v>
      </c>
      <c r="R98" s="163"/>
    </row>
    <row r="99" spans="4:18" ht="17.25" thickBot="1">
      <c r="D99" s="287"/>
      <c r="E99" s="289" t="s">
        <v>1012</v>
      </c>
      <c r="F99" s="283" t="e">
        <f>'2406'!I110</f>
        <v>#N/A</v>
      </c>
      <c r="G99" s="284" t="e">
        <f>'2406'!J110</f>
        <v>#N/A</v>
      </c>
      <c r="H99" s="284" t="e">
        <f>'2406'!K110</f>
        <v>#N/A</v>
      </c>
      <c r="I99" s="284" t="e">
        <f>'2406'!L110</f>
        <v>#N/A</v>
      </c>
      <c r="J99" s="284" t="e">
        <f>'2406'!M110</f>
        <v>#N/A</v>
      </c>
      <c r="K99" s="284" t="e">
        <f>'2406'!N110</f>
        <v>#N/A</v>
      </c>
      <c r="L99" s="285" t="e">
        <f>'2406'!O110</f>
        <v>#N/A</v>
      </c>
      <c r="M99" s="284" t="e">
        <f>'2406'!P110</f>
        <v>#N/A</v>
      </c>
      <c r="N99" s="284" t="e">
        <f>'2406'!Q110</f>
        <v>#N/A</v>
      </c>
      <c r="O99" s="284" t="e">
        <f>'2406'!R110</f>
        <v>#N/A</v>
      </c>
      <c r="P99" s="284" t="e">
        <f>'2406'!S110</f>
        <v>#N/A</v>
      </c>
      <c r="Q99" s="286" t="e">
        <f>'2406'!T110</f>
        <v>#N/A</v>
      </c>
      <c r="R99" s="163"/>
    </row>
    <row r="100" spans="4:18" ht="17.25" thickBot="1">
      <c r="D100" s="848" t="s">
        <v>1011</v>
      </c>
      <c r="E100" s="849"/>
      <c r="F100" s="283">
        <f>작업!I157</f>
        <v>0.75565891459795553</v>
      </c>
      <c r="G100" s="284">
        <f>작업!J157</f>
        <v>0.30620498699767745</v>
      </c>
      <c r="H100" s="284">
        <f>작업!K157</f>
        <v>0.5835640595665893</v>
      </c>
      <c r="I100" s="284">
        <f>작업!L157</f>
        <v>0.46102797726208516</v>
      </c>
      <c r="J100" s="284">
        <f>작업!M157</f>
        <v>1.2121757829111537</v>
      </c>
      <c r="K100" s="284">
        <f>작업!N157</f>
        <v>0.83731659573661832</v>
      </c>
      <c r="L100" s="285">
        <f>작업!O157</f>
        <v>1.1638438120908814</v>
      </c>
      <c r="M100" s="284">
        <f>작업!P157</f>
        <v>0.97774176874147278</v>
      </c>
      <c r="N100" s="284">
        <f>작업!Q157</f>
        <v>0.94077149999045406</v>
      </c>
      <c r="O100" s="284">
        <f>작업!R157</f>
        <v>1.5439294006717446</v>
      </c>
      <c r="P100" s="284">
        <f>작업!S157</f>
        <v>1.1221910515679583</v>
      </c>
      <c r="Q100" s="286">
        <f>작업!T157</f>
        <v>0.95062675307528832</v>
      </c>
      <c r="R100" s="163"/>
    </row>
    <row r="101" spans="4:18">
      <c r="D101" t="s">
        <v>1086</v>
      </c>
      <c r="F101" s="283">
        <f>작업!I19/(작업!I102*150%)</f>
        <v>0.77519318354408928</v>
      </c>
      <c r="G101" s="284">
        <f>작업!J19/(작업!J102*150%)</f>
        <v>1.1326906346453289</v>
      </c>
      <c r="H101" s="284">
        <f>작업!K19/(작업!K102*150%)</f>
        <v>0.42326754663705907</v>
      </c>
      <c r="I101" s="284">
        <f>작업!L19/(작업!L102*150%)</f>
        <v>0.43104433271608983</v>
      </c>
      <c r="J101" s="284">
        <f>작업!M19/(작업!M102*150%)</f>
        <v>0.86774368067869689</v>
      </c>
      <c r="K101" s="284">
        <f>작업!N19/(작업!N102*150%)</f>
        <v>0.45304046401198833</v>
      </c>
      <c r="L101" s="285">
        <f>작업!O19/(작업!O102*150%)</f>
        <v>1.2883575109669707</v>
      </c>
      <c r="M101" s="284">
        <f>작업!P19/(작업!P102*150%)</f>
        <v>1.2337593185208244</v>
      </c>
      <c r="N101" s="284">
        <f>작업!Q19/(작업!Q102*150%)</f>
        <v>0.44350075305159004</v>
      </c>
      <c r="O101" s="284">
        <f>작업!R19/(작업!R102*150%)</f>
        <v>0.68389162123796976</v>
      </c>
      <c r="P101" s="284">
        <f>작업!S19/(작업!S102*150%)</f>
        <v>0.59885462872532669</v>
      </c>
      <c r="Q101" s="286">
        <f>작업!T19/(작업!T102*150%)</f>
        <v>0.60682959927954516</v>
      </c>
    </row>
  </sheetData>
  <mergeCells count="36">
    <mergeCell ref="D83:E83"/>
    <mergeCell ref="D86:E86"/>
    <mergeCell ref="M95:R95"/>
    <mergeCell ref="D97:E97"/>
    <mergeCell ref="D100:E100"/>
    <mergeCell ref="D95:E96"/>
    <mergeCell ref="F95:F96"/>
    <mergeCell ref="G95:L95"/>
    <mergeCell ref="D13:F13"/>
    <mergeCell ref="E74:F74"/>
    <mergeCell ref="D65:F66"/>
    <mergeCell ref="G65:G66"/>
    <mergeCell ref="D81:E81"/>
    <mergeCell ref="D79:E80"/>
    <mergeCell ref="F79:F80"/>
    <mergeCell ref="G79:L79"/>
    <mergeCell ref="M79:R79"/>
    <mergeCell ref="D17:F17"/>
    <mergeCell ref="D21:F21"/>
    <mergeCell ref="E70:F70"/>
    <mergeCell ref="H65:M65"/>
    <mergeCell ref="D67:F67"/>
    <mergeCell ref="E69:F69"/>
    <mergeCell ref="X5:AC5"/>
    <mergeCell ref="U7:V7"/>
    <mergeCell ref="U13:V13"/>
    <mergeCell ref="N65:R65"/>
    <mergeCell ref="U17:V17"/>
    <mergeCell ref="U21:V21"/>
    <mergeCell ref="N5:S5"/>
    <mergeCell ref="U5:V6"/>
    <mergeCell ref="D5:F6"/>
    <mergeCell ref="G5:G6"/>
    <mergeCell ref="H5:M5"/>
    <mergeCell ref="D7:F7"/>
    <mergeCell ref="W5:W6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G5"/>
  <sheetViews>
    <sheetView workbookViewId="0">
      <selection activeCell="K38" sqref="K38"/>
    </sheetView>
  </sheetViews>
  <sheetFormatPr defaultRowHeight="16.5"/>
  <cols>
    <col min="4" max="4" width="13" bestFit="1" customWidth="1"/>
    <col min="5" max="7" width="17.875" bestFit="1" customWidth="1"/>
    <col min="8" max="8" width="16.125" customWidth="1"/>
    <col min="12" max="12" width="13" bestFit="1" customWidth="1"/>
    <col min="13" max="13" width="11.875" bestFit="1" customWidth="1"/>
    <col min="14" max="19" width="10.875" bestFit="1" customWidth="1"/>
    <col min="20" max="20" width="13.5" bestFit="1" customWidth="1"/>
    <col min="24" max="25" width="10.875" bestFit="1" customWidth="1"/>
    <col min="32" max="32" width="9.375" bestFit="1" customWidth="1"/>
    <col min="33" max="34" width="10.875" bestFit="1" customWidth="1"/>
    <col min="35" max="35" width="9.375" bestFit="1" customWidth="1"/>
    <col min="36" max="36" width="10.875" bestFit="1" customWidth="1"/>
    <col min="37" max="37" width="14.625" bestFit="1" customWidth="1"/>
    <col min="40" max="40" width="16.75" bestFit="1" customWidth="1"/>
    <col min="41" max="41" width="9.375" bestFit="1" customWidth="1"/>
    <col min="43" max="44" width="9.375" bestFit="1" customWidth="1"/>
    <col min="55" max="55" width="10.875" bestFit="1" customWidth="1"/>
    <col min="56" max="56" width="9.375" bestFit="1" customWidth="1"/>
    <col min="58" max="58" width="10.875" bestFit="1" customWidth="1"/>
    <col min="59" max="59" width="9.375" bestFit="1" customWidth="1"/>
    <col min="63" max="63" width="10.875" bestFit="1" customWidth="1"/>
    <col min="65" max="65" width="10.875" bestFit="1" customWidth="1"/>
    <col min="66" max="66" width="9.375" bestFit="1" customWidth="1"/>
    <col min="68" max="68" width="9.375" bestFit="1" customWidth="1"/>
    <col min="71" max="71" width="10.875" bestFit="1" customWidth="1"/>
  </cols>
  <sheetData>
    <row r="2" spans="2:137" s="5" customFormat="1" ht="27.75" customHeight="1">
      <c r="D2" s="853" t="s">
        <v>12</v>
      </c>
      <c r="E2" s="853"/>
      <c r="F2" s="853"/>
      <c r="G2" s="853"/>
      <c r="H2" s="853"/>
      <c r="I2" s="853"/>
      <c r="J2" s="853"/>
      <c r="K2" s="853"/>
      <c r="L2" s="853"/>
      <c r="M2" s="853"/>
      <c r="N2" s="853"/>
      <c r="O2" s="853"/>
      <c r="P2" s="853"/>
      <c r="Q2" s="853"/>
      <c r="R2" s="853"/>
      <c r="S2" s="853"/>
      <c r="T2" s="853"/>
      <c r="U2" s="424"/>
      <c r="V2" s="424"/>
      <c r="W2" s="424"/>
      <c r="X2" s="422"/>
      <c r="Y2" s="422"/>
      <c r="Z2" s="422"/>
      <c r="AA2" s="422"/>
      <c r="AB2" s="422"/>
      <c r="AC2" s="422"/>
      <c r="AD2" s="422"/>
      <c r="AE2" s="422"/>
      <c r="AF2" s="854" t="s">
        <v>31</v>
      </c>
      <c r="AG2" s="854"/>
      <c r="AH2" s="854"/>
      <c r="AI2" s="854"/>
      <c r="AJ2" s="854"/>
      <c r="AK2" s="854"/>
      <c r="AL2" s="854"/>
      <c r="AM2" s="854"/>
      <c r="AN2" s="854"/>
      <c r="AO2" s="854"/>
      <c r="AP2" s="854"/>
      <c r="AQ2" s="854"/>
      <c r="AR2" s="854"/>
      <c r="AS2" s="1"/>
      <c r="AT2" s="1"/>
      <c r="AU2" s="1"/>
      <c r="AV2" s="1"/>
      <c r="AW2" s="1"/>
      <c r="AX2" s="1"/>
      <c r="AY2" s="1"/>
      <c r="AZ2" s="1"/>
      <c r="BA2" s="1"/>
      <c r="BB2" s="2"/>
      <c r="BC2" s="850" t="s">
        <v>37</v>
      </c>
      <c r="BD2" s="850"/>
      <c r="BE2" s="850"/>
      <c r="BF2" s="850"/>
      <c r="BG2" s="850"/>
      <c r="BH2" s="850"/>
      <c r="BI2" s="850"/>
      <c r="BJ2" s="850"/>
      <c r="BK2" s="850"/>
      <c r="BM2" s="855" t="s">
        <v>38</v>
      </c>
      <c r="BN2" s="855"/>
      <c r="BO2" s="855"/>
      <c r="BP2" s="855"/>
      <c r="BQ2" s="855"/>
      <c r="BR2" s="855"/>
      <c r="BS2" s="855"/>
      <c r="BT2" s="1"/>
      <c r="BU2" s="850" t="s">
        <v>1023</v>
      </c>
      <c r="BV2" s="850"/>
      <c r="BW2" s="850"/>
      <c r="BX2" s="850"/>
      <c r="BY2" s="850"/>
      <c r="BZ2" s="850"/>
      <c r="CA2" s="850"/>
      <c r="CB2" s="850"/>
      <c r="CC2" s="850"/>
      <c r="CD2" s="1"/>
      <c r="CE2" s="850" t="s">
        <v>61</v>
      </c>
      <c r="CF2" s="850"/>
      <c r="CG2" s="850"/>
      <c r="CH2" s="850"/>
      <c r="CI2" s="850"/>
      <c r="CJ2" s="850"/>
      <c r="CK2" s="1"/>
      <c r="CL2" s="1"/>
      <c r="CM2" s="1"/>
      <c r="CN2" s="850" t="s">
        <v>80</v>
      </c>
      <c r="CO2" s="850"/>
      <c r="CP2" s="850"/>
      <c r="CQ2" s="851" t="s">
        <v>97</v>
      </c>
      <c r="CR2" s="851"/>
      <c r="CS2" s="851"/>
      <c r="CU2" s="5" t="s">
        <v>1024</v>
      </c>
      <c r="CW2" s="852" t="s">
        <v>63</v>
      </c>
      <c r="CX2" s="852"/>
      <c r="CY2" s="852"/>
      <c r="DC2" s="852" t="s">
        <v>63</v>
      </c>
      <c r="DD2" s="852"/>
      <c r="DE2" s="852"/>
      <c r="DF2" s="1"/>
      <c r="DG2" s="850" t="s">
        <v>64</v>
      </c>
      <c r="DH2" s="850"/>
      <c r="DI2" s="850"/>
      <c r="DJ2" s="850"/>
      <c r="DK2" s="850"/>
      <c r="DL2" s="850"/>
      <c r="DM2" s="850"/>
      <c r="DN2" s="850"/>
      <c r="DO2" s="850"/>
      <c r="DP2" s="850"/>
      <c r="DQ2" s="850"/>
      <c r="DR2" s="1"/>
      <c r="DS2" s="1"/>
      <c r="DT2" s="1"/>
      <c r="DU2" s="1"/>
      <c r="DV2" s="1"/>
      <c r="DW2" s="1"/>
      <c r="DY2" s="1"/>
      <c r="DZ2" s="1"/>
      <c r="EA2" s="1"/>
      <c r="EB2" s="1"/>
      <c r="EC2" s="1"/>
      <c r="ED2" s="1"/>
      <c r="EE2" s="1"/>
    </row>
    <row r="3" spans="2:137" s="5" customFormat="1" ht="27.75" customHeight="1">
      <c r="D3" s="1" t="s">
        <v>13</v>
      </c>
      <c r="E3" s="1"/>
      <c r="F3" s="1"/>
      <c r="G3" s="1"/>
      <c r="H3" s="1"/>
      <c r="I3" s="11" t="s">
        <v>17</v>
      </c>
      <c r="J3" s="11"/>
      <c r="K3" s="11"/>
      <c r="L3" s="1" t="s">
        <v>18</v>
      </c>
      <c r="M3" s="1"/>
      <c r="N3" s="3" t="s">
        <v>1091</v>
      </c>
      <c r="O3" s="3" t="s">
        <v>1089</v>
      </c>
      <c r="P3" s="3"/>
      <c r="Q3" s="3"/>
      <c r="R3" s="3"/>
      <c r="S3" s="3" t="s">
        <v>1092</v>
      </c>
      <c r="T3" s="3" t="s">
        <v>1093</v>
      </c>
      <c r="U3" s="423" t="s">
        <v>1038</v>
      </c>
      <c r="V3" s="423"/>
      <c r="W3" s="423"/>
      <c r="X3" s="3" t="s">
        <v>1014</v>
      </c>
      <c r="Y3" s="3"/>
      <c r="Z3" s="3"/>
      <c r="AA3" s="3"/>
      <c r="AB3" s="3"/>
      <c r="AC3" s="3"/>
      <c r="AD3" s="3"/>
      <c r="AE3" s="3"/>
      <c r="AF3" s="1" t="s">
        <v>22</v>
      </c>
      <c r="AG3" s="1"/>
      <c r="AH3" s="1"/>
      <c r="AI3" s="1" t="s">
        <v>23</v>
      </c>
      <c r="AJ3" s="1"/>
      <c r="AK3" s="1"/>
      <c r="AL3" s="1"/>
      <c r="AM3" s="1"/>
      <c r="AN3" s="14" t="s">
        <v>99</v>
      </c>
      <c r="AO3" s="1" t="s">
        <v>24</v>
      </c>
      <c r="AP3" s="1" t="s">
        <v>25</v>
      </c>
      <c r="AQ3" s="3" t="s">
        <v>26</v>
      </c>
      <c r="AR3" s="3" t="s">
        <v>27</v>
      </c>
      <c r="AS3" s="1" t="s">
        <v>91</v>
      </c>
      <c r="AT3" s="1" t="s">
        <v>92</v>
      </c>
      <c r="AU3" s="1" t="s">
        <v>93</v>
      </c>
      <c r="AV3" s="12" t="s">
        <v>32</v>
      </c>
      <c r="AW3" s="12" t="s">
        <v>33</v>
      </c>
      <c r="AX3" s="12" t="s">
        <v>34</v>
      </c>
      <c r="AY3" s="12" t="s">
        <v>35</v>
      </c>
      <c r="AZ3" s="1"/>
      <c r="BA3" s="1"/>
      <c r="BB3" s="1"/>
      <c r="BC3" s="2" t="s">
        <v>39</v>
      </c>
      <c r="BD3" s="2"/>
      <c r="BE3" s="2"/>
      <c r="BF3" s="2"/>
      <c r="BG3" s="2"/>
      <c r="BH3" s="2"/>
      <c r="BI3" s="2"/>
      <c r="BJ3" s="2" t="s">
        <v>907</v>
      </c>
      <c r="BK3" s="2" t="s">
        <v>40</v>
      </c>
      <c r="BL3" s="4" t="s">
        <v>41</v>
      </c>
      <c r="BM3" s="2" t="s">
        <v>39</v>
      </c>
      <c r="BN3" s="2"/>
      <c r="BO3" s="2"/>
      <c r="BP3" s="2"/>
      <c r="BQ3" s="15" t="s">
        <v>876</v>
      </c>
      <c r="BR3" s="15" t="s">
        <v>878</v>
      </c>
      <c r="BS3" s="2" t="s">
        <v>40</v>
      </c>
      <c r="BT3" s="1"/>
      <c r="BU3" s="3" t="s">
        <v>51</v>
      </c>
      <c r="BV3" s="3" t="s">
        <v>52</v>
      </c>
      <c r="BW3" s="3" t="s">
        <v>53</v>
      </c>
      <c r="BX3" s="419"/>
      <c r="BY3" s="419"/>
      <c r="BZ3" s="419"/>
      <c r="CA3" s="419"/>
      <c r="CB3" s="419"/>
      <c r="CC3" s="1" t="s">
        <v>54</v>
      </c>
      <c r="CD3" s="1"/>
      <c r="CE3" s="9" t="s">
        <v>55</v>
      </c>
      <c r="CF3" s="9" t="s">
        <v>56</v>
      </c>
      <c r="CG3" s="9" t="s">
        <v>57</v>
      </c>
      <c r="CH3" s="9" t="s">
        <v>58</v>
      </c>
      <c r="CI3" s="9" t="s">
        <v>59</v>
      </c>
      <c r="CJ3" s="9" t="s">
        <v>60</v>
      </c>
      <c r="CK3" s="13" t="s">
        <v>41</v>
      </c>
      <c r="CL3" s="1"/>
      <c r="CM3" s="1"/>
      <c r="CN3" s="2" t="s">
        <v>65</v>
      </c>
      <c r="CO3" s="2" t="s">
        <v>66</v>
      </c>
      <c r="CP3" s="2" t="s">
        <v>67</v>
      </c>
      <c r="CQ3" s="2" t="s">
        <v>65</v>
      </c>
      <c r="CR3" s="2" t="s">
        <v>66</v>
      </c>
      <c r="CS3" s="2" t="s">
        <v>67</v>
      </c>
      <c r="CW3" s="5" t="s">
        <v>1028</v>
      </c>
      <c r="CX3" s="5" t="s">
        <v>1029</v>
      </c>
      <c r="CY3" s="5" t="s">
        <v>1027</v>
      </c>
      <c r="CZ3" s="5" t="s">
        <v>1031</v>
      </c>
      <c r="DC3" s="8" t="s">
        <v>98</v>
      </c>
      <c r="DD3" s="1" t="s">
        <v>68</v>
      </c>
      <c r="DE3" s="1" t="s">
        <v>69</v>
      </c>
      <c r="DF3" s="1"/>
      <c r="DG3" s="1" t="s">
        <v>64</v>
      </c>
      <c r="DH3" s="3" t="s">
        <v>70</v>
      </c>
      <c r="DI3" s="1"/>
      <c r="DJ3" s="1"/>
      <c r="DK3" s="3" t="s">
        <v>71</v>
      </c>
      <c r="DL3" s="1"/>
      <c r="DM3" s="1"/>
      <c r="DN3" s="1"/>
      <c r="DO3" s="1"/>
      <c r="DP3" s="1"/>
      <c r="DQ3" s="1"/>
      <c r="DR3" s="1"/>
      <c r="DS3" s="1"/>
      <c r="DT3" s="1" t="s">
        <v>889</v>
      </c>
      <c r="DU3" s="1"/>
      <c r="DV3" s="1"/>
      <c r="DW3" s="1"/>
      <c r="DY3" s="1" t="s">
        <v>895</v>
      </c>
      <c r="DZ3" s="1"/>
      <c r="EA3" s="1"/>
      <c r="EB3" s="1"/>
      <c r="EC3" s="1"/>
      <c r="ED3" s="1" t="s">
        <v>900</v>
      </c>
      <c r="EE3" s="1"/>
    </row>
    <row r="4" spans="2:137" s="5" customFormat="1" ht="27.75" customHeight="1">
      <c r="B4" s="5" t="s">
        <v>84</v>
      </c>
      <c r="C4" s="5" t="s">
        <v>85</v>
      </c>
      <c r="D4" s="1"/>
      <c r="E4" s="1" t="s">
        <v>14</v>
      </c>
      <c r="F4" s="1" t="s">
        <v>15</v>
      </c>
      <c r="G4" s="1" t="s">
        <v>16</v>
      </c>
      <c r="H4" s="10" t="s">
        <v>86</v>
      </c>
      <c r="I4" s="11" t="s">
        <v>14</v>
      </c>
      <c r="J4" s="11" t="s">
        <v>15</v>
      </c>
      <c r="K4" s="11" t="s">
        <v>16</v>
      </c>
      <c r="L4" s="1"/>
      <c r="M4" s="1" t="s">
        <v>19</v>
      </c>
      <c r="N4" s="3"/>
      <c r="O4" s="3"/>
      <c r="P4" s="3" t="s">
        <v>1090</v>
      </c>
      <c r="Q4" s="3" t="s">
        <v>20</v>
      </c>
      <c r="R4" s="3" t="s">
        <v>21</v>
      </c>
      <c r="S4" s="3"/>
      <c r="T4" s="3"/>
      <c r="U4" s="423" t="s">
        <v>13</v>
      </c>
      <c r="V4" s="423" t="s">
        <v>1040</v>
      </c>
      <c r="W4" s="423" t="s">
        <v>1038</v>
      </c>
      <c r="X4" s="3" t="s">
        <v>35</v>
      </c>
      <c r="Y4" s="3" t="s">
        <v>1016</v>
      </c>
      <c r="Z4" s="3" t="s">
        <v>1017</v>
      </c>
      <c r="AA4" s="3" t="s">
        <v>1018</v>
      </c>
      <c r="AB4" s="3" t="s">
        <v>1019</v>
      </c>
      <c r="AC4" s="3" t="s">
        <v>1020</v>
      </c>
      <c r="AD4" s="3" t="s">
        <v>47</v>
      </c>
      <c r="AE4" s="3" t="s">
        <v>331</v>
      </c>
      <c r="AF4" s="1"/>
      <c r="AG4" s="10" t="s">
        <v>87</v>
      </c>
      <c r="AH4" s="10" t="s">
        <v>88</v>
      </c>
      <c r="AI4" s="1"/>
      <c r="AJ4" s="10" t="s">
        <v>89</v>
      </c>
      <c r="AK4" s="10" t="s">
        <v>90</v>
      </c>
      <c r="AL4" s="1" t="s">
        <v>28</v>
      </c>
      <c r="AM4" s="1" t="s">
        <v>29</v>
      </c>
      <c r="AN4" s="1" t="s">
        <v>30</v>
      </c>
      <c r="AO4" s="1"/>
      <c r="AP4" s="1"/>
      <c r="AQ4" s="3"/>
      <c r="AR4" s="3"/>
      <c r="AS4" s="1"/>
      <c r="AT4" s="1"/>
      <c r="AU4" s="1"/>
      <c r="AV4" s="11"/>
      <c r="AW4" s="11"/>
      <c r="AX4" s="11"/>
      <c r="AY4" s="11"/>
      <c r="AZ4" s="1"/>
      <c r="BA4" s="1"/>
      <c r="BB4" s="1"/>
      <c r="BC4" s="2"/>
      <c r="BD4" s="2" t="s">
        <v>42</v>
      </c>
      <c r="BE4" s="2" t="s">
        <v>43</v>
      </c>
      <c r="BF4" s="2" t="s">
        <v>44</v>
      </c>
      <c r="BG4" s="2" t="s">
        <v>45</v>
      </c>
      <c r="BH4" s="2" t="s">
        <v>46</v>
      </c>
      <c r="BI4" s="2" t="s">
        <v>47</v>
      </c>
      <c r="BJ4" s="2" t="s">
        <v>48</v>
      </c>
      <c r="BK4" s="2"/>
      <c r="BL4" s="2"/>
      <c r="BM4" s="2"/>
      <c r="BN4" s="2" t="s">
        <v>100</v>
      </c>
      <c r="BO4" s="2" t="s">
        <v>49</v>
      </c>
      <c r="BP4" s="2" t="s">
        <v>50</v>
      </c>
      <c r="BQ4" s="2" t="s">
        <v>48</v>
      </c>
      <c r="BR4" s="2" t="s">
        <v>877</v>
      </c>
      <c r="BS4" s="2"/>
      <c r="BT4" s="1" t="s">
        <v>1094</v>
      </c>
      <c r="BU4" s="419"/>
      <c r="BV4" s="419"/>
      <c r="BW4" s="419"/>
      <c r="BX4" s="3" t="s">
        <v>94</v>
      </c>
      <c r="BY4" s="3" t="s">
        <v>95</v>
      </c>
      <c r="BZ4" s="3" t="s">
        <v>886</v>
      </c>
      <c r="CA4" s="420" t="s">
        <v>887</v>
      </c>
      <c r="CB4" s="3" t="s">
        <v>96</v>
      </c>
      <c r="CD4" s="1"/>
      <c r="CE4" s="1"/>
      <c r="CF4" s="1" t="s">
        <v>905</v>
      </c>
      <c r="CG4" s="1" t="s">
        <v>906</v>
      </c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W4" s="5" t="s">
        <v>1025</v>
      </c>
      <c r="CX4" s="5" t="s">
        <v>1026</v>
      </c>
      <c r="CY4" s="5" t="s">
        <v>1030</v>
      </c>
      <c r="DC4" s="8"/>
      <c r="DD4" s="1"/>
      <c r="DE4" s="1"/>
      <c r="DF4" s="1"/>
      <c r="DG4" s="1"/>
      <c r="DH4" s="3"/>
      <c r="DI4" s="1" t="s">
        <v>72</v>
      </c>
      <c r="DJ4" s="1" t="s">
        <v>73</v>
      </c>
      <c r="DK4" s="3"/>
      <c r="DL4" s="1" t="s">
        <v>74</v>
      </c>
      <c r="DM4" s="1" t="s">
        <v>75</v>
      </c>
      <c r="DN4" s="1" t="s">
        <v>76</v>
      </c>
      <c r="DO4" s="1" t="s">
        <v>77</v>
      </c>
      <c r="DP4" s="1" t="s">
        <v>78</v>
      </c>
      <c r="DQ4" s="1" t="s">
        <v>79</v>
      </c>
      <c r="DR4" s="1"/>
      <c r="DS4" s="1"/>
      <c r="DT4" s="1" t="s">
        <v>890</v>
      </c>
      <c r="DU4" s="1" t="s">
        <v>891</v>
      </c>
      <c r="DV4" s="1" t="s">
        <v>892</v>
      </c>
      <c r="DW4" s="1" t="s">
        <v>893</v>
      </c>
      <c r="DX4" s="5" t="s">
        <v>35</v>
      </c>
      <c r="DY4" s="1" t="s">
        <v>896</v>
      </c>
      <c r="DZ4" s="1" t="s">
        <v>897</v>
      </c>
      <c r="EA4" s="1" t="s">
        <v>898</v>
      </c>
      <c r="EB4" s="1" t="s">
        <v>899</v>
      </c>
      <c r="EC4" s="1"/>
      <c r="ED4" s="1" t="s">
        <v>901</v>
      </c>
      <c r="EE4" s="1" t="s">
        <v>902</v>
      </c>
      <c r="EF4" s="5" t="s">
        <v>135</v>
      </c>
      <c r="EG4" s="5" t="s">
        <v>904</v>
      </c>
    </row>
    <row r="5" spans="2:137" s="103" customFormat="1">
      <c r="C5" s="103" t="s">
        <v>1037</v>
      </c>
      <c r="D5" s="103">
        <v>127213347.303222</v>
      </c>
      <c r="E5" s="103">
        <v>33587374.996019997</v>
      </c>
      <c r="F5" s="103">
        <v>61044087.170703001</v>
      </c>
      <c r="G5" s="103">
        <v>21428384.401340999</v>
      </c>
      <c r="H5" s="103">
        <v>3302882.8335910002</v>
      </c>
      <c r="L5" s="103">
        <v>120412433.540692</v>
      </c>
      <c r="M5" s="103">
        <v>99364709.846057996</v>
      </c>
      <c r="N5" s="103">
        <f>+O5-P5</f>
        <v>4595187.5543169994</v>
      </c>
      <c r="O5" s="103">
        <v>6800913.7625299999</v>
      </c>
      <c r="P5" s="103">
        <v>2205726.2082130001</v>
      </c>
      <c r="Q5" s="103">
        <v>-3117696.4798420002</v>
      </c>
      <c r="R5" s="103">
        <v>7441652.4860490002</v>
      </c>
      <c r="S5" s="103">
        <v>7305017.7185770003</v>
      </c>
      <c r="T5" s="442">
        <v>5099291.5103639998</v>
      </c>
      <c r="X5" s="103">
        <v>-3117696.4798420002</v>
      </c>
      <c r="AF5" s="103">
        <v>253601.557184</v>
      </c>
      <c r="AG5" s="103">
        <v>2150383.3163919998</v>
      </c>
      <c r="AH5" s="103">
        <v>1896781.759208</v>
      </c>
      <c r="AI5" s="103">
        <v>496917.77796099999</v>
      </c>
      <c r="AJ5" s="103">
        <v>-2588369.4986649998</v>
      </c>
      <c r="AK5" s="103">
        <v>-1527.4034320000001</v>
      </c>
      <c r="AM5" s="103">
        <v>33009.466963999999</v>
      </c>
      <c r="AN5" s="103">
        <v>470524.09653699998</v>
      </c>
      <c r="AO5" s="103">
        <v>750519.33514500002</v>
      </c>
      <c r="AP5" s="103">
        <v>15386.836192999999</v>
      </c>
      <c r="AQ5" s="103">
        <v>765906.17133799999</v>
      </c>
      <c r="AR5" s="103">
        <v>585307.48647400003</v>
      </c>
      <c r="BC5" s="103">
        <v>-2205732.2095380002</v>
      </c>
      <c r="BD5" s="103">
        <v>315068.63715700002</v>
      </c>
      <c r="BE5" s="103">
        <v>344.04566599999998</v>
      </c>
      <c r="BF5" s="103">
        <v>-1131008.319808</v>
      </c>
      <c r="BG5" s="103">
        <v>-100273.747007</v>
      </c>
      <c r="BH5" s="103">
        <v>4221.5378250000003</v>
      </c>
      <c r="BI5" s="103">
        <v>-316.42413699999997</v>
      </c>
      <c r="BK5" s="103">
        <v>-3117696.4798420002</v>
      </c>
      <c r="BM5" s="103">
        <v>7034002.1165920002</v>
      </c>
      <c r="BN5" s="103">
        <v>-120487.30680000001</v>
      </c>
      <c r="BP5" s="103">
        <v>585307.48647400003</v>
      </c>
      <c r="BR5" s="103">
        <v>-57169.810216999998</v>
      </c>
      <c r="BS5" s="103">
        <v>7441652.4860490002</v>
      </c>
    </row>
  </sheetData>
  <mergeCells count="11">
    <mergeCell ref="CE2:CJ2"/>
    <mergeCell ref="D2:T2"/>
    <mergeCell ref="AF2:AR2"/>
    <mergeCell ref="BC2:BK2"/>
    <mergeCell ref="BM2:BS2"/>
    <mergeCell ref="BU2:CC2"/>
    <mergeCell ref="CN2:CP2"/>
    <mergeCell ref="CQ2:CS2"/>
    <mergeCell ref="CW2:CY2"/>
    <mergeCell ref="DC2:DE2"/>
    <mergeCell ref="DG2:DQ2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E126"/>
  <sheetViews>
    <sheetView showGridLines="0" tabSelected="1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7" sqref="D7"/>
    </sheetView>
  </sheetViews>
  <sheetFormatPr defaultRowHeight="15"/>
  <cols>
    <col min="1" max="1" width="9.375" style="5" customWidth="1"/>
    <col min="2" max="2" width="13.125" style="5" customWidth="1"/>
    <col min="3" max="3" width="15.125" style="5" customWidth="1"/>
    <col min="4" max="7" width="15.375" style="1" customWidth="1"/>
    <col min="8" max="8" width="14.25" style="1" customWidth="1"/>
    <col min="9" max="11" width="13" style="1" customWidth="1"/>
    <col min="12" max="13" width="15.625" style="1" customWidth="1"/>
    <col min="14" max="14" width="21.5" style="3" customWidth="1"/>
    <col min="15" max="15" width="13.5" style="3" customWidth="1"/>
    <col min="16" max="19" width="13" style="3" customWidth="1"/>
    <col min="20" max="20" width="14.375" style="3" customWidth="1"/>
    <col min="21" max="22" width="13.875" style="423" customWidth="1"/>
    <col min="23" max="23" width="13" style="423" customWidth="1"/>
    <col min="24" max="31" width="13" style="3" customWidth="1"/>
    <col min="32" max="32" width="13.375" style="1" bestFit="1" customWidth="1"/>
    <col min="33" max="37" width="13.375" style="1" customWidth="1"/>
    <col min="38" max="38" width="12.25" style="1" bestFit="1" customWidth="1"/>
    <col min="39" max="39" width="12.75" style="1" customWidth="1"/>
    <col min="40" max="40" width="17.375" style="1" bestFit="1" customWidth="1"/>
    <col min="41" max="42" width="13" style="1" customWidth="1"/>
    <col min="43" max="44" width="13" style="3" customWidth="1"/>
    <col min="45" max="54" width="13" style="1" customWidth="1"/>
    <col min="55" max="63" width="15.625" style="1" customWidth="1"/>
    <col min="64" max="72" width="13" style="1" customWidth="1"/>
    <col min="73" max="73" width="14.875" style="3" customWidth="1"/>
    <col min="74" max="80" width="13" style="3" customWidth="1"/>
    <col min="81" max="102" width="13" style="1" customWidth="1"/>
    <col min="103" max="103" width="25.625" style="1" customWidth="1"/>
    <col min="104" max="106" width="13" style="1" customWidth="1"/>
    <col min="107" max="107" width="13" style="8" customWidth="1"/>
    <col min="108" max="123" width="13" style="1" customWidth="1"/>
    <col min="124" max="124" width="17.25" style="1" customWidth="1"/>
    <col min="125" max="131" width="13" style="1" customWidth="1"/>
    <col min="132" max="132" width="13.875" style="1" customWidth="1"/>
    <col min="133" max="135" width="10.125" style="1" customWidth="1"/>
    <col min="136" max="137" width="10.375" style="5" bestFit="1" customWidth="1"/>
    <col min="138" max="138" width="9" style="5"/>
    <col min="139" max="139" width="11.875" style="5" bestFit="1" customWidth="1"/>
    <col min="140" max="140" width="12.25" style="5" bestFit="1" customWidth="1"/>
    <col min="141" max="141" width="9.5" style="5" bestFit="1" customWidth="1"/>
    <col min="142" max="142" width="9.375" style="5" bestFit="1" customWidth="1"/>
    <col min="143" max="143" width="9.125" style="5" bestFit="1" customWidth="1"/>
    <col min="144" max="144" width="10.5" style="5" bestFit="1" customWidth="1"/>
    <col min="145" max="145" width="9" style="5"/>
    <col min="146" max="148" width="12.25" style="1" bestFit="1" customWidth="1"/>
    <col min="149" max="149" width="10.75" style="1" bestFit="1" customWidth="1"/>
    <col min="150" max="151" width="12.25" style="1" bestFit="1" customWidth="1"/>
    <col min="152" max="152" width="10.375" style="1" bestFit="1" customWidth="1"/>
    <col min="153" max="158" width="12.25" style="1" bestFit="1" customWidth="1"/>
    <col min="159" max="159" width="12.25" style="5" bestFit="1" customWidth="1"/>
    <col min="160" max="16384" width="9" style="5"/>
  </cols>
  <sheetData>
    <row r="1" spans="1:161">
      <c r="A1" s="5">
        <v>1</v>
      </c>
      <c r="B1" s="5">
        <f>+A1+1</f>
        <v>2</v>
      </c>
      <c r="C1" s="5">
        <f t="shared" ref="C1:N1" si="0">+B1+1</f>
        <v>3</v>
      </c>
      <c r="D1" s="5">
        <f t="shared" si="0"/>
        <v>4</v>
      </c>
      <c r="E1" s="5">
        <f t="shared" si="0"/>
        <v>5</v>
      </c>
      <c r="F1" s="5">
        <f t="shared" si="0"/>
        <v>6</v>
      </c>
      <c r="G1" s="5">
        <f t="shared" si="0"/>
        <v>7</v>
      </c>
      <c r="H1" s="5">
        <f t="shared" si="0"/>
        <v>8</v>
      </c>
      <c r="I1" s="5">
        <f t="shared" si="0"/>
        <v>9</v>
      </c>
      <c r="J1" s="5">
        <f t="shared" si="0"/>
        <v>10</v>
      </c>
      <c r="K1" s="5">
        <f t="shared" si="0"/>
        <v>11</v>
      </c>
      <c r="L1" s="5">
        <f t="shared" si="0"/>
        <v>12</v>
      </c>
      <c r="M1" s="5">
        <f t="shared" si="0"/>
        <v>13</v>
      </c>
      <c r="N1" s="419">
        <f t="shared" si="0"/>
        <v>14</v>
      </c>
      <c r="O1" s="419">
        <f t="shared" ref="O1" si="1">+N1+1</f>
        <v>15</v>
      </c>
      <c r="P1" s="419">
        <f t="shared" ref="P1" si="2">+O1+1</f>
        <v>16</v>
      </c>
      <c r="Q1" s="419">
        <f t="shared" ref="Q1" si="3">+P1+1</f>
        <v>17</v>
      </c>
      <c r="R1" s="419">
        <f t="shared" ref="R1" si="4">+Q1+1</f>
        <v>18</v>
      </c>
      <c r="S1" s="419">
        <f t="shared" ref="S1" si="5">+R1+1</f>
        <v>19</v>
      </c>
      <c r="T1" s="419">
        <f t="shared" ref="T1" si="6">+S1+1</f>
        <v>20</v>
      </c>
      <c r="U1" s="43">
        <f t="shared" ref="U1" si="7">+T1+1</f>
        <v>21</v>
      </c>
      <c r="V1" s="43">
        <f t="shared" ref="V1" si="8">+U1+1</f>
        <v>22</v>
      </c>
      <c r="W1" s="43">
        <f t="shared" ref="W1" si="9">+V1+1</f>
        <v>23</v>
      </c>
      <c r="X1" s="419">
        <f t="shared" ref="X1" si="10">+W1+1</f>
        <v>24</v>
      </c>
      <c r="Y1" s="419">
        <f t="shared" ref="Y1" si="11">+X1+1</f>
        <v>25</v>
      </c>
      <c r="Z1" s="419">
        <f t="shared" ref="Z1" si="12">+Y1+1</f>
        <v>26</v>
      </c>
      <c r="AA1" s="419">
        <f t="shared" ref="AA1" si="13">+Z1+1</f>
        <v>27</v>
      </c>
      <c r="AB1" s="419">
        <f t="shared" ref="AB1" si="14">+AA1+1</f>
        <v>28</v>
      </c>
      <c r="AC1" s="419">
        <f t="shared" ref="AC1" si="15">+AB1+1</f>
        <v>29</v>
      </c>
      <c r="AD1" s="419">
        <f t="shared" ref="AD1" si="16">+AC1+1</f>
        <v>30</v>
      </c>
      <c r="AE1" s="419">
        <f t="shared" ref="AE1" si="17">+AD1+1</f>
        <v>31</v>
      </c>
      <c r="AF1" s="5">
        <f t="shared" ref="AF1" si="18">+AE1+1</f>
        <v>32</v>
      </c>
      <c r="AG1" s="5">
        <f t="shared" ref="AG1" si="19">+AF1+1</f>
        <v>33</v>
      </c>
      <c r="AH1" s="5">
        <f t="shared" ref="AH1" si="20">+AG1+1</f>
        <v>34</v>
      </c>
      <c r="AI1" s="5">
        <f t="shared" ref="AI1" si="21">+AH1+1</f>
        <v>35</v>
      </c>
      <c r="AJ1" s="5">
        <f t="shared" ref="AJ1" si="22">+AI1+1</f>
        <v>36</v>
      </c>
      <c r="AK1" s="5">
        <f t="shared" ref="AK1" si="23">+AJ1+1</f>
        <v>37</v>
      </c>
      <c r="AL1" s="5">
        <f t="shared" ref="AL1" si="24">+AK1+1</f>
        <v>38</v>
      </c>
      <c r="AM1" s="5">
        <f t="shared" ref="AM1" si="25">+AL1+1</f>
        <v>39</v>
      </c>
      <c r="AN1" s="5">
        <f t="shared" ref="AN1" si="26">+AM1+1</f>
        <v>40</v>
      </c>
      <c r="AO1" s="5">
        <f t="shared" ref="AO1" si="27">+AN1+1</f>
        <v>41</v>
      </c>
      <c r="AP1" s="5">
        <f t="shared" ref="AP1" si="28">+AO1+1</f>
        <v>42</v>
      </c>
      <c r="AQ1" s="419">
        <f t="shared" ref="AQ1" si="29">+AP1+1</f>
        <v>43</v>
      </c>
      <c r="AR1" s="419">
        <f t="shared" ref="AR1" si="30">+AQ1+1</f>
        <v>44</v>
      </c>
      <c r="AS1" s="5">
        <f t="shared" ref="AS1" si="31">+AR1+1</f>
        <v>45</v>
      </c>
      <c r="AT1" s="5">
        <f t="shared" ref="AT1" si="32">+AS1+1</f>
        <v>46</v>
      </c>
      <c r="AU1" s="5">
        <f t="shared" ref="AU1" si="33">+AT1+1</f>
        <v>47</v>
      </c>
      <c r="AV1" s="5">
        <f t="shared" ref="AV1" si="34">+AU1+1</f>
        <v>48</v>
      </c>
      <c r="AW1" s="5">
        <f t="shared" ref="AW1" si="35">+AV1+1</f>
        <v>49</v>
      </c>
      <c r="AX1" s="5">
        <f t="shared" ref="AX1" si="36">+AW1+1</f>
        <v>50</v>
      </c>
      <c r="AY1" s="5">
        <f t="shared" ref="AY1" si="37">+AX1+1</f>
        <v>51</v>
      </c>
      <c r="AZ1" s="5">
        <f t="shared" ref="AZ1" si="38">+AY1+1</f>
        <v>52</v>
      </c>
      <c r="BA1" s="5">
        <f t="shared" ref="BA1" si="39">+AZ1+1</f>
        <v>53</v>
      </c>
      <c r="BB1" s="5">
        <f t="shared" ref="BB1" si="40">+BA1+1</f>
        <v>54</v>
      </c>
      <c r="BC1" s="5">
        <f t="shared" ref="BC1" si="41">+BB1+1</f>
        <v>55</v>
      </c>
      <c r="BD1" s="5">
        <f t="shared" ref="BD1" si="42">+BC1+1</f>
        <v>56</v>
      </c>
      <c r="BE1" s="5">
        <f t="shared" ref="BE1" si="43">+BD1+1</f>
        <v>57</v>
      </c>
      <c r="BF1" s="5">
        <f t="shared" ref="BF1" si="44">+BE1+1</f>
        <v>58</v>
      </c>
      <c r="BG1" s="5">
        <f t="shared" ref="BG1" si="45">+BF1+1</f>
        <v>59</v>
      </c>
      <c r="BH1" s="5">
        <f t="shared" ref="BH1" si="46">+BG1+1</f>
        <v>60</v>
      </c>
      <c r="BI1" s="5">
        <f t="shared" ref="BI1" si="47">+BH1+1</f>
        <v>61</v>
      </c>
      <c r="BJ1" s="5">
        <f t="shared" ref="BJ1" si="48">+BI1+1</f>
        <v>62</v>
      </c>
      <c r="BK1" s="5">
        <f t="shared" ref="BK1" si="49">+BJ1+1</f>
        <v>63</v>
      </c>
      <c r="BL1" s="5">
        <f t="shared" ref="BL1" si="50">+BK1+1</f>
        <v>64</v>
      </c>
      <c r="BM1" s="5">
        <f t="shared" ref="BM1" si="51">+BL1+1</f>
        <v>65</v>
      </c>
      <c r="BN1" s="5">
        <f t="shared" ref="BN1" si="52">+BM1+1</f>
        <v>66</v>
      </c>
      <c r="BO1" s="5">
        <f t="shared" ref="BO1" si="53">+BN1+1</f>
        <v>67</v>
      </c>
      <c r="BP1" s="5">
        <f t="shared" ref="BP1" si="54">+BO1+1</f>
        <v>68</v>
      </c>
      <c r="BQ1" s="5">
        <f t="shared" ref="BQ1" si="55">+BP1+1</f>
        <v>69</v>
      </c>
      <c r="BR1" s="5">
        <f t="shared" ref="BR1" si="56">+BQ1+1</f>
        <v>70</v>
      </c>
      <c r="BS1" s="5">
        <f t="shared" ref="BS1" si="57">+BR1+1</f>
        <v>71</v>
      </c>
      <c r="BT1" s="5">
        <f t="shared" ref="BT1" si="58">+BS1+1</f>
        <v>72</v>
      </c>
      <c r="BU1" s="419">
        <f t="shared" ref="BU1" si="59">+BT1+1</f>
        <v>73</v>
      </c>
      <c r="BV1" s="419">
        <f t="shared" ref="BV1" si="60">+BU1+1</f>
        <v>74</v>
      </c>
      <c r="BW1" s="419">
        <f t="shared" ref="BW1" si="61">+BV1+1</f>
        <v>75</v>
      </c>
      <c r="BX1" s="419">
        <f t="shared" ref="BX1" si="62">+BW1+1</f>
        <v>76</v>
      </c>
      <c r="BY1" s="419">
        <f t="shared" ref="BY1" si="63">+BX1+1</f>
        <v>77</v>
      </c>
      <c r="BZ1" s="419">
        <f t="shared" ref="BZ1" si="64">+BY1+1</f>
        <v>78</v>
      </c>
      <c r="CA1" s="419">
        <f t="shared" ref="CA1" si="65">+BZ1+1</f>
        <v>79</v>
      </c>
      <c r="CB1" s="419">
        <f t="shared" ref="CB1" si="66">+CA1+1</f>
        <v>80</v>
      </c>
      <c r="CC1" s="5">
        <f t="shared" ref="CC1" si="67">+CB1+1</f>
        <v>81</v>
      </c>
      <c r="CD1" s="5">
        <f t="shared" ref="CD1" si="68">+CC1+1</f>
        <v>82</v>
      </c>
      <c r="CE1" s="5">
        <f t="shared" ref="CE1" si="69">+CD1+1</f>
        <v>83</v>
      </c>
      <c r="CF1" s="5">
        <f t="shared" ref="CF1" si="70">+CE1+1</f>
        <v>84</v>
      </c>
      <c r="CG1" s="5">
        <f t="shared" ref="CG1" si="71">+CF1+1</f>
        <v>85</v>
      </c>
      <c r="CH1" s="5">
        <f t="shared" ref="CH1" si="72">+CG1+1</f>
        <v>86</v>
      </c>
      <c r="CI1" s="5">
        <f t="shared" ref="CI1" si="73">+CH1+1</f>
        <v>87</v>
      </c>
      <c r="CJ1" s="5">
        <f t="shared" ref="CJ1" si="74">+CI1+1</f>
        <v>88</v>
      </c>
      <c r="CK1" s="5">
        <f t="shared" ref="CK1" si="75">+CJ1+1</f>
        <v>89</v>
      </c>
      <c r="CL1" s="5">
        <f t="shared" ref="CL1" si="76">+CK1+1</f>
        <v>90</v>
      </c>
      <c r="CM1" s="5">
        <f t="shared" ref="CM1" si="77">+CL1+1</f>
        <v>91</v>
      </c>
      <c r="CN1" s="5">
        <f t="shared" ref="CN1" si="78">+CM1+1</f>
        <v>92</v>
      </c>
      <c r="CO1" s="5">
        <f t="shared" ref="CO1" si="79">+CN1+1</f>
        <v>93</v>
      </c>
      <c r="CP1" s="5">
        <f t="shared" ref="CP1" si="80">+CO1+1</f>
        <v>94</v>
      </c>
      <c r="CQ1" s="5">
        <f t="shared" ref="CQ1" si="81">+CP1+1</f>
        <v>95</v>
      </c>
      <c r="CR1" s="5">
        <f t="shared" ref="CR1" si="82">+CQ1+1</f>
        <v>96</v>
      </c>
      <c r="CS1" s="5">
        <f t="shared" ref="CS1" si="83">+CR1+1</f>
        <v>97</v>
      </c>
      <c r="CT1" s="5">
        <f t="shared" ref="CT1" si="84">+CS1+1</f>
        <v>98</v>
      </c>
      <c r="CU1" s="5">
        <f t="shared" ref="CU1" si="85">+CT1+1</f>
        <v>99</v>
      </c>
      <c r="CV1" s="5">
        <f t="shared" ref="CV1" si="86">+CU1+1</f>
        <v>100</v>
      </c>
      <c r="CW1" s="5">
        <f t="shared" ref="CW1" si="87">+CV1+1</f>
        <v>101</v>
      </c>
      <c r="CX1" s="5">
        <f t="shared" ref="CX1" si="88">+CW1+1</f>
        <v>102</v>
      </c>
      <c r="CY1" s="5">
        <f t="shared" ref="CY1" si="89">+CX1+1</f>
        <v>103</v>
      </c>
      <c r="CZ1" s="5">
        <f t="shared" ref="CZ1" si="90">+CY1+1</f>
        <v>104</v>
      </c>
      <c r="DA1" s="5">
        <f t="shared" ref="DA1" si="91">+CZ1+1</f>
        <v>105</v>
      </c>
      <c r="DB1" s="5">
        <f t="shared" ref="DB1" si="92">+DA1+1</f>
        <v>106</v>
      </c>
      <c r="DC1" s="5">
        <f t="shared" ref="DC1" si="93">+DB1+1</f>
        <v>107</v>
      </c>
      <c r="DD1" s="5">
        <f t="shared" ref="DD1" si="94">+DC1+1</f>
        <v>108</v>
      </c>
      <c r="DE1" s="5">
        <f t="shared" ref="DE1" si="95">+DD1+1</f>
        <v>109</v>
      </c>
      <c r="DF1" s="5">
        <f t="shared" ref="DF1" si="96">+DE1+1</f>
        <v>110</v>
      </c>
      <c r="DG1" s="5">
        <f t="shared" ref="DG1" si="97">+DF1+1</f>
        <v>111</v>
      </c>
      <c r="DH1" s="5">
        <f t="shared" ref="DH1" si="98">+DG1+1</f>
        <v>112</v>
      </c>
      <c r="DI1" s="5">
        <f t="shared" ref="DI1" si="99">+DH1+1</f>
        <v>113</v>
      </c>
      <c r="DJ1" s="5">
        <f t="shared" ref="DJ1" si="100">+DI1+1</f>
        <v>114</v>
      </c>
      <c r="DK1" s="5">
        <f t="shared" ref="DK1" si="101">+DJ1+1</f>
        <v>115</v>
      </c>
      <c r="DL1" s="5">
        <f t="shared" ref="DL1" si="102">+DK1+1</f>
        <v>116</v>
      </c>
      <c r="DM1" s="5">
        <f t="shared" ref="DM1" si="103">+DL1+1</f>
        <v>117</v>
      </c>
      <c r="DN1" s="5">
        <f t="shared" ref="DN1" si="104">+DM1+1</f>
        <v>118</v>
      </c>
      <c r="DO1" s="5">
        <f t="shared" ref="DO1" si="105">+DN1+1</f>
        <v>119</v>
      </c>
      <c r="DP1" s="5">
        <f t="shared" ref="DP1" si="106">+DO1+1</f>
        <v>120</v>
      </c>
      <c r="DQ1" s="5">
        <f t="shared" ref="DQ1" si="107">+DP1+1</f>
        <v>121</v>
      </c>
      <c r="DR1" s="5">
        <f t="shared" ref="DR1" si="108">+DQ1+1</f>
        <v>122</v>
      </c>
      <c r="DS1" s="5">
        <f t="shared" ref="DS1" si="109">+DR1+1</f>
        <v>123</v>
      </c>
      <c r="DT1" s="5">
        <f t="shared" ref="DT1" si="110">+DS1+1</f>
        <v>124</v>
      </c>
      <c r="DU1" s="5">
        <f t="shared" ref="DU1" si="111">+DT1+1</f>
        <v>125</v>
      </c>
      <c r="DV1" s="5">
        <f t="shared" ref="DV1" si="112">+DU1+1</f>
        <v>126</v>
      </c>
      <c r="DW1" s="5">
        <f t="shared" ref="DW1" si="113">+DV1+1</f>
        <v>127</v>
      </c>
      <c r="DX1" s="5">
        <f t="shared" ref="DX1" si="114">+DW1+1</f>
        <v>128</v>
      </c>
      <c r="DY1" s="5">
        <f t="shared" ref="DY1" si="115">+DX1+1</f>
        <v>129</v>
      </c>
      <c r="DZ1" s="5">
        <f t="shared" ref="DZ1" si="116">+DY1+1</f>
        <v>130</v>
      </c>
      <c r="EA1" s="5">
        <f t="shared" ref="EA1" si="117">+DZ1+1</f>
        <v>131</v>
      </c>
      <c r="EB1" s="5">
        <f t="shared" ref="EB1" si="118">+EA1+1</f>
        <v>132</v>
      </c>
      <c r="EC1" s="5">
        <f t="shared" ref="EC1" si="119">+EB1+1</f>
        <v>133</v>
      </c>
      <c r="ED1" s="5">
        <f t="shared" ref="ED1" si="120">+EC1+1</f>
        <v>134</v>
      </c>
      <c r="EE1" s="5">
        <f t="shared" ref="EE1" si="121">+ED1+1</f>
        <v>135</v>
      </c>
      <c r="EF1" s="5">
        <f t="shared" ref="EF1" si="122">+EE1+1</f>
        <v>136</v>
      </c>
      <c r="EG1" s="5">
        <f t="shared" ref="EG1" si="123">+EF1+1</f>
        <v>137</v>
      </c>
      <c r="EH1" s="5">
        <f t="shared" ref="EH1" si="124">+EG1+1</f>
        <v>138</v>
      </c>
      <c r="EI1" s="5">
        <f t="shared" ref="EI1" si="125">+EH1+1</f>
        <v>139</v>
      </c>
      <c r="EJ1" s="5">
        <f t="shared" ref="EJ1" si="126">+EI1+1</f>
        <v>140</v>
      </c>
      <c r="EK1" s="5">
        <f t="shared" ref="EK1" si="127">+EJ1+1</f>
        <v>141</v>
      </c>
      <c r="EL1" s="5">
        <f t="shared" ref="EL1" si="128">+EK1+1</f>
        <v>142</v>
      </c>
      <c r="EM1" s="5">
        <f t="shared" ref="EM1" si="129">+EL1+1</f>
        <v>143</v>
      </c>
      <c r="EN1" s="5">
        <f t="shared" ref="EN1" si="130">+EM1+1</f>
        <v>144</v>
      </c>
      <c r="EO1" s="5">
        <f t="shared" ref="EO1" si="131">+EN1+1</f>
        <v>145</v>
      </c>
      <c r="EP1" s="5">
        <f t="shared" ref="EP1" si="132">+EO1+1</f>
        <v>146</v>
      </c>
      <c r="EQ1" s="5">
        <f t="shared" ref="EQ1" si="133">+EP1+1</f>
        <v>147</v>
      </c>
      <c r="ER1" s="5">
        <f t="shared" ref="ER1" si="134">+EQ1+1</f>
        <v>148</v>
      </c>
      <c r="ES1" s="5">
        <f t="shared" ref="ES1" si="135">+ER1+1</f>
        <v>149</v>
      </c>
      <c r="ET1" s="5">
        <f t="shared" ref="ET1" si="136">+ES1+1</f>
        <v>150</v>
      </c>
      <c r="EU1" s="5">
        <f t="shared" ref="EU1" si="137">+ET1+1</f>
        <v>151</v>
      </c>
      <c r="EV1" s="5">
        <f t="shared" ref="EV1" si="138">+EU1+1</f>
        <v>152</v>
      </c>
      <c r="EW1" s="5">
        <f t="shared" ref="EW1" si="139">+EV1+1</f>
        <v>153</v>
      </c>
      <c r="EX1" s="5">
        <f t="shared" ref="EX1" si="140">+EW1+1</f>
        <v>154</v>
      </c>
      <c r="EY1" s="5">
        <f t="shared" ref="EY1" si="141">+EX1+1</f>
        <v>155</v>
      </c>
      <c r="EZ1" s="5">
        <f t="shared" ref="EZ1" si="142">+EY1+1</f>
        <v>156</v>
      </c>
      <c r="FA1" s="5">
        <f t="shared" ref="FA1" si="143">+EZ1+1</f>
        <v>157</v>
      </c>
      <c r="FB1" s="5">
        <f t="shared" ref="FB1" si="144">+FA1+1</f>
        <v>158</v>
      </c>
      <c r="FC1" s="5">
        <f t="shared" ref="FC1" si="145">+FB1+1</f>
        <v>159</v>
      </c>
      <c r="FD1" s="5">
        <f t="shared" ref="FD1" si="146">+FC1+1</f>
        <v>160</v>
      </c>
      <c r="FE1" s="5">
        <f t="shared" ref="FE1" si="147">+FD1+1</f>
        <v>161</v>
      </c>
    </row>
    <row r="2" spans="1:161" ht="18.75">
      <c r="B2" s="7" t="s">
        <v>83</v>
      </c>
      <c r="BB2" s="6" t="s">
        <v>36</v>
      </c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D2" s="5"/>
      <c r="DE2" s="5"/>
      <c r="DF2" s="5"/>
      <c r="DG2" s="5"/>
      <c r="DH2" s="5"/>
      <c r="DI2" s="5"/>
      <c r="DJ2" s="5"/>
      <c r="DK2" s="5"/>
      <c r="DL2" s="5"/>
      <c r="DM2" s="5"/>
    </row>
    <row r="3" spans="1:161" ht="27.75" customHeight="1">
      <c r="D3" s="853" t="s">
        <v>12</v>
      </c>
      <c r="E3" s="853"/>
      <c r="F3" s="853"/>
      <c r="G3" s="853"/>
      <c r="H3" s="853"/>
      <c r="I3" s="853"/>
      <c r="J3" s="853"/>
      <c r="K3" s="853"/>
      <c r="L3" s="853"/>
      <c r="M3" s="853"/>
      <c r="N3" s="853"/>
      <c r="O3" s="853"/>
      <c r="P3" s="853"/>
      <c r="Q3" s="853"/>
      <c r="R3" s="853"/>
      <c r="S3" s="853"/>
      <c r="T3" s="853"/>
      <c r="U3" s="424"/>
      <c r="V3" s="424"/>
      <c r="W3" s="424"/>
      <c r="X3" s="422"/>
      <c r="Y3" s="422"/>
      <c r="Z3" s="422"/>
      <c r="AA3" s="422"/>
      <c r="AB3" s="422"/>
      <c r="AC3" s="422"/>
      <c r="AD3" s="422"/>
      <c r="AE3" s="422"/>
      <c r="AF3" s="854" t="s">
        <v>31</v>
      </c>
      <c r="AG3" s="854"/>
      <c r="AH3" s="854"/>
      <c r="AI3" s="854"/>
      <c r="AJ3" s="854"/>
      <c r="AK3" s="854"/>
      <c r="AL3" s="854"/>
      <c r="AM3" s="854"/>
      <c r="AN3" s="854"/>
      <c r="AO3" s="854"/>
      <c r="AP3" s="854"/>
      <c r="AQ3" s="854"/>
      <c r="AR3" s="854"/>
      <c r="BB3" s="2"/>
      <c r="BC3" s="850" t="s">
        <v>37</v>
      </c>
      <c r="BD3" s="850"/>
      <c r="BE3" s="850"/>
      <c r="BF3" s="850"/>
      <c r="BG3" s="850"/>
      <c r="BH3" s="850"/>
      <c r="BI3" s="850"/>
      <c r="BJ3" s="850"/>
      <c r="BK3" s="850"/>
      <c r="BL3" s="5"/>
      <c r="BM3" s="855" t="s">
        <v>38</v>
      </c>
      <c r="BN3" s="855"/>
      <c r="BO3" s="855"/>
      <c r="BP3" s="855"/>
      <c r="BQ3" s="855"/>
      <c r="BR3" s="855"/>
      <c r="BS3" s="855"/>
      <c r="BU3" s="850" t="s">
        <v>1023</v>
      </c>
      <c r="BV3" s="850"/>
      <c r="BW3" s="850"/>
      <c r="BX3" s="850"/>
      <c r="BY3" s="850"/>
      <c r="BZ3" s="850"/>
      <c r="CA3" s="850"/>
      <c r="CB3" s="850"/>
      <c r="CC3" s="850"/>
      <c r="CE3" s="850" t="s">
        <v>61</v>
      </c>
      <c r="CF3" s="850"/>
      <c r="CG3" s="850"/>
      <c r="CH3" s="850"/>
      <c r="CI3" s="850"/>
      <c r="CJ3" s="850"/>
      <c r="CN3" s="850" t="s">
        <v>80</v>
      </c>
      <c r="CO3" s="850"/>
      <c r="CP3" s="850"/>
      <c r="CQ3" s="851" t="s">
        <v>97</v>
      </c>
      <c r="CR3" s="851"/>
      <c r="CS3" s="851"/>
      <c r="CT3" s="5"/>
      <c r="CU3" s="5" t="s">
        <v>1024</v>
      </c>
      <c r="CV3" s="5"/>
      <c r="CW3" s="852" t="s">
        <v>63</v>
      </c>
      <c r="CX3" s="852"/>
      <c r="CY3" s="852"/>
      <c r="CZ3" s="5"/>
      <c r="DA3" s="5"/>
      <c r="DB3" s="5"/>
      <c r="DC3" s="852" t="s">
        <v>63</v>
      </c>
      <c r="DD3" s="852"/>
      <c r="DE3" s="852"/>
      <c r="DG3" s="850" t="s">
        <v>64</v>
      </c>
      <c r="DH3" s="850"/>
      <c r="DI3" s="850"/>
      <c r="DJ3" s="850"/>
      <c r="DK3" s="850"/>
      <c r="DL3" s="850"/>
      <c r="DM3" s="850"/>
      <c r="DN3" s="850"/>
      <c r="DO3" s="850"/>
      <c r="DP3" s="850"/>
      <c r="DQ3" s="850"/>
      <c r="DX3" s="5"/>
      <c r="EW3" s="425" t="s">
        <v>1144</v>
      </c>
    </row>
    <row r="4" spans="1:161" ht="27.75" customHeight="1">
      <c r="D4" s="1" t="s">
        <v>13</v>
      </c>
      <c r="I4" s="11" t="s">
        <v>17</v>
      </c>
      <c r="J4" s="11"/>
      <c r="K4" s="11"/>
      <c r="L4" s="1" t="s">
        <v>18</v>
      </c>
      <c r="N4" s="3" t="s">
        <v>1091</v>
      </c>
      <c r="O4" s="3" t="s">
        <v>1089</v>
      </c>
      <c r="S4" s="3" t="s">
        <v>1092</v>
      </c>
      <c r="T4" s="3" t="s">
        <v>1093</v>
      </c>
      <c r="U4" s="427" t="s">
        <v>1038</v>
      </c>
      <c r="X4" s="3" t="s">
        <v>1014</v>
      </c>
      <c r="AF4" s="1" t="s">
        <v>22</v>
      </c>
      <c r="AI4" s="1" t="s">
        <v>23</v>
      </c>
      <c r="AN4" s="14" t="s">
        <v>99</v>
      </c>
      <c r="AO4" s="1" t="s">
        <v>24</v>
      </c>
      <c r="AP4" s="1" t="s">
        <v>25</v>
      </c>
      <c r="AQ4" s="3" t="s">
        <v>26</v>
      </c>
      <c r="AR4" s="3" t="s">
        <v>27</v>
      </c>
      <c r="AS4" s="1" t="s">
        <v>91</v>
      </c>
      <c r="AT4" s="1" t="s">
        <v>92</v>
      </c>
      <c r="AU4" s="1" t="s">
        <v>93</v>
      </c>
      <c r="AV4" s="12" t="s">
        <v>32</v>
      </c>
      <c r="AW4" s="12" t="s">
        <v>33</v>
      </c>
      <c r="AX4" s="12" t="s">
        <v>34</v>
      </c>
      <c r="AY4" s="12" t="s">
        <v>35</v>
      </c>
      <c r="BC4" s="2" t="s">
        <v>39</v>
      </c>
      <c r="BD4" s="2"/>
      <c r="BE4" s="2"/>
      <c r="BF4" s="2"/>
      <c r="BG4" s="2"/>
      <c r="BH4" s="2"/>
      <c r="BI4" s="2"/>
      <c r="BJ4" s="2" t="s">
        <v>907</v>
      </c>
      <c r="BK4" s="2" t="s">
        <v>40</v>
      </c>
      <c r="BL4" s="4" t="s">
        <v>41</v>
      </c>
      <c r="BM4" s="2" t="s">
        <v>39</v>
      </c>
      <c r="BN4" s="2"/>
      <c r="BO4" s="2"/>
      <c r="BP4" s="2"/>
      <c r="BQ4" s="15" t="s">
        <v>876</v>
      </c>
      <c r="BR4" s="15" t="s">
        <v>878</v>
      </c>
      <c r="BS4" s="2" t="s">
        <v>40</v>
      </c>
      <c r="BU4" s="3" t="s">
        <v>51</v>
      </c>
      <c r="BV4" s="3" t="s">
        <v>52</v>
      </c>
      <c r="BW4" s="3" t="s">
        <v>53</v>
      </c>
      <c r="BX4" s="419"/>
      <c r="BY4" s="419"/>
      <c r="BZ4" s="419"/>
      <c r="CA4" s="419"/>
      <c r="CB4" s="419"/>
      <c r="CC4" s="1" t="s">
        <v>54</v>
      </c>
      <c r="CE4" s="9" t="s">
        <v>55</v>
      </c>
      <c r="CF4" s="9" t="s">
        <v>56</v>
      </c>
      <c r="CG4" s="9" t="s">
        <v>57</v>
      </c>
      <c r="CH4" s="9" t="s">
        <v>58</v>
      </c>
      <c r="CI4" s="9" t="s">
        <v>59</v>
      </c>
      <c r="CJ4" s="9" t="s">
        <v>60</v>
      </c>
      <c r="CK4" s="13" t="s">
        <v>41</v>
      </c>
      <c r="CN4" s="2" t="s">
        <v>65</v>
      </c>
      <c r="CO4" s="2" t="s">
        <v>66</v>
      </c>
      <c r="CP4" s="2" t="s">
        <v>67</v>
      </c>
      <c r="CQ4" s="2" t="s">
        <v>65</v>
      </c>
      <c r="CR4" s="2" t="s">
        <v>66</v>
      </c>
      <c r="CS4" s="2" t="s">
        <v>67</v>
      </c>
      <c r="CT4" s="5"/>
      <c r="CU4" s="5"/>
      <c r="CV4" s="5"/>
      <c r="CW4" s="17" t="s">
        <v>1028</v>
      </c>
      <c r="CX4" s="5" t="s">
        <v>1029</v>
      </c>
      <c r="CY4" s="5" t="s">
        <v>1027</v>
      </c>
      <c r="CZ4" s="5" t="s">
        <v>1031</v>
      </c>
      <c r="DA4" s="5"/>
      <c r="DB4" s="5"/>
      <c r="DC4" s="8" t="s">
        <v>98</v>
      </c>
      <c r="DD4" s="1" t="s">
        <v>68</v>
      </c>
      <c r="DE4" s="1" t="s">
        <v>69</v>
      </c>
      <c r="DG4" s="1" t="s">
        <v>64</v>
      </c>
      <c r="DH4" s="3" t="s">
        <v>70</v>
      </c>
      <c r="DK4" s="3" t="s">
        <v>71</v>
      </c>
      <c r="DT4" s="1" t="s">
        <v>889</v>
      </c>
      <c r="DX4" s="5"/>
      <c r="DY4" s="1" t="s">
        <v>895</v>
      </c>
      <c r="ED4" s="1" t="s">
        <v>900</v>
      </c>
      <c r="EI4" s="5" t="s">
        <v>1125</v>
      </c>
      <c r="EP4" s="1" t="s">
        <v>1142</v>
      </c>
      <c r="EW4" s="1" t="s">
        <v>1141</v>
      </c>
    </row>
    <row r="5" spans="1:161" ht="27.75" customHeight="1">
      <c r="B5" s="5" t="s">
        <v>84</v>
      </c>
      <c r="C5" s="5" t="s">
        <v>85</v>
      </c>
      <c r="E5" s="1" t="s">
        <v>14</v>
      </c>
      <c r="F5" s="1" t="s">
        <v>15</v>
      </c>
      <c r="G5" s="1" t="s">
        <v>16</v>
      </c>
      <c r="H5" s="10" t="s">
        <v>86</v>
      </c>
      <c r="I5" s="11" t="s">
        <v>14</v>
      </c>
      <c r="J5" s="11" t="s">
        <v>15</v>
      </c>
      <c r="K5" s="11" t="s">
        <v>16</v>
      </c>
      <c r="M5" s="1" t="s">
        <v>19</v>
      </c>
      <c r="P5" s="3" t="s">
        <v>1090</v>
      </c>
      <c r="Q5" s="3" t="s">
        <v>20</v>
      </c>
      <c r="R5" s="3" t="s">
        <v>21</v>
      </c>
      <c r="U5" s="423" t="s">
        <v>1039</v>
      </c>
      <c r="V5" s="423" t="s">
        <v>1040</v>
      </c>
      <c r="W5" s="423" t="s">
        <v>1038</v>
      </c>
      <c r="X5" s="3" t="s">
        <v>1015</v>
      </c>
      <c r="Y5" s="3" t="s">
        <v>1016</v>
      </c>
      <c r="Z5" s="3" t="s">
        <v>1017</v>
      </c>
      <c r="AA5" s="3" t="s">
        <v>1018</v>
      </c>
      <c r="AB5" s="3" t="s">
        <v>1019</v>
      </c>
      <c r="AC5" s="3" t="s">
        <v>1020</v>
      </c>
      <c r="AD5" s="3" t="s">
        <v>1021</v>
      </c>
      <c r="AE5" s="3" t="s">
        <v>1022</v>
      </c>
      <c r="AG5" s="10" t="s">
        <v>87</v>
      </c>
      <c r="AH5" s="10" t="s">
        <v>88</v>
      </c>
      <c r="AJ5" s="10" t="s">
        <v>89</v>
      </c>
      <c r="AK5" s="10" t="s">
        <v>90</v>
      </c>
      <c r="AL5" s="1" t="s">
        <v>28</v>
      </c>
      <c r="AM5" s="1" t="s">
        <v>29</v>
      </c>
      <c r="AN5" s="1" t="s">
        <v>30</v>
      </c>
      <c r="AV5" s="11"/>
      <c r="AW5" s="11"/>
      <c r="AX5" s="11"/>
      <c r="AY5" s="11"/>
      <c r="BC5" s="2"/>
      <c r="BD5" s="2" t="s">
        <v>42</v>
      </c>
      <c r="BE5" s="2" t="s">
        <v>43</v>
      </c>
      <c r="BF5" s="2" t="s">
        <v>44</v>
      </c>
      <c r="BG5" s="2" t="s">
        <v>45</v>
      </c>
      <c r="BH5" s="2" t="s">
        <v>46</v>
      </c>
      <c r="BI5" s="2" t="s">
        <v>47</v>
      </c>
      <c r="BJ5" s="2" t="s">
        <v>48</v>
      </c>
      <c r="BK5" s="2"/>
      <c r="BL5" s="2"/>
      <c r="BM5" s="2"/>
      <c r="BN5" s="2" t="s">
        <v>100</v>
      </c>
      <c r="BO5" s="2" t="s">
        <v>49</v>
      </c>
      <c r="BP5" s="2" t="s">
        <v>50</v>
      </c>
      <c r="BQ5" s="2" t="s">
        <v>48</v>
      </c>
      <c r="BR5" s="2" t="s">
        <v>877</v>
      </c>
      <c r="BS5" s="2"/>
      <c r="BT5" s="1" t="s">
        <v>1094</v>
      </c>
      <c r="BU5" s="419"/>
      <c r="BV5" s="419"/>
      <c r="BW5" s="419"/>
      <c r="BX5" s="3" t="s">
        <v>94</v>
      </c>
      <c r="BY5" s="3" t="s">
        <v>95</v>
      </c>
      <c r="BZ5" s="3" t="s">
        <v>886</v>
      </c>
      <c r="CA5" s="420" t="s">
        <v>887</v>
      </c>
      <c r="CB5" s="3" t="s">
        <v>96</v>
      </c>
      <c r="CC5" s="5"/>
      <c r="CF5" s="1" t="s">
        <v>905</v>
      </c>
      <c r="CG5" s="1" t="s">
        <v>906</v>
      </c>
      <c r="CT5" s="5"/>
      <c r="CU5" s="5"/>
      <c r="CV5" s="5"/>
      <c r="CW5" s="5" t="s">
        <v>1025</v>
      </c>
      <c r="CX5" s="5" t="s">
        <v>1026</v>
      </c>
      <c r="CY5" s="5" t="s">
        <v>1030</v>
      </c>
      <c r="CZ5" s="5"/>
      <c r="DA5" s="5"/>
      <c r="DB5" s="5"/>
      <c r="DH5" s="3"/>
      <c r="DI5" s="1" t="s">
        <v>72</v>
      </c>
      <c r="DJ5" s="1" t="s">
        <v>73</v>
      </c>
      <c r="DK5" s="3"/>
      <c r="DL5" s="1" t="s">
        <v>74</v>
      </c>
      <c r="DM5" s="1" t="s">
        <v>75</v>
      </c>
      <c r="DN5" s="1" t="s">
        <v>76</v>
      </c>
      <c r="DO5" s="1" t="s">
        <v>77</v>
      </c>
      <c r="DP5" s="1" t="s">
        <v>78</v>
      </c>
      <c r="DQ5" s="1" t="s">
        <v>79</v>
      </c>
      <c r="DT5" s="1" t="s">
        <v>890</v>
      </c>
      <c r="DU5" s="1" t="s">
        <v>891</v>
      </c>
      <c r="DV5" s="1" t="s">
        <v>892</v>
      </c>
      <c r="DW5" s="1" t="s">
        <v>893</v>
      </c>
      <c r="DX5" s="5" t="s">
        <v>894</v>
      </c>
      <c r="DY5" s="1" t="s">
        <v>896</v>
      </c>
      <c r="DZ5" s="1" t="s">
        <v>897</v>
      </c>
      <c r="EA5" s="1" t="s">
        <v>898</v>
      </c>
      <c r="EB5" s="1" t="s">
        <v>899</v>
      </c>
      <c r="ED5" s="1" t="s">
        <v>901</v>
      </c>
      <c r="EE5" s="1" t="s">
        <v>902</v>
      </c>
      <c r="EF5" s="5" t="s">
        <v>903</v>
      </c>
      <c r="EG5" s="5" t="s">
        <v>904</v>
      </c>
      <c r="EI5" s="5" t="s">
        <v>1120</v>
      </c>
      <c r="EJ5" s="5" t="s">
        <v>1121</v>
      </c>
      <c r="EK5" s="5" t="s">
        <v>1122</v>
      </c>
      <c r="EL5" s="5" t="s">
        <v>1123</v>
      </c>
      <c r="EM5" s="5" t="s">
        <v>1124</v>
      </c>
      <c r="EN5" s="5" t="s">
        <v>1126</v>
      </c>
      <c r="EP5" s="1" t="s">
        <v>1136</v>
      </c>
      <c r="EQ5" s="1" t="s">
        <v>1137</v>
      </c>
      <c r="ER5" s="1" t="s">
        <v>1138</v>
      </c>
      <c r="ES5" s="1" t="s">
        <v>1139</v>
      </c>
      <c r="ET5" s="1" t="s">
        <v>1140</v>
      </c>
      <c r="EW5" s="1" t="s">
        <v>1136</v>
      </c>
      <c r="EX5" s="1" t="s">
        <v>1137</v>
      </c>
      <c r="EY5" s="1" t="s">
        <v>1138</v>
      </c>
      <c r="EZ5" s="1" t="s">
        <v>1139</v>
      </c>
      <c r="FA5" s="1" t="s">
        <v>1140</v>
      </c>
      <c r="FB5" s="1" t="s">
        <v>1143</v>
      </c>
    </row>
    <row r="6" spans="1:161" s="305" customFormat="1">
      <c r="A6" s="305" t="str">
        <f>B6&amp;C6</f>
        <v>2212미래</v>
      </c>
      <c r="B6" s="305">
        <v>2212</v>
      </c>
      <c r="C6" s="305" t="s">
        <v>0</v>
      </c>
      <c r="D6" s="306"/>
      <c r="E6" s="306"/>
      <c r="F6" s="306"/>
      <c r="G6" s="306"/>
      <c r="H6" s="306"/>
      <c r="I6" s="307"/>
      <c r="J6" s="307"/>
      <c r="K6" s="307"/>
      <c r="L6" s="306"/>
      <c r="M6" s="306"/>
      <c r="N6" s="308">
        <f>O6-P6</f>
        <v>2875241.8153539901</v>
      </c>
      <c r="O6" s="308">
        <v>2875241.8153539901</v>
      </c>
      <c r="P6" s="308"/>
      <c r="Q6" s="308">
        <v>365633.24053499999</v>
      </c>
      <c r="R6" s="308">
        <v>1708684.7948739999</v>
      </c>
      <c r="S6" s="308"/>
      <c r="T6" s="308"/>
      <c r="U6" s="316"/>
      <c r="V6" s="316"/>
      <c r="W6" s="316"/>
      <c r="X6" s="308">
        <v>365633</v>
      </c>
      <c r="Y6" s="308">
        <v>-1504463</v>
      </c>
      <c r="Z6" s="308">
        <v>1906556</v>
      </c>
      <c r="AA6" s="308">
        <v>-3080</v>
      </c>
      <c r="AB6" s="308">
        <v>-34967</v>
      </c>
      <c r="AC6" s="308">
        <v>1</v>
      </c>
      <c r="AD6" s="308">
        <v>1586</v>
      </c>
      <c r="AE6" s="308">
        <f>X6-SUM(Y6:AD6)</f>
        <v>0</v>
      </c>
      <c r="AF6" s="306"/>
      <c r="AG6" s="306"/>
      <c r="AH6" s="306"/>
      <c r="AI6" s="306"/>
      <c r="AJ6" s="306"/>
      <c r="AK6" s="306"/>
      <c r="AL6" s="306"/>
      <c r="AM6" s="306"/>
      <c r="AN6" s="306"/>
      <c r="AO6" s="306"/>
      <c r="AP6" s="306"/>
      <c r="AQ6" s="308"/>
      <c r="AR6" s="308"/>
      <c r="AS6" s="308">
        <f t="shared" ref="AS6:AS12" si="148">+AO6+AP6-AQ6</f>
        <v>0</v>
      </c>
      <c r="AT6" s="308">
        <f t="shared" ref="AT6:AT12" si="149">+AJ6+AK6+AL6-AM6+AN6-AI6</f>
        <v>0</v>
      </c>
      <c r="AU6" s="308">
        <f t="shared" ref="AU6:AU12" si="150">+AF6+AI6-AO6</f>
        <v>0</v>
      </c>
      <c r="AV6" s="308">
        <f t="shared" ref="AV6:AV12" si="151">+AF6</f>
        <v>0</v>
      </c>
      <c r="AW6" s="308">
        <f t="shared" ref="AW6:AW12" si="152">+AI6</f>
        <v>0</v>
      </c>
      <c r="AX6" s="308">
        <f t="shared" ref="AX6:AX12" si="153">+AP6</f>
        <v>0</v>
      </c>
      <c r="AY6" s="308">
        <f t="shared" ref="AY6:AY12" si="154">+SUM(AV6:AX6)</f>
        <v>0</v>
      </c>
      <c r="AZ6" s="306"/>
      <c r="BA6" s="306"/>
      <c r="BB6" s="307">
        <f t="shared" ref="BB6:BB56" si="155">+BF6/(BU6+BV6+BW6)</f>
        <v>0</v>
      </c>
      <c r="BC6" s="306"/>
      <c r="BD6" s="306"/>
      <c r="BE6" s="306"/>
      <c r="BF6" s="306"/>
      <c r="BG6" s="306"/>
      <c r="BH6" s="306"/>
      <c r="BI6" s="306"/>
      <c r="BJ6" s="306"/>
      <c r="BK6" s="306"/>
      <c r="BL6" s="308">
        <f t="shared" ref="BL6:BL12" si="156">+BK6-BC6-SUM(BD6:BJ6)</f>
        <v>0</v>
      </c>
      <c r="BM6" s="306"/>
      <c r="BN6" s="306"/>
      <c r="BO6" s="306"/>
      <c r="BP6" s="306"/>
      <c r="BQ6" s="306"/>
      <c r="BR6" s="306"/>
      <c r="BS6" s="306"/>
      <c r="BT6" s="308">
        <v>810242.02336200001</v>
      </c>
      <c r="BU6" s="308">
        <v>21738494</v>
      </c>
      <c r="BV6" s="308">
        <v>397537</v>
      </c>
      <c r="BW6" s="308">
        <v>1979495</v>
      </c>
      <c r="BX6" s="308"/>
      <c r="BY6" s="308"/>
      <c r="BZ6" s="308"/>
      <c r="CA6" s="308"/>
      <c r="CB6" s="308"/>
      <c r="CC6" s="306"/>
      <c r="CD6" s="306"/>
      <c r="CE6" s="306"/>
      <c r="CF6" s="306"/>
      <c r="CG6" s="306"/>
      <c r="CH6" s="306"/>
      <c r="CI6" s="306"/>
      <c r="CJ6" s="306"/>
      <c r="CK6" s="306"/>
      <c r="CL6" s="306"/>
      <c r="CM6" s="306"/>
      <c r="CN6" s="307"/>
      <c r="CO6" s="306"/>
      <c r="CP6" s="306"/>
      <c r="CQ6" s="307"/>
      <c r="CR6" s="306"/>
      <c r="CS6" s="306"/>
      <c r="CT6" s="306"/>
      <c r="CU6" s="306"/>
      <c r="CV6" s="306"/>
      <c r="CW6" s="306"/>
      <c r="CX6" s="306"/>
      <c r="CY6" s="306"/>
      <c r="CZ6" s="306"/>
      <c r="DA6" s="306"/>
      <c r="DB6" s="306"/>
      <c r="DC6" s="307"/>
      <c r="DD6" s="306"/>
      <c r="DE6" s="306"/>
      <c r="DF6" s="306"/>
      <c r="DG6" s="306"/>
      <c r="DH6" s="306"/>
      <c r="DI6" s="306"/>
      <c r="DJ6" s="306"/>
      <c r="DK6" s="306"/>
      <c r="DL6" s="306"/>
      <c r="DM6" s="306"/>
      <c r="DN6" s="306"/>
      <c r="DO6" s="306"/>
      <c r="DP6" s="306"/>
      <c r="DQ6" s="306"/>
      <c r="DR6" s="306"/>
      <c r="DS6" s="306"/>
      <c r="DT6" s="306"/>
      <c r="DU6" s="306"/>
      <c r="DV6" s="306"/>
      <c r="DW6" s="306"/>
      <c r="DX6" s="306"/>
      <c r="DY6" s="306"/>
      <c r="DZ6" s="306"/>
      <c r="EA6" s="306"/>
      <c r="EB6" s="306"/>
      <c r="EC6" s="306"/>
      <c r="ED6" s="306"/>
      <c r="EE6" s="306"/>
      <c r="EP6" s="306"/>
      <c r="EQ6" s="306"/>
      <c r="ER6" s="306"/>
      <c r="ES6" s="306"/>
      <c r="ET6" s="306"/>
      <c r="EU6" s="306"/>
      <c r="EV6" s="306"/>
      <c r="EW6" s="306"/>
      <c r="EX6" s="306"/>
      <c r="EY6" s="306"/>
      <c r="EZ6" s="306"/>
      <c r="FA6" s="306"/>
      <c r="FB6" s="306"/>
    </row>
    <row r="7" spans="1:161" s="305" customFormat="1">
      <c r="A7" s="305" t="str">
        <f t="shared" ref="A7:A79" si="157">B7&amp;C7</f>
        <v>2312미래</v>
      </c>
      <c r="B7" s="305">
        <v>2312</v>
      </c>
      <c r="C7" s="305" t="s">
        <v>0</v>
      </c>
      <c r="D7" s="306">
        <v>33046193.024997</v>
      </c>
      <c r="E7" s="306">
        <v>15850238.18747</v>
      </c>
      <c r="F7" s="306">
        <v>11226454.380747</v>
      </c>
      <c r="G7" s="306">
        <v>4193467.3761689998</v>
      </c>
      <c r="H7" s="306">
        <v>142042.96550300001</v>
      </c>
      <c r="I7" s="307">
        <f t="shared" ref="I7:K8" si="158">+E7/$D7</f>
        <v>0.4796388550862869</v>
      </c>
      <c r="J7" s="307">
        <f t="shared" si="158"/>
        <v>0.33972005102842007</v>
      </c>
      <c r="K7" s="307">
        <f t="shared" si="158"/>
        <v>0.12689713980054987</v>
      </c>
      <c r="L7" s="306">
        <v>30027165.961452</v>
      </c>
      <c r="M7" s="306">
        <v>25645533.710570998</v>
      </c>
      <c r="N7" s="308">
        <f t="shared" ref="N7:N56" si="159">O7-P7</f>
        <v>3019027.0635449998</v>
      </c>
      <c r="O7" s="308">
        <v>3019027.0635449998</v>
      </c>
      <c r="P7" s="308"/>
      <c r="Q7" s="308">
        <v>400218.84124600003</v>
      </c>
      <c r="R7" s="308">
        <v>1817884.4423539999</v>
      </c>
      <c r="S7" s="308">
        <v>2875241.8153539901</v>
      </c>
      <c r="T7" s="308">
        <f>N6</f>
        <v>2875241.8153539901</v>
      </c>
      <c r="U7" s="316">
        <v>20806829</v>
      </c>
      <c r="V7" s="316">
        <v>19625964</v>
      </c>
      <c r="W7" s="320">
        <v>0.94320000000000004</v>
      </c>
      <c r="X7" s="308">
        <v>400219</v>
      </c>
      <c r="Y7" s="308">
        <v>-851131</v>
      </c>
      <c r="Z7" s="308">
        <v>1146603</v>
      </c>
      <c r="AA7" s="308">
        <v>-279</v>
      </c>
      <c r="AB7" s="308">
        <v>106721</v>
      </c>
      <c r="AC7" s="308">
        <v>1</v>
      </c>
      <c r="AD7" s="308">
        <v>-1696</v>
      </c>
      <c r="AE7" s="308">
        <f t="shared" ref="AE7:AE60" si="160">X7-SUM(Y7:AD7)</f>
        <v>0</v>
      </c>
      <c r="AF7" s="306">
        <v>169001</v>
      </c>
      <c r="AG7" s="306">
        <f>901599+17379</f>
        <v>918978</v>
      </c>
      <c r="AH7" s="449">
        <v>749977.84474800003</v>
      </c>
      <c r="AI7" s="306">
        <v>-22624.423384000002</v>
      </c>
      <c r="AJ7" s="306">
        <f>612083.239745-2954241.016695</f>
        <v>-2342157.7769500003</v>
      </c>
      <c r="AK7" s="306">
        <f>1479.463552-936.47891</f>
        <v>542.98464199999989</v>
      </c>
      <c r="AL7" s="306">
        <f t="shared" ref="AL7:AL12" si="161">+AI7-AJ7-AK7+AM7-AN7</f>
        <v>2367676.3760239999</v>
      </c>
      <c r="AM7" s="306">
        <v>20518.133900000001</v>
      </c>
      <c r="AN7" s="306">
        <f>24235.034747+529.822865+152653.798967-205586.529779</f>
        <v>-28167.873200000002</v>
      </c>
      <c r="AO7" s="306">
        <v>146376.34322400001</v>
      </c>
      <c r="AP7" s="306">
        <v>-4017.1268369999998</v>
      </c>
      <c r="AQ7" s="308">
        <v>142359.21638699999</v>
      </c>
      <c r="AR7" s="308">
        <v>109199.854875</v>
      </c>
      <c r="AS7" s="308">
        <f t="shared" si="148"/>
        <v>0</v>
      </c>
      <c r="AT7" s="308">
        <f t="shared" si="149"/>
        <v>-5.0204107537865639E-10</v>
      </c>
      <c r="AU7" s="308">
        <f t="shared" si="150"/>
        <v>0.23339199999463744</v>
      </c>
      <c r="AV7" s="308">
        <f t="shared" si="151"/>
        <v>169001</v>
      </c>
      <c r="AW7" s="308">
        <f t="shared" si="152"/>
        <v>-22624.423384000002</v>
      </c>
      <c r="AX7" s="308">
        <f t="shared" si="153"/>
        <v>-4017.1268369999998</v>
      </c>
      <c r="AY7" s="308">
        <f t="shared" si="154"/>
        <v>142359.44977900002</v>
      </c>
      <c r="AZ7" s="306"/>
      <c r="BA7" s="306"/>
      <c r="BB7" s="307">
        <f t="shared" si="155"/>
        <v>-2.9366385593257813E-2</v>
      </c>
      <c r="BC7" s="306">
        <v>365633.24053499999</v>
      </c>
      <c r="BD7" s="306">
        <v>653331.95833000005</v>
      </c>
      <c r="BE7" s="306"/>
      <c r="BF7" s="306">
        <f>-759953.049663+2800.822033</f>
        <v>-757152.2276300001</v>
      </c>
      <c r="BG7" s="306">
        <v>141688.02544</v>
      </c>
      <c r="BH7" s="306">
        <v>2.8349999999999998E-3</v>
      </c>
      <c r="BI7" s="306">
        <v>-3282.0932640000001</v>
      </c>
      <c r="BJ7" s="306">
        <v>-6.5000000000000002E-2</v>
      </c>
      <c r="BK7" s="306">
        <v>400218.84124600003</v>
      </c>
      <c r="BL7" s="308">
        <f t="shared" si="156"/>
        <v>8.7311491370201111E-11</v>
      </c>
      <c r="BM7" s="306">
        <v>1708684.7948739999</v>
      </c>
      <c r="BN7" s="306"/>
      <c r="BO7" s="306"/>
      <c r="BP7" s="306">
        <v>109199.854875</v>
      </c>
      <c r="BQ7" s="306">
        <v>-0.207395</v>
      </c>
      <c r="BR7" s="306"/>
      <c r="BS7" s="306">
        <v>1817884.4423539999</v>
      </c>
      <c r="BT7" s="308">
        <f>+BM7+SUM(BN7:BQ7)-BS7</f>
        <v>0</v>
      </c>
      <c r="BU7" s="308">
        <v>23381005</v>
      </c>
      <c r="BV7" s="308">
        <v>380499</v>
      </c>
      <c r="BW7" s="308">
        <v>2021452</v>
      </c>
      <c r="BX7" s="308">
        <v>292054</v>
      </c>
      <c r="BY7" s="308">
        <v>197764</v>
      </c>
      <c r="BZ7" s="421">
        <f>-117836-110097+26396+103028+725</f>
        <v>-97784</v>
      </c>
      <c r="CA7" s="308">
        <f>20816+18220+6012+393+11</f>
        <v>45452</v>
      </c>
      <c r="CB7" s="308">
        <v>1979495</v>
      </c>
      <c r="CC7" s="306"/>
      <c r="CD7" s="306">
        <f t="shared" ref="CD7:CD12" si="162">CB7+BX7-BY7+BZ7+CA7-BW7</f>
        <v>1</v>
      </c>
      <c r="CE7" s="306">
        <v>175878</v>
      </c>
      <c r="CF7" s="306">
        <v>153432</v>
      </c>
      <c r="CG7" s="306">
        <v>367246</v>
      </c>
      <c r="CH7" s="306">
        <v>428330</v>
      </c>
      <c r="CI7" s="306">
        <v>896566</v>
      </c>
      <c r="CJ7" s="306">
        <v>2021452</v>
      </c>
      <c r="CK7" s="306">
        <v>0</v>
      </c>
      <c r="CL7" s="306"/>
      <c r="CM7" s="306"/>
      <c r="CN7" s="307"/>
      <c r="CO7" s="306"/>
      <c r="CP7" s="306"/>
      <c r="CQ7" s="307">
        <v>2.1080000000000001</v>
      </c>
      <c r="CR7" s="306">
        <v>3936222</v>
      </c>
      <c r="CS7" s="306">
        <v>1867653</v>
      </c>
      <c r="CT7" s="306"/>
      <c r="CU7" s="306">
        <v>900203</v>
      </c>
      <c r="CV7" s="306"/>
      <c r="CW7" s="306"/>
      <c r="CX7" s="306"/>
      <c r="CY7" s="306"/>
      <c r="CZ7" s="306"/>
      <c r="DA7" s="306"/>
      <c r="DB7" s="306"/>
      <c r="DC7" s="307">
        <v>0.91300000000000003</v>
      </c>
      <c r="DD7" s="306">
        <v>402839.77104899997</v>
      </c>
      <c r="DE7" s="306">
        <v>441091.03773899999</v>
      </c>
      <c r="DF7" s="306"/>
      <c r="DG7" s="306">
        <f>+DH7+DK7</f>
        <v>-19275.119519999989</v>
      </c>
      <c r="DH7" s="306">
        <f>+DI7-DJ7</f>
        <v>-852.68763699999545</v>
      </c>
      <c r="DI7" s="306">
        <v>435094.85386000003</v>
      </c>
      <c r="DJ7" s="306">
        <v>435947.54149700003</v>
      </c>
      <c r="DK7" s="306">
        <v>-18422.431882999994</v>
      </c>
      <c r="DL7" s="306">
        <v>125405.50582300001</v>
      </c>
      <c r="DM7" s="306">
        <v>143827.93770600003</v>
      </c>
      <c r="DN7" s="306"/>
      <c r="DO7" s="306"/>
      <c r="DP7" s="306"/>
      <c r="DQ7" s="306"/>
      <c r="DR7" s="306"/>
      <c r="DS7" s="306"/>
      <c r="DT7" s="306"/>
      <c r="DU7" s="306"/>
      <c r="DV7" s="306"/>
      <c r="DW7" s="306"/>
      <c r="DX7" s="306"/>
      <c r="DY7" s="306"/>
      <c r="DZ7" s="306"/>
      <c r="EA7" s="306"/>
      <c r="EB7" s="306"/>
      <c r="EC7" s="306"/>
      <c r="ED7" s="306"/>
      <c r="EE7" s="306"/>
      <c r="EP7" s="306"/>
      <c r="EQ7" s="306"/>
      <c r="ER7" s="306"/>
      <c r="ES7" s="306"/>
      <c r="ET7" s="306"/>
      <c r="EU7" s="306"/>
      <c r="EV7" s="306"/>
      <c r="EW7" s="306"/>
      <c r="EX7" s="306"/>
      <c r="EY7" s="306"/>
      <c r="EZ7" s="306"/>
      <c r="FA7" s="306"/>
      <c r="FB7" s="306"/>
    </row>
    <row r="8" spans="1:161" s="305" customFormat="1">
      <c r="A8" s="305" t="str">
        <f t="shared" si="157"/>
        <v>2412미래</v>
      </c>
      <c r="B8" s="305">
        <v>2412</v>
      </c>
      <c r="C8" s="305" t="s">
        <v>0</v>
      </c>
      <c r="D8" s="306">
        <v>32404438.804745998</v>
      </c>
      <c r="E8" s="306">
        <v>15392284.369488999</v>
      </c>
      <c r="F8" s="306">
        <v>11969183.336758999</v>
      </c>
      <c r="G8" s="306">
        <v>3499463.44569</v>
      </c>
      <c r="H8" s="306">
        <v>142042.96550300001</v>
      </c>
      <c r="I8" s="307">
        <f t="shared" si="158"/>
        <v>0.47500542941773227</v>
      </c>
      <c r="J8" s="307">
        <f t="shared" si="158"/>
        <v>0.36936863523172558</v>
      </c>
      <c r="K8" s="307">
        <f t="shared" si="158"/>
        <v>0.10799333593697243</v>
      </c>
      <c r="L8" s="306">
        <v>29851200.854977999</v>
      </c>
      <c r="M8" s="306">
        <v>26248411.835352998</v>
      </c>
      <c r="N8" s="308">
        <f t="shared" si="159"/>
        <v>2553237.9497679998</v>
      </c>
      <c r="O8" s="308">
        <v>2553237.9497679998</v>
      </c>
      <c r="P8" s="308"/>
      <c r="Q8" s="308">
        <v>-190609.90917599999</v>
      </c>
      <c r="R8" s="308">
        <v>1942924.0789989999</v>
      </c>
      <c r="S8" s="308">
        <v>3019027.0635449998</v>
      </c>
      <c r="T8" s="308">
        <f>N7</f>
        <v>3019027.0635449998</v>
      </c>
      <c r="U8" s="316">
        <v>20335973</v>
      </c>
      <c r="V8" s="316">
        <v>19251277</v>
      </c>
      <c r="W8" s="320">
        <v>0.94669999999999999</v>
      </c>
      <c r="X8" s="308">
        <v>-190610</v>
      </c>
      <c r="Y8" s="308">
        <v>-663571</v>
      </c>
      <c r="Z8" s="308">
        <v>259438</v>
      </c>
      <c r="AA8" s="308">
        <v>-311</v>
      </c>
      <c r="AB8" s="308">
        <v>215428</v>
      </c>
      <c r="AC8" s="308">
        <v>1</v>
      </c>
      <c r="AD8" s="308">
        <v>-1595</v>
      </c>
      <c r="AE8" s="308">
        <f t="shared" si="160"/>
        <v>0</v>
      </c>
      <c r="AF8" s="306">
        <v>119275.544347</v>
      </c>
      <c r="AG8" s="306">
        <v>983399.64428500005</v>
      </c>
      <c r="AH8" s="306">
        <v>864124.09993799997</v>
      </c>
      <c r="AI8" s="306">
        <v>-4336.6400290000001</v>
      </c>
      <c r="AJ8" s="306">
        <f>319182.610551-2393087.757924</f>
        <v>-2073905.1473729997</v>
      </c>
      <c r="AK8" s="306">
        <f>2023.866051-1217.984427</f>
        <v>805.88162399999987</v>
      </c>
      <c r="AL8" s="306">
        <f t="shared" si="161"/>
        <v>2065232.9364019998</v>
      </c>
      <c r="AM8" s="306">
        <v>20023.981185000001</v>
      </c>
      <c r="AN8" s="306">
        <f>12600.127718+370.579051+160260.090131-149677.126397</f>
        <v>23553.670503000001</v>
      </c>
      <c r="AO8" s="306">
        <v>114938.904318</v>
      </c>
      <c r="AP8" s="306">
        <v>883.98245199999997</v>
      </c>
      <c r="AQ8" s="308">
        <v>115822.88677</v>
      </c>
      <c r="AR8" s="308">
        <v>125038.95284</v>
      </c>
      <c r="AS8" s="308">
        <f t="shared" si="148"/>
        <v>0</v>
      </c>
      <c r="AT8" s="308">
        <f t="shared" si="149"/>
        <v>9.0949470177292824E-12</v>
      </c>
      <c r="AU8" s="308">
        <f t="shared" si="150"/>
        <v>0</v>
      </c>
      <c r="AV8" s="308">
        <f t="shared" si="151"/>
        <v>119275.544347</v>
      </c>
      <c r="AW8" s="308">
        <f t="shared" si="152"/>
        <v>-4336.6400290000001</v>
      </c>
      <c r="AX8" s="308">
        <f t="shared" si="153"/>
        <v>883.98245199999997</v>
      </c>
      <c r="AY8" s="308">
        <f t="shared" si="154"/>
        <v>115822.88677</v>
      </c>
      <c r="AZ8" s="306"/>
      <c r="BA8" s="306"/>
      <c r="BB8" s="307">
        <f t="shared" si="155"/>
        <v>-3.3800021653995684E-2</v>
      </c>
      <c r="BC8" s="306">
        <v>400218.84124600003</v>
      </c>
      <c r="BD8" s="306">
        <v>187559.89175800001</v>
      </c>
      <c r="BE8" s="306"/>
      <c r="BF8" s="306">
        <f>-887165.296388-31.597595</f>
        <v>-887196.89398300007</v>
      </c>
      <c r="BG8" s="306">
        <v>108707.310233</v>
      </c>
      <c r="BH8" s="306">
        <v>0.209707</v>
      </c>
      <c r="BI8" s="306">
        <v>101.415668</v>
      </c>
      <c r="BJ8" s="306">
        <v>-0.683805</v>
      </c>
      <c r="BK8" s="306">
        <v>-190609.90917599999</v>
      </c>
      <c r="BL8" s="309">
        <f t="shared" si="156"/>
        <v>0</v>
      </c>
      <c r="BM8" s="306">
        <v>1817884.4423539999</v>
      </c>
      <c r="BN8" s="306"/>
      <c r="BO8" s="306"/>
      <c r="BP8" s="306">
        <v>125038.95284</v>
      </c>
      <c r="BQ8" s="306">
        <v>0.683805</v>
      </c>
      <c r="BR8" s="306"/>
      <c r="BS8" s="306">
        <v>1942924.0789989999</v>
      </c>
      <c r="BT8" s="308">
        <f t="shared" ref="BT8:BT9" si="163">+BM8+SUM(BN8:BQ8)-BS8</f>
        <v>0</v>
      </c>
      <c r="BU8" s="308">
        <f>5432747+2726072+9418032+6190308+16328</f>
        <v>23783487</v>
      </c>
      <c r="BV8" s="308">
        <f>165905+141890+36747+42171</f>
        <v>386713</v>
      </c>
      <c r="BW8" s="308">
        <f>785941+883688+239327+168607+649</f>
        <v>2078212</v>
      </c>
      <c r="BX8" s="308">
        <f>109764+231736+34685+18420</f>
        <v>394605</v>
      </c>
      <c r="BY8" s="308">
        <f>74087+60168+35799+27570+67</f>
        <v>197691</v>
      </c>
      <c r="BZ8" s="308">
        <f>-241935+111141-61713+1174-217</f>
        <v>-191550</v>
      </c>
      <c r="CA8" s="308">
        <f>23065+22822+5151+337+23</f>
        <v>51398</v>
      </c>
      <c r="CB8" s="308">
        <f>969134+578158+297004+176246+910</f>
        <v>2021452</v>
      </c>
      <c r="CC8" s="717">
        <f>+BU8/BU7</f>
        <v>1.0172140590192766</v>
      </c>
      <c r="CD8" s="306">
        <f t="shared" si="162"/>
        <v>2</v>
      </c>
      <c r="CE8" s="306">
        <v>183466.07368599999</v>
      </c>
      <c r="CF8" s="306">
        <f>163097.691359+144244.932329</f>
        <v>307342.62368800002</v>
      </c>
      <c r="CG8" s="306">
        <f>129115.170765+116992.624975</f>
        <v>246107.79574</v>
      </c>
      <c r="CH8" s="306">
        <v>448823.26254899998</v>
      </c>
      <c r="CI8" s="306">
        <v>892472.31331600004</v>
      </c>
      <c r="CJ8" s="306">
        <f>SUM(CD8:CI8)</f>
        <v>2078214.0689790002</v>
      </c>
      <c r="CK8" s="306">
        <v>0</v>
      </c>
      <c r="CL8" s="306"/>
      <c r="CM8" s="306"/>
      <c r="CN8" s="307"/>
      <c r="CO8" s="306"/>
      <c r="CP8" s="306"/>
      <c r="CQ8" s="307">
        <v>1.9239999999999999</v>
      </c>
      <c r="CR8" s="306">
        <v>3579638</v>
      </c>
      <c r="CS8" s="306">
        <v>1860572</v>
      </c>
      <c r="CT8" s="306"/>
      <c r="CU8" s="306">
        <v>992343</v>
      </c>
      <c r="CV8" s="306"/>
      <c r="CW8" s="310">
        <v>0.97</v>
      </c>
      <c r="CX8" s="310">
        <v>1.03</v>
      </c>
      <c r="CY8" s="310">
        <v>-0.06</v>
      </c>
      <c r="CZ8" s="311">
        <f>+CX8/CW8</f>
        <v>1.0618556701030928</v>
      </c>
      <c r="DA8" s="306"/>
      <c r="DB8" s="306"/>
      <c r="DC8" s="307">
        <v>0.90600000000000003</v>
      </c>
      <c r="DD8" s="306">
        <v>462029.642559</v>
      </c>
      <c r="DE8" s="306">
        <v>418416.696681</v>
      </c>
      <c r="DF8" s="306"/>
      <c r="DG8" s="306">
        <f>+DH8+DK8</f>
        <v>-26017.888354000053</v>
      </c>
      <c r="DH8" s="306">
        <f>+DI8-DJ8</f>
        <v>-26458.126704000053</v>
      </c>
      <c r="DI8" s="306">
        <v>449061.22033899999</v>
      </c>
      <c r="DJ8" s="306">
        <v>475519.34704300005</v>
      </c>
      <c r="DK8" s="306">
        <v>440.23835000000042</v>
      </c>
      <c r="DL8" s="306">
        <v>155074.05759499999</v>
      </c>
      <c r="DM8" s="306">
        <v>154633.81924500002</v>
      </c>
      <c r="DN8" s="306"/>
      <c r="DO8" s="306"/>
      <c r="DP8" s="306"/>
      <c r="DQ8" s="306"/>
      <c r="DR8" s="306"/>
      <c r="DS8" s="306"/>
      <c r="DT8" s="306"/>
      <c r="DU8" s="306"/>
      <c r="DV8" s="306"/>
      <c r="DW8" s="306"/>
      <c r="DX8" s="306"/>
      <c r="DY8" s="306"/>
      <c r="DZ8" s="306"/>
      <c r="EA8" s="306"/>
      <c r="EB8" s="306"/>
      <c r="EC8" s="306"/>
      <c r="ED8" s="306"/>
      <c r="EE8" s="306"/>
      <c r="EP8" s="306">
        <v>322239.56118999998</v>
      </c>
      <c r="EQ8" s="306">
        <v>-284865.56403800001</v>
      </c>
      <c r="ER8" s="306">
        <v>41396.232524999999</v>
      </c>
      <c r="ES8" s="306">
        <v>479025.97172700003</v>
      </c>
      <c r="ET8" s="306">
        <f>-324819.032059+16850.52573</f>
        <v>-307968.506329</v>
      </c>
      <c r="EU8" s="306"/>
      <c r="EV8" s="306"/>
      <c r="EW8" s="306">
        <v>-322239.56118999998</v>
      </c>
      <c r="EX8" s="306">
        <v>284865.56403800001</v>
      </c>
      <c r="EY8" s="306">
        <v>-41396.232524999999</v>
      </c>
      <c r="EZ8" s="306">
        <v>-479025.97172700003</v>
      </c>
      <c r="FA8" s="306">
        <v>341669.55778899998</v>
      </c>
      <c r="FB8" s="306">
        <v>24575.710336</v>
      </c>
    </row>
    <row r="9" spans="1:161" s="305" customFormat="1">
      <c r="A9" s="305" t="str">
        <f t="shared" si="157"/>
        <v>2503미래</v>
      </c>
      <c r="B9" s="305">
        <v>2503</v>
      </c>
      <c r="C9" s="305" t="s">
        <v>1106</v>
      </c>
      <c r="D9" s="306">
        <v>32214588.505663998</v>
      </c>
      <c r="E9" s="306">
        <v>15112991.502851</v>
      </c>
      <c r="F9" s="306">
        <v>12442117.804533999</v>
      </c>
      <c r="G9" s="306">
        <v>3110827.729214</v>
      </c>
      <c r="H9" s="306">
        <v>142042.96550300001</v>
      </c>
      <c r="I9" s="307">
        <f t="shared" ref="I9" si="164">+E9/$D9</f>
        <v>0.46913501627356874</v>
      </c>
      <c r="J9" s="307">
        <f t="shared" ref="J9" si="165">+F9/$D9</f>
        <v>0.38622619073176784</v>
      </c>
      <c r="K9" s="307">
        <f t="shared" ref="K9" si="166">+G9/$D9</f>
        <v>9.6565806782447389E-2</v>
      </c>
      <c r="L9" s="306">
        <v>29747791.285061002</v>
      </c>
      <c r="M9" s="306">
        <v>26550413.233904</v>
      </c>
      <c r="N9" s="308">
        <f t="shared" si="159"/>
        <v>2466797.2206029999</v>
      </c>
      <c r="O9" s="308">
        <v>2466797.2206029999</v>
      </c>
      <c r="P9" s="308"/>
      <c r="Q9" s="308">
        <v>-301370.40651599999</v>
      </c>
      <c r="R9" s="308">
        <v>1967243.847174</v>
      </c>
      <c r="S9" s="308">
        <v>2553237.9497679998</v>
      </c>
      <c r="T9" s="308">
        <f>N8</f>
        <v>2553237.9497679998</v>
      </c>
      <c r="U9" s="316">
        <v>20439867</v>
      </c>
      <c r="V9" s="316">
        <v>19288639</v>
      </c>
      <c r="W9" s="320">
        <v>0.94369999999999998</v>
      </c>
      <c r="X9" s="308">
        <v>-301370</v>
      </c>
      <c r="Y9" s="308">
        <v>-368683</v>
      </c>
      <c r="Z9" s="308">
        <v>-207613</v>
      </c>
      <c r="AA9" s="308">
        <v>-1553</v>
      </c>
      <c r="AB9" s="308">
        <v>277924</v>
      </c>
      <c r="AC9" s="308">
        <v>1</v>
      </c>
      <c r="AD9" s="308">
        <v>-1446</v>
      </c>
      <c r="AE9" s="308">
        <f t="shared" si="160"/>
        <v>0</v>
      </c>
      <c r="AF9" s="306">
        <v>38885.306582999998</v>
      </c>
      <c r="AG9" s="306">
        <v>265006.26378199999</v>
      </c>
      <c r="AH9" s="306">
        <v>226120.957199</v>
      </c>
      <c r="AI9" s="306">
        <v>352.608881</v>
      </c>
      <c r="AJ9" s="306">
        <f>275924.10502-292067.265999</f>
        <v>-16143.160978999978</v>
      </c>
      <c r="AK9" s="306">
        <f>836.704159-58.941728</f>
        <v>777.76243099999999</v>
      </c>
      <c r="AL9" s="306">
        <f t="shared" si="161"/>
        <v>-7333.7955790000233</v>
      </c>
      <c r="AM9" s="306">
        <v>5082.5885509999998</v>
      </c>
      <c r="AN9" s="306">
        <f>1175.242597+131.46588+43483.302428-16655.619346</f>
        <v>28134.391559000003</v>
      </c>
      <c r="AO9" s="306">
        <v>39237.915463999998</v>
      </c>
      <c r="AP9" s="306">
        <v>-973.40160000000003</v>
      </c>
      <c r="AQ9" s="308">
        <v>38264.513864</v>
      </c>
      <c r="AR9" s="308">
        <v>24319.768175000001</v>
      </c>
      <c r="AS9" s="308">
        <f t="shared" si="148"/>
        <v>0</v>
      </c>
      <c r="AT9" s="308">
        <f t="shared" si="149"/>
        <v>0</v>
      </c>
      <c r="AU9" s="308">
        <f t="shared" si="150"/>
        <v>0</v>
      </c>
      <c r="AV9" s="308">
        <f t="shared" si="151"/>
        <v>38885.306582999998</v>
      </c>
      <c r="AW9" s="308">
        <f t="shared" si="152"/>
        <v>352.608881</v>
      </c>
      <c r="AX9" s="308">
        <f t="shared" si="153"/>
        <v>-973.40160000000003</v>
      </c>
      <c r="AY9" s="308">
        <f t="shared" si="154"/>
        <v>38264.513864</v>
      </c>
      <c r="AZ9" s="306"/>
      <c r="BA9" s="306"/>
      <c r="BB9" s="307"/>
      <c r="BC9" s="306">
        <v>-190609.90917599999</v>
      </c>
      <c r="BD9" s="306">
        <f>294887.487859</f>
        <v>294887.48785899999</v>
      </c>
      <c r="BE9" s="306"/>
      <c r="BF9" s="306">
        <f>-467051.502113-1241.479465</f>
        <v>-468292.98157800001</v>
      </c>
      <c r="BG9" s="306">
        <v>62495.836189000001</v>
      </c>
      <c r="BH9" s="306">
        <v>-3.7620000000000002E-3</v>
      </c>
      <c r="BI9" s="306">
        <v>149.13952</v>
      </c>
      <c r="BJ9" s="306"/>
      <c r="BK9" s="306">
        <v>-301370.40651599999</v>
      </c>
      <c r="BL9" s="308">
        <f t="shared" si="156"/>
        <v>2.4432000020169653E-2</v>
      </c>
      <c r="BM9" s="306">
        <v>1942924.0789989999</v>
      </c>
      <c r="BN9" s="306"/>
      <c r="BO9" s="306"/>
      <c r="BP9" s="306">
        <v>24319.768175000001</v>
      </c>
      <c r="BQ9" s="306"/>
      <c r="BR9" s="306"/>
      <c r="BS9" s="306">
        <v>1967243.847174</v>
      </c>
      <c r="BT9" s="308">
        <f t="shared" si="163"/>
        <v>0</v>
      </c>
      <c r="BU9" s="308">
        <f>5871417+2756082+9408496+6029242+16031</f>
        <v>24081268</v>
      </c>
      <c r="BV9" s="308">
        <f>156433+151932+35252+40801</f>
        <v>384418</v>
      </c>
      <c r="BW9" s="308">
        <f>724057+951273+226685+182058+654</f>
        <v>2084727</v>
      </c>
      <c r="BX9" s="308">
        <f>10269+115167+8234+7369</f>
        <v>141039</v>
      </c>
      <c r="BY9" s="308">
        <f>14783+19426+7634+6516+14</f>
        <v>48373</v>
      </c>
      <c r="BZ9" s="308">
        <f>-62318-36386+-14623+12456+16</f>
        <v>-100855</v>
      </c>
      <c r="CA9" s="308">
        <f>4948+8230+1380+142+4</f>
        <v>14704</v>
      </c>
      <c r="CB9" s="308">
        <f>785941+883688+239327+168607+649</f>
        <v>2078212</v>
      </c>
      <c r="CC9" s="306"/>
      <c r="CD9" s="306">
        <f t="shared" si="162"/>
        <v>0</v>
      </c>
      <c r="CE9" s="306">
        <v>186138.66198999999</v>
      </c>
      <c r="CF9" s="306">
        <f>166162.698702+147001.065743</f>
        <v>313163.76444499998</v>
      </c>
      <c r="CG9" s="306">
        <f>131739.650401+119448.308749</f>
        <v>251187.95915000001</v>
      </c>
      <c r="CH9" s="306">
        <v>458123.30099586101</v>
      </c>
      <c r="CI9" s="306">
        <v>876112.94908556005</v>
      </c>
      <c r="CJ9" s="306">
        <v>2084727</v>
      </c>
      <c r="CK9" s="306">
        <v>0</v>
      </c>
      <c r="CL9" s="306"/>
      <c r="CM9" s="306"/>
      <c r="CN9" s="307"/>
      <c r="CO9" s="306"/>
      <c r="CP9" s="306"/>
      <c r="CQ9" s="307">
        <v>1.833</v>
      </c>
      <c r="CR9" s="306">
        <v>3451122</v>
      </c>
      <c r="CS9" s="306">
        <v>1883004</v>
      </c>
      <c r="CT9" s="306"/>
      <c r="CU9" s="306">
        <v>1031843</v>
      </c>
      <c r="CV9" s="306"/>
      <c r="CW9" s="310"/>
      <c r="CX9" s="310"/>
      <c r="CY9" s="310"/>
      <c r="CZ9" s="311"/>
      <c r="DA9" s="306"/>
      <c r="DB9" s="306"/>
      <c r="DC9" s="307">
        <v>0.88400000000000001</v>
      </c>
      <c r="DD9" s="306">
        <v>121713.099858</v>
      </c>
      <c r="DE9" s="306">
        <v>107559.708235</v>
      </c>
      <c r="DF9" s="306"/>
      <c r="DG9" s="306">
        <f>+DH9+DK9</f>
        <v>10987.931092000013</v>
      </c>
      <c r="DH9" s="306">
        <f>+DI9-DJ9</f>
        <v>4353.7648660000123</v>
      </c>
      <c r="DI9" s="306">
        <v>117072.54388500001</v>
      </c>
      <c r="DJ9" s="306">
        <v>112718.77901899999</v>
      </c>
      <c r="DK9" s="306">
        <f>+DL9-DM9</f>
        <v>6634.1662260000012</v>
      </c>
      <c r="DL9" s="306">
        <v>46543.094497999999</v>
      </c>
      <c r="DM9" s="306">
        <v>39908.928271999997</v>
      </c>
      <c r="DN9" s="306"/>
      <c r="DO9" s="306"/>
      <c r="DP9" s="306"/>
      <c r="DQ9" s="306"/>
      <c r="DR9" s="306"/>
      <c r="DS9" s="306"/>
      <c r="DT9" s="306"/>
      <c r="DU9" s="306"/>
      <c r="DV9" s="306"/>
      <c r="DW9" s="306"/>
      <c r="DX9" s="306"/>
      <c r="DY9" s="306"/>
      <c r="DZ9" s="306"/>
      <c r="EA9" s="306"/>
      <c r="EB9" s="306"/>
      <c r="EC9" s="306"/>
      <c r="ED9" s="306"/>
      <c r="EE9" s="306"/>
      <c r="EP9" s="306"/>
      <c r="EQ9" s="306"/>
      <c r="ER9" s="306"/>
      <c r="ES9" s="306"/>
      <c r="ET9" s="306"/>
      <c r="EU9" s="306"/>
      <c r="EV9" s="306"/>
      <c r="EW9" s="306"/>
      <c r="EX9" s="306"/>
      <c r="EY9" s="306"/>
      <c r="EZ9" s="306"/>
      <c r="FA9" s="306"/>
      <c r="FB9" s="306"/>
    </row>
    <row r="10" spans="1:161" s="305" customFormat="1">
      <c r="A10" s="305" t="str">
        <f t="shared" si="157"/>
        <v>2506미래</v>
      </c>
      <c r="B10" s="305">
        <v>2506</v>
      </c>
      <c r="C10" s="305" t="s">
        <v>1106</v>
      </c>
      <c r="D10" s="306">
        <v>32215468.491140999</v>
      </c>
      <c r="E10" s="306">
        <v>15656028.855630999</v>
      </c>
      <c r="F10" s="306">
        <v>12053808.702816</v>
      </c>
      <c r="G10" s="306">
        <v>3067006.1056789998</v>
      </c>
      <c r="H10" s="306">
        <v>142042.96550300001</v>
      </c>
      <c r="I10" s="307">
        <f t="shared" ref="I10:I11" si="167">+E10/$D10</f>
        <v>0.48597861800259973</v>
      </c>
      <c r="J10" s="307">
        <f t="shared" ref="J10:J11" si="168">+F10/$D10</f>
        <v>0.37416214220602451</v>
      </c>
      <c r="K10" s="307">
        <f t="shared" ref="K10:K12" si="169">+G10/$D10</f>
        <v>9.5202902497674449E-2</v>
      </c>
      <c r="L10" s="306">
        <v>29744745.599780999</v>
      </c>
      <c r="M10" s="306">
        <v>26726920.177777998</v>
      </c>
      <c r="N10" s="308">
        <f>O10-P10</f>
        <v>2470722.8913599998</v>
      </c>
      <c r="O10" s="308">
        <v>2470722.8913599998</v>
      </c>
      <c r="P10" s="308"/>
      <c r="Q10" s="308">
        <v>-347798.366721</v>
      </c>
      <c r="R10" s="308">
        <v>2017597.478136</v>
      </c>
      <c r="S10" s="308">
        <v>2553237.9497679998</v>
      </c>
      <c r="T10" s="308">
        <f>T9</f>
        <v>2553237.9497679998</v>
      </c>
      <c r="U10" s="316">
        <v>19952535</v>
      </c>
      <c r="V10" s="316">
        <v>18966515</v>
      </c>
      <c r="W10" s="320">
        <v>0.9506</v>
      </c>
      <c r="X10" s="308">
        <v>-347798.366721</v>
      </c>
      <c r="Y10" s="308">
        <v>-514563.224048</v>
      </c>
      <c r="Z10" s="308">
        <v>-28949.164986</v>
      </c>
      <c r="AA10" s="308">
        <v>-2208.532674</v>
      </c>
      <c r="AB10" s="308">
        <v>198983.62318</v>
      </c>
      <c r="AC10" s="308">
        <v>0.72154399999999996</v>
      </c>
      <c r="AD10" s="308">
        <v>-1061.7897370000001</v>
      </c>
      <c r="AE10" s="308">
        <f t="shared" si="160"/>
        <v>0</v>
      </c>
      <c r="AF10" s="306">
        <v>83561.575138999993</v>
      </c>
      <c r="AG10" s="306">
        <v>532293.41954999999</v>
      </c>
      <c r="AH10" s="306">
        <v>448731.84441100003</v>
      </c>
      <c r="AI10" s="306">
        <v>20415.610315999998</v>
      </c>
      <c r="AJ10" s="306">
        <f>459787.038625-1054527.226523</f>
        <v>-594740.187898</v>
      </c>
      <c r="AK10" s="306">
        <f>1656.88045-1173.499672</f>
        <v>483.38077800000019</v>
      </c>
      <c r="AL10" s="306">
        <f t="shared" si="161"/>
        <v>583102.94576899998</v>
      </c>
      <c r="AM10" s="306">
        <v>10167.640203000001</v>
      </c>
      <c r="AN10" s="306">
        <f>3989.989192+276.709411+83064.202417-45593.78915</f>
        <v>41737.111869999993</v>
      </c>
      <c r="AO10" s="306">
        <v>103977.185455</v>
      </c>
      <c r="AP10" s="306">
        <v>-2377.131308</v>
      </c>
      <c r="AQ10" s="308">
        <v>101600.054147</v>
      </c>
      <c r="AR10" s="308">
        <v>74673.399137</v>
      </c>
      <c r="AS10" s="308">
        <f t="shared" si="148"/>
        <v>0</v>
      </c>
      <c r="AT10" s="308">
        <f t="shared" si="149"/>
        <v>-3.637978807091713E-11</v>
      </c>
      <c r="AU10" s="308">
        <f t="shared" si="150"/>
        <v>0</v>
      </c>
      <c r="AV10" s="308">
        <f t="shared" si="151"/>
        <v>83561.575138999993</v>
      </c>
      <c r="AW10" s="308">
        <f t="shared" si="152"/>
        <v>20415.610315999998</v>
      </c>
      <c r="AX10" s="308">
        <f t="shared" si="153"/>
        <v>-2377.131308</v>
      </c>
      <c r="AY10" s="308">
        <f t="shared" si="154"/>
        <v>101600.054147</v>
      </c>
      <c r="AZ10" s="306"/>
      <c r="BA10" s="306"/>
      <c r="BB10" s="307"/>
      <c r="BC10" s="306">
        <v>-190609.90917599999</v>
      </c>
      <c r="BD10" s="308">
        <f>149007.451646</f>
        <v>149007.451646</v>
      </c>
      <c r="BE10" s="308"/>
      <c r="BF10" s="308">
        <v>-290284.57479299995</v>
      </c>
      <c r="BG10" s="308">
        <v>-16444.273150000001</v>
      </c>
      <c r="BH10" s="308">
        <v>-3.0479999999999999E-3</v>
      </c>
      <c r="BI10" s="308">
        <v>532.94169999999997</v>
      </c>
      <c r="BJ10" s="308"/>
      <c r="BK10" s="306">
        <v>-347798.366721</v>
      </c>
      <c r="BL10" s="308">
        <f t="shared" si="156"/>
        <v>9.9999946542084217E-5</v>
      </c>
      <c r="BM10" s="306">
        <f>+BM9</f>
        <v>1942924.0789989999</v>
      </c>
      <c r="BN10" s="306"/>
      <c r="BO10" s="306"/>
      <c r="BP10" s="306">
        <v>74673.399137</v>
      </c>
      <c r="BQ10" s="306"/>
      <c r="BR10" s="306"/>
      <c r="BS10" s="306">
        <v>2017597.478136</v>
      </c>
      <c r="BT10" s="308">
        <f>+BM10+SUM(BN10:BQ10)-BS10</f>
        <v>0</v>
      </c>
      <c r="BU10" s="308">
        <v>24139969.938636001</v>
      </c>
      <c r="BV10" s="308">
        <v>401723.31667700002</v>
      </c>
      <c r="BW10" s="308">
        <v>2185226.9224700001</v>
      </c>
      <c r="BX10" s="308">
        <v>245194.972691</v>
      </c>
      <c r="BY10" s="308">
        <v>99207.397517999998</v>
      </c>
      <c r="BZ10" s="308">
        <v>-68549.585917999997</v>
      </c>
      <c r="CA10" s="308">
        <v>29576.864236000001</v>
      </c>
      <c r="CB10" s="308">
        <f>+CB9</f>
        <v>2078212</v>
      </c>
      <c r="CC10" s="306"/>
      <c r="CD10" s="306">
        <f t="shared" si="162"/>
        <v>-6.8979000207036734E-2</v>
      </c>
      <c r="CE10" s="306">
        <v>196394.46128399999</v>
      </c>
      <c r="CF10" s="306">
        <v>330676.07214800001</v>
      </c>
      <c r="CG10" s="306">
        <v>265377.54825499997</v>
      </c>
      <c r="CH10" s="306">
        <v>481939.87236799998</v>
      </c>
      <c r="CI10" s="306">
        <v>910838.96841500001</v>
      </c>
      <c r="CJ10" s="306">
        <v>2185226.9224700001</v>
      </c>
      <c r="CK10" s="441">
        <f>CJ10-SUM(CE10:CI10)</f>
        <v>0</v>
      </c>
      <c r="CL10" s="306"/>
      <c r="CM10" s="306"/>
      <c r="CN10" s="307"/>
      <c r="CO10" s="306"/>
      <c r="CP10" s="306"/>
      <c r="CQ10" s="307">
        <v>1.835</v>
      </c>
      <c r="CR10" s="306">
        <v>3548527</v>
      </c>
      <c r="CS10" s="306">
        <v>1933826</v>
      </c>
      <c r="CT10" s="306"/>
      <c r="CU10" s="306">
        <v>1075511.1597160001</v>
      </c>
      <c r="CV10" s="306"/>
      <c r="CW10" s="310"/>
      <c r="CX10" s="310"/>
      <c r="CY10" s="310"/>
      <c r="CZ10" s="311"/>
      <c r="DA10" s="306"/>
      <c r="DB10" s="306"/>
      <c r="DC10" s="307">
        <v>0.89336860751190428</v>
      </c>
      <c r="DD10" s="306">
        <v>220173.29952500001</v>
      </c>
      <c r="DE10" s="306">
        <v>246452.91727699997</v>
      </c>
      <c r="DF10" s="306"/>
      <c r="DG10" s="306">
        <v>6782.5020740000036</v>
      </c>
      <c r="DH10" s="306">
        <v>-4898.1258949999929</v>
      </c>
      <c r="DI10" s="306">
        <v>235814.396802</v>
      </c>
      <c r="DJ10" s="306">
        <v>240712.52269700001</v>
      </c>
      <c r="DK10" s="306">
        <v>11680.627968999996</v>
      </c>
      <c r="DL10" s="306">
        <v>90947.315084000002</v>
      </c>
      <c r="DM10" s="306">
        <v>79266.687114999993</v>
      </c>
      <c r="DN10" s="306"/>
      <c r="DO10" s="306"/>
      <c r="DP10" s="306"/>
      <c r="DQ10" s="306"/>
      <c r="DR10" s="306"/>
      <c r="DS10" s="306"/>
      <c r="DT10" s="306"/>
      <c r="DU10" s="306"/>
      <c r="DV10" s="306"/>
      <c r="DW10" s="306"/>
      <c r="DX10" s="306"/>
      <c r="DY10" s="306"/>
      <c r="DZ10" s="306"/>
      <c r="EA10" s="306"/>
      <c r="EB10" s="306"/>
      <c r="EC10" s="306"/>
      <c r="ED10" s="306"/>
      <c r="EE10" s="306"/>
      <c r="EP10" s="306"/>
      <c r="EQ10" s="306"/>
      <c r="ER10" s="306"/>
      <c r="ES10" s="306"/>
      <c r="ET10" s="306"/>
      <c r="EU10" s="306"/>
      <c r="EV10" s="306"/>
      <c r="EW10" s="306"/>
      <c r="EX10" s="306"/>
      <c r="EY10" s="306"/>
      <c r="EZ10" s="306"/>
      <c r="FA10" s="306"/>
      <c r="FB10" s="306"/>
    </row>
    <row r="11" spans="1:161" s="305" customFormat="1">
      <c r="A11" s="305" t="str">
        <f t="shared" si="157"/>
        <v>2509미래</v>
      </c>
      <c r="B11" s="305">
        <v>2509</v>
      </c>
      <c r="C11" s="305" t="s">
        <v>1113</v>
      </c>
      <c r="D11" s="306">
        <v>33165463.238683999</v>
      </c>
      <c r="E11" s="306">
        <v>16558856.627634</v>
      </c>
      <c r="F11" s="306">
        <v>12326566.814335</v>
      </c>
      <c r="G11" s="306">
        <v>2883514.038402</v>
      </c>
      <c r="H11" s="306">
        <v>142042.96550300001</v>
      </c>
      <c r="I11" s="307">
        <f t="shared" si="167"/>
        <v>0.49928012488364248</v>
      </c>
      <c r="J11" s="307">
        <f t="shared" si="168"/>
        <v>0.37166876656067221</v>
      </c>
      <c r="K11" s="307">
        <f t="shared" si="169"/>
        <v>8.6943276433379846E-2</v>
      </c>
      <c r="L11" s="306">
        <v>30683351.810687002</v>
      </c>
      <c r="M11" s="306">
        <v>27342067.893353</v>
      </c>
      <c r="N11" s="308">
        <f>O11-P11</f>
        <v>2482111.427997</v>
      </c>
      <c r="O11" s="308">
        <v>2482111.427997</v>
      </c>
      <c r="P11" s="308"/>
      <c r="Q11" s="308">
        <v>-382933.654079</v>
      </c>
      <c r="R11" s="308">
        <v>2064121.302131</v>
      </c>
      <c r="S11" s="308">
        <v>2553237.9497679998</v>
      </c>
      <c r="T11" s="308">
        <f>T10</f>
        <v>2553237.9497679998</v>
      </c>
      <c r="U11" s="316">
        <v>19873173</v>
      </c>
      <c r="V11" s="316">
        <v>19069967</v>
      </c>
      <c r="W11" s="320">
        <v>0.95960000000000001</v>
      </c>
      <c r="X11" s="308">
        <v>-382933.654079</v>
      </c>
      <c r="Y11" s="308">
        <v>-563472.23329400003</v>
      </c>
      <c r="Z11" s="308">
        <v>69595.550105999995</v>
      </c>
      <c r="AA11" s="308">
        <v>-1981.914014</v>
      </c>
      <c r="AB11" s="308">
        <v>113268.772136</v>
      </c>
      <c r="AC11" s="308">
        <v>0.72181099999999998</v>
      </c>
      <c r="AD11" s="308">
        <v>-344.55082399999998</v>
      </c>
      <c r="AE11" s="308">
        <f>X11-SUM(Y11:AD11)</f>
        <v>0</v>
      </c>
      <c r="AF11" s="306">
        <v>117870.78557000001</v>
      </c>
      <c r="AG11" s="306">
        <v>814383.52123900002</v>
      </c>
      <c r="AH11" s="306">
        <v>696512.73566899996</v>
      </c>
      <c r="AI11" s="306">
        <v>44958.711119</v>
      </c>
      <c r="AJ11" s="306">
        <f>478403.888726-2110926.278601</f>
        <v>-1632522.3898750001</v>
      </c>
      <c r="AK11" s="306">
        <f>2449.857952-1713.452802</f>
        <v>736.40514999999982</v>
      </c>
      <c r="AL11" s="306">
        <f t="shared" si="161"/>
        <v>1644411.712641</v>
      </c>
      <c r="AM11" s="306">
        <v>15483.933790999999</v>
      </c>
      <c r="AN11" s="306">
        <f>6665.151354+395.044936+127664.078122-86907.357418</f>
        <v>47816.916993999999</v>
      </c>
      <c r="AO11" s="306">
        <v>162829.49668899999</v>
      </c>
      <c r="AP11" s="306">
        <v>-2693.6640550000002</v>
      </c>
      <c r="AQ11" s="308">
        <v>160135.83263399999</v>
      </c>
      <c r="AR11" s="308">
        <v>121197.223132</v>
      </c>
      <c r="AS11" s="308">
        <f t="shared" si="148"/>
        <v>0</v>
      </c>
      <c r="AT11" s="308">
        <f t="shared" si="149"/>
        <v>-5.8207660913467407E-11</v>
      </c>
      <c r="AU11" s="308">
        <f t="shared" si="150"/>
        <v>0</v>
      </c>
      <c r="AV11" s="308">
        <f t="shared" si="151"/>
        <v>117870.78557000001</v>
      </c>
      <c r="AW11" s="308">
        <f t="shared" si="152"/>
        <v>44958.711119</v>
      </c>
      <c r="AX11" s="308">
        <f t="shared" si="153"/>
        <v>-2693.6640550000002</v>
      </c>
      <c r="AY11" s="308">
        <f t="shared" si="154"/>
        <v>160135.83263399999</v>
      </c>
      <c r="AZ11" s="306"/>
      <c r="BA11" s="306"/>
      <c r="BB11" s="307"/>
      <c r="BC11" s="306">
        <v>-190609.90917599999</v>
      </c>
      <c r="BD11" s="306">
        <v>100098.4424</v>
      </c>
      <c r="BE11" s="306"/>
      <c r="BF11" s="306">
        <f>+-189842.305865+-1670.935076</f>
        <v>-191513.240941</v>
      </c>
      <c r="BG11" s="306">
        <v>-102159.124194</v>
      </c>
      <c r="BH11" s="306">
        <v>2.7810000000000001E-3</v>
      </c>
      <c r="BI11" s="306">
        <v>1250.180613</v>
      </c>
      <c r="BJ11" s="306"/>
      <c r="BK11" s="306">
        <v>-382933.654079</v>
      </c>
      <c r="BL11" s="308">
        <f t="shared" si="156"/>
        <v>-5.5620000057388097E-3</v>
      </c>
      <c r="BM11" s="306">
        <v>1942924.0789989999</v>
      </c>
      <c r="BN11" s="306"/>
      <c r="BO11" s="306"/>
      <c r="BP11" s="306">
        <v>121197.223132</v>
      </c>
      <c r="BQ11" s="306"/>
      <c r="BR11" s="306"/>
      <c r="BS11" s="306">
        <v>2064121.302131</v>
      </c>
      <c r="BT11" s="308">
        <f>+BM11+SUM(BN11:BQ11)-BS11</f>
        <v>0</v>
      </c>
      <c r="BU11" s="308">
        <f>6039323.845646+2447769.827923+9499652.310289+6570276.055479+37243.952227</f>
        <v>24594265.991563998</v>
      </c>
      <c r="BV11" s="308">
        <f>159797.837745+174142.666228+37716.646347+43162.416306+49.941881</f>
        <v>414869.50850699999</v>
      </c>
      <c r="BW11" s="306">
        <v>2332932.393282</v>
      </c>
      <c r="BX11" s="308">
        <f>30979.104317+314839.333346+26303.183298+21194.739678+2972.937908</f>
        <v>396289.29854700004</v>
      </c>
      <c r="BY11" s="306">
        <f>13584.293228+16957.560499+15289.849026+7732.267328+17141.148694+36567.56829+2084.687639+20445.109747+1964.909176+4110.208143+13010.669969+4103.188218+42.917109+86.139391</f>
        <v>153120.51645699999</v>
      </c>
      <c r="BZ11" s="308">
        <f>3296.615734-20519.464785+5989.719328-7411.085046+6888.116298-76468.241456-1199.316143+6236.198559-4240.411307+932.010207+57333.315579-4258.544788+38.493574+64.59784</f>
        <v>-33317.996406000013</v>
      </c>
      <c r="CA11" s="308">
        <f>3112.224975+5771.748812+5606.713632+2808.1501+5955.649759+17042.189958+32.523451+4086.231271+0.0117212+440.722281+12.267168</f>
        <v>44868.433128199991</v>
      </c>
      <c r="CB11" s="308">
        <f>+CB10</f>
        <v>2078212</v>
      </c>
      <c r="CC11" s="306"/>
      <c r="CD11" s="306">
        <f t="shared" si="162"/>
        <v>-1.174469799734652</v>
      </c>
      <c r="CE11" s="306">
        <v>210646.86569000001</v>
      </c>
      <c r="CF11" s="306">
        <v>354876.40743112681</v>
      </c>
      <c r="CG11" s="306">
        <v>284271.27995947626</v>
      </c>
      <c r="CH11" s="306">
        <v>515143.08884564252</v>
      </c>
      <c r="CI11" s="306">
        <v>967994.75047637592</v>
      </c>
      <c r="CJ11" s="306">
        <v>2332932.393282</v>
      </c>
      <c r="CK11" s="441">
        <f>CJ11-SUM(CE11:CI11)</f>
        <v>8.7937852367758751E-4</v>
      </c>
      <c r="CL11" s="306"/>
      <c r="CM11" s="306"/>
      <c r="CN11" s="307"/>
      <c r="CO11" s="306"/>
      <c r="CP11" s="306"/>
      <c r="CQ11" s="307">
        <v>1.83</v>
      </c>
      <c r="CR11" s="306">
        <v>3666942</v>
      </c>
      <c r="CS11" s="306">
        <v>2004067</v>
      </c>
      <c r="CT11" s="306"/>
      <c r="CU11" s="306">
        <v>1147657.4280059999</v>
      </c>
      <c r="CV11" s="306"/>
      <c r="CW11" s="310"/>
      <c r="CX11" s="310"/>
      <c r="CY11" s="310"/>
      <c r="CZ11" s="311"/>
      <c r="DA11" s="306"/>
      <c r="DB11" s="306"/>
      <c r="DC11" s="307">
        <v>0.91700000000000004</v>
      </c>
      <c r="DD11" s="306">
        <v>375222</v>
      </c>
      <c r="DE11" s="306">
        <v>344097</v>
      </c>
      <c r="DF11" s="306"/>
      <c r="DG11" s="306">
        <v>-6308.5361139999886</v>
      </c>
      <c r="DH11" s="306">
        <v>-23843.958915999992</v>
      </c>
      <c r="DI11" s="306">
        <v>359227.47938600002</v>
      </c>
      <c r="DJ11" s="306">
        <v>383071.43830200005</v>
      </c>
      <c r="DK11" s="306">
        <v>17535.422802000005</v>
      </c>
      <c r="DL11" s="306">
        <v>141053.81201900003</v>
      </c>
      <c r="DM11" s="306">
        <v>123518.38921699999</v>
      </c>
      <c r="DN11" s="306"/>
      <c r="DO11" s="306"/>
      <c r="DP11" s="306"/>
      <c r="DQ11" s="306"/>
      <c r="DR11" s="306"/>
      <c r="DS11" s="306"/>
      <c r="DT11" s="306"/>
      <c r="DU11" s="306"/>
      <c r="DV11" s="306"/>
      <c r="DW11" s="306"/>
      <c r="DX11" s="306"/>
      <c r="DY11" s="306"/>
      <c r="DZ11" s="306"/>
      <c r="EA11" s="306"/>
      <c r="EB11" s="306"/>
      <c r="EC11" s="306"/>
      <c r="ED11" s="306"/>
      <c r="EE11" s="306"/>
      <c r="EI11" s="306">
        <v>30979.104317000001</v>
      </c>
      <c r="EJ11" s="306">
        <v>314839.333346</v>
      </c>
      <c r="EK11" s="306">
        <v>26303.183298</v>
      </c>
      <c r="EL11" s="306">
        <v>21194.739678000002</v>
      </c>
      <c r="EM11" s="306">
        <v>2972.9379079999999</v>
      </c>
      <c r="EN11" s="306">
        <f>SUM(EI11:EM11)</f>
        <v>396289.29854700004</v>
      </c>
      <c r="EO11" s="447">
        <f>+EN11-BX11</f>
        <v>0</v>
      </c>
      <c r="EP11" s="306"/>
      <c r="EQ11" s="306"/>
      <c r="ER11" s="306"/>
      <c r="ES11" s="306"/>
      <c r="ET11" s="306"/>
      <c r="EU11" s="306"/>
      <c r="EV11" s="306"/>
      <c r="EW11" s="306"/>
      <c r="EX11" s="306"/>
      <c r="EY11" s="306"/>
      <c r="EZ11" s="306"/>
      <c r="FA11" s="306"/>
      <c r="FB11" s="306"/>
    </row>
    <row r="12" spans="1:161" s="305" customFormat="1">
      <c r="A12" s="305" t="str">
        <f t="shared" si="157"/>
        <v>2512미래</v>
      </c>
      <c r="B12" s="305">
        <v>2512</v>
      </c>
      <c r="C12" s="305" t="s">
        <v>1129</v>
      </c>
      <c r="D12" s="306">
        <v>32855181.935106002</v>
      </c>
      <c r="E12" s="306">
        <v>16944446.771969002</v>
      </c>
      <c r="F12" s="306">
        <v>11663557.366015</v>
      </c>
      <c r="G12" s="306">
        <v>2801450.3997920002</v>
      </c>
      <c r="H12" s="306">
        <v>142042.96550300001</v>
      </c>
      <c r="I12" s="307">
        <f>+E12/$D12</f>
        <v>0.51573133289710194</v>
      </c>
      <c r="J12" s="307">
        <f>+F12/$D12</f>
        <v>0.35499901930393524</v>
      </c>
      <c r="K12" s="307">
        <f t="shared" si="169"/>
        <v>8.5266622638866904E-2</v>
      </c>
      <c r="L12" s="306">
        <v>30418680.379437</v>
      </c>
      <c r="M12" s="306">
        <v>26996698.255523</v>
      </c>
      <c r="N12" s="308">
        <f>O12-P12</f>
        <v>2436501.5556689999</v>
      </c>
      <c r="O12" s="308">
        <v>2436501.5556689999</v>
      </c>
      <c r="P12" s="308"/>
      <c r="Q12" s="308">
        <v>-432246.69249599997</v>
      </c>
      <c r="R12" s="308">
        <v>2067824.4682199999</v>
      </c>
      <c r="S12" s="308">
        <v>2553237.9497679998</v>
      </c>
      <c r="T12" s="308">
        <f>T11</f>
        <v>2553237.9497679998</v>
      </c>
      <c r="U12" s="316"/>
      <c r="V12" s="316">
        <v>18541000</v>
      </c>
      <c r="W12" s="320">
        <v>0.95730000000000004</v>
      </c>
      <c r="X12" s="308">
        <f>+Q12</f>
        <v>-432246.69249599997</v>
      </c>
      <c r="Y12" s="308">
        <v>-1046247.890303</v>
      </c>
      <c r="Z12" s="308">
        <v>632811.51359600003</v>
      </c>
      <c r="AA12" s="308">
        <v>-2748.7731939999999</v>
      </c>
      <c r="AB12" s="308">
        <v>-20537.736696</v>
      </c>
      <c r="AC12" s="308">
        <v>0.72459200000000001</v>
      </c>
      <c r="AD12" s="308">
        <v>4475.4354590000003</v>
      </c>
      <c r="AE12" s="308">
        <f>X12-SUM(Y12:AD12)</f>
        <v>3.4049999958369881E-2</v>
      </c>
      <c r="AF12" s="306">
        <v>111990.10958400001</v>
      </c>
      <c r="AG12" s="306">
        <v>1104076.6873369999</v>
      </c>
      <c r="AH12" s="306">
        <v>992086.57775299996</v>
      </c>
      <c r="AI12" s="306">
        <v>73866.156524000005</v>
      </c>
      <c r="AJ12" s="306">
        <f>663731.847798-2936510.796988</f>
        <v>-2272778.9491900001</v>
      </c>
      <c r="AK12" s="306">
        <f>3308.249396-2284.439882</f>
        <v>1023.809514</v>
      </c>
      <c r="AL12" s="306">
        <f t="shared" si="161"/>
        <v>2307056.1069510002</v>
      </c>
      <c r="AM12" s="306">
        <v>20658.569664999999</v>
      </c>
      <c r="AN12" s="306">
        <f>9031.070614+518.770904+165405.099672-115731.182276</f>
        <v>59223.758914000005</v>
      </c>
      <c r="AO12" s="306">
        <v>185856.26610800001</v>
      </c>
      <c r="AP12" s="306">
        <v>3400.510773</v>
      </c>
      <c r="AQ12" s="308">
        <v>189256.776881</v>
      </c>
      <c r="AR12" s="308">
        <v>124900.389221</v>
      </c>
      <c r="AS12" s="308">
        <f t="shared" si="148"/>
        <v>0</v>
      </c>
      <c r="AT12" s="308">
        <f t="shared" si="149"/>
        <v>1.7462298274040222E-10</v>
      </c>
      <c r="AU12" s="308">
        <f t="shared" si="150"/>
        <v>0</v>
      </c>
      <c r="AV12" s="308">
        <f t="shared" si="151"/>
        <v>111990.10958400001</v>
      </c>
      <c r="AW12" s="308">
        <f t="shared" si="152"/>
        <v>73866.156524000005</v>
      </c>
      <c r="AX12" s="308">
        <f t="shared" si="153"/>
        <v>3400.510773</v>
      </c>
      <c r="AY12" s="308">
        <f t="shared" si="154"/>
        <v>189256.776881</v>
      </c>
      <c r="AZ12" s="306"/>
      <c r="BA12" s="306"/>
      <c r="BB12" s="307"/>
      <c r="BC12" s="306">
        <v>-190609.90917599999</v>
      </c>
      <c r="BD12" s="306">
        <v>-382677.21460900002</v>
      </c>
      <c r="BE12" s="306"/>
      <c r="BF12" s="306">
        <f>373373.657625+-2437.794256</f>
        <v>370935.86336899997</v>
      </c>
      <c r="BG12" s="306">
        <v>-235965.633026</v>
      </c>
      <c r="BH12" s="306">
        <v>3.4049999999999997E-2</v>
      </c>
      <c r="BI12" s="306">
        <v>6070.1668959999997</v>
      </c>
      <c r="BJ12" s="306"/>
      <c r="BK12" s="306">
        <v>-432246.69249599997</v>
      </c>
      <c r="BL12" s="309">
        <f t="shared" si="156"/>
        <v>0</v>
      </c>
      <c r="BM12" s="306">
        <v>1942924.0789989999</v>
      </c>
      <c r="BN12" s="306"/>
      <c r="BO12" s="306"/>
      <c r="BP12" s="306">
        <v>124900.389221</v>
      </c>
      <c r="BQ12" s="306"/>
      <c r="BR12" s="306"/>
      <c r="BS12" s="306">
        <v>2067824.4682199999</v>
      </c>
      <c r="BT12" s="308">
        <f>+BM12+SUM(BN12:BQ12)-BS12</f>
        <v>0</v>
      </c>
      <c r="BU12" s="308">
        <f>6034920.352084+2353007.969413+9367000.083161+6733879.382617+42420.846957</f>
        <v>24531228.634232003</v>
      </c>
      <c r="BV12" s="308">
        <f>154307.100816+170190.238917+36366.68649+45124.333949+56.140872</f>
        <v>406044.50104400003</v>
      </c>
      <c r="BW12" s="308">
        <f>186193.155118+217081.603023+180082.133328+117923.775898+205065.445862+619969.014007+17458.112157+198395.693328+22020.252884+33515.2057849999+227265.474265+30259.611363+26.023606+3167.619423</f>
        <v>2058423.120047</v>
      </c>
      <c r="BX12" s="308">
        <f>42762.869628+428736.37896+38252.28994+26313.645583+3812.931232</f>
        <v>539878.11534300004</v>
      </c>
      <c r="BY12" s="308">
        <f>17291.145164+21565.046307+19976.565286+10000.469469+21801.688158+49978.016679+2689.752156+28157.207902+2785.419853+5630.320853+19706.654532+6033.978065+43.444029+171.775312</f>
        <v>205831.48376500004</v>
      </c>
      <c r="BZ12" s="308">
        <f>-55298.738834-101072.009729-49465.546933-16991.890593-48068.104323-257953.948654-3394.065953+17927.388097-26014.623867+6068.394068+129864.605759-9025.113413-596.312971-473.536497</f>
        <v>-414493.50384299998</v>
      </c>
      <c r="CA12" s="308">
        <f>4110.72912+7578.252413+7633.264369+3690.63802+7925.890765+23711.286192+43.072892+5365.155561+0.117212+582.575501+16.941288</f>
        <v>60657.923332999992</v>
      </c>
      <c r="CB12" s="308">
        <f>+CB11</f>
        <v>2078212</v>
      </c>
      <c r="CC12" s="306"/>
      <c r="CD12" s="306">
        <f t="shared" si="162"/>
        <v>-6.8979000207036734E-2</v>
      </c>
      <c r="CE12" s="306">
        <v>201415.23565595216</v>
      </c>
      <c r="CF12" s="306">
        <v>331159.07351917151</v>
      </c>
      <c r="CG12" s="306">
        <v>258258.95508378345</v>
      </c>
      <c r="CH12" s="306">
        <v>457082.79772276606</v>
      </c>
      <c r="CI12" s="306">
        <v>810507.058065327</v>
      </c>
      <c r="CJ12" s="306">
        <f>SUM(CE12:CI12)</f>
        <v>2058423.1200470002</v>
      </c>
      <c r="CK12" s="441">
        <f>CJ12-SUM(CE12:CI12)</f>
        <v>0</v>
      </c>
      <c r="CL12" s="306"/>
      <c r="CM12" s="306"/>
      <c r="CN12" s="307"/>
      <c r="CO12" s="306"/>
      <c r="CP12" s="306"/>
      <c r="CQ12" s="307">
        <v>1.7669999999999999</v>
      </c>
      <c r="CR12" s="306">
        <v>3702239</v>
      </c>
      <c r="CS12" s="306">
        <v>2095393</v>
      </c>
      <c r="CT12" s="306"/>
      <c r="CU12" s="306">
        <v>1219968.1906920001</v>
      </c>
      <c r="CV12" s="306"/>
      <c r="CW12" s="310">
        <v>0.96</v>
      </c>
      <c r="CX12" s="310">
        <v>1.01</v>
      </c>
      <c r="CY12" s="310">
        <v>-0.05</v>
      </c>
      <c r="CZ12" s="311">
        <f>+CX12/CW12</f>
        <v>1.0520833333333335</v>
      </c>
      <c r="DA12" s="306"/>
      <c r="DB12" s="306"/>
      <c r="DC12" s="307">
        <v>0.91200000000000003</v>
      </c>
      <c r="DD12" s="306">
        <f>[1]EFF!$D$8*1000</f>
        <v>508763.6875</v>
      </c>
      <c r="DE12" s="306">
        <f>+[1]EFF!$D$7*1000</f>
        <v>464009.13690400001</v>
      </c>
      <c r="DF12" s="306"/>
      <c r="DG12" s="306">
        <v>-447.98281499999962</v>
      </c>
      <c r="DH12" s="306">
        <v>-28708.110223000007</v>
      </c>
      <c r="DI12" s="306">
        <v>485978.16151300003</v>
      </c>
      <c r="DJ12" s="306">
        <v>514686.27173600008</v>
      </c>
      <c r="DK12" s="306">
        <v>28260.127408000008</v>
      </c>
      <c r="DL12" s="306">
        <v>191959.39690800002</v>
      </c>
      <c r="DM12" s="306">
        <v>163699.26950000002</v>
      </c>
      <c r="DN12" s="306"/>
      <c r="DO12" s="306"/>
      <c r="DP12" s="306"/>
      <c r="DQ12" s="306"/>
      <c r="DR12" s="306"/>
      <c r="DS12" s="306"/>
      <c r="DT12" s="306"/>
      <c r="DU12" s="306"/>
      <c r="DV12" s="306"/>
      <c r="DW12" s="306"/>
      <c r="DX12" s="306"/>
      <c r="DY12" s="306"/>
      <c r="DZ12" s="306"/>
      <c r="EA12" s="306"/>
      <c r="EB12" s="306"/>
      <c r="EC12" s="306"/>
      <c r="ED12" s="306"/>
      <c r="EE12" s="306"/>
      <c r="EP12" s="306">
        <v>254778.168699</v>
      </c>
      <c r="EQ12" s="306">
        <v>231654.27222399999</v>
      </c>
      <c r="ER12" s="306">
        <v>45015.046446</v>
      </c>
      <c r="ES12" s="306">
        <v>290961.33214800002</v>
      </c>
      <c r="ET12" s="306">
        <f>-329416.501281-20175.751205</f>
        <v>-349592.25248599995</v>
      </c>
      <c r="EU12" s="306"/>
      <c r="EV12" s="306"/>
      <c r="EW12" s="306">
        <v>-254778.168699</v>
      </c>
      <c r="EX12" s="306">
        <v>-231654.27222399999</v>
      </c>
      <c r="EY12" s="306">
        <v>-45015.046446</v>
      </c>
      <c r="EZ12" s="306">
        <v>-290961.33214800002</v>
      </c>
      <c r="FA12" s="306">
        <v>349592.25248600001</v>
      </c>
      <c r="FB12" s="306">
        <v>58323.063188</v>
      </c>
    </row>
    <row r="13" spans="1:161" s="305" customFormat="1">
      <c r="D13" s="306"/>
      <c r="E13" s="306"/>
      <c r="F13" s="306"/>
      <c r="G13" s="306"/>
      <c r="H13" s="306"/>
      <c r="I13" s="307"/>
      <c r="J13" s="307"/>
      <c r="K13" s="307"/>
      <c r="L13" s="306"/>
      <c r="M13" s="306"/>
      <c r="N13" s="308"/>
      <c r="O13" s="308"/>
      <c r="P13" s="308"/>
      <c r="Q13" s="308"/>
      <c r="R13" s="308"/>
      <c r="S13" s="308"/>
      <c r="T13" s="308"/>
      <c r="U13" s="316"/>
      <c r="V13" s="316"/>
      <c r="W13" s="320"/>
      <c r="X13" s="308"/>
      <c r="Y13" s="308"/>
      <c r="Z13" s="308"/>
      <c r="AA13" s="308"/>
      <c r="AB13" s="308"/>
      <c r="AC13" s="308"/>
      <c r="AD13" s="308"/>
      <c r="AE13" s="308"/>
      <c r="AF13" s="306"/>
      <c r="AG13" s="306"/>
      <c r="AH13" s="306"/>
      <c r="AI13" s="306"/>
      <c r="AJ13" s="306"/>
      <c r="AK13" s="306"/>
      <c r="AL13" s="306"/>
      <c r="AM13" s="306"/>
      <c r="AN13" s="306"/>
      <c r="AO13" s="306"/>
      <c r="AP13" s="306"/>
      <c r="AQ13" s="308"/>
      <c r="AR13" s="308"/>
      <c r="AS13" s="308"/>
      <c r="AT13" s="308"/>
      <c r="AU13" s="308"/>
      <c r="AV13" s="308"/>
      <c r="AW13" s="308"/>
      <c r="AX13" s="308"/>
      <c r="AY13" s="308"/>
      <c r="AZ13" s="306"/>
      <c r="BA13" s="306"/>
      <c r="BB13" s="307"/>
      <c r="BC13" s="306"/>
      <c r="BD13" s="306"/>
      <c r="BE13" s="306"/>
      <c r="BF13" s="306"/>
      <c r="BG13" s="306"/>
      <c r="BH13" s="306"/>
      <c r="BI13" s="306"/>
      <c r="BJ13" s="306"/>
      <c r="BK13" s="306"/>
      <c r="BL13" s="309"/>
      <c r="BM13" s="306"/>
      <c r="BN13" s="306"/>
      <c r="BO13" s="306"/>
      <c r="BP13" s="306"/>
      <c r="BQ13" s="306"/>
      <c r="BR13" s="306"/>
      <c r="BS13" s="306"/>
      <c r="BT13" s="308"/>
      <c r="BU13" s="308"/>
      <c r="BV13" s="308"/>
      <c r="BW13" s="308"/>
      <c r="BX13" s="308"/>
      <c r="BY13" s="308"/>
      <c r="BZ13" s="308"/>
      <c r="CA13" s="308"/>
      <c r="CB13" s="308"/>
      <c r="CC13" s="306"/>
      <c r="CD13" s="306"/>
      <c r="CE13" s="306"/>
      <c r="CF13" s="306"/>
      <c r="CG13" s="306"/>
      <c r="CH13" s="306"/>
      <c r="CI13" s="306"/>
      <c r="CJ13" s="306"/>
      <c r="CK13" s="306"/>
      <c r="CL13" s="306"/>
      <c r="CM13" s="306"/>
      <c r="CN13" s="307"/>
      <c r="CO13" s="306"/>
      <c r="CP13" s="306"/>
      <c r="CQ13" s="307"/>
      <c r="CR13" s="306"/>
      <c r="CS13" s="306"/>
      <c r="CT13" s="306"/>
      <c r="CU13" s="306"/>
      <c r="CV13" s="306"/>
      <c r="CW13" s="310"/>
      <c r="CX13" s="310"/>
      <c r="CY13" s="310"/>
      <c r="CZ13" s="311"/>
      <c r="DA13" s="306"/>
      <c r="DB13" s="306"/>
      <c r="DC13" s="307"/>
      <c r="DD13" s="306"/>
      <c r="DE13" s="306"/>
      <c r="DF13" s="306"/>
      <c r="DG13" s="306"/>
      <c r="DH13" s="306"/>
      <c r="DI13" s="306"/>
      <c r="DJ13" s="307">
        <f>+DJ12/DI12</f>
        <v>1.0590728400914617</v>
      </c>
      <c r="DK13" s="306"/>
      <c r="DL13" s="306"/>
      <c r="DM13" s="306"/>
      <c r="DN13" s="306"/>
      <c r="DO13" s="306"/>
      <c r="DP13" s="306"/>
      <c r="DQ13" s="306"/>
      <c r="DR13" s="306"/>
      <c r="DS13" s="306"/>
      <c r="DT13" s="306"/>
      <c r="DU13" s="306"/>
      <c r="DV13" s="306"/>
      <c r="DW13" s="306"/>
      <c r="DX13" s="306"/>
      <c r="DY13" s="306"/>
      <c r="DZ13" s="306"/>
      <c r="EA13" s="306"/>
      <c r="EB13" s="306"/>
      <c r="EC13" s="306"/>
      <c r="ED13" s="306"/>
      <c r="EE13" s="306"/>
      <c r="EP13" s="306"/>
      <c r="EQ13" s="306"/>
      <c r="ER13" s="306"/>
      <c r="ES13" s="306"/>
      <c r="ET13" s="306"/>
      <c r="EU13" s="306"/>
      <c r="EV13" s="306"/>
      <c r="EW13" s="306"/>
      <c r="EX13" s="306"/>
      <c r="EY13" s="306"/>
      <c r="EZ13" s="306"/>
      <c r="FA13" s="306"/>
      <c r="FB13" s="306"/>
    </row>
    <row r="14" spans="1:161" s="433" customFormat="1" ht="15.75" customHeight="1">
      <c r="A14" s="433" t="str">
        <f t="shared" si="157"/>
        <v>2212삼성</v>
      </c>
      <c r="B14" s="433">
        <v>2212</v>
      </c>
      <c r="C14" s="433" t="s">
        <v>1032</v>
      </c>
      <c r="D14" s="434"/>
      <c r="E14" s="434"/>
      <c r="F14" s="434"/>
      <c r="G14" s="434"/>
      <c r="H14" s="434"/>
      <c r="I14" s="435"/>
      <c r="J14" s="435"/>
      <c r="K14" s="435"/>
      <c r="L14" s="434"/>
      <c r="M14" s="434"/>
      <c r="N14" s="436">
        <f t="shared" si="159"/>
        <v>35080056</v>
      </c>
      <c r="O14" s="436">
        <v>35080056</v>
      </c>
      <c r="P14" s="436"/>
      <c r="Q14" s="436">
        <v>12333777</v>
      </c>
      <c r="R14" s="436">
        <v>21654375</v>
      </c>
      <c r="S14" s="436"/>
      <c r="T14" s="436"/>
      <c r="U14" s="437"/>
      <c r="V14" s="437"/>
      <c r="W14" s="437"/>
      <c r="X14" s="436">
        <v>21654375</v>
      </c>
      <c r="Y14" s="436">
        <v>2925841</v>
      </c>
      <c r="Z14" s="436">
        <v>19161509</v>
      </c>
      <c r="AA14" s="436">
        <v>205367</v>
      </c>
      <c r="AB14" s="436">
        <v>-537982</v>
      </c>
      <c r="AC14" s="436"/>
      <c r="AD14" s="436">
        <v>-100361</v>
      </c>
      <c r="AE14" s="436"/>
      <c r="AF14" s="434"/>
      <c r="AG14" s="434"/>
      <c r="AH14" s="434"/>
      <c r="AI14" s="434"/>
      <c r="AJ14" s="434"/>
      <c r="AK14" s="434"/>
      <c r="AL14" s="434"/>
      <c r="AM14" s="434"/>
      <c r="AN14" s="434"/>
      <c r="AO14" s="434"/>
      <c r="AP14" s="434"/>
      <c r="AQ14" s="436"/>
      <c r="AR14" s="436"/>
      <c r="AS14" s="436"/>
      <c r="AT14" s="436"/>
      <c r="AU14" s="436"/>
      <c r="AV14" s="436"/>
      <c r="AW14" s="436"/>
      <c r="AX14" s="436"/>
      <c r="AY14" s="436"/>
      <c r="AZ14" s="434"/>
      <c r="BA14" s="434"/>
      <c r="BB14" s="435"/>
      <c r="BC14" s="434"/>
      <c r="BD14" s="434"/>
      <c r="BE14" s="434"/>
      <c r="BF14" s="434"/>
      <c r="BG14" s="434"/>
      <c r="BH14" s="434"/>
      <c r="BI14" s="434"/>
      <c r="BJ14" s="434"/>
      <c r="BK14" s="434"/>
      <c r="BL14" s="436"/>
      <c r="BM14" s="434"/>
      <c r="BN14" s="434"/>
      <c r="BO14" s="434"/>
      <c r="BP14" s="434"/>
      <c r="BQ14" s="434"/>
      <c r="BR14" s="434"/>
      <c r="BS14" s="434"/>
      <c r="BT14" s="436">
        <v>14452671</v>
      </c>
      <c r="BU14" s="436">
        <f>24175007+27645383+114447061</f>
        <v>166267451</v>
      </c>
      <c r="BV14" s="436">
        <f>1096498+1311375+545659</f>
        <v>2953532</v>
      </c>
      <c r="BW14" s="436">
        <f>3873867+1491760+2759146+1309527+196415+746588+371387</f>
        <v>10748690</v>
      </c>
      <c r="BX14" s="436"/>
      <c r="BY14" s="436"/>
      <c r="BZ14" s="436"/>
      <c r="CA14" s="436"/>
      <c r="CB14" s="436"/>
      <c r="CC14" s="434"/>
      <c r="CD14" s="434"/>
      <c r="CE14" s="434"/>
      <c r="CF14" s="434"/>
      <c r="CG14" s="434"/>
      <c r="CH14" s="434"/>
      <c r="CI14" s="434"/>
      <c r="CJ14" s="434"/>
      <c r="CK14" s="434"/>
      <c r="CL14" s="434"/>
      <c r="CM14" s="434"/>
      <c r="CN14" s="435"/>
      <c r="CO14" s="434"/>
      <c r="CP14" s="434"/>
      <c r="CQ14" s="435"/>
      <c r="CR14" s="434"/>
      <c r="CS14" s="434"/>
      <c r="CT14" s="434"/>
      <c r="CU14" s="434"/>
      <c r="CV14" s="434"/>
      <c r="CW14" s="434"/>
      <c r="CX14" s="434"/>
      <c r="CY14" s="434"/>
      <c r="CZ14" s="434"/>
      <c r="DA14" s="434"/>
      <c r="DB14" s="434"/>
      <c r="DC14" s="435"/>
      <c r="DD14" s="434"/>
      <c r="DE14" s="434"/>
      <c r="DF14" s="434"/>
      <c r="DG14" s="434"/>
      <c r="DH14" s="434"/>
      <c r="DI14" s="434"/>
      <c r="DJ14" s="434"/>
      <c r="DK14" s="434"/>
      <c r="DL14" s="434"/>
      <c r="DM14" s="434"/>
      <c r="DN14" s="434"/>
      <c r="DO14" s="434"/>
      <c r="DP14" s="434"/>
      <c r="DQ14" s="434"/>
      <c r="DR14" s="434"/>
      <c r="DS14" s="434"/>
      <c r="DT14" s="434"/>
      <c r="DU14" s="434"/>
      <c r="DV14" s="434"/>
      <c r="DW14" s="434"/>
      <c r="DX14" s="434"/>
      <c r="DY14" s="434"/>
      <c r="DZ14" s="434"/>
      <c r="EA14" s="434"/>
      <c r="EB14" s="434"/>
      <c r="EC14" s="434"/>
      <c r="ED14" s="434"/>
      <c r="EE14" s="434"/>
      <c r="EP14" s="434"/>
      <c r="EQ14" s="434"/>
      <c r="ER14" s="434"/>
      <c r="ES14" s="434"/>
      <c r="ET14" s="434"/>
      <c r="EU14" s="434"/>
      <c r="EV14" s="434"/>
      <c r="EW14" s="434"/>
      <c r="EX14" s="434"/>
      <c r="EY14" s="434"/>
      <c r="EZ14" s="434"/>
      <c r="FA14" s="434"/>
      <c r="FB14" s="434"/>
    </row>
    <row r="15" spans="1:161" s="433" customFormat="1">
      <c r="A15" s="433" t="str">
        <f t="shared" si="157"/>
        <v>2312삼성</v>
      </c>
      <c r="B15" s="433">
        <v>2312</v>
      </c>
      <c r="C15" s="433" t="s">
        <v>1</v>
      </c>
      <c r="D15" s="434">
        <v>279474086</v>
      </c>
      <c r="E15" s="434">
        <v>36668457</v>
      </c>
      <c r="F15" s="434">
        <v>166226450</v>
      </c>
      <c r="G15" s="434">
        <v>49614533</v>
      </c>
      <c r="H15" s="434">
        <v>16581623</v>
      </c>
      <c r="I15" s="435">
        <f t="shared" ref="I15:K16" si="170">+E15/$D15</f>
        <v>0.13120521306580102</v>
      </c>
      <c r="J15" s="435">
        <f t="shared" si="170"/>
        <v>0.59478305262263209</v>
      </c>
      <c r="K15" s="435">
        <f t="shared" si="170"/>
        <v>0.17752820560257598</v>
      </c>
      <c r="L15" s="434">
        <v>241946361</v>
      </c>
      <c r="M15" s="434">
        <v>189573714</v>
      </c>
      <c r="N15" s="436">
        <f t="shared" si="159"/>
        <v>37527725</v>
      </c>
      <c r="O15" s="436">
        <v>37527725</v>
      </c>
      <c r="P15" s="436"/>
      <c r="Q15" s="436">
        <v>26354009</v>
      </c>
      <c r="R15" s="436">
        <v>13177954</v>
      </c>
      <c r="S15" s="436">
        <v>31983914</v>
      </c>
      <c r="T15" s="436">
        <f t="shared" ref="T15:T17" si="171">N14</f>
        <v>35080056</v>
      </c>
      <c r="U15" s="437">
        <v>251929863</v>
      </c>
      <c r="V15" s="437">
        <v>247053040</v>
      </c>
      <c r="W15" s="438">
        <v>0.98060000000000003</v>
      </c>
      <c r="X15" s="436">
        <v>26354009</v>
      </c>
      <c r="Y15" s="436">
        <v>14143090</v>
      </c>
      <c r="Z15" s="436">
        <v>12046236</v>
      </c>
      <c r="AA15" s="436">
        <v>250365</v>
      </c>
      <c r="AB15" s="436">
        <v>48957</v>
      </c>
      <c r="AC15" s="436"/>
      <c r="AD15" s="436">
        <v>-134639</v>
      </c>
      <c r="AE15" s="436">
        <f>X15-SUM(Y15:AD15)</f>
        <v>0</v>
      </c>
      <c r="AF15" s="434">
        <v>1448544</v>
      </c>
      <c r="AG15" s="434">
        <v>8575730</v>
      </c>
      <c r="AH15" s="434">
        <v>7127186</v>
      </c>
      <c r="AI15" s="434">
        <v>-23709</v>
      </c>
      <c r="AJ15" s="434">
        <f>1404187-10593170</f>
        <v>-9188983</v>
      </c>
      <c r="AK15" s="434">
        <f>47678-40313</f>
        <v>7365</v>
      </c>
      <c r="AL15" s="434">
        <f t="shared" ref="AL15:AL28" si="172">+AI15-AJ15-AK15+AM15-AN15</f>
        <v>8282017</v>
      </c>
      <c r="AM15" s="434">
        <v>304503</v>
      </c>
      <c r="AN15" s="434">
        <f>21802+896362+252547+170179-160495</f>
        <v>1180395</v>
      </c>
      <c r="AO15" s="434">
        <v>1424835</v>
      </c>
      <c r="AP15" s="434">
        <v>256348</v>
      </c>
      <c r="AQ15" s="436">
        <v>1681183</v>
      </c>
      <c r="AR15" s="436">
        <v>1382902</v>
      </c>
      <c r="AS15" s="436">
        <f t="shared" ref="AS15:AS23" si="173">+AO15+AP15-AQ15</f>
        <v>0</v>
      </c>
      <c r="AT15" s="436">
        <f t="shared" ref="AT15:AT23" si="174">+AJ15+AK15+AL15-AM15+AN15-AI15</f>
        <v>0</v>
      </c>
      <c r="AU15" s="436">
        <f t="shared" ref="AU15:AU23" si="175">+AF15+AI15-AO15</f>
        <v>0</v>
      </c>
      <c r="AV15" s="436">
        <f t="shared" ref="AV15:AV24" si="176">+AF15</f>
        <v>1448544</v>
      </c>
      <c r="AW15" s="436">
        <f t="shared" ref="AW15:AW24" si="177">+AI15</f>
        <v>-23709</v>
      </c>
      <c r="AX15" s="436">
        <f t="shared" ref="AX15:AX24" si="178">+AP15</f>
        <v>256348</v>
      </c>
      <c r="AY15" s="436">
        <f t="shared" ref="AY15:AY24" si="179">+SUM(AV15:AX15)</f>
        <v>1681183</v>
      </c>
      <c r="AZ15" s="434"/>
      <c r="BA15" s="434"/>
      <c r="BB15" s="435">
        <f t="shared" si="155"/>
        <v>-3.7160903454592879E-2</v>
      </c>
      <c r="BC15" s="434">
        <v>21654375</v>
      </c>
      <c r="BD15" s="434">
        <v>11217248</v>
      </c>
      <c r="BE15" s="434"/>
      <c r="BF15" s="434">
        <f>-7115273+44998</f>
        <v>-7070275</v>
      </c>
      <c r="BG15" s="434">
        <v>586939</v>
      </c>
      <c r="BH15" s="434"/>
      <c r="BI15" s="434">
        <v>-34278</v>
      </c>
      <c r="BJ15" s="434"/>
      <c r="BK15" s="434">
        <v>26354009</v>
      </c>
      <c r="BL15" s="436">
        <f t="shared" ref="BL15:BL28" si="180">+BK15-BC15-SUM(BD15:BJ15)</f>
        <v>0</v>
      </c>
      <c r="BM15" s="434">
        <v>12333777</v>
      </c>
      <c r="BN15" s="434">
        <v>-538725</v>
      </c>
      <c r="BO15" s="434"/>
      <c r="BP15" s="434">
        <v>1382902</v>
      </c>
      <c r="BQ15" s="434"/>
      <c r="BR15" s="434"/>
      <c r="BS15" s="434">
        <v>13177954</v>
      </c>
      <c r="BT15" s="436">
        <f t="shared" ref="BT15:BT20" si="181">+BM15+SUM(BN15:BQ15)-BS15</f>
        <v>0</v>
      </c>
      <c r="BU15" s="436">
        <f>28321364+30439276+116234474</f>
        <v>174995114</v>
      </c>
      <c r="BV15" s="436">
        <f>1049744+1240618+583071</f>
        <v>2873433</v>
      </c>
      <c r="BW15" s="436">
        <f>737957+1658625+2509353+986499+2672258+1924800+159624+1170723+572731</f>
        <v>12392570</v>
      </c>
      <c r="BX15" s="436">
        <f>1960198+1325123+342833</f>
        <v>3628154</v>
      </c>
      <c r="BY15" s="436">
        <f>105066+131468+306553+133880+186705+261263+18991+114727+125622</f>
        <v>1384275</v>
      </c>
      <c r="BZ15" s="436">
        <f>-218980+265901-602604-401071+19483-518590-23200+515992-38552</f>
        <v>-1001621</v>
      </c>
      <c r="CA15" s="436">
        <f>33919+34365+100968+1139+249+29690+80334+70003+5400+22870+22685</f>
        <v>401622</v>
      </c>
      <c r="CB15" s="436">
        <f>1026945+1489827+1357095+1491760+2759146+1309527+196415+746588+371387</f>
        <v>10748690</v>
      </c>
      <c r="CC15" s="434"/>
      <c r="CD15" s="434">
        <f t="shared" ref="CD15:CD20" si="182">CB15+BX15-BY15+BZ15+CA15-BW15</f>
        <v>0</v>
      </c>
      <c r="CE15" s="434">
        <v>1029970</v>
      </c>
      <c r="CF15" s="434">
        <v>1563491</v>
      </c>
      <c r="CG15" s="434">
        <v>1224812</v>
      </c>
      <c r="CH15" s="434">
        <v>8574297</v>
      </c>
      <c r="CI15" s="434"/>
      <c r="CJ15" s="434">
        <v>12392570</v>
      </c>
      <c r="CK15" s="434">
        <f t="shared" ref="CK15" si="183">CJ15-SUM(CE15:CI15)</f>
        <v>0</v>
      </c>
      <c r="CL15" s="434">
        <f t="shared" ref="CL15" si="184">BW15-CJ15</f>
        <v>0</v>
      </c>
      <c r="CM15" s="434"/>
      <c r="CN15" s="435" t="s">
        <v>62</v>
      </c>
      <c r="CO15" s="434"/>
      <c r="CP15" s="434"/>
      <c r="CQ15" s="439">
        <v>2.1883263125444001</v>
      </c>
      <c r="CR15" s="440">
        <v>53372509.810061775</v>
      </c>
      <c r="CS15" s="440">
        <v>24389648.611410595</v>
      </c>
      <c r="CT15" s="434"/>
      <c r="CU15" s="434"/>
      <c r="CV15" s="434"/>
      <c r="CW15" s="434"/>
      <c r="CX15" s="434"/>
      <c r="CY15" s="434"/>
      <c r="CZ15" s="434"/>
      <c r="DA15" s="434"/>
      <c r="DB15" s="434"/>
      <c r="DC15" s="435">
        <v>0.78700000000000003</v>
      </c>
      <c r="DD15" s="434">
        <v>4881615.5908019999</v>
      </c>
      <c r="DE15" s="434">
        <v>3839712.003586974</v>
      </c>
      <c r="DF15" s="434"/>
      <c r="DG15" s="434">
        <v>-158243.04999999958</v>
      </c>
      <c r="DH15" s="434">
        <v>51107.543000000529</v>
      </c>
      <c r="DI15" s="434">
        <v>4461543.0630000001</v>
      </c>
      <c r="DJ15" s="434">
        <v>4410435.5199999996</v>
      </c>
      <c r="DK15" s="434">
        <f t="shared" ref="DK15:DK20" si="185">+DL15-DM15</f>
        <v>-209350.59300000011</v>
      </c>
      <c r="DL15" s="434">
        <v>1711799.2879999999</v>
      </c>
      <c r="DM15" s="434">
        <v>1921149.8810000001</v>
      </c>
      <c r="DN15" s="434">
        <v>436074.28200000001</v>
      </c>
      <c r="DO15" s="434">
        <v>436074.28200000001</v>
      </c>
      <c r="DP15" s="434"/>
      <c r="DQ15" s="434"/>
      <c r="DR15" s="434"/>
      <c r="DS15" s="434"/>
      <c r="DT15" s="434"/>
      <c r="DU15" s="434"/>
      <c r="DV15" s="434"/>
      <c r="DW15" s="434"/>
      <c r="DX15" s="434"/>
      <c r="DY15" s="434"/>
      <c r="DZ15" s="434"/>
      <c r="EA15" s="434"/>
      <c r="EB15" s="434"/>
      <c r="EC15" s="434"/>
      <c r="ED15" s="434"/>
      <c r="EE15" s="434"/>
      <c r="EF15" s="434"/>
      <c r="EP15" s="434"/>
      <c r="EQ15" s="434"/>
      <c r="ER15" s="434"/>
      <c r="ES15" s="434"/>
      <c r="ET15" s="434"/>
      <c r="EU15" s="434"/>
      <c r="EV15" s="434"/>
      <c r="EW15" s="434"/>
      <c r="EX15" s="434"/>
      <c r="EY15" s="434"/>
      <c r="EZ15" s="434"/>
      <c r="FA15" s="434"/>
      <c r="FB15" s="434"/>
    </row>
    <row r="16" spans="1:161" s="17" customFormat="1">
      <c r="A16" s="17" t="str">
        <f t="shared" si="157"/>
        <v>2412삼성</v>
      </c>
      <c r="B16" s="17">
        <v>2412</v>
      </c>
      <c r="C16" s="17" t="s">
        <v>1</v>
      </c>
      <c r="D16" s="425">
        <v>275321056</v>
      </c>
      <c r="E16" s="425">
        <v>35547807</v>
      </c>
      <c r="F16" s="425">
        <v>161933749</v>
      </c>
      <c r="G16" s="425">
        <v>45371811</v>
      </c>
      <c r="H16" s="425">
        <v>21523726</v>
      </c>
      <c r="I16" s="16">
        <f t="shared" si="170"/>
        <v>0.12911401516635182</v>
      </c>
      <c r="J16" s="16">
        <f t="shared" si="170"/>
        <v>0.5881633295783959</v>
      </c>
      <c r="K16" s="16">
        <f t="shared" si="170"/>
        <v>0.16479600819197787</v>
      </c>
      <c r="L16" s="448">
        <v>244832559</v>
      </c>
      <c r="M16" s="425">
        <v>202156297</v>
      </c>
      <c r="N16" s="426">
        <f t="shared" si="159"/>
        <v>30488497</v>
      </c>
      <c r="O16" s="448">
        <v>30488497</v>
      </c>
      <c r="P16" s="426"/>
      <c r="Q16" s="448">
        <v>18492149</v>
      </c>
      <c r="R16" s="426">
        <v>14000586</v>
      </c>
      <c r="S16" s="426">
        <v>37527725</v>
      </c>
      <c r="T16" s="426">
        <f t="shared" si="171"/>
        <v>37527725</v>
      </c>
      <c r="U16" s="427">
        <v>249325225</v>
      </c>
      <c r="V16" s="427">
        <v>243299232</v>
      </c>
      <c r="W16" s="428">
        <v>0.9758</v>
      </c>
      <c r="X16" s="448">
        <v>18492149</v>
      </c>
      <c r="Y16" s="448">
        <v>14995955</v>
      </c>
      <c r="Z16" s="426">
        <v>2949578</v>
      </c>
      <c r="AA16" s="426">
        <v>311162</v>
      </c>
      <c r="AB16" s="426">
        <v>403254</v>
      </c>
      <c r="AC16" s="426"/>
      <c r="AD16" s="426">
        <v>-167800</v>
      </c>
      <c r="AE16" s="426">
        <f t="shared" si="160"/>
        <v>0</v>
      </c>
      <c r="AF16" s="425">
        <v>541990</v>
      </c>
      <c r="AG16" s="425">
        <v>9118505</v>
      </c>
      <c r="AH16" s="425">
        <v>8576515</v>
      </c>
      <c r="AI16" s="425">
        <v>1000936</v>
      </c>
      <c r="AJ16" s="425">
        <f>1825902-8034331</f>
        <v>-6208429</v>
      </c>
      <c r="AK16" s="425">
        <f>92446-41302</f>
        <v>51144</v>
      </c>
      <c r="AL16" s="425">
        <f t="shared" si="172"/>
        <v>7274965</v>
      </c>
      <c r="AM16" s="425">
        <v>334101</v>
      </c>
      <c r="AN16" s="425">
        <f>17990+273848+112558-187039</f>
        <v>217357</v>
      </c>
      <c r="AO16" s="425">
        <v>1542926</v>
      </c>
      <c r="AP16" s="425">
        <v>278364</v>
      </c>
      <c r="AQ16" s="426">
        <v>1821290</v>
      </c>
      <c r="AR16" s="426">
        <v>1486936</v>
      </c>
      <c r="AS16" s="426">
        <f t="shared" si="173"/>
        <v>0</v>
      </c>
      <c r="AT16" s="426">
        <f t="shared" si="174"/>
        <v>0</v>
      </c>
      <c r="AU16" s="426">
        <f t="shared" si="175"/>
        <v>0</v>
      </c>
      <c r="AV16" s="426">
        <f t="shared" si="176"/>
        <v>541990</v>
      </c>
      <c r="AW16" s="426">
        <f t="shared" si="177"/>
        <v>1000936</v>
      </c>
      <c r="AX16" s="426">
        <f t="shared" si="178"/>
        <v>278364</v>
      </c>
      <c r="AY16" s="426">
        <f t="shared" si="179"/>
        <v>1821290</v>
      </c>
      <c r="AZ16" s="425"/>
      <c r="BA16" s="425"/>
      <c r="BB16" s="16">
        <f>+BF16/(BU16+BV16+BW16)</f>
        <v>-4.4697400645402605E-2</v>
      </c>
      <c r="BC16" s="448">
        <v>34101703</v>
      </c>
      <c r="BD16" s="448">
        <v>-6894829</v>
      </c>
      <c r="BE16" s="425"/>
      <c r="BF16" s="425">
        <f>-9096658+60797</f>
        <v>-9035861</v>
      </c>
      <c r="BG16" s="425">
        <v>354297</v>
      </c>
      <c r="BH16" s="425"/>
      <c r="BI16" s="425">
        <v>-33161</v>
      </c>
      <c r="BJ16" s="425"/>
      <c r="BK16" s="448">
        <v>18492149</v>
      </c>
      <c r="BL16" s="426">
        <f t="shared" si="180"/>
        <v>0</v>
      </c>
      <c r="BM16" s="425">
        <v>13177954</v>
      </c>
      <c r="BN16" s="425">
        <v>-664427</v>
      </c>
      <c r="BO16" s="425"/>
      <c r="BP16" s="425">
        <v>1486936</v>
      </c>
      <c r="BQ16" s="425">
        <v>123</v>
      </c>
      <c r="BR16" s="425"/>
      <c r="BS16" s="425">
        <v>14000586</v>
      </c>
      <c r="BT16" s="426">
        <f t="shared" si="181"/>
        <v>0</v>
      </c>
      <c r="BU16" s="426">
        <f>34335846+32066306+119883089</f>
        <v>186285241</v>
      </c>
      <c r="BV16" s="426">
        <f>990653+1337274+641106</f>
        <v>2969033</v>
      </c>
      <c r="BW16" s="426">
        <f>416927+1480805+2862777+855873+3311090+2929952+69015+437508+538076</f>
        <v>12902023</v>
      </c>
      <c r="BX16" s="426">
        <f>1186529+1885155+188920</f>
        <v>3260604</v>
      </c>
      <c r="BY16" s="426">
        <f>66057+123915+359166+93057+233028+365481+5758+47060+76019</f>
        <v>1369541</v>
      </c>
      <c r="BZ16" s="426">
        <f>-283600+4593-608307-57219+784003-623097-89002-656784-175346</f>
        <v>-1704759</v>
      </c>
      <c r="CA16" s="426">
        <f>22755+5872+34505+133237+1131+19650+87857+108575+4151+22824+27790</f>
        <v>468347</v>
      </c>
      <c r="CB16" s="426">
        <f>737957+1565622+2509353+986499+2672258+1924800+159624+1118528+572731</f>
        <v>12247372</v>
      </c>
      <c r="CC16" s="717">
        <f>+BU16/BU15</f>
        <v>1.0645168127379832</v>
      </c>
      <c r="CD16" s="425">
        <f t="shared" si="182"/>
        <v>0</v>
      </c>
      <c r="CE16" s="425">
        <v>1030710</v>
      </c>
      <c r="CF16" s="425">
        <v>1620321</v>
      </c>
      <c r="CG16" s="425">
        <v>1219863</v>
      </c>
      <c r="CH16" s="425">
        <v>9031129</v>
      </c>
      <c r="CI16" s="425"/>
      <c r="CJ16" s="425">
        <v>12902023</v>
      </c>
      <c r="CK16" s="425">
        <f>CJ16-SUM(CE16:CI16)</f>
        <v>0</v>
      </c>
      <c r="CL16" s="425">
        <f>BW16-CJ16</f>
        <v>0</v>
      </c>
      <c r="CM16" s="425"/>
      <c r="CN16" s="16"/>
      <c r="CO16" s="425"/>
      <c r="CP16" s="425"/>
      <c r="CQ16" s="429">
        <v>1.849</v>
      </c>
      <c r="CR16" s="430">
        <v>44336081</v>
      </c>
      <c r="CS16" s="430">
        <v>23980612</v>
      </c>
      <c r="CT16" s="425"/>
      <c r="CU16" s="425"/>
      <c r="CV16" s="425"/>
      <c r="CW16" s="431">
        <v>0.90800000000000003</v>
      </c>
      <c r="CX16" s="431">
        <v>0.99</v>
      </c>
      <c r="CY16" s="431">
        <v>-8.2000000000000003E-2</v>
      </c>
      <c r="CZ16" s="432">
        <f>+CX16/CW16</f>
        <v>1.0903083700440528</v>
      </c>
      <c r="DA16" s="425"/>
      <c r="DB16" s="425"/>
      <c r="DC16" s="16">
        <v>0.78900000000000003</v>
      </c>
      <c r="DD16" s="425">
        <v>5050507.9050036464</v>
      </c>
      <c r="DE16" s="425">
        <v>3986195.8541269819</v>
      </c>
      <c r="DF16" s="425"/>
      <c r="DG16" s="425">
        <f>+DH16+DK16</f>
        <v>-207915.02600000007</v>
      </c>
      <c r="DH16" s="425">
        <f>+DI16-DJ16</f>
        <v>-74356.608000000007</v>
      </c>
      <c r="DI16" s="425">
        <v>4586040.7889999999</v>
      </c>
      <c r="DJ16" s="425">
        <v>4660397.3969999999</v>
      </c>
      <c r="DK16" s="425">
        <f t="shared" si="185"/>
        <v>-133558.41800000006</v>
      </c>
      <c r="DL16" s="425">
        <v>1905906.949</v>
      </c>
      <c r="DM16" s="425">
        <v>2039465.3670000001</v>
      </c>
      <c r="DN16" s="425"/>
      <c r="DO16" s="425"/>
      <c r="DP16" s="425"/>
      <c r="DQ16" s="425"/>
      <c r="DR16" s="425"/>
      <c r="DS16" s="425"/>
      <c r="DT16" s="425"/>
      <c r="DU16" s="425"/>
      <c r="DV16" s="425"/>
      <c r="DW16" s="425"/>
      <c r="DX16" s="425"/>
      <c r="DY16" s="425"/>
      <c r="DZ16" s="425"/>
      <c r="EA16" s="425"/>
      <c r="EB16" s="425"/>
      <c r="EC16" s="425"/>
      <c r="ED16" s="425"/>
      <c r="EE16" s="425"/>
      <c r="EF16" s="425"/>
      <c r="EI16" s="425"/>
      <c r="EJ16" s="425"/>
      <c r="EK16" s="425"/>
      <c r="EP16" s="425">
        <v>1904752</v>
      </c>
      <c r="EQ16" s="425">
        <v>1160241</v>
      </c>
      <c r="ER16" s="425">
        <v>-1756900</v>
      </c>
      <c r="ES16" s="425">
        <v>-276997</v>
      </c>
      <c r="ET16" s="425">
        <f>1077438+90634</f>
        <v>1168072</v>
      </c>
      <c r="EU16" s="425"/>
      <c r="EV16" s="425"/>
      <c r="EW16" s="425">
        <v>-1904752</v>
      </c>
      <c r="EX16" s="425">
        <v>-1160241</v>
      </c>
      <c r="EY16" s="425">
        <v>1756900</v>
      </c>
      <c r="EZ16" s="425">
        <v>276997</v>
      </c>
      <c r="FA16" s="425">
        <v>-1168072</v>
      </c>
      <c r="FB16" s="425">
        <v>494409</v>
      </c>
      <c r="FC16" s="452">
        <f>SUM(EW16:FB16)-BZ16</f>
        <v>0</v>
      </c>
    </row>
    <row r="17" spans="1:159" s="301" customFormat="1">
      <c r="A17" s="301" t="str">
        <f t="shared" si="157"/>
        <v>2503삼성</v>
      </c>
      <c r="B17" s="301">
        <v>2503</v>
      </c>
      <c r="C17" s="301" t="s">
        <v>1108</v>
      </c>
      <c r="D17" s="2">
        <v>281011504</v>
      </c>
      <c r="E17" s="2">
        <v>34343581</v>
      </c>
      <c r="F17" s="2">
        <v>168070744</v>
      </c>
      <c r="G17" s="2">
        <v>45712850</v>
      </c>
      <c r="H17" s="2">
        <v>22163909</v>
      </c>
      <c r="I17" s="302">
        <f t="shared" ref="I17" si="186">+E17/$D17</f>
        <v>0.12221414607994127</v>
      </c>
      <c r="J17" s="302">
        <f t="shared" ref="J17" si="187">+F17/$D17</f>
        <v>0.59809204110021064</v>
      </c>
      <c r="K17" s="302">
        <f t="shared" ref="K17" si="188">+G17/$D17</f>
        <v>0.16267252176266778</v>
      </c>
      <c r="L17" s="2">
        <v>257067089</v>
      </c>
      <c r="M17" s="2">
        <v>208066521</v>
      </c>
      <c r="N17" s="4">
        <f t="shared" si="159"/>
        <v>23944415</v>
      </c>
      <c r="O17" s="4">
        <v>23944415</v>
      </c>
      <c r="P17" s="4"/>
      <c r="Q17" s="4">
        <v>11823636</v>
      </c>
      <c r="R17" s="4">
        <v>14125017</v>
      </c>
      <c r="S17" s="4">
        <v>25097358</v>
      </c>
      <c r="T17" s="308">
        <f t="shared" si="171"/>
        <v>30488497</v>
      </c>
      <c r="U17" s="327">
        <v>255225230</v>
      </c>
      <c r="V17" s="327">
        <v>247992743</v>
      </c>
      <c r="W17" s="328">
        <v>0.97170000000000001</v>
      </c>
      <c r="X17" s="4">
        <v>11823636</v>
      </c>
      <c r="Y17" s="4">
        <v>12262178</v>
      </c>
      <c r="Z17" s="4">
        <v>-1232241</v>
      </c>
      <c r="AA17" s="4">
        <v>332652</v>
      </c>
      <c r="AB17" s="4">
        <v>629826</v>
      </c>
      <c r="AC17" s="4"/>
      <c r="AD17" s="4">
        <v>-168779</v>
      </c>
      <c r="AE17" s="426">
        <f t="shared" si="160"/>
        <v>0</v>
      </c>
      <c r="AF17" s="2">
        <v>277882</v>
      </c>
      <c r="AG17" s="2">
        <v>2419778</v>
      </c>
      <c r="AH17" s="2">
        <v>2141896</v>
      </c>
      <c r="AI17" s="2">
        <v>199067</v>
      </c>
      <c r="AJ17" s="2">
        <f>152373-2067375</f>
        <v>-1915002</v>
      </c>
      <c r="AK17" s="2">
        <f>28888-11387</f>
        <v>17501</v>
      </c>
      <c r="AL17" s="2">
        <f t="shared" si="172"/>
        <v>2115048</v>
      </c>
      <c r="AM17" s="2">
        <v>76584</v>
      </c>
      <c r="AN17" s="2">
        <f>5212+70948+26013-44069</f>
        <v>58104</v>
      </c>
      <c r="AO17" s="2">
        <v>476949</v>
      </c>
      <c r="AP17" s="2">
        <v>331502</v>
      </c>
      <c r="AQ17" s="4">
        <v>808451</v>
      </c>
      <c r="AR17" s="4">
        <v>703719</v>
      </c>
      <c r="AS17" s="4">
        <f t="shared" ref="AS17" si="189">+AO17+AP17-AQ17</f>
        <v>0</v>
      </c>
      <c r="AT17" s="4">
        <f t="shared" ref="AT17" si="190">+AJ17+AK17+AL17-AM17+AN17-AI17</f>
        <v>0</v>
      </c>
      <c r="AU17" s="4">
        <f t="shared" ref="AU17" si="191">+AF17+AI17-AO17</f>
        <v>0</v>
      </c>
      <c r="AV17" s="4">
        <f t="shared" ref="AV17" si="192">+AF17</f>
        <v>277882</v>
      </c>
      <c r="AW17" s="4">
        <f t="shared" ref="AW17" si="193">+AI17</f>
        <v>199067</v>
      </c>
      <c r="AX17" s="4">
        <f t="shared" ref="AX17" si="194">+AP17</f>
        <v>331502</v>
      </c>
      <c r="AY17" s="4">
        <f t="shared" ref="AY17" si="195">+SUM(AV17:AX17)</f>
        <v>808451</v>
      </c>
      <c r="AZ17" s="2"/>
      <c r="BA17" s="2"/>
      <c r="BB17" s="302"/>
      <c r="BC17" s="2">
        <v>13101010</v>
      </c>
      <c r="BD17" s="2">
        <v>2657362</v>
      </c>
      <c r="BE17" s="2"/>
      <c r="BF17" s="2">
        <f>-4181819+21490</f>
        <v>-4160329</v>
      </c>
      <c r="BG17" s="2">
        <v>226572</v>
      </c>
      <c r="BH17" s="2"/>
      <c r="BI17" s="2">
        <v>-979</v>
      </c>
      <c r="BJ17" s="2"/>
      <c r="BK17" s="2">
        <v>11823636</v>
      </c>
      <c r="BL17" s="4">
        <f t="shared" si="180"/>
        <v>0</v>
      </c>
      <c r="BM17" s="2">
        <v>14000586</v>
      </c>
      <c r="BN17" s="2">
        <v>-808086</v>
      </c>
      <c r="BO17" s="2"/>
      <c r="BP17" s="2">
        <v>703719</v>
      </c>
      <c r="BQ17" s="2">
        <v>228798</v>
      </c>
      <c r="BR17" s="2"/>
      <c r="BS17" s="2">
        <v>14125017</v>
      </c>
      <c r="BT17" s="4">
        <f t="shared" si="181"/>
        <v>0</v>
      </c>
      <c r="BU17" s="4">
        <f>36614729+33762769+121427068</f>
        <v>191804566</v>
      </c>
      <c r="BV17" s="4">
        <f>947096+1348785+657028</f>
        <v>2952909</v>
      </c>
      <c r="BW17" s="4">
        <f>387839+1848911+2956794+808759+3038475+3262504+65096+397706+542962</f>
        <v>13309046</v>
      </c>
      <c r="BX17" s="4">
        <f>154412+487755+15606</f>
        <v>657773</v>
      </c>
      <c r="BY17" s="4">
        <f>11715+40202+87821+18774+63507+106449+2060+11493+19059</f>
        <v>361080</v>
      </c>
      <c r="BZ17" s="4">
        <f>-20803+399886-3961-32927-235910-81243-2365-30947+2553</f>
        <v>-5717</v>
      </c>
      <c r="CA17" s="4">
        <f>3538-108+8422+31406-19+4587+26802+32489+506+2638+5786</f>
        <v>116047</v>
      </c>
      <c r="CB17" s="4">
        <f>416927+1480805+2862777+855873+3311090+2929952+69015+437508+538076</f>
        <v>12902023</v>
      </c>
      <c r="CC17" s="2"/>
      <c r="CD17" s="2">
        <f t="shared" si="182"/>
        <v>0</v>
      </c>
      <c r="CE17" s="2">
        <v>1059096</v>
      </c>
      <c r="CF17" s="2">
        <v>1657767</v>
      </c>
      <c r="CG17" s="2">
        <v>1247215</v>
      </c>
      <c r="CH17" s="2">
        <v>9344968</v>
      </c>
      <c r="CI17" s="2"/>
      <c r="CJ17" s="2">
        <v>13309046</v>
      </c>
      <c r="CK17" s="2">
        <f t="shared" ref="CK17:CK18" si="196">CJ17-SUM(CE17:CI17)</f>
        <v>0</v>
      </c>
      <c r="CL17" s="2">
        <f t="shared" ref="CL17:CL18" si="197">BW17-CJ17</f>
        <v>0</v>
      </c>
      <c r="CM17" s="2"/>
      <c r="CN17" s="302"/>
      <c r="CO17" s="2"/>
      <c r="CP17" s="2"/>
      <c r="CQ17" s="303">
        <v>1.772</v>
      </c>
      <c r="CR17" s="304">
        <v>45193535</v>
      </c>
      <c r="CS17" s="304">
        <v>25508613</v>
      </c>
      <c r="CT17" s="2"/>
      <c r="CU17" s="2"/>
      <c r="CV17" s="2"/>
      <c r="CW17" s="312"/>
      <c r="CX17" s="312"/>
      <c r="CY17" s="312"/>
      <c r="CZ17" s="313"/>
      <c r="DA17" s="2"/>
      <c r="DB17" s="2"/>
      <c r="DC17" s="302">
        <v>0.82889328878362345</v>
      </c>
      <c r="DD17" s="2">
        <v>1286236.0804929999</v>
      </c>
      <c r="DE17" s="2">
        <v>1066152.4549120001</v>
      </c>
      <c r="DF17" s="2"/>
      <c r="DG17" s="2">
        <f>+DH17+DK17</f>
        <v>-6379.7920000000158</v>
      </c>
      <c r="DH17" s="2">
        <f>+DI17-DJ17</f>
        <v>-46241.395000000019</v>
      </c>
      <c r="DI17" s="2">
        <v>1188415.7579999999</v>
      </c>
      <c r="DJ17" s="2">
        <v>1234657.1529999999</v>
      </c>
      <c r="DK17" s="2">
        <f t="shared" si="185"/>
        <v>39861.603000000003</v>
      </c>
      <c r="DL17" s="2">
        <v>484394.49699999997</v>
      </c>
      <c r="DM17" s="2">
        <v>444532.89399999997</v>
      </c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</row>
    <row r="18" spans="1:159" s="301" customFormat="1">
      <c r="A18" s="301" t="str">
        <f t="shared" si="157"/>
        <v>2506삼성</v>
      </c>
      <c r="B18" s="301">
        <v>2506</v>
      </c>
      <c r="C18" s="301" t="s">
        <v>1032</v>
      </c>
      <c r="D18" s="2">
        <v>280990354</v>
      </c>
      <c r="E18" s="2">
        <v>36026344</v>
      </c>
      <c r="F18" s="2">
        <v>168569341</v>
      </c>
      <c r="G18" s="2">
        <v>43113870</v>
      </c>
      <c r="H18" s="2">
        <v>22764496</v>
      </c>
      <c r="I18" s="302">
        <f t="shared" ref="I18" si="198">+E18/$D18</f>
        <v>0.12821203107918785</v>
      </c>
      <c r="J18" s="302">
        <f t="shared" ref="J18" si="199">+F18/$D18</f>
        <v>0.59991148664128169</v>
      </c>
      <c r="K18" s="302">
        <f t="shared" ref="K18" si="200">+G18/$D18</f>
        <v>0.1534354093877543</v>
      </c>
      <c r="L18" s="2">
        <v>255077729</v>
      </c>
      <c r="M18" s="2">
        <v>207294908</v>
      </c>
      <c r="N18" s="4">
        <f t="shared" si="159"/>
        <v>25912625</v>
      </c>
      <c r="O18" s="4">
        <v>25912625</v>
      </c>
      <c r="P18" s="4"/>
      <c r="Q18" s="4">
        <v>13354503</v>
      </c>
      <c r="R18" s="4">
        <v>14562360</v>
      </c>
      <c r="S18" s="4">
        <v>25097358</v>
      </c>
      <c r="T18" s="308">
        <f>T17</f>
        <v>30488497</v>
      </c>
      <c r="U18" s="327">
        <v>253810400</v>
      </c>
      <c r="V18" s="327">
        <v>247654200</v>
      </c>
      <c r="W18" s="328">
        <v>0.97570000000000001</v>
      </c>
      <c r="X18" s="4">
        <v>13354503</v>
      </c>
      <c r="Y18" s="4">
        <v>12308138</v>
      </c>
      <c r="Z18" s="4">
        <v>599004</v>
      </c>
      <c r="AA18" s="4">
        <v>320128</v>
      </c>
      <c r="AB18" s="4">
        <v>296614</v>
      </c>
      <c r="AC18" s="4"/>
      <c r="AD18" s="4">
        <v>-169381</v>
      </c>
      <c r="AE18" s="426">
        <f t="shared" si="160"/>
        <v>0</v>
      </c>
      <c r="AF18" s="2">
        <v>831345</v>
      </c>
      <c r="AG18" s="2">
        <v>4831273</v>
      </c>
      <c r="AH18" s="2">
        <v>3999928</v>
      </c>
      <c r="AI18" s="2">
        <v>289056</v>
      </c>
      <c r="AJ18" s="2">
        <f>740483-5617701</f>
        <v>-4877218</v>
      </c>
      <c r="AK18" s="2">
        <f>57146-22927</f>
        <v>34219</v>
      </c>
      <c r="AL18" s="2">
        <f t="shared" si="172"/>
        <v>5093943</v>
      </c>
      <c r="AM18" s="2">
        <v>74792</v>
      </c>
      <c r="AN18" s="2">
        <f>10904+146408+45418-89826</f>
        <v>112904</v>
      </c>
      <c r="AO18" s="2">
        <v>1120401</v>
      </c>
      <c r="AP18" s="2">
        <v>342072</v>
      </c>
      <c r="AQ18" s="4">
        <v>1462473</v>
      </c>
      <c r="AR18" s="4">
        <v>1200474</v>
      </c>
      <c r="AS18" s="4">
        <f t="shared" ref="AS18" si="201">+AO18+AP18-AQ18</f>
        <v>0</v>
      </c>
      <c r="AT18" s="4">
        <f t="shared" ref="AT18" si="202">+AJ18+AK18+AL18-AM18+AN18-AI18</f>
        <v>0</v>
      </c>
      <c r="AU18" s="4">
        <f t="shared" ref="AU18" si="203">+AF18+AI18-AO18</f>
        <v>0</v>
      </c>
      <c r="AV18" s="4">
        <f t="shared" ref="AV18" si="204">+AF18</f>
        <v>831345</v>
      </c>
      <c r="AW18" s="4">
        <f t="shared" ref="AW18" si="205">+AI18</f>
        <v>289056</v>
      </c>
      <c r="AX18" s="4">
        <f t="shared" ref="AX18" si="206">+AP18</f>
        <v>342072</v>
      </c>
      <c r="AY18" s="4">
        <f t="shared" ref="AY18" si="207">+SUM(AV18:AX18)</f>
        <v>1462473</v>
      </c>
      <c r="AZ18" s="2"/>
      <c r="BA18" s="2"/>
      <c r="BB18" s="302"/>
      <c r="BC18" s="2">
        <v>13101010</v>
      </c>
      <c r="BD18" s="2">
        <v>2703322</v>
      </c>
      <c r="BE18" s="2"/>
      <c r="BF18" s="2">
        <f>-2350574+8966</f>
        <v>-2341608</v>
      </c>
      <c r="BG18" s="2">
        <v>-106640</v>
      </c>
      <c r="BH18" s="2"/>
      <c r="BI18" s="2">
        <v>-1581</v>
      </c>
      <c r="BJ18" s="2"/>
      <c r="BK18" s="2">
        <v>13354503</v>
      </c>
      <c r="BL18" s="4">
        <f t="shared" si="180"/>
        <v>0</v>
      </c>
      <c r="BM18" s="2">
        <v>14000586</v>
      </c>
      <c r="BN18" s="2">
        <v>-808086</v>
      </c>
      <c r="BO18" s="2"/>
      <c r="BP18" s="2">
        <v>1200474</v>
      </c>
      <c r="BQ18" s="2">
        <v>169386</v>
      </c>
      <c r="BR18" s="2"/>
      <c r="BS18" s="2">
        <v>14562360</v>
      </c>
      <c r="BT18" s="4">
        <f t="shared" si="181"/>
        <v>0</v>
      </c>
      <c r="BU18" s="4">
        <f>37509301+32529742+120490531</f>
        <v>190529574</v>
      </c>
      <c r="BV18" s="4">
        <f>980893+1380615+657760</f>
        <v>3019268</v>
      </c>
      <c r="BW18" s="4">
        <f>380611+1777100+2906633+795854+3023956+3744908+65230+485148+566626</f>
        <v>13746066</v>
      </c>
      <c r="BX18" s="4">
        <f>257024+1141007+28306</f>
        <v>1426337</v>
      </c>
      <c r="BY18" s="4">
        <f>275590+395888+72183</f>
        <v>743661</v>
      </c>
      <c r="BZ18" s="4">
        <f>+-16669+354360-101571-31984-211888-163275-654+68295+31115</f>
        <v>-72271</v>
      </c>
      <c r="CA18" s="4">
        <f>3169+20769+62343+8921+51376+69534+984+5013+11529</f>
        <v>233638</v>
      </c>
      <c r="CB18" s="4">
        <f>+CB17</f>
        <v>12902023</v>
      </c>
      <c r="CC18" s="2"/>
      <c r="CD18" s="2">
        <f t="shared" si="182"/>
        <v>0</v>
      </c>
      <c r="CE18" s="2">
        <v>898810</v>
      </c>
      <c r="CF18" s="2">
        <v>1462307</v>
      </c>
      <c r="CG18" s="2">
        <v>1192750</v>
      </c>
      <c r="CH18" s="2">
        <v>10192199</v>
      </c>
      <c r="CI18" s="2"/>
      <c r="CJ18" s="2">
        <v>13746066</v>
      </c>
      <c r="CK18" s="2">
        <f t="shared" si="196"/>
        <v>0</v>
      </c>
      <c r="CL18" s="2">
        <f t="shared" si="197"/>
        <v>0</v>
      </c>
      <c r="CM18" s="2"/>
      <c r="CN18" s="302"/>
      <c r="CO18" s="2"/>
      <c r="CP18" s="2"/>
      <c r="CQ18" s="303">
        <v>1.867</v>
      </c>
      <c r="CR18" s="304">
        <v>47793910</v>
      </c>
      <c r="CS18" s="304">
        <v>25592686</v>
      </c>
      <c r="CT18" s="2"/>
      <c r="CU18" s="2"/>
      <c r="CV18" s="2"/>
      <c r="CW18" s="312"/>
      <c r="CX18" s="312"/>
      <c r="CY18" s="312"/>
      <c r="CZ18" s="313"/>
      <c r="DA18" s="2"/>
      <c r="DB18" s="2"/>
      <c r="DC18" s="302">
        <v>0.81587503364901603</v>
      </c>
      <c r="DD18" s="2">
        <v>2587797.9290419994</v>
      </c>
      <c r="DE18" s="2">
        <v>2111319.7224339964</v>
      </c>
      <c r="DF18" s="2"/>
      <c r="DG18" s="2">
        <f>+DH18+DK18</f>
        <v>39561</v>
      </c>
      <c r="DH18" s="2">
        <f>+DI18-DJ18</f>
        <v>-61536</v>
      </c>
      <c r="DI18" s="2">
        <f>'[2]Ⅴ-4'!$R$11</f>
        <v>2378190</v>
      </c>
      <c r="DJ18" s="2">
        <f>'[2]Ⅴ-4'!$R$33</f>
        <v>2439726</v>
      </c>
      <c r="DK18" s="2">
        <f t="shared" si="185"/>
        <v>101097</v>
      </c>
      <c r="DL18" s="2">
        <f>+SUM('[2]Ⅴ-4'!$R$12)</f>
        <v>954797</v>
      </c>
      <c r="DM18" s="2">
        <f>'[2]Ⅴ-4'!$R$34</f>
        <v>853700</v>
      </c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K18" s="301" t="s">
        <v>1127</v>
      </c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</row>
    <row r="19" spans="1:159" s="301" customFormat="1">
      <c r="A19" s="301" t="str">
        <f t="shared" si="157"/>
        <v>2509삼성</v>
      </c>
      <c r="B19" s="301">
        <v>2509</v>
      </c>
      <c r="C19" s="301" t="s">
        <v>1114</v>
      </c>
      <c r="D19" s="2">
        <v>295578120</v>
      </c>
      <c r="E19" s="2">
        <v>37991991</v>
      </c>
      <c r="F19" s="2">
        <v>183641145</v>
      </c>
      <c r="G19" s="2">
        <v>41744574</v>
      </c>
      <c r="H19" s="2">
        <v>22421361</v>
      </c>
      <c r="I19" s="302">
        <f t="shared" ref="I19:I20" si="208">+E19/$D19</f>
        <v>0.12853451737226015</v>
      </c>
      <c r="J19" s="302">
        <f t="shared" ref="J19:J20" si="209">+F19/$D19</f>
        <v>0.62129478663711646</v>
      </c>
      <c r="K19" s="302">
        <f t="shared" ref="K19:K20" si="210">+G19/$D19</f>
        <v>0.14123025750349857</v>
      </c>
      <c r="L19" s="2">
        <v>262873644</v>
      </c>
      <c r="M19" s="2">
        <v>207631921</v>
      </c>
      <c r="N19" s="4">
        <f t="shared" si="159"/>
        <v>32704476</v>
      </c>
      <c r="O19" s="4">
        <v>32704476</v>
      </c>
      <c r="P19" s="4"/>
      <c r="Q19" s="4">
        <v>19735638</v>
      </c>
      <c r="R19" s="4">
        <v>14973076</v>
      </c>
      <c r="S19" s="4">
        <v>25097358</v>
      </c>
      <c r="T19" s="308">
        <f>T18</f>
        <v>30488497</v>
      </c>
      <c r="U19" s="327">
        <v>267599194</v>
      </c>
      <c r="V19" s="327">
        <v>262018956</v>
      </c>
      <c r="W19" s="328">
        <v>0.97909999999999997</v>
      </c>
      <c r="X19" s="4">
        <v>19735638</v>
      </c>
      <c r="Y19" s="4">
        <v>17843954</v>
      </c>
      <c r="Z19" s="4">
        <v>1716945</v>
      </c>
      <c r="AA19" s="4">
        <v>314301</v>
      </c>
      <c r="AB19" s="4">
        <v>30598</v>
      </c>
      <c r="AC19" s="4"/>
      <c r="AD19" s="4">
        <v>-170160</v>
      </c>
      <c r="AE19" s="426">
        <f t="shared" si="160"/>
        <v>0</v>
      </c>
      <c r="AF19" s="2">
        <v>1092943</v>
      </c>
      <c r="AG19" s="2">
        <v>7316460</v>
      </c>
      <c r="AH19" s="2">
        <v>6223517</v>
      </c>
      <c r="AI19" s="2">
        <v>544697</v>
      </c>
      <c r="AJ19" s="2">
        <f>1110149-8613374</f>
        <v>-7503225</v>
      </c>
      <c r="AK19" s="2">
        <f>84925-30928</f>
        <v>53997</v>
      </c>
      <c r="AL19" s="2">
        <f t="shared" si="172"/>
        <v>7830325</v>
      </c>
      <c r="AM19" s="2">
        <v>233758</v>
      </c>
      <c r="AN19" s="2">
        <f>16414+217336+302889-139281</f>
        <v>397358</v>
      </c>
      <c r="AO19" s="2">
        <v>1637640</v>
      </c>
      <c r="AP19" s="2">
        <v>347934</v>
      </c>
      <c r="AQ19" s="4">
        <v>1985574</v>
      </c>
      <c r="AR19" s="4">
        <v>1609894</v>
      </c>
      <c r="AS19" s="4">
        <f t="shared" ref="AS19:AS20" si="211">+AO19+AP19-AQ19</f>
        <v>0</v>
      </c>
      <c r="AT19" s="4">
        <f t="shared" ref="AT19:AT20" si="212">+AJ19+AK19+AL19-AM19+AN19-AI19</f>
        <v>0</v>
      </c>
      <c r="AU19" s="4">
        <f t="shared" ref="AU19:AU20" si="213">+AF19+AI19-AO19</f>
        <v>0</v>
      </c>
      <c r="AV19" s="4">
        <f t="shared" ref="AV19:AV20" si="214">+AF19</f>
        <v>1092943</v>
      </c>
      <c r="AW19" s="4">
        <f t="shared" ref="AW19:AW20" si="215">+AI19</f>
        <v>544697</v>
      </c>
      <c r="AX19" s="4">
        <f t="shared" ref="AX19:AX20" si="216">+AP19</f>
        <v>347934</v>
      </c>
      <c r="AY19" s="4">
        <f t="shared" ref="AY19:AY20" si="217">+SUM(AV19:AX19)</f>
        <v>1985574</v>
      </c>
      <c r="AZ19" s="2"/>
      <c r="BA19" s="2"/>
      <c r="BB19" s="302"/>
      <c r="BC19" s="2">
        <v>13101010</v>
      </c>
      <c r="BD19" s="2">
        <v>8239138</v>
      </c>
      <c r="BE19" s="2"/>
      <c r="BF19" s="2">
        <f>+-1232633+3139</f>
        <v>-1229494</v>
      </c>
      <c r="BG19" s="2">
        <v>-372656</v>
      </c>
      <c r="BH19" s="2"/>
      <c r="BI19" s="2">
        <v>-2360</v>
      </c>
      <c r="BJ19" s="2"/>
      <c r="BK19" s="2">
        <v>19735638</v>
      </c>
      <c r="BL19" s="4">
        <f t="shared" si="180"/>
        <v>0</v>
      </c>
      <c r="BM19" s="2">
        <v>14000586</v>
      </c>
      <c r="BN19" s="2">
        <v>-808086</v>
      </c>
      <c r="BO19" s="2"/>
      <c r="BP19" s="2">
        <v>1609894</v>
      </c>
      <c r="BQ19" s="2">
        <v>170682</v>
      </c>
      <c r="BR19" s="2"/>
      <c r="BS19" s="2">
        <v>14973076</v>
      </c>
      <c r="BT19" s="4">
        <f t="shared" si="181"/>
        <v>0</v>
      </c>
      <c r="BU19" s="4">
        <v>190521472</v>
      </c>
      <c r="BV19" s="4">
        <v>3063428</v>
      </c>
      <c r="BW19" s="4">
        <v>14047021</v>
      </c>
      <c r="BX19" s="4">
        <v>2297751</v>
      </c>
      <c r="BY19" s="4">
        <v>1122023</v>
      </c>
      <c r="BZ19" s="4">
        <v>-393576</v>
      </c>
      <c r="CA19" s="4">
        <v>362846</v>
      </c>
      <c r="CB19" s="4">
        <f>+CB18</f>
        <v>12902023</v>
      </c>
      <c r="CC19" s="2"/>
      <c r="CD19" s="2">
        <f t="shared" si="182"/>
        <v>0</v>
      </c>
      <c r="CE19" s="2">
        <f>316166+500986+89674</f>
        <v>906826</v>
      </c>
      <c r="CF19" s="2">
        <f>534702+785033+154314</f>
        <v>1474049</v>
      </c>
      <c r="CG19" s="2">
        <f>460018+609247+132085</f>
        <v>1201350</v>
      </c>
      <c r="CH19" s="2">
        <f>3798261+5977119+689416</f>
        <v>10464796</v>
      </c>
      <c r="CI19" s="2"/>
      <c r="CJ19" s="2">
        <f>1065489+7872385+5109147</f>
        <v>14047021</v>
      </c>
      <c r="CK19" s="2">
        <f t="shared" ref="CK19" si="218">CJ19-SUM(CE19:CI19)</f>
        <v>0</v>
      </c>
      <c r="CL19" s="2">
        <f t="shared" ref="CL19" si="219">BW19-CJ19</f>
        <v>0</v>
      </c>
      <c r="CM19" s="2"/>
      <c r="CN19" s="302"/>
      <c r="CO19" s="2"/>
      <c r="CP19" s="2"/>
      <c r="CQ19" s="303">
        <v>1.927</v>
      </c>
      <c r="CR19" s="304">
        <v>55722366</v>
      </c>
      <c r="CS19" s="304">
        <v>28911771</v>
      </c>
      <c r="CT19" s="2"/>
      <c r="CU19" s="2"/>
      <c r="CV19" s="2"/>
      <c r="CW19" s="312"/>
      <c r="CX19" s="312"/>
      <c r="CY19" s="312"/>
      <c r="CZ19" s="313"/>
      <c r="DA19" s="2"/>
      <c r="DB19" s="2"/>
      <c r="DC19" s="302">
        <v>0.88747891804316803</v>
      </c>
      <c r="DD19" s="2">
        <v>3903653.2396249995</v>
      </c>
      <c r="DE19" s="2">
        <v>3464409.9535181019</v>
      </c>
      <c r="DF19" s="2"/>
      <c r="DG19" s="2">
        <f>+DH19+DK19</f>
        <v>-14826</v>
      </c>
      <c r="DH19" s="2">
        <f>+DI19-DJ19</f>
        <v>-160701</v>
      </c>
      <c r="DI19" s="2">
        <f>'[3]Ⅴ-4'!$R$11</f>
        <v>3594901</v>
      </c>
      <c r="DJ19" s="2">
        <f>'[3]Ⅴ-4'!$R$33</f>
        <v>3755602</v>
      </c>
      <c r="DK19" s="2">
        <f t="shared" si="185"/>
        <v>145875</v>
      </c>
      <c r="DL19" s="2">
        <f>'[3]Ⅴ-4'!$R$12</f>
        <v>1447520</v>
      </c>
      <c r="DM19" s="2">
        <f>'[3]Ⅴ-4'!$R$34</f>
        <v>1301645</v>
      </c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I19" s="301">
        <v>494485</v>
      </c>
      <c r="EJ19" s="301">
        <v>1751695</v>
      </c>
      <c r="EK19" s="301">
        <v>51571</v>
      </c>
      <c r="EN19" s="301">
        <f>SUM(EI19:EM19)</f>
        <v>2297751</v>
      </c>
      <c r="EO19" s="301">
        <f>+EN19-BX19</f>
        <v>0</v>
      </c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</row>
    <row r="20" spans="1:159" s="301" customFormat="1">
      <c r="A20" s="301" t="str">
        <f t="shared" si="157"/>
        <v>2512삼성</v>
      </c>
      <c r="B20" s="301">
        <v>2512</v>
      </c>
      <c r="C20" s="301" t="s">
        <v>1130</v>
      </c>
      <c r="D20" s="2">
        <v>309948294</v>
      </c>
      <c r="E20" s="2">
        <v>38209635</v>
      </c>
      <c r="F20" s="2">
        <v>196888832</v>
      </c>
      <c r="G20" s="2">
        <v>41115626</v>
      </c>
      <c r="H20" s="2">
        <v>23986536</v>
      </c>
      <c r="I20" s="302">
        <f t="shared" si="208"/>
        <v>0.12327744897992567</v>
      </c>
      <c r="J20" s="302">
        <f t="shared" si="209"/>
        <v>0.63523121698485618</v>
      </c>
      <c r="K20" s="302">
        <f t="shared" si="210"/>
        <v>0.13265317730705109</v>
      </c>
      <c r="L20" s="2">
        <v>253531479</v>
      </c>
      <c r="M20" s="2">
        <v>200846347</v>
      </c>
      <c r="N20" s="4">
        <f t="shared" si="159"/>
        <v>56416815</v>
      </c>
      <c r="O20" s="4">
        <v>56416815</v>
      </c>
      <c r="P20" s="4"/>
      <c r="Q20" s="4">
        <v>43358109</v>
      </c>
      <c r="R20" s="4">
        <v>15062944</v>
      </c>
      <c r="S20" s="4">
        <v>30488497</v>
      </c>
      <c r="T20" s="308">
        <f>+T19</f>
        <v>30488497</v>
      </c>
      <c r="U20" s="327">
        <v>280693700</v>
      </c>
      <c r="V20" s="327">
        <v>275325800</v>
      </c>
      <c r="W20" s="328">
        <v>0.98089999999999999</v>
      </c>
      <c r="X20" s="4">
        <f>+Q20</f>
        <v>43358109</v>
      </c>
      <c r="Y20" s="4">
        <v>36260495</v>
      </c>
      <c r="Z20" s="4">
        <v>7891090</v>
      </c>
      <c r="AA20" s="4">
        <v>268370</v>
      </c>
      <c r="AB20" s="4">
        <v>-874000</v>
      </c>
      <c r="AC20" s="4"/>
      <c r="AD20" s="4">
        <v>-187846</v>
      </c>
      <c r="AE20" s="426">
        <f t="shared" si="160"/>
        <v>0</v>
      </c>
      <c r="AF20" s="2">
        <v>974716</v>
      </c>
      <c r="AG20" s="2">
        <v>9788568</v>
      </c>
      <c r="AH20" s="2">
        <v>8813852</v>
      </c>
      <c r="AI20" s="2">
        <v>691745</v>
      </c>
      <c r="AJ20" s="2">
        <f>1672566-12218605</f>
        <v>-10546039</v>
      </c>
      <c r="AK20" s="2">
        <f>111918-40687</f>
        <v>71231</v>
      </c>
      <c r="AL20" s="2">
        <f t="shared" si="172"/>
        <v>10870180</v>
      </c>
      <c r="AM20" s="2">
        <v>342173</v>
      </c>
      <c r="AN20" s="2">
        <f>23287+284151+510085-178977</f>
        <v>638546</v>
      </c>
      <c r="AO20" s="2">
        <v>1666461</v>
      </c>
      <c r="AP20" s="2">
        <v>340545</v>
      </c>
      <c r="AQ20" s="4">
        <v>2007006</v>
      </c>
      <c r="AR20" s="4">
        <v>1699762</v>
      </c>
      <c r="AS20" s="4">
        <f t="shared" si="211"/>
        <v>0</v>
      </c>
      <c r="AT20" s="4">
        <f t="shared" si="212"/>
        <v>0</v>
      </c>
      <c r="AU20" s="4">
        <f t="shared" si="213"/>
        <v>0</v>
      </c>
      <c r="AV20" s="4">
        <f t="shared" si="214"/>
        <v>974716</v>
      </c>
      <c r="AW20" s="4">
        <f t="shared" si="215"/>
        <v>691745</v>
      </c>
      <c r="AX20" s="4">
        <f t="shared" si="216"/>
        <v>340545</v>
      </c>
      <c r="AY20" s="4">
        <f t="shared" si="217"/>
        <v>2007006</v>
      </c>
      <c r="AZ20" s="2"/>
      <c r="BA20" s="2"/>
      <c r="BB20" s="302"/>
      <c r="BC20" s="2">
        <v>18492149</v>
      </c>
      <c r="BD20" s="2">
        <v>21264540</v>
      </c>
      <c r="BE20" s="2"/>
      <c r="BF20" s="2">
        <f>4941512+-42792</f>
        <v>4898720</v>
      </c>
      <c r="BG20" s="2">
        <v>-1277254</v>
      </c>
      <c r="BH20" s="2"/>
      <c r="BI20" s="2">
        <v>-20046</v>
      </c>
      <c r="BJ20" s="2"/>
      <c r="BK20" s="2">
        <v>43358109</v>
      </c>
      <c r="BL20" s="4">
        <f t="shared" si="180"/>
        <v>0</v>
      </c>
      <c r="BM20" s="2">
        <v>14000586</v>
      </c>
      <c r="BN20" s="2">
        <v>-808086</v>
      </c>
      <c r="BO20" s="2"/>
      <c r="BP20" s="2">
        <v>1699762</v>
      </c>
      <c r="BQ20" s="2">
        <v>170682</v>
      </c>
      <c r="BR20" s="2"/>
      <c r="BS20" s="2">
        <v>15062944</v>
      </c>
      <c r="BT20" s="4">
        <f t="shared" si="181"/>
        <v>0</v>
      </c>
      <c r="BU20" s="4">
        <f>38041641+29290766+117130855</f>
        <v>184463262</v>
      </c>
      <c r="BV20" s="4">
        <f>1079156+1466764+619289</f>
        <v>3165209</v>
      </c>
      <c r="BW20" s="4">
        <f>332731+990506+2975156+733054+2929857+4287285+51300+368974+549011</f>
        <v>13217874</v>
      </c>
      <c r="BX20" s="4">
        <f>676618+2301353+81501</f>
        <v>3059472</v>
      </c>
      <c r="BY20" s="4">
        <f>522045+818895+138659</f>
        <v>1479599</v>
      </c>
      <c r="BZ20" s="4">
        <f>-52714-398585-349216-69199-231224-602814-11743-29087-13193</f>
        <v>-1757775</v>
      </c>
      <c r="CA20" s="4">
        <f>12067+44830+126929+17367+99667+157026+1931+10293+23643</f>
        <v>493753</v>
      </c>
      <c r="CB20" s="4">
        <f>+BW16</f>
        <v>12902023</v>
      </c>
      <c r="CC20" s="2"/>
      <c r="CD20" s="2">
        <f t="shared" si="182"/>
        <v>0</v>
      </c>
      <c r="CE20" s="2">
        <f>263327+501050+84812</f>
        <v>849189</v>
      </c>
      <c r="CF20" s="2">
        <f>446612+789359+146228</f>
        <v>1382199</v>
      </c>
      <c r="CG20" s="2">
        <f>383310+616520+124198</f>
        <v>1124028</v>
      </c>
      <c r="CH20" s="2">
        <f>3205144+6043267+614047</f>
        <v>9862458</v>
      </c>
      <c r="CI20" s="2"/>
      <c r="CJ20" s="2">
        <f>4298393+7950196+969285</f>
        <v>13217874</v>
      </c>
      <c r="CK20" s="2">
        <f t="shared" ref="CK20" si="220">CJ20-SUM(CE20:CI20)</f>
        <v>0</v>
      </c>
      <c r="CL20" s="2">
        <f t="shared" ref="CL20" si="221">BW20-CJ20</f>
        <v>0</v>
      </c>
      <c r="CM20" s="2"/>
      <c r="CN20" s="303">
        <v>1.98</v>
      </c>
      <c r="CO20" s="304">
        <v>65739719</v>
      </c>
      <c r="CP20" s="304">
        <v>33205192</v>
      </c>
      <c r="CQ20" s="457">
        <v>1.98</v>
      </c>
      <c r="CR20" s="458">
        <v>65739719</v>
      </c>
      <c r="CS20" s="458">
        <v>33205192</v>
      </c>
      <c r="CT20" s="2"/>
      <c r="CU20" s="2"/>
      <c r="CV20" s="2"/>
      <c r="CW20" s="312">
        <v>0.92100000000000004</v>
      </c>
      <c r="CX20" s="312">
        <v>0.99099999999999999</v>
      </c>
      <c r="CY20" s="312">
        <v>-7.0000000000000007E-2</v>
      </c>
      <c r="CZ20" s="313">
        <f>+CX20/CW20</f>
        <v>1.0760043431053203</v>
      </c>
      <c r="DA20" s="2"/>
      <c r="DB20" s="2"/>
      <c r="DC20" s="302">
        <v>0.83261359437729099</v>
      </c>
      <c r="DD20" s="2">
        <v>5231962.251809</v>
      </c>
      <c r="DE20" s="2">
        <v>4356202.896125</v>
      </c>
      <c r="DF20" s="2"/>
      <c r="DG20" s="2">
        <f>+DH20+DK20</f>
        <v>-160936</v>
      </c>
      <c r="DH20" s="2">
        <f>+DI20-DJ20</f>
        <v>-233821</v>
      </c>
      <c r="DI20" s="2">
        <f>'[4]Ⅴ-4'!$R$11</f>
        <v>4816139</v>
      </c>
      <c r="DJ20" s="2">
        <f>'[4]Ⅴ-4'!$R$33</f>
        <v>5049960</v>
      </c>
      <c r="DK20" s="2">
        <f t="shared" si="185"/>
        <v>72885</v>
      </c>
      <c r="DL20" s="2">
        <f>'[4]Ⅴ-4'!$R$12</f>
        <v>1933564</v>
      </c>
      <c r="DM20" s="2">
        <f>'[4]Ⅴ-4'!$R$34</f>
        <v>1860679</v>
      </c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P20" s="2">
        <v>258004</v>
      </c>
      <c r="EQ20" s="2">
        <v>421543</v>
      </c>
      <c r="ER20" s="2">
        <v>487958</v>
      </c>
      <c r="ES20" s="2">
        <v>-34047</v>
      </c>
      <c r="ET20" s="2">
        <f>800944+105461</f>
        <v>906405</v>
      </c>
      <c r="EU20" s="2"/>
      <c r="EV20" s="2"/>
      <c r="EW20" s="2">
        <v>-258004</v>
      </c>
      <c r="EX20" s="2">
        <v>-421543</v>
      </c>
      <c r="EY20" s="2">
        <v>-487958</v>
      </c>
      <c r="EZ20" s="2">
        <v>34047</v>
      </c>
      <c r="FA20" s="2">
        <v>-906405</v>
      </c>
      <c r="FB20" s="2">
        <v>282088</v>
      </c>
      <c r="FC20" s="452">
        <f>SUM(EW20:FB20)-BZ20</f>
        <v>0</v>
      </c>
    </row>
    <row r="21" spans="1:159" s="301" customFormat="1">
      <c r="A21" s="301" t="str">
        <f t="shared" si="157"/>
        <v/>
      </c>
      <c r="D21" s="2"/>
      <c r="E21" s="2"/>
      <c r="F21" s="2"/>
      <c r="G21" s="2"/>
      <c r="H21" s="2"/>
      <c r="I21" s="302"/>
      <c r="J21" s="302"/>
      <c r="K21" s="302"/>
      <c r="L21" s="2"/>
      <c r="M21" s="2"/>
      <c r="N21" s="4"/>
      <c r="O21" s="4"/>
      <c r="P21" s="4"/>
      <c r="Q21" s="4"/>
      <c r="R21" s="4"/>
      <c r="S21" s="4"/>
      <c r="T21" s="308"/>
      <c r="U21" s="327"/>
      <c r="V21" s="327"/>
      <c r="W21" s="328"/>
      <c r="X21" s="4"/>
      <c r="Y21" s="4"/>
      <c r="Z21" s="4"/>
      <c r="AA21" s="4"/>
      <c r="AB21" s="4"/>
      <c r="AC21" s="4"/>
      <c r="AD21" s="4"/>
      <c r="AE21" s="4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4"/>
      <c r="AR21" s="4"/>
      <c r="AS21" s="4"/>
      <c r="AT21" s="4"/>
      <c r="AU21" s="4"/>
      <c r="AV21" s="4"/>
      <c r="AW21" s="4"/>
      <c r="AX21" s="4"/>
      <c r="AY21" s="4"/>
      <c r="AZ21" s="2"/>
      <c r="BA21" s="2"/>
      <c r="BB21" s="302"/>
      <c r="BC21" s="2"/>
      <c r="BD21" s="2"/>
      <c r="BE21" s="2"/>
      <c r="BF21" s="2"/>
      <c r="BG21" s="2"/>
      <c r="BH21" s="2"/>
      <c r="BI21" s="2"/>
      <c r="BJ21" s="2"/>
      <c r="BK21" s="2"/>
      <c r="BL21" s="4"/>
      <c r="BM21" s="2"/>
      <c r="BN21" s="2"/>
      <c r="BO21" s="2"/>
      <c r="BP21" s="2"/>
      <c r="BQ21" s="2"/>
      <c r="BR21" s="2"/>
      <c r="BS21" s="2"/>
      <c r="BT21" s="4"/>
      <c r="BU21" s="4"/>
      <c r="BV21" s="4"/>
      <c r="BW21" s="4"/>
      <c r="BX21" s="4"/>
      <c r="BY21" s="4"/>
      <c r="BZ21" s="4"/>
      <c r="CA21" s="4"/>
      <c r="CB21" s="4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302"/>
      <c r="CO21" s="2"/>
      <c r="CP21" s="2"/>
      <c r="CQ21" s="303"/>
      <c r="CR21" s="304"/>
      <c r="CS21" s="304"/>
      <c r="CT21" s="2"/>
      <c r="CU21" s="2"/>
      <c r="CV21" s="2"/>
      <c r="CW21" s="312"/>
      <c r="CX21" s="312"/>
      <c r="CY21" s="312"/>
      <c r="CZ21" s="313"/>
      <c r="DA21" s="2"/>
      <c r="DB21" s="2"/>
      <c r="DC21" s="302"/>
      <c r="DD21" s="2"/>
      <c r="DE21" s="2"/>
      <c r="DF21" s="2"/>
      <c r="DG21" s="2"/>
      <c r="DH21" s="2">
        <f>+DH20-DH16</f>
        <v>-159464.39199999999</v>
      </c>
      <c r="DI21" s="2"/>
      <c r="DJ21" s="307">
        <f>+DJ20/DI20</f>
        <v>1.0485494708520664</v>
      </c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</row>
    <row r="22" spans="1:159" s="315" customFormat="1">
      <c r="A22" s="315" t="str">
        <f t="shared" si="157"/>
        <v>2212교보</v>
      </c>
      <c r="B22" s="315">
        <v>2212</v>
      </c>
      <c r="C22" s="315" t="s">
        <v>1037</v>
      </c>
      <c r="D22" s="316"/>
      <c r="E22" s="316"/>
      <c r="F22" s="316"/>
      <c r="G22" s="316"/>
      <c r="H22" s="316"/>
      <c r="I22" s="317"/>
      <c r="J22" s="317"/>
      <c r="K22" s="317"/>
      <c r="L22" s="316"/>
      <c r="M22" s="316"/>
      <c r="N22" s="308">
        <f t="shared" si="159"/>
        <v>8867256.3319540005</v>
      </c>
      <c r="O22" s="308">
        <v>9976155.2801670004</v>
      </c>
      <c r="P22" s="308">
        <v>1108898.9482130001</v>
      </c>
      <c r="Q22" s="308">
        <v>2591806.6610849998</v>
      </c>
      <c r="R22" s="308">
        <v>5920420.1919590002</v>
      </c>
      <c r="S22" s="308"/>
      <c r="T22" s="308"/>
      <c r="U22" s="316"/>
      <c r="V22" s="316"/>
      <c r="W22" s="316"/>
      <c r="X22" s="308">
        <v>2591807</v>
      </c>
      <c r="Y22" s="308">
        <f>-5866022+6867-5</f>
        <v>-5859160</v>
      </c>
      <c r="Z22" s="308">
        <v>7927326</v>
      </c>
      <c r="AA22" s="308">
        <v>48117</v>
      </c>
      <c r="AB22" s="308">
        <v>-92343</v>
      </c>
      <c r="AC22" s="308">
        <v>527671</v>
      </c>
      <c r="AD22" s="308">
        <v>40196</v>
      </c>
      <c r="AE22" s="308">
        <f t="shared" si="160"/>
        <v>0</v>
      </c>
      <c r="AF22" s="316"/>
      <c r="AG22" s="316"/>
      <c r="AH22" s="316"/>
      <c r="AI22" s="316"/>
      <c r="AJ22" s="316"/>
      <c r="AK22" s="316"/>
      <c r="AL22" s="316"/>
      <c r="AM22" s="316"/>
      <c r="AN22" s="316"/>
      <c r="AO22" s="316"/>
      <c r="AP22" s="316"/>
      <c r="AQ22" s="308"/>
      <c r="AR22" s="308"/>
      <c r="AS22" s="316"/>
      <c r="AT22" s="316"/>
      <c r="AU22" s="316"/>
      <c r="AV22" s="316"/>
      <c r="AW22" s="316"/>
      <c r="AX22" s="316"/>
      <c r="AY22" s="316"/>
      <c r="AZ22" s="316"/>
      <c r="BA22" s="316"/>
      <c r="BB22" s="317"/>
      <c r="BC22" s="316"/>
      <c r="BD22" s="316"/>
      <c r="BE22" s="316"/>
      <c r="BF22" s="316"/>
      <c r="BG22" s="316"/>
      <c r="BH22" s="316"/>
      <c r="BI22" s="316"/>
      <c r="BJ22" s="316"/>
      <c r="BK22" s="316"/>
      <c r="BL22" s="316"/>
      <c r="BM22" s="316"/>
      <c r="BN22" s="316"/>
      <c r="BO22" s="316"/>
      <c r="BP22" s="316"/>
      <c r="BQ22" s="316"/>
      <c r="BR22" s="316"/>
      <c r="BS22" s="316"/>
      <c r="BT22" s="316">
        <v>7888204.8028079998</v>
      </c>
      <c r="BU22" s="308">
        <v>71737265</v>
      </c>
      <c r="BV22" s="308">
        <v>1320191</v>
      </c>
      <c r="BW22" s="308">
        <v>5437763</v>
      </c>
      <c r="BX22" s="308"/>
      <c r="BY22" s="308"/>
      <c r="BZ22" s="308"/>
      <c r="CA22" s="308"/>
      <c r="CB22" s="308"/>
      <c r="CC22" s="316"/>
      <c r="CD22" s="316"/>
      <c r="CE22" s="316"/>
      <c r="CF22" s="316"/>
      <c r="CG22" s="316"/>
      <c r="CH22" s="316"/>
      <c r="CI22" s="316"/>
      <c r="CJ22" s="316"/>
      <c r="CK22" s="316"/>
      <c r="CL22" s="316"/>
      <c r="CM22" s="316"/>
      <c r="CN22" s="317"/>
      <c r="CO22" s="316"/>
      <c r="CP22" s="316"/>
      <c r="CQ22" s="318"/>
      <c r="CR22" s="319"/>
      <c r="CS22" s="319"/>
      <c r="CT22" s="316"/>
      <c r="CU22" s="316"/>
      <c r="CV22" s="316"/>
      <c r="CW22" s="316"/>
      <c r="CX22" s="316"/>
      <c r="CY22" s="316"/>
      <c r="CZ22" s="316"/>
      <c r="DA22" s="316"/>
      <c r="DB22" s="316"/>
      <c r="DC22" s="317"/>
      <c r="DD22" s="316"/>
      <c r="DE22" s="316"/>
      <c r="DF22" s="316"/>
      <c r="DG22" s="316"/>
      <c r="DH22" s="316"/>
      <c r="DI22" s="316"/>
      <c r="DJ22" s="316"/>
      <c r="DK22" s="316"/>
      <c r="DL22" s="316"/>
      <c r="DM22" s="316"/>
      <c r="DN22" s="316"/>
      <c r="DO22" s="316"/>
      <c r="DP22" s="316"/>
      <c r="DQ22" s="316"/>
      <c r="DR22" s="316"/>
      <c r="DS22" s="316"/>
      <c r="DT22" s="316"/>
      <c r="DU22" s="316"/>
      <c r="DV22" s="316"/>
      <c r="DW22" s="316"/>
      <c r="DX22" s="316"/>
      <c r="DY22" s="316"/>
      <c r="DZ22" s="316"/>
      <c r="EA22" s="316"/>
      <c r="EB22" s="316"/>
      <c r="EC22" s="316"/>
      <c r="ED22" s="316"/>
      <c r="EE22" s="316"/>
      <c r="EF22" s="316"/>
      <c r="EP22" s="316"/>
      <c r="EQ22" s="316"/>
      <c r="ER22" s="316"/>
      <c r="ES22" s="316"/>
      <c r="ET22" s="316"/>
      <c r="EU22" s="316"/>
      <c r="EV22" s="316"/>
      <c r="EW22" s="316"/>
      <c r="EX22" s="316"/>
      <c r="EY22" s="316"/>
      <c r="EZ22" s="316"/>
      <c r="FA22" s="316"/>
      <c r="FB22" s="316"/>
    </row>
    <row r="23" spans="1:159" s="315" customFormat="1">
      <c r="A23" s="315" t="str">
        <f t="shared" si="157"/>
        <v>2312교보</v>
      </c>
      <c r="B23" s="315">
        <v>2312</v>
      </c>
      <c r="C23" s="315" t="s">
        <v>2</v>
      </c>
      <c r="D23" s="316">
        <v>115002544.049863</v>
      </c>
      <c r="E23" s="316">
        <v>34153491.484438002</v>
      </c>
      <c r="F23" s="316">
        <v>49724360.239462003</v>
      </c>
      <c r="G23" s="316">
        <f>1263520.722386+19225686.060264+974297.988445</f>
        <v>21463504.771094996</v>
      </c>
      <c r="H23" s="316">
        <v>2048122.40218</v>
      </c>
      <c r="I23" s="317">
        <f t="shared" ref="I23:K24" si="222">+E23/$D23</f>
        <v>0.29698031262360314</v>
      </c>
      <c r="J23" s="317">
        <f t="shared" si="222"/>
        <v>0.43237617611226437</v>
      </c>
      <c r="K23" s="317">
        <f t="shared" si="222"/>
        <v>0.1866350431499047</v>
      </c>
      <c r="L23" s="316">
        <v>105026788.69016799</v>
      </c>
      <c r="M23" s="316">
        <v>87242878.594423994</v>
      </c>
      <c r="N23" s="308">
        <f t="shared" si="159"/>
        <v>8368314.9314820003</v>
      </c>
      <c r="O23" s="308">
        <v>9975755.3596950006</v>
      </c>
      <c r="P23" s="308">
        <v>1607440.4282130001</v>
      </c>
      <c r="Q23" s="308">
        <v>1670167.4456760001</v>
      </c>
      <c r="R23" s="308">
        <v>6427125.8824960003</v>
      </c>
      <c r="S23" s="308">
        <v>9905910.9200870004</v>
      </c>
      <c r="T23" s="308">
        <f t="shared" ref="T23:T25" si="223">N22</f>
        <v>8867256.3319540005</v>
      </c>
      <c r="U23" s="316">
        <v>99399300</v>
      </c>
      <c r="V23" s="316">
        <v>97258910</v>
      </c>
      <c r="W23" s="320">
        <v>0.97850000000000004</v>
      </c>
      <c r="X23" s="308">
        <v>1670167</v>
      </c>
      <c r="Y23" s="308">
        <f>-3559631+8962</f>
        <v>-3550669</v>
      </c>
      <c r="Z23" s="308">
        <v>4383534</v>
      </c>
      <c r="AA23" s="308">
        <v>12004</v>
      </c>
      <c r="AB23" s="308">
        <v>265018</v>
      </c>
      <c r="AC23" s="308">
        <v>524030</v>
      </c>
      <c r="AD23" s="308">
        <v>36250</v>
      </c>
      <c r="AE23" s="308">
        <f t="shared" si="160"/>
        <v>0</v>
      </c>
      <c r="AF23" s="316">
        <v>232681.65180600001</v>
      </c>
      <c r="AG23" s="316">
        <v>3895860.679517</v>
      </c>
      <c r="AH23" s="316">
        <v>3663179.0277109998</v>
      </c>
      <c r="AI23" s="316">
        <v>603853.45870099997</v>
      </c>
      <c r="AJ23" s="316">
        <v>-4283343.7842140002</v>
      </c>
      <c r="AK23" s="316">
        <f>2071.693076-6576.970918</f>
        <v>-4505.2778419999995</v>
      </c>
      <c r="AL23" s="316">
        <f t="shared" si="172"/>
        <v>4302553.4305429999</v>
      </c>
      <c r="AM23" s="316">
        <v>84976.538413999995</v>
      </c>
      <c r="AN23" s="316">
        <f>745849.223469-71723.594841</f>
        <v>674125.62862799992</v>
      </c>
      <c r="AO23" s="316">
        <v>836535.110507</v>
      </c>
      <c r="AP23" s="316">
        <v>3018.6094830000002</v>
      </c>
      <c r="AQ23" s="308">
        <v>839553.71999000001</v>
      </c>
      <c r="AR23" s="308">
        <v>632200.60720700002</v>
      </c>
      <c r="AS23" s="316">
        <f t="shared" si="173"/>
        <v>0</v>
      </c>
      <c r="AT23" s="316">
        <f t="shared" si="174"/>
        <v>0</v>
      </c>
      <c r="AU23" s="316">
        <f t="shared" si="175"/>
        <v>0</v>
      </c>
      <c r="AV23" s="316">
        <f t="shared" si="176"/>
        <v>232681.65180600001</v>
      </c>
      <c r="AW23" s="316">
        <f t="shared" si="177"/>
        <v>603853.45870099997</v>
      </c>
      <c r="AX23" s="316">
        <f t="shared" si="178"/>
        <v>3018.6094830000002</v>
      </c>
      <c r="AY23" s="316">
        <f t="shared" si="179"/>
        <v>839553.71999000001</v>
      </c>
      <c r="AZ23" s="316"/>
      <c r="BA23" s="316"/>
      <c r="BB23" s="317">
        <f t="shared" si="155"/>
        <v>-4.1033780409628393E-2</v>
      </c>
      <c r="BC23" s="316">
        <v>2591806.6610849998</v>
      </c>
      <c r="BD23" s="316">
        <f>2306391.530503</f>
        <v>2306391.5305030001</v>
      </c>
      <c r="BE23" s="316">
        <v>2095.3838900000001</v>
      </c>
      <c r="BF23" s="316">
        <f>-3543792.299432-36112.798724</f>
        <v>-3579905.098156</v>
      </c>
      <c r="BG23" s="316">
        <v>357360.79627699999</v>
      </c>
      <c r="BH23" s="316">
        <v>-3640.898588</v>
      </c>
      <c r="BI23" s="316">
        <v>-3946.2728999999999</v>
      </c>
      <c r="BJ23" s="316">
        <v>5.3435649999999999</v>
      </c>
      <c r="BK23" s="316">
        <v>1670167.4456760001</v>
      </c>
      <c r="BL23" s="316">
        <f t="shared" si="180"/>
        <v>0</v>
      </c>
      <c r="BM23" s="316">
        <v>5920420.1919590002</v>
      </c>
      <c r="BN23" s="316">
        <f>-51250</f>
        <v>-51250</v>
      </c>
      <c r="BO23" s="316"/>
      <c r="BP23" s="316">
        <v>632200.60720700002</v>
      </c>
      <c r="BQ23" s="316"/>
      <c r="BR23" s="316">
        <v>-74244.916670000006</v>
      </c>
      <c r="BS23" s="316">
        <v>6427125.8824960003</v>
      </c>
      <c r="BT23" s="316">
        <f>+BM23+SUM(BN23:BR23)-BS23</f>
        <v>0</v>
      </c>
      <c r="BU23" s="308">
        <v>80176057</v>
      </c>
      <c r="BV23" s="308">
        <v>1241898</v>
      </c>
      <c r="BW23" s="308">
        <v>5824923</v>
      </c>
      <c r="BX23" s="308">
        <v>1372888</v>
      </c>
      <c r="BY23" s="308">
        <v>627701</v>
      </c>
      <c r="BZ23" s="308">
        <v>-1810627</v>
      </c>
      <c r="CA23" s="308">
        <v>1452600</v>
      </c>
      <c r="CB23" s="308">
        <v>5437763</v>
      </c>
      <c r="CC23" s="316"/>
      <c r="CD23" s="316">
        <f t="shared" ref="CD23" si="224">CB23+BX23-BY23+BZ23+CA23-BW23</f>
        <v>0</v>
      </c>
      <c r="CE23" s="316">
        <v>569652</v>
      </c>
      <c r="CF23" s="316">
        <f>492626+441124</f>
        <v>933750</v>
      </c>
      <c r="CG23" s="316">
        <f>396583+357093</f>
        <v>753676</v>
      </c>
      <c r="CH23" s="316">
        <v>1343869</v>
      </c>
      <c r="CI23" s="316">
        <v>2223977</v>
      </c>
      <c r="CJ23" s="316">
        <v>5824923</v>
      </c>
      <c r="CK23" s="316">
        <f>CJ23-SUM(CE23:CI23)</f>
        <v>-1</v>
      </c>
      <c r="CL23" s="316">
        <f>BW23-CJ23</f>
        <v>0</v>
      </c>
      <c r="CM23" s="316" t="s">
        <v>875</v>
      </c>
      <c r="CN23" s="317"/>
      <c r="CO23" s="316"/>
      <c r="CP23" s="316"/>
      <c r="CQ23" s="318">
        <v>1.9378</v>
      </c>
      <c r="CR23" s="319">
        <v>14515588</v>
      </c>
      <c r="CS23" s="319">
        <v>7490863</v>
      </c>
      <c r="CT23" s="316"/>
      <c r="CU23" s="316"/>
      <c r="CV23" s="316"/>
      <c r="CW23" s="316"/>
      <c r="CX23" s="316"/>
      <c r="CY23" s="316"/>
      <c r="CZ23" s="316"/>
      <c r="DA23" s="316"/>
      <c r="DB23" s="316"/>
      <c r="DC23" s="317"/>
      <c r="DD23" s="316"/>
      <c r="DE23" s="316"/>
      <c r="DF23" s="316"/>
      <c r="DG23" s="316"/>
      <c r="DH23" s="316"/>
      <c r="DI23" s="316"/>
      <c r="DJ23" s="316"/>
      <c r="DK23" s="316"/>
      <c r="DL23" s="316"/>
      <c r="DM23" s="316"/>
      <c r="DN23" s="316"/>
      <c r="DO23" s="316"/>
      <c r="DP23" s="316"/>
      <c r="DQ23" s="316"/>
      <c r="DR23" s="316"/>
      <c r="DS23" s="316"/>
      <c r="DT23" s="316"/>
      <c r="DU23" s="316"/>
      <c r="DV23" s="316"/>
      <c r="DW23" s="316"/>
      <c r="DX23" s="316"/>
      <c r="DY23" s="316"/>
      <c r="DZ23" s="316"/>
      <c r="EA23" s="316"/>
      <c r="EB23" s="316"/>
      <c r="EC23" s="316"/>
      <c r="ED23" s="316"/>
      <c r="EE23" s="316"/>
      <c r="EF23" s="316"/>
      <c r="EP23" s="316"/>
      <c r="EQ23" s="316"/>
      <c r="ER23" s="316"/>
      <c r="ES23" s="316"/>
      <c r="ET23" s="316"/>
      <c r="EU23" s="316"/>
      <c r="EV23" s="316"/>
      <c r="EW23" s="316"/>
      <c r="EX23" s="316"/>
      <c r="EY23" s="316"/>
      <c r="EZ23" s="316"/>
      <c r="FA23" s="316"/>
      <c r="FB23" s="316"/>
    </row>
    <row r="24" spans="1:159" s="315" customFormat="1">
      <c r="A24" s="315" t="str">
        <f t="shared" si="157"/>
        <v>2412교보</v>
      </c>
      <c r="B24" s="315">
        <v>2412</v>
      </c>
      <c r="C24" s="315" t="s">
        <v>2</v>
      </c>
      <c r="D24" s="450">
        <v>122408551.533388</v>
      </c>
      <c r="E24" s="316">
        <v>32211658.924787998</v>
      </c>
      <c r="F24" s="316">
        <v>58025921.849151</v>
      </c>
      <c r="G24" s="450">
        <f>1213149.160928+19081019.622872+1000590.83247</f>
        <v>21294759.616269998</v>
      </c>
      <c r="H24" s="316">
        <v>2910745.3144979998</v>
      </c>
      <c r="I24" s="317">
        <f t="shared" si="222"/>
        <v>0.26314876306662272</v>
      </c>
      <c r="J24" s="317">
        <f t="shared" si="222"/>
        <v>0.4740348702951846</v>
      </c>
      <c r="K24" s="317">
        <f t="shared" si="222"/>
        <v>0.17396464012942484</v>
      </c>
      <c r="L24" s="450">
        <v>115102330.809956</v>
      </c>
      <c r="M24" s="316">
        <v>94441284.045036003</v>
      </c>
      <c r="N24" s="308">
        <f t="shared" si="159"/>
        <v>5100494.5152189992</v>
      </c>
      <c r="O24" s="718">
        <v>7306220.7234319998</v>
      </c>
      <c r="P24" s="308">
        <v>2205726.2082130001</v>
      </c>
      <c r="Q24" s="718">
        <v>-2204529.2046830002</v>
      </c>
      <c r="R24" s="308">
        <v>7034002.1165920002</v>
      </c>
      <c r="S24" s="308">
        <v>9975755.3596950006</v>
      </c>
      <c r="T24" s="308">
        <f t="shared" si="223"/>
        <v>8368314.9314820003</v>
      </c>
      <c r="U24" s="316">
        <v>107601647</v>
      </c>
      <c r="V24" s="316">
        <v>104248231</v>
      </c>
      <c r="W24" s="320">
        <v>0.96879999999999999</v>
      </c>
      <c r="X24" s="718">
        <v>-2204529.2046830002</v>
      </c>
      <c r="Y24" s="718">
        <f>-3402589+5607</f>
        <v>-3396982</v>
      </c>
      <c r="Z24" s="718">
        <v>230655</v>
      </c>
      <c r="AA24" s="718">
        <v>3809</v>
      </c>
      <c r="AB24" s="718">
        <v>301368</v>
      </c>
      <c r="AC24" s="718">
        <v>613168</v>
      </c>
      <c r="AD24" s="718">
        <v>43453</v>
      </c>
      <c r="AE24" s="308">
        <f t="shared" si="160"/>
        <v>-0.20468300022184849</v>
      </c>
      <c r="AF24" s="316">
        <v>473623.86440399999</v>
      </c>
      <c r="AG24" s="316">
        <v>4010999.8112039999</v>
      </c>
      <c r="AH24" s="316">
        <v>3537375.9468</v>
      </c>
      <c r="AI24" s="316">
        <v>671399.62772999995</v>
      </c>
      <c r="AJ24" s="316">
        <v>-2923905.7284550001</v>
      </c>
      <c r="AK24" s="316">
        <f>2232.319156-5609.162974</f>
        <v>-3376.8438179999998</v>
      </c>
      <c r="AL24" s="316">
        <f t="shared" si="172"/>
        <v>2968617.6216289997</v>
      </c>
      <c r="AM24" s="316">
        <v>87499.136192999998</v>
      </c>
      <c r="AN24" s="316">
        <f>796856.596588-79292.882021</f>
        <v>717563.71456699993</v>
      </c>
      <c r="AO24" s="316">
        <v>1145023.4921339999</v>
      </c>
      <c r="AP24" s="316">
        <v>-264233.60937800002</v>
      </c>
      <c r="AQ24" s="308">
        <v>880789.88275600004</v>
      </c>
      <c r="AR24" s="308">
        <v>698736.08933999995</v>
      </c>
      <c r="AS24" s="316">
        <f t="shared" ref="AS24" si="225">+AO24+AP24-AQ24</f>
        <v>0</v>
      </c>
      <c r="AT24" s="316">
        <f t="shared" ref="AT24" si="226">+AJ24+AK24+AL24-AM24+AN24-AI24</f>
        <v>0</v>
      </c>
      <c r="AU24" s="316">
        <f t="shared" ref="AU24" si="227">+AF24+AI24-AO24</f>
        <v>0</v>
      </c>
      <c r="AV24" s="316">
        <f t="shared" si="176"/>
        <v>473623.86440399999</v>
      </c>
      <c r="AW24" s="316">
        <f t="shared" si="177"/>
        <v>671399.62772999995</v>
      </c>
      <c r="AX24" s="316">
        <f t="shared" si="178"/>
        <v>-264233.60937800002</v>
      </c>
      <c r="AY24" s="316">
        <f t="shared" si="179"/>
        <v>880789.88275599992</v>
      </c>
      <c r="AZ24" s="316"/>
      <c r="BA24" s="316"/>
      <c r="BB24" s="317">
        <f t="shared" si="155"/>
        <v>-4.405990296765766E-2</v>
      </c>
      <c r="BC24" s="718">
        <v>1651401.2967890999</v>
      </c>
      <c r="BD24" s="718">
        <v>264946.223344</v>
      </c>
      <c r="BE24" s="316">
        <v>-3355.361292</v>
      </c>
      <c r="BF24" s="316">
        <f>-4152878.380603-8195.428578</f>
        <v>-4161073.8091810001</v>
      </c>
      <c r="BG24" s="316">
        <v>36349.574739999996</v>
      </c>
      <c r="BH24" s="316"/>
      <c r="BI24" s="316">
        <v>7202.869815</v>
      </c>
      <c r="BJ24" s="316"/>
      <c r="BK24" s="718">
        <v>-2204529.2046830002</v>
      </c>
      <c r="BL24" s="316">
        <f t="shared" si="180"/>
        <v>1.1018998920917511E-3</v>
      </c>
      <c r="BM24" s="316">
        <v>6427125.8824960003</v>
      </c>
      <c r="BN24" s="316">
        <v>0</v>
      </c>
      <c r="BO24" s="316"/>
      <c r="BP24" s="316">
        <v>698736.08933999995</v>
      </c>
      <c r="BQ24" s="316">
        <v>-151.74274</v>
      </c>
      <c r="BR24" s="316">
        <v>-91708.112504000004</v>
      </c>
      <c r="BS24" s="316">
        <v>7034002.1165920002</v>
      </c>
      <c r="BT24" s="316">
        <f t="shared" ref="BT24:BT28" si="228">+BM24+SUM(BN24:BR24)-BS24</f>
        <v>0</v>
      </c>
      <c r="BU24" s="308">
        <v>86660888</v>
      </c>
      <c r="BV24" s="308">
        <v>1342338</v>
      </c>
      <c r="BW24" s="308">
        <v>6438058</v>
      </c>
      <c r="BX24" s="308">
        <v>1371568</v>
      </c>
      <c r="BY24" s="308">
        <v>600984</v>
      </c>
      <c r="BZ24" s="308">
        <v>-260820</v>
      </c>
      <c r="CA24" s="308">
        <v>103371</v>
      </c>
      <c r="CB24" s="308">
        <v>5824923</v>
      </c>
      <c r="CC24" s="717">
        <f>+BU24/BU23</f>
        <v>1.0808823886163421</v>
      </c>
      <c r="CD24" s="316">
        <f>CB24+BX24-BY24+BZ24+CA24-BW24</f>
        <v>0</v>
      </c>
      <c r="CE24" s="316">
        <v>572479</v>
      </c>
      <c r="CF24" s="316">
        <f>498800+449872</f>
        <v>948672</v>
      </c>
      <c r="CG24" s="316">
        <f>407412+368252</f>
        <v>775664</v>
      </c>
      <c r="CH24" s="316">
        <v>1421174</v>
      </c>
      <c r="CI24" s="316">
        <v>2720068</v>
      </c>
      <c r="CJ24" s="316">
        <v>6438058</v>
      </c>
      <c r="CK24" s="316">
        <f t="shared" ref="CK24" si="229">CJ24-SUM(CE24:CI24)</f>
        <v>1</v>
      </c>
      <c r="CL24" s="316">
        <f t="shared" ref="CL24" si="230">BW24-CJ24</f>
        <v>0</v>
      </c>
      <c r="CM24" s="316"/>
      <c r="CN24" s="317"/>
      <c r="CO24" s="316"/>
      <c r="CP24" s="316"/>
      <c r="CQ24" s="318">
        <v>1.6415999999999999</v>
      </c>
      <c r="CR24" s="319">
        <v>13986471</v>
      </c>
      <c r="CS24" s="319">
        <v>8520212</v>
      </c>
      <c r="CT24" s="316"/>
      <c r="CU24" s="316"/>
      <c r="CV24" s="316"/>
      <c r="CW24" s="320">
        <v>0.76400000000000001</v>
      </c>
      <c r="CX24" s="320">
        <v>0.75900000000000001</v>
      </c>
      <c r="CY24" s="320">
        <v>5.0000000000000001E-3</v>
      </c>
      <c r="CZ24" s="317">
        <f>+CX24/CW24</f>
        <v>0.99345549738219896</v>
      </c>
      <c r="DA24" s="316"/>
      <c r="DB24" s="316"/>
      <c r="DC24" s="317"/>
      <c r="DD24" s="316"/>
      <c r="DE24" s="316"/>
      <c r="DF24" s="316"/>
      <c r="DG24" s="316"/>
      <c r="DH24" s="316"/>
      <c r="DI24" s="316"/>
      <c r="DJ24" s="316"/>
      <c r="DK24" s="316"/>
      <c r="DL24" s="316"/>
      <c r="DM24" s="316"/>
      <c r="DN24" s="316"/>
      <c r="DO24" s="316"/>
      <c r="DP24" s="316"/>
      <c r="DQ24" s="316"/>
      <c r="DR24" s="316"/>
      <c r="DS24" s="316"/>
      <c r="DT24" s="316"/>
      <c r="DU24" s="316"/>
      <c r="DV24" s="316"/>
      <c r="DW24" s="316"/>
      <c r="DX24" s="316"/>
      <c r="DY24" s="316"/>
      <c r="DZ24" s="316"/>
      <c r="EA24" s="316"/>
      <c r="EB24" s="316"/>
      <c r="EC24" s="316"/>
      <c r="ED24" s="316"/>
      <c r="EE24" s="316"/>
      <c r="EP24" s="316"/>
      <c r="EQ24" s="316"/>
      <c r="ER24" s="316"/>
      <c r="ES24" s="316"/>
      <c r="ET24" s="316"/>
      <c r="EU24" s="316"/>
      <c r="EV24" s="316"/>
      <c r="EW24" s="316"/>
      <c r="EX24" s="316"/>
      <c r="EY24" s="316"/>
      <c r="EZ24" s="316"/>
      <c r="FA24" s="316"/>
      <c r="FB24" s="316"/>
    </row>
    <row r="25" spans="1:159" s="315" customFormat="1">
      <c r="A25" s="315" t="str">
        <f t="shared" si="157"/>
        <v>2503교보</v>
      </c>
      <c r="B25" s="315">
        <v>2503</v>
      </c>
      <c r="C25" s="315" t="s">
        <v>1109</v>
      </c>
      <c r="D25" s="316">
        <v>126859785.228232</v>
      </c>
      <c r="E25" s="316">
        <v>33157762.128662001</v>
      </c>
      <c r="F25" s="316">
        <v>61122832.921236001</v>
      </c>
      <c r="G25" s="316">
        <f>1190565.899626+19288617.290602+1423332.794377</f>
        <v>21902515.984604999</v>
      </c>
      <c r="H25" s="316">
        <v>2962428.4103290001</v>
      </c>
      <c r="I25" s="317">
        <f t="shared" ref="I25" si="231">+E25/$D25</f>
        <v>0.26137331124286745</v>
      </c>
      <c r="J25" s="317">
        <f t="shared" ref="J25" si="232">+F25/$D25</f>
        <v>0.48181409744049786</v>
      </c>
      <c r="K25" s="317">
        <f t="shared" ref="K25" si="233">+G25/$D25</f>
        <v>0.17265137210504047</v>
      </c>
      <c r="L25" s="316">
        <v>120327285.76425999</v>
      </c>
      <c r="M25" s="316">
        <v>98627700.365508005</v>
      </c>
      <c r="N25" s="308">
        <f t="shared" si="159"/>
        <v>4326773.2557590008</v>
      </c>
      <c r="O25" s="308">
        <v>6532499.4639720004</v>
      </c>
      <c r="P25" s="308">
        <v>2205726.2082130001</v>
      </c>
      <c r="Q25" s="308">
        <v>-3143991.7144189999</v>
      </c>
      <c r="R25" s="308">
        <v>7199741.3668799996</v>
      </c>
      <c r="S25" s="308">
        <v>7305017.7185770003</v>
      </c>
      <c r="T25" s="308">
        <f t="shared" si="223"/>
        <v>5100494.5152189992</v>
      </c>
      <c r="U25" s="316">
        <v>111800317</v>
      </c>
      <c r="V25" s="316">
        <v>107824763</v>
      </c>
      <c r="W25" s="320">
        <v>0.96440000000000003</v>
      </c>
      <c r="X25" s="308">
        <v>-3143992</v>
      </c>
      <c r="Y25" s="308">
        <f>-2412430+5945</f>
        <v>-2406485</v>
      </c>
      <c r="Z25" s="308">
        <v>-1637077</v>
      </c>
      <c r="AA25" s="308">
        <v>-2577</v>
      </c>
      <c r="AB25" s="308">
        <v>341032</v>
      </c>
      <c r="AC25" s="308">
        <v>517878</v>
      </c>
      <c r="AD25" s="308">
        <v>43237</v>
      </c>
      <c r="AE25" s="308">
        <f t="shared" si="160"/>
        <v>0</v>
      </c>
      <c r="AF25" s="316">
        <v>163110.34012499999</v>
      </c>
      <c r="AG25" s="316">
        <v>970191.26915099996</v>
      </c>
      <c r="AH25" s="316">
        <v>807080.92902599997</v>
      </c>
      <c r="AI25" s="316">
        <v>242344.82274500001</v>
      </c>
      <c r="AJ25" s="316">
        <v>-1128993.921725</v>
      </c>
      <c r="AK25" s="316">
        <f>666.4668-1212.544259</f>
        <v>-546.07745899999998</v>
      </c>
      <c r="AL25" s="316">
        <f t="shared" si="172"/>
        <v>1126529.672331</v>
      </c>
      <c r="AM25" s="316">
        <v>15848.336368</v>
      </c>
      <c r="AN25" s="316">
        <f>5418.049652+26592.890016+237136.855686-7944.309388</f>
        <v>261203.48596600001</v>
      </c>
      <c r="AO25" s="316">
        <v>405455.16287</v>
      </c>
      <c r="AP25" s="316">
        <v>4911.5921250000001</v>
      </c>
      <c r="AQ25" s="308">
        <v>410366.75499500002</v>
      </c>
      <c r="AR25" s="308">
        <v>315282.48683900002</v>
      </c>
      <c r="AS25" s="316">
        <f t="shared" ref="AS25" si="234">+AO25+AP25-AQ25</f>
        <v>0</v>
      </c>
      <c r="AT25" s="316">
        <f t="shared" ref="AT25" si="235">+AJ25+AK25+AL25-AM25+AN25-AI25</f>
        <v>0</v>
      </c>
      <c r="AU25" s="316">
        <f t="shared" ref="AU25" si="236">+AF25+AI25-AO25</f>
        <v>0</v>
      </c>
      <c r="AV25" s="316">
        <f t="shared" ref="AV25" si="237">+AF25</f>
        <v>163110.34012499999</v>
      </c>
      <c r="AW25" s="316">
        <f t="shared" ref="AW25" si="238">+AI25</f>
        <v>242344.82274500001</v>
      </c>
      <c r="AX25" s="316">
        <f t="shared" ref="AX25" si="239">+AP25</f>
        <v>4911.5921250000001</v>
      </c>
      <c r="AY25" s="316">
        <f t="shared" ref="AY25" si="240">+SUM(AV25:AX25)</f>
        <v>410366.75499500002</v>
      </c>
      <c r="AZ25" s="316"/>
      <c r="BA25" s="316"/>
      <c r="BB25" s="317"/>
      <c r="BC25" s="316">
        <v>-2205732.2095380002</v>
      </c>
      <c r="BD25" s="316">
        <v>893186.89887200005</v>
      </c>
      <c r="BE25" s="316">
        <v>338.35699399999999</v>
      </c>
      <c r="BF25" s="316">
        <f>-1867731.819741-6385.889011</f>
        <v>-1874117.708752</v>
      </c>
      <c r="BG25" s="316">
        <v>39664.583681999997</v>
      </c>
      <c r="BH25" s="316">
        <v>2884.7394169999998</v>
      </c>
      <c r="BI25" s="316">
        <v>-216.37509399999999</v>
      </c>
      <c r="BJ25" s="316"/>
      <c r="BK25" s="316">
        <v>-3143991.7144189999</v>
      </c>
      <c r="BL25" s="316">
        <f t="shared" si="180"/>
        <v>0</v>
      </c>
      <c r="BM25" s="316">
        <v>7034002.1165920002</v>
      </c>
      <c r="BN25" s="316">
        <v>-120487.30680000001</v>
      </c>
      <c r="BO25" s="316"/>
      <c r="BP25" s="316">
        <v>315282.48683900002</v>
      </c>
      <c r="BQ25" s="316"/>
      <c r="BR25" s="316">
        <v>-29053.929763</v>
      </c>
      <c r="BS25" s="316">
        <v>7199743.3668679995</v>
      </c>
      <c r="BT25" s="316">
        <f t="shared" si="228"/>
        <v>0</v>
      </c>
      <c r="BU25" s="308">
        <v>91079103</v>
      </c>
      <c r="BV25" s="308">
        <v>1350703</v>
      </c>
      <c r="BW25" s="308">
        <v>6197895</v>
      </c>
      <c r="BX25" s="308">
        <v>257298</v>
      </c>
      <c r="BY25" s="308">
        <v>147074</v>
      </c>
      <c r="BZ25" s="308">
        <v>-799311</v>
      </c>
      <c r="CA25" s="308">
        <v>448923</v>
      </c>
      <c r="CB25" s="308">
        <v>6438058</v>
      </c>
      <c r="CC25" s="316"/>
      <c r="CD25" s="316">
        <f>CB25+BX25-BY25+BZ25+CA25-BW25</f>
        <v>-1</v>
      </c>
      <c r="CE25" s="316">
        <v>549020</v>
      </c>
      <c r="CF25" s="316">
        <f>465667+420324</f>
        <v>885991</v>
      </c>
      <c r="CG25" s="316">
        <f>380779+345567</f>
        <v>726346</v>
      </c>
      <c r="CH25" s="316">
        <v>1342801</v>
      </c>
      <c r="CI25" s="316">
        <v>2693738</v>
      </c>
      <c r="CJ25" s="316">
        <v>6197895</v>
      </c>
      <c r="CK25" s="316">
        <f t="shared" ref="CK25" si="241">CJ25-SUM(CE25:CI25)</f>
        <v>-1</v>
      </c>
      <c r="CL25" s="316">
        <f t="shared" ref="CL25" si="242">BW25-CJ25</f>
        <v>0</v>
      </c>
      <c r="CM25" s="316"/>
      <c r="CN25" s="317"/>
      <c r="CO25" s="316"/>
      <c r="CP25" s="316"/>
      <c r="CQ25" s="318">
        <v>1.4583999999999999</v>
      </c>
      <c r="CR25" s="319">
        <v>13086745</v>
      </c>
      <c r="CS25" s="319">
        <v>8973285</v>
      </c>
      <c r="CT25" s="316"/>
      <c r="CU25" s="316"/>
      <c r="CV25" s="316"/>
      <c r="CW25" s="320"/>
      <c r="CX25" s="320"/>
      <c r="CY25" s="320"/>
      <c r="CZ25" s="317"/>
      <c r="DA25" s="316"/>
      <c r="DB25" s="316"/>
      <c r="DC25" s="317"/>
      <c r="DD25" s="316"/>
      <c r="DE25" s="316"/>
      <c r="DF25" s="316"/>
      <c r="DG25" s="316"/>
      <c r="DH25" s="316"/>
      <c r="DI25" s="316"/>
      <c r="DJ25" s="316"/>
      <c r="DK25" s="316"/>
      <c r="DL25" s="316"/>
      <c r="DM25" s="316"/>
      <c r="DN25" s="316"/>
      <c r="DO25" s="316"/>
      <c r="DP25" s="316"/>
      <c r="DQ25" s="316"/>
      <c r="DR25" s="316"/>
      <c r="DS25" s="316"/>
      <c r="DT25" s="316"/>
      <c r="DU25" s="316"/>
      <c r="DV25" s="316"/>
      <c r="DW25" s="316"/>
      <c r="DX25" s="316"/>
      <c r="DY25" s="316"/>
      <c r="DZ25" s="316"/>
      <c r="EA25" s="316"/>
      <c r="EB25" s="316"/>
      <c r="EC25" s="316"/>
      <c r="ED25" s="316"/>
      <c r="EE25" s="316"/>
      <c r="EP25" s="316"/>
      <c r="EQ25" s="316"/>
      <c r="ER25" s="316"/>
      <c r="ES25" s="316"/>
      <c r="ET25" s="316"/>
      <c r="EU25" s="316"/>
      <c r="EV25" s="316"/>
      <c r="EW25" s="316"/>
      <c r="EX25" s="316"/>
      <c r="EY25" s="316"/>
      <c r="EZ25" s="316"/>
      <c r="FA25" s="316"/>
      <c r="FB25" s="316"/>
    </row>
    <row r="26" spans="1:159" s="315" customFormat="1">
      <c r="A26" s="315" t="str">
        <f t="shared" si="157"/>
        <v>2506교보</v>
      </c>
      <c r="B26" s="315">
        <v>2506</v>
      </c>
      <c r="C26" s="315" t="s">
        <v>1037</v>
      </c>
      <c r="D26" s="316">
        <v>127213347.303222</v>
      </c>
      <c r="E26" s="316">
        <v>33587374.996019997</v>
      </c>
      <c r="F26" s="316">
        <v>61044087.170703001</v>
      </c>
      <c r="G26" s="316">
        <v>21428384.401340999</v>
      </c>
      <c r="H26" s="316">
        <v>3302882.8335910002</v>
      </c>
      <c r="I26" s="317">
        <f t="shared" ref="I26:I28" si="243">+E26/$D26</f>
        <v>0.26402398575333541</v>
      </c>
      <c r="J26" s="317">
        <f t="shared" ref="J26:J28" si="244">+F26/$D26</f>
        <v>0.47985599361048259</v>
      </c>
      <c r="K26" s="317">
        <f>+G26/$D26</f>
        <v>0.16844446636770694</v>
      </c>
      <c r="L26" s="316">
        <v>120412433.540692</v>
      </c>
      <c r="M26" s="316">
        <v>99364709.846057996</v>
      </c>
      <c r="N26" s="308">
        <v>4595187.5543169994</v>
      </c>
      <c r="O26" s="308">
        <v>6800913.7625299999</v>
      </c>
      <c r="P26" s="308">
        <v>2205726.2082130001</v>
      </c>
      <c r="Q26" s="308">
        <v>-3117696.4798420002</v>
      </c>
      <c r="R26" s="308">
        <v>7441652.4860490002</v>
      </c>
      <c r="S26" s="308">
        <v>7305017.7185770003</v>
      </c>
      <c r="T26" s="308">
        <v>5099291.5103639998</v>
      </c>
      <c r="U26" s="316">
        <v>111044640</v>
      </c>
      <c r="V26" s="316">
        <v>107214693</v>
      </c>
      <c r="W26" s="320">
        <v>0.96550000000000002</v>
      </c>
      <c r="X26" s="308">
        <v>-3117696</v>
      </c>
      <c r="Y26" s="308">
        <f>-2990548+5951</f>
        <v>-2984597</v>
      </c>
      <c r="Z26" s="308">
        <v>-894708</v>
      </c>
      <c r="AA26" s="308">
        <v>-1836</v>
      </c>
      <c r="AB26" s="308">
        <v>201094</v>
      </c>
      <c r="AC26" s="308">
        <v>519215</v>
      </c>
      <c r="AD26" s="308">
        <v>43136</v>
      </c>
      <c r="AE26" s="308">
        <f t="shared" si="160"/>
        <v>0</v>
      </c>
      <c r="AF26" s="316">
        <v>253601.557184</v>
      </c>
      <c r="AG26" s="316">
        <v>2150383.3163919998</v>
      </c>
      <c r="AH26" s="316">
        <v>1896781.759208</v>
      </c>
      <c r="AI26" s="316">
        <v>496917.77796099999</v>
      </c>
      <c r="AJ26" s="316">
        <v>-2588369.4986649998</v>
      </c>
      <c r="AK26" s="316">
        <v>-1527.4034320000001</v>
      </c>
      <c r="AL26" s="316">
        <f t="shared" si="172"/>
        <v>2649300.0504849995</v>
      </c>
      <c r="AM26" s="316">
        <v>33009.466963999999</v>
      </c>
      <c r="AN26" s="316">
        <v>470524.09653699998</v>
      </c>
      <c r="AO26" s="316">
        <v>750519.33514500002</v>
      </c>
      <c r="AP26" s="316">
        <v>15386.836192999999</v>
      </c>
      <c r="AQ26" s="308">
        <v>765906.17133799999</v>
      </c>
      <c r="AR26" s="308">
        <v>585307.48647400003</v>
      </c>
      <c r="AS26" s="316">
        <f t="shared" ref="AS26:AS28" si="245">+AO26+AP26-AQ26</f>
        <v>0</v>
      </c>
      <c r="AT26" s="316">
        <f t="shared" ref="AT26:AT28" si="246">+AJ26+AK26+AL26-AM26+AN26-AI26</f>
        <v>0</v>
      </c>
      <c r="AU26" s="316">
        <f t="shared" ref="AU26:AU28" si="247">+AF26+AI26-AO26</f>
        <v>0</v>
      </c>
      <c r="AV26" s="316">
        <f t="shared" ref="AV26:AV27" si="248">+AF26</f>
        <v>253601.557184</v>
      </c>
      <c r="AW26" s="316">
        <f t="shared" ref="AW26:AW27" si="249">+AI26</f>
        <v>496917.77796099999</v>
      </c>
      <c r="AX26" s="316">
        <f t="shared" ref="AX26:AX27" si="250">+AP26</f>
        <v>15386.836192999999</v>
      </c>
      <c r="AY26" s="316">
        <f t="shared" ref="AY26" si="251">+SUM(AV26:AX26)</f>
        <v>765906.17133799999</v>
      </c>
      <c r="AZ26" s="316"/>
      <c r="BA26" s="316"/>
      <c r="BB26" s="317"/>
      <c r="BC26" s="316">
        <v>-2205732.2095380002</v>
      </c>
      <c r="BD26" s="316">
        <v>315068.63715700002</v>
      </c>
      <c r="BE26" s="316">
        <v>344.04566599999998</v>
      </c>
      <c r="BF26" s="316">
        <v>-1131008.319808</v>
      </c>
      <c r="BG26" s="316">
        <v>-100273.747007</v>
      </c>
      <c r="BH26" s="316">
        <v>4221.5378250000003</v>
      </c>
      <c r="BI26" s="316">
        <v>-316.42413699999997</v>
      </c>
      <c r="BJ26" s="316"/>
      <c r="BK26" s="316">
        <v>-3117696.4798420002</v>
      </c>
      <c r="BL26" s="316">
        <f t="shared" si="180"/>
        <v>0</v>
      </c>
      <c r="BM26" s="316">
        <v>7034002.1165920002</v>
      </c>
      <c r="BN26" s="316">
        <v>-120487.30680000001</v>
      </c>
      <c r="BO26" s="316"/>
      <c r="BP26" s="316">
        <v>585307.48647400003</v>
      </c>
      <c r="BQ26" s="316"/>
      <c r="BR26" s="316">
        <v>-57169.810216999998</v>
      </c>
      <c r="BS26" s="316">
        <v>7441652.4860490002</v>
      </c>
      <c r="BT26" s="316">
        <f t="shared" si="228"/>
        <v>0</v>
      </c>
      <c r="BU26" s="308">
        <v>91744785</v>
      </c>
      <c r="BV26" s="308">
        <v>1378860</v>
      </c>
      <c r="BW26" s="308">
        <v>6241065</v>
      </c>
      <c r="BX26" s="308">
        <v>532009</v>
      </c>
      <c r="BY26" s="308">
        <v>291874</v>
      </c>
      <c r="BZ26" s="308">
        <v>-1656829</v>
      </c>
      <c r="CA26" s="308">
        <v>1219701</v>
      </c>
      <c r="CB26" s="308">
        <v>6438058</v>
      </c>
      <c r="CC26" s="316"/>
      <c r="CD26" s="316">
        <f>CB26+BX26-BY26+BZ26+CA26-BW26</f>
        <v>0</v>
      </c>
      <c r="CE26" s="316">
        <v>551552</v>
      </c>
      <c r="CF26" s="316">
        <f>473674+427152</f>
        <v>900826</v>
      </c>
      <c r="CG26" s="316">
        <f>386964+351267</f>
        <v>738231</v>
      </c>
      <c r="CH26" s="316">
        <v>1365658</v>
      </c>
      <c r="CI26" s="316">
        <v>2684798</v>
      </c>
      <c r="CJ26" s="316">
        <v>6241065</v>
      </c>
      <c r="CK26" s="316">
        <f t="shared" ref="CK26:CK27" si="252">CJ26-SUM(CE26:CI26)</f>
        <v>0</v>
      </c>
      <c r="CL26" s="316">
        <f t="shared" ref="CL26:CL27" si="253">BW26-CJ26</f>
        <v>0</v>
      </c>
      <c r="CM26" s="316"/>
      <c r="CN26" s="317"/>
      <c r="CO26" s="316"/>
      <c r="CP26" s="316"/>
      <c r="CQ26" s="318">
        <v>1.5274000000000001</v>
      </c>
      <c r="CR26" s="319">
        <v>13497709</v>
      </c>
      <c r="CS26" s="319">
        <v>8837166</v>
      </c>
      <c r="CT26" s="316"/>
      <c r="CU26" s="316"/>
      <c r="CV26" s="316"/>
      <c r="CW26" s="320"/>
      <c r="CX26" s="320"/>
      <c r="CY26" s="320"/>
      <c r="CZ26" s="317"/>
      <c r="DA26" s="316"/>
      <c r="DB26" s="316"/>
      <c r="DC26" s="317"/>
      <c r="DD26" s="316"/>
      <c r="DE26" s="316"/>
      <c r="DF26" s="316"/>
      <c r="DG26" s="316"/>
      <c r="DH26" s="316"/>
      <c r="DI26" s="316"/>
      <c r="DJ26" s="316"/>
      <c r="DK26" s="316"/>
      <c r="DL26" s="316"/>
      <c r="DM26" s="316"/>
      <c r="DN26" s="316"/>
      <c r="DO26" s="316"/>
      <c r="DP26" s="316"/>
      <c r="DQ26" s="316"/>
      <c r="DR26" s="316"/>
      <c r="DS26" s="316"/>
      <c r="DT26" s="316"/>
      <c r="DU26" s="316"/>
      <c r="DV26" s="316"/>
      <c r="DW26" s="316"/>
      <c r="DX26" s="316"/>
      <c r="DY26" s="316"/>
      <c r="DZ26" s="316"/>
      <c r="EA26" s="316"/>
      <c r="EB26" s="316"/>
      <c r="EC26" s="316"/>
      <c r="ED26" s="316"/>
      <c r="EE26" s="316"/>
      <c r="EP26" s="316"/>
      <c r="EQ26" s="316"/>
      <c r="ER26" s="316"/>
      <c r="ES26" s="316"/>
      <c r="ET26" s="316"/>
      <c r="EU26" s="316"/>
      <c r="EV26" s="316"/>
      <c r="EW26" s="316"/>
      <c r="EX26" s="316"/>
      <c r="EY26" s="316"/>
      <c r="EZ26" s="316"/>
      <c r="FA26" s="316"/>
      <c r="FB26" s="316"/>
    </row>
    <row r="27" spans="1:159" s="315" customFormat="1">
      <c r="A27" s="315" t="str">
        <f t="shared" si="157"/>
        <v>2509교보</v>
      </c>
      <c r="B27" s="315">
        <v>2509</v>
      </c>
      <c r="C27" s="315" t="s">
        <v>1115</v>
      </c>
      <c r="D27" s="316">
        <v>128834955.558457</v>
      </c>
      <c r="E27" s="316">
        <v>34613499.508074</v>
      </c>
      <c r="F27" s="316">
        <v>62288665.739014998</v>
      </c>
      <c r="G27" s="316">
        <f>1118562.108733+18677374.768524+1277827.449933</f>
        <v>21073764.327189997</v>
      </c>
      <c r="H27" s="316">
        <v>3500217.6210019998</v>
      </c>
      <c r="I27" s="317">
        <f t="shared" si="243"/>
        <v>0.26866543600714499</v>
      </c>
      <c r="J27" s="317">
        <f t="shared" si="244"/>
        <v>0.48347644060584488</v>
      </c>
      <c r="K27" s="317">
        <f>+G27/$D27</f>
        <v>0.16357179024778007</v>
      </c>
      <c r="L27" s="316">
        <v>121671773.914205</v>
      </c>
      <c r="M27" s="316">
        <v>100053052.334892</v>
      </c>
      <c r="N27" s="308">
        <f>O27-P27</f>
        <v>4957455.4360390007</v>
      </c>
      <c r="O27" s="308">
        <v>7163181.6442520004</v>
      </c>
      <c r="P27" s="308">
        <v>2205726.2082130001</v>
      </c>
      <c r="Q27" s="308">
        <v>-2988311.6636370001</v>
      </c>
      <c r="R27" s="308">
        <v>7674535.5515660001</v>
      </c>
      <c r="S27" s="308">
        <v>7305017.7185770003</v>
      </c>
      <c r="T27" s="308">
        <v>5099291.5103639998</v>
      </c>
      <c r="U27" s="316">
        <v>112152563</v>
      </c>
      <c r="V27" s="316">
        <v>108659790</v>
      </c>
      <c r="W27" s="320">
        <v>0.96889999999999998</v>
      </c>
      <c r="X27" s="308">
        <v>-2988312</v>
      </c>
      <c r="Y27" s="308">
        <f>+-3297327+5804</f>
        <v>-3291523</v>
      </c>
      <c r="Z27" s="308">
        <v>-384847</v>
      </c>
      <c r="AA27" s="308">
        <v>-412</v>
      </c>
      <c r="AB27" s="308">
        <v>125125</v>
      </c>
      <c r="AC27" s="308">
        <v>520369</v>
      </c>
      <c r="AD27" s="308">
        <v>42976</v>
      </c>
      <c r="AE27" s="308">
        <f t="shared" si="160"/>
        <v>0</v>
      </c>
      <c r="AF27" s="316">
        <v>421527.86858800001</v>
      </c>
      <c r="AG27" s="316">
        <v>3261117.7854709998</v>
      </c>
      <c r="AH27" s="316">
        <v>2839589.9168830002</v>
      </c>
      <c r="AI27" s="316">
        <v>670619.98227299994</v>
      </c>
      <c r="AJ27" s="316">
        <v>-3806466.5683960002</v>
      </c>
      <c r="AK27" s="316">
        <f>2291.615151-4410.110594</f>
        <v>-2118.4954429999998</v>
      </c>
      <c r="AL27" s="316">
        <f t="shared" si="172"/>
        <v>3844870.2736460008</v>
      </c>
      <c r="AM27" s="316">
        <v>58810.998162999997</v>
      </c>
      <c r="AN27" s="316">
        <f>21301.466947+80555.093113+614012.262775-22723.052206</f>
        <v>693145.77062900004</v>
      </c>
      <c r="AO27" s="316">
        <v>1092147.8508609999</v>
      </c>
      <c r="AP27" s="316">
        <v>17799.643272000001</v>
      </c>
      <c r="AQ27" s="308">
        <v>1109947.494133</v>
      </c>
      <c r="AR27" s="308">
        <v>846971.897826</v>
      </c>
      <c r="AS27" s="316">
        <f t="shared" si="245"/>
        <v>0</v>
      </c>
      <c r="AT27" s="316">
        <f t="shared" si="246"/>
        <v>0</v>
      </c>
      <c r="AU27" s="316">
        <f t="shared" si="247"/>
        <v>0</v>
      </c>
      <c r="AV27" s="316">
        <f t="shared" si="248"/>
        <v>421527.86858800001</v>
      </c>
      <c r="AW27" s="316">
        <f t="shared" si="249"/>
        <v>670619.98227299994</v>
      </c>
      <c r="AX27" s="316">
        <f t="shared" si="250"/>
        <v>17799.643272000001</v>
      </c>
      <c r="AY27" s="316">
        <f>+SUM(AV27:AX27)</f>
        <v>1109947.4941329998</v>
      </c>
      <c r="AZ27" s="316"/>
      <c r="BA27" s="316"/>
      <c r="BB27" s="317"/>
      <c r="BC27" s="316">
        <v>-2205732.2095380002</v>
      </c>
      <c r="BD27" s="316">
        <v>8289.7694429999992</v>
      </c>
      <c r="BE27" s="316">
        <v>197.17357699999999</v>
      </c>
      <c r="BF27" s="316">
        <f>+-615502.386663+-4220.275438</f>
        <v>-619722.66210099997</v>
      </c>
      <c r="BG27" s="316">
        <v>-176242.505061</v>
      </c>
      <c r="BH27" s="316">
        <v>5375.8438919999999</v>
      </c>
      <c r="BI27" s="316">
        <v>-477.073849</v>
      </c>
      <c r="BJ27" s="316"/>
      <c r="BK27" s="316">
        <v>-2988311.6636370001</v>
      </c>
      <c r="BL27" s="316">
        <f t="shared" si="180"/>
        <v>0</v>
      </c>
      <c r="BM27" s="316">
        <v>7034002.1165920002</v>
      </c>
      <c r="BN27" s="316">
        <v>-120487.30680000001</v>
      </c>
      <c r="BO27" s="316"/>
      <c r="BP27" s="316">
        <v>846971.897826</v>
      </c>
      <c r="BQ27" s="316"/>
      <c r="BR27" s="316">
        <v>-85951.156052000006</v>
      </c>
      <c r="BS27" s="316">
        <v>7674535.5515660001</v>
      </c>
      <c r="BT27" s="316">
        <f t="shared" si="228"/>
        <v>0</v>
      </c>
      <c r="BU27" s="308">
        <v>92264724</v>
      </c>
      <c r="BV27" s="308">
        <v>1399788</v>
      </c>
      <c r="BW27" s="308">
        <v>6388541</v>
      </c>
      <c r="BX27" s="308">
        <v>930348</v>
      </c>
      <c r="BY27" s="308">
        <v>438353</v>
      </c>
      <c r="BZ27" s="308">
        <v>-12554</v>
      </c>
      <c r="CA27" s="308">
        <v>-528958</v>
      </c>
      <c r="CB27" s="308">
        <v>6438058</v>
      </c>
      <c r="CC27" s="316"/>
      <c r="CD27" s="316">
        <f>CB27+BX27-BY27+BZ27+CA27-BW27</f>
        <v>0</v>
      </c>
      <c r="CE27" s="316">
        <v>564199</v>
      </c>
      <c r="CF27" s="316">
        <f>487054+438287</f>
        <v>925341</v>
      </c>
      <c r="CG27" s="316">
        <f>395865+358687</f>
        <v>754552</v>
      </c>
      <c r="CH27" s="316">
        <v>1394280</v>
      </c>
      <c r="CI27" s="316">
        <v>2750170</v>
      </c>
      <c r="CJ27" s="316">
        <v>6388541</v>
      </c>
      <c r="CK27" s="316">
        <f t="shared" si="252"/>
        <v>-1</v>
      </c>
      <c r="CL27" s="316">
        <f t="shared" si="253"/>
        <v>0</v>
      </c>
      <c r="CM27" s="316"/>
      <c r="CN27" s="317"/>
      <c r="CO27" s="316"/>
      <c r="CP27" s="316"/>
      <c r="CQ27" s="318">
        <v>1.5717000000000001</v>
      </c>
      <c r="CR27" s="319">
        <v>13959223</v>
      </c>
      <c r="CS27" s="319">
        <v>8881510</v>
      </c>
      <c r="CT27" s="316"/>
      <c r="CU27" s="316"/>
      <c r="CV27" s="316"/>
      <c r="CW27" s="320"/>
      <c r="CX27" s="320"/>
      <c r="CY27" s="320"/>
      <c r="CZ27" s="317"/>
      <c r="DA27" s="316"/>
      <c r="DB27" s="316"/>
      <c r="DC27" s="317"/>
      <c r="DD27" s="316"/>
      <c r="DE27" s="316"/>
      <c r="DF27" s="316"/>
      <c r="DG27" s="316"/>
      <c r="DH27" s="316"/>
      <c r="DI27" s="316"/>
      <c r="DJ27" s="316"/>
      <c r="DK27" s="316"/>
      <c r="DL27" s="316"/>
      <c r="DM27" s="316"/>
      <c r="DN27" s="316"/>
      <c r="DO27" s="316"/>
      <c r="DP27" s="316"/>
      <c r="DQ27" s="316"/>
      <c r="DR27" s="316"/>
      <c r="DS27" s="316"/>
      <c r="DT27" s="316"/>
      <c r="DU27" s="316"/>
      <c r="DV27" s="316"/>
      <c r="DW27" s="316"/>
      <c r="DX27" s="316"/>
      <c r="DY27" s="316"/>
      <c r="DZ27" s="316"/>
      <c r="EA27" s="316"/>
      <c r="EB27" s="316"/>
      <c r="EC27" s="316"/>
      <c r="ED27" s="316"/>
      <c r="EE27" s="316"/>
      <c r="EP27" s="316"/>
      <c r="EQ27" s="316"/>
      <c r="ER27" s="316"/>
      <c r="ES27" s="316"/>
      <c r="ET27" s="316"/>
      <c r="EU27" s="316"/>
      <c r="EV27" s="316"/>
      <c r="EW27" s="316"/>
      <c r="EX27" s="316"/>
      <c r="EY27" s="316"/>
      <c r="EZ27" s="316"/>
      <c r="FA27" s="316"/>
      <c r="FB27" s="316"/>
    </row>
    <row r="28" spans="1:159" s="315" customFormat="1">
      <c r="A28" s="315" t="str">
        <f t="shared" si="157"/>
        <v>2512교보</v>
      </c>
      <c r="B28" s="315">
        <v>2512</v>
      </c>
      <c r="C28" s="315" t="s">
        <v>1135</v>
      </c>
      <c r="D28" s="316">
        <v>128165794.274358</v>
      </c>
      <c r="E28" s="316">
        <v>34182822.710133001</v>
      </c>
      <c r="F28" s="316">
        <v>60829887.653637998</v>
      </c>
      <c r="G28" s="316">
        <f>1098380.680768+19176802.292031+1271291.067817</f>
        <v>21546474.040616002</v>
      </c>
      <c r="H28" s="316">
        <v>3520210.6131890002</v>
      </c>
      <c r="I28" s="317">
        <f t="shared" si="243"/>
        <v>0.26670784434854411</v>
      </c>
      <c r="J28" s="317">
        <f t="shared" si="244"/>
        <v>0.47461873893920986</v>
      </c>
      <c r="K28" s="317">
        <f>+G28/$D28</f>
        <v>0.16811407569864203</v>
      </c>
      <c r="L28" s="316">
        <v>120511035.10642201</v>
      </c>
      <c r="M28" s="316">
        <v>96832758.625910997</v>
      </c>
      <c r="N28" s="308">
        <f>O28-P28</f>
        <v>5449032.9597030003</v>
      </c>
      <c r="O28" s="308">
        <v>7654759.1679159999</v>
      </c>
      <c r="P28" s="308">
        <v>2205726.2082130001</v>
      </c>
      <c r="Q28" s="308">
        <v>-2397981.0223659999</v>
      </c>
      <c r="R28" s="308">
        <v>7575782.4339589998</v>
      </c>
      <c r="S28" s="308">
        <v>7306220.7234319998</v>
      </c>
      <c r="T28" s="308">
        <f>+S28-2205726.208213</f>
        <v>5100494.5152189992</v>
      </c>
      <c r="U28" s="316">
        <v>110514710</v>
      </c>
      <c r="V28" s="316">
        <v>107254263</v>
      </c>
      <c r="W28" s="320">
        <v>0.97050000000000003</v>
      </c>
      <c r="X28" s="308">
        <v>-2397981.0223659999</v>
      </c>
      <c r="Y28" s="308">
        <f>-5274811+5105</f>
        <v>-5269706</v>
      </c>
      <c r="Z28" s="308">
        <f>2412261</f>
        <v>2412261</v>
      </c>
      <c r="AA28" s="308">
        <v>2447</v>
      </c>
      <c r="AB28" s="308">
        <v>-199080</v>
      </c>
      <c r="AC28" s="308">
        <v>604004</v>
      </c>
      <c r="AD28" s="308">
        <v>52093</v>
      </c>
      <c r="AE28" s="308">
        <f t="shared" si="160"/>
        <v>-2.236599987372756E-2</v>
      </c>
      <c r="AF28" s="316">
        <v>391590.32983800001</v>
      </c>
      <c r="AG28" s="316">
        <v>4347131.3266510004</v>
      </c>
      <c r="AH28" s="316">
        <v>3955540.9968130002</v>
      </c>
      <c r="AI28" s="316">
        <v>670035.10155300004</v>
      </c>
      <c r="AJ28" s="316">
        <f>-5267918.037097</f>
        <v>-5267918.0370969996</v>
      </c>
      <c r="AK28" s="316">
        <v>-5644.4163390000003</v>
      </c>
      <c r="AL28" s="316">
        <f t="shared" si="172"/>
        <v>5076236.6621489991</v>
      </c>
      <c r="AM28" s="316">
        <v>88848.517940000005</v>
      </c>
      <c r="AN28" s="316">
        <f>32051.195804+107845.027907+846886.181016-30572.993947</f>
        <v>956209.41078000003</v>
      </c>
      <c r="AO28" s="316">
        <v>1061625.431391</v>
      </c>
      <c r="AP28" s="316">
        <v>-99527.295975999994</v>
      </c>
      <c r="AQ28" s="308">
        <v>962098.13541500003</v>
      </c>
      <c r="AR28" s="308">
        <v>763210.47759899998</v>
      </c>
      <c r="AS28" s="316">
        <f t="shared" si="245"/>
        <v>0</v>
      </c>
      <c r="AT28" s="316">
        <f t="shared" si="246"/>
        <v>0</v>
      </c>
      <c r="AU28" s="316">
        <f t="shared" si="247"/>
        <v>0</v>
      </c>
      <c r="AV28" s="316">
        <f t="shared" ref="AV28" si="254">+AF28</f>
        <v>391590.32983800001</v>
      </c>
      <c r="AW28" s="316">
        <f t="shared" ref="AW28" si="255">+AI28</f>
        <v>670035.10155300004</v>
      </c>
      <c r="AX28" s="316">
        <f t="shared" ref="AX28" si="256">+AP28</f>
        <v>-99527.295975999994</v>
      </c>
      <c r="AY28" s="316">
        <f>+SUM(AV28:AX28)</f>
        <v>962098.13541500003</v>
      </c>
      <c r="AZ28" s="316"/>
      <c r="BA28" s="316"/>
      <c r="BB28" s="317"/>
      <c r="BC28" s="316">
        <v>-2204529.2046830002</v>
      </c>
      <c r="BD28" s="316">
        <f>-1872222.666443</f>
        <v>-1872222.6664430001</v>
      </c>
      <c r="BE28" s="316">
        <v>-501.57955399999997</v>
      </c>
      <c r="BF28" s="316">
        <f>2181605.630177-1361.491725</f>
        <v>2180244.138452</v>
      </c>
      <c r="BG28" s="316">
        <v>-500448.09371699998</v>
      </c>
      <c r="BH28" s="316">
        <v>-9164.1943159999992</v>
      </c>
      <c r="BI28" s="316">
        <v>8640.5778950000004</v>
      </c>
      <c r="BJ28" s="316"/>
      <c r="BK28" s="316">
        <v>-2397981.0223659999</v>
      </c>
      <c r="BL28" s="316">
        <f t="shared" si="180"/>
        <v>3.7834979593753815E-10</v>
      </c>
      <c r="BM28" s="316">
        <v>7034002.1165920002</v>
      </c>
      <c r="BN28" s="316">
        <v>-120487.30680000001</v>
      </c>
      <c r="BO28" s="316"/>
      <c r="BP28" s="316">
        <v>763210.47759899998</v>
      </c>
      <c r="BQ28" s="316">
        <f>19631.360602-4658.107779</f>
        <v>14973.252823000001</v>
      </c>
      <c r="BR28" s="316">
        <v>-115916.10625500001</v>
      </c>
      <c r="BS28" s="316">
        <v>7575782.4339589998</v>
      </c>
      <c r="BT28" s="316">
        <f t="shared" si="228"/>
        <v>0</v>
      </c>
      <c r="BU28" s="308">
        <f>26060459+47590390+15289119</f>
        <v>88939968</v>
      </c>
      <c r="BV28" s="308">
        <f>121650+1096503+163676</f>
        <v>1381829</v>
      </c>
      <c r="BW28" s="308">
        <f>152057+5703472+655432</f>
        <v>6510961</v>
      </c>
      <c r="BX28" s="308">
        <f>1262+1274888+1984</f>
        <v>1278134</v>
      </c>
      <c r="BY28" s="308">
        <f>19487+500373+68136</f>
        <v>587996</v>
      </c>
      <c r="BZ28" s="308">
        <f>+-3398+-592370-208016</f>
        <v>-803784</v>
      </c>
      <c r="CA28" s="308">
        <f>5009+181538+0</f>
        <v>186547</v>
      </c>
      <c r="CB28" s="308">
        <f>168670+5339789+929599</f>
        <v>6438058</v>
      </c>
      <c r="CC28" s="316"/>
      <c r="CD28" s="316">
        <f>CB28+BX28-BY28+BZ28+CA28-BW28</f>
        <v>-2</v>
      </c>
      <c r="CE28" s="316">
        <v>570766</v>
      </c>
      <c r="CF28" s="316">
        <f>499661+438540</f>
        <v>938201</v>
      </c>
      <c r="CG28" s="316">
        <f>395893+359973</f>
        <v>755866</v>
      </c>
      <c r="CH28" s="316">
        <v>1411319</v>
      </c>
      <c r="CI28" s="316">
        <v>2834809</v>
      </c>
      <c r="CJ28" s="316">
        <v>6510961</v>
      </c>
      <c r="CK28" s="316">
        <f t="shared" ref="CK28" si="257">CJ28-SUM(CE28:CI28)</f>
        <v>0</v>
      </c>
      <c r="CL28" s="316">
        <f t="shared" ref="CL28" si="258">BW28-CJ28</f>
        <v>0</v>
      </c>
      <c r="CM28" s="316"/>
      <c r="CN28" s="317"/>
      <c r="CO28" s="316"/>
      <c r="CP28" s="316"/>
      <c r="CQ28" s="318">
        <v>1.6566000000000001</v>
      </c>
      <c r="CR28" s="319">
        <v>14218131</v>
      </c>
      <c r="CS28" s="319">
        <v>8582488</v>
      </c>
      <c r="CT28" s="316"/>
      <c r="CU28" s="316"/>
      <c r="CV28" s="316"/>
      <c r="CW28" s="320">
        <v>0.81200000000000006</v>
      </c>
      <c r="CX28" s="320">
        <v>0.78500000000000003</v>
      </c>
      <c r="CY28" s="320">
        <v>2.7E-2</v>
      </c>
      <c r="CZ28" s="317">
        <f>+CX28/CW28</f>
        <v>0.96674876847290636</v>
      </c>
      <c r="DA28" s="316"/>
      <c r="DB28" s="316"/>
      <c r="DC28" s="317"/>
      <c r="DD28" s="316"/>
      <c r="DE28" s="316"/>
      <c r="DF28" s="316"/>
      <c r="DG28" s="316"/>
      <c r="DH28" s="316"/>
      <c r="DI28" s="316"/>
      <c r="DJ28" s="316"/>
      <c r="DK28" s="316"/>
      <c r="DL28" s="316"/>
      <c r="DM28" s="316"/>
      <c r="DN28" s="316"/>
      <c r="DO28" s="316"/>
      <c r="DP28" s="316"/>
      <c r="DQ28" s="316"/>
      <c r="DR28" s="316"/>
      <c r="DS28" s="316"/>
      <c r="DT28" s="316"/>
      <c r="DU28" s="316"/>
      <c r="DV28" s="316"/>
      <c r="DW28" s="316"/>
      <c r="DX28" s="316"/>
      <c r="DY28" s="316"/>
      <c r="DZ28" s="316"/>
      <c r="EA28" s="316"/>
      <c r="EB28" s="316"/>
      <c r="EC28" s="316"/>
      <c r="ED28" s="316"/>
      <c r="EE28" s="316"/>
      <c r="EP28" s="316">
        <v>278100</v>
      </c>
      <c r="EQ28" s="316">
        <v>-164400</v>
      </c>
      <c r="ER28" s="316">
        <v>-165600</v>
      </c>
      <c r="ES28" s="316">
        <v>84600</v>
      </c>
      <c r="ET28" s="316">
        <v>520800</v>
      </c>
      <c r="EU28" s="316"/>
      <c r="EV28" s="316"/>
      <c r="EW28" s="316">
        <f>-EP28</f>
        <v>-278100</v>
      </c>
      <c r="EX28" s="316">
        <f t="shared" ref="EX28:FA28" si="259">-EQ28</f>
        <v>164400</v>
      </c>
      <c r="EY28" s="316">
        <f t="shared" si="259"/>
        <v>165600</v>
      </c>
      <c r="EZ28" s="316">
        <f t="shared" si="259"/>
        <v>-84600</v>
      </c>
      <c r="FA28" s="316">
        <f t="shared" si="259"/>
        <v>-520800</v>
      </c>
      <c r="FB28" s="316">
        <v>350100</v>
      </c>
      <c r="FC28" s="452">
        <f>SUM(EW28:FB28)-BZ28</f>
        <v>600384</v>
      </c>
    </row>
    <row r="29" spans="1:159" s="315" customFormat="1">
      <c r="A29" s="315" t="str">
        <f t="shared" si="157"/>
        <v/>
      </c>
      <c r="D29" s="316"/>
      <c r="E29" s="316"/>
      <c r="F29" s="316"/>
      <c r="G29" s="316"/>
      <c r="H29" s="316"/>
      <c r="I29" s="317"/>
      <c r="J29" s="317"/>
      <c r="K29" s="317"/>
      <c r="L29" s="316"/>
      <c r="M29" s="316"/>
      <c r="N29" s="308"/>
      <c r="O29" s="308"/>
      <c r="P29" s="308"/>
      <c r="Q29" s="308"/>
      <c r="R29" s="308"/>
      <c r="S29" s="308"/>
      <c r="T29" s="308"/>
      <c r="U29" s="316"/>
      <c r="V29" s="316"/>
      <c r="W29" s="320"/>
      <c r="X29" s="308"/>
      <c r="Y29" s="308"/>
      <c r="Z29" s="308"/>
      <c r="AA29" s="308"/>
      <c r="AB29" s="308"/>
      <c r="AC29" s="308"/>
      <c r="AD29" s="308"/>
      <c r="AE29" s="308"/>
      <c r="AF29" s="316"/>
      <c r="AG29" s="316"/>
      <c r="AH29" s="316"/>
      <c r="AI29" s="316"/>
      <c r="AJ29" s="316"/>
      <c r="AK29" s="316"/>
      <c r="AL29" s="316"/>
      <c r="AM29" s="316"/>
      <c r="AN29" s="316"/>
      <c r="AO29" s="316"/>
      <c r="AP29" s="316"/>
      <c r="AQ29" s="308"/>
      <c r="AR29" s="308"/>
      <c r="AS29" s="316"/>
      <c r="AT29" s="316"/>
      <c r="AU29" s="316"/>
      <c r="AV29" s="316"/>
      <c r="AW29" s="316"/>
      <c r="AX29" s="316"/>
      <c r="AY29" s="316"/>
      <c r="AZ29" s="316"/>
      <c r="BA29" s="316"/>
      <c r="BB29" s="317"/>
      <c r="BC29" s="316"/>
      <c r="BD29" s="316"/>
      <c r="BE29" s="316"/>
      <c r="BF29" s="316"/>
      <c r="BG29" s="316"/>
      <c r="BH29" s="316"/>
      <c r="BI29" s="316"/>
      <c r="BJ29" s="316"/>
      <c r="BK29" s="316"/>
      <c r="BL29" s="316"/>
      <c r="BM29" s="316"/>
      <c r="BN29" s="316"/>
      <c r="BO29" s="316"/>
      <c r="BP29" s="316"/>
      <c r="BQ29" s="316"/>
      <c r="BR29" s="316"/>
      <c r="BS29" s="316"/>
      <c r="BT29" s="316"/>
      <c r="BU29" s="308"/>
      <c r="BV29" s="308"/>
      <c r="BW29" s="308"/>
      <c r="BX29" s="308"/>
      <c r="BY29" s="308"/>
      <c r="BZ29" s="308"/>
      <c r="CA29" s="308"/>
      <c r="CB29" s="308"/>
      <c r="CC29" s="316"/>
      <c r="CD29" s="316"/>
      <c r="CE29" s="316"/>
      <c r="CF29" s="316"/>
      <c r="CG29" s="316"/>
      <c r="CH29" s="316"/>
      <c r="CI29" s="316"/>
      <c r="CJ29" s="316"/>
      <c r="CK29" s="316"/>
      <c r="CL29" s="316"/>
      <c r="CM29" s="316"/>
      <c r="CN29" s="317"/>
      <c r="CO29" s="316"/>
      <c r="CP29" s="316"/>
      <c r="CQ29" s="318"/>
      <c r="CR29" s="319"/>
      <c r="CS29" s="319"/>
      <c r="CT29" s="316"/>
      <c r="CU29" s="316"/>
      <c r="CV29" s="316"/>
      <c r="CW29" s="320"/>
      <c r="CX29" s="320"/>
      <c r="CY29" s="320"/>
      <c r="CZ29" s="317"/>
      <c r="DA29" s="316"/>
      <c r="DB29" s="316"/>
      <c r="DC29" s="317"/>
      <c r="DD29" s="316"/>
      <c r="DE29" s="316"/>
      <c r="DF29" s="316"/>
      <c r="DG29" s="316"/>
      <c r="DH29" s="316"/>
      <c r="DI29" s="316"/>
      <c r="DJ29" s="316"/>
      <c r="DK29" s="316"/>
      <c r="DL29" s="316"/>
      <c r="DM29" s="316"/>
      <c r="DN29" s="316"/>
      <c r="DO29" s="316"/>
      <c r="DP29" s="316"/>
      <c r="DQ29" s="316"/>
      <c r="DR29" s="316"/>
      <c r="DS29" s="316"/>
      <c r="DT29" s="316"/>
      <c r="DU29" s="316"/>
      <c r="DV29" s="316"/>
      <c r="DW29" s="316"/>
      <c r="DX29" s="316"/>
      <c r="DY29" s="316"/>
      <c r="DZ29" s="316"/>
      <c r="EA29" s="316"/>
      <c r="EB29" s="316"/>
      <c r="EC29" s="316"/>
      <c r="ED29" s="316"/>
      <c r="EE29" s="316"/>
      <c r="EP29" s="316"/>
      <c r="EQ29" s="316"/>
      <c r="ER29" s="316"/>
      <c r="ES29" s="316"/>
      <c r="ET29" s="316"/>
      <c r="EU29" s="316"/>
      <c r="EV29" s="316"/>
      <c r="EW29" s="316"/>
      <c r="EX29" s="316"/>
      <c r="EY29" s="316"/>
      <c r="EZ29" s="316"/>
      <c r="FA29" s="316"/>
      <c r="FB29" s="316"/>
    </row>
    <row r="30" spans="1:159" s="301" customFormat="1">
      <c r="A30" s="301" t="str">
        <f t="shared" si="157"/>
        <v>2212한화</v>
      </c>
      <c r="B30" s="301">
        <v>2212</v>
      </c>
      <c r="C30" s="301" t="s">
        <v>1033</v>
      </c>
      <c r="D30" s="2"/>
      <c r="E30" s="2"/>
      <c r="F30" s="2"/>
      <c r="G30" s="2"/>
      <c r="H30" s="2"/>
      <c r="I30" s="302"/>
      <c r="J30" s="302"/>
      <c r="K30" s="302"/>
      <c r="L30" s="2"/>
      <c r="M30" s="2"/>
      <c r="N30" s="4">
        <f t="shared" si="159"/>
        <v>10820900.12246</v>
      </c>
      <c r="O30" s="4">
        <v>12379270.201598</v>
      </c>
      <c r="P30" s="4">
        <v>1558370.079138</v>
      </c>
      <c r="Q30" s="4">
        <v>1218271.482719</v>
      </c>
      <c r="R30" s="4">
        <v>5694414.2814929998</v>
      </c>
      <c r="S30" s="4"/>
      <c r="T30" s="4"/>
      <c r="U30" s="327"/>
      <c r="V30" s="327"/>
      <c r="W30" s="327"/>
      <c r="X30" s="4"/>
      <c r="Y30" s="4"/>
      <c r="Z30" s="4"/>
      <c r="AA30" s="4"/>
      <c r="AB30" s="4"/>
      <c r="AC30" s="4"/>
      <c r="AD30" s="4"/>
      <c r="AE30" s="4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4"/>
      <c r="AR30" s="4"/>
      <c r="AS30" s="4"/>
      <c r="AT30" s="4"/>
      <c r="AU30" s="4"/>
      <c r="AV30" s="4"/>
      <c r="AW30" s="4"/>
      <c r="AX30" s="4"/>
      <c r="AY30" s="4"/>
      <c r="AZ30" s="2"/>
      <c r="BA30" s="2"/>
      <c r="BB30" s="302"/>
      <c r="BC30" s="2"/>
      <c r="BD30" s="2"/>
      <c r="BE30" s="2"/>
      <c r="BF30" s="2"/>
      <c r="BG30" s="2"/>
      <c r="BH30" s="2"/>
      <c r="BI30" s="2"/>
      <c r="BJ30" s="2"/>
      <c r="BK30" s="2"/>
      <c r="BL30" s="4"/>
      <c r="BM30" s="2"/>
      <c r="BN30" s="2"/>
      <c r="BO30" s="2"/>
      <c r="BP30" s="2"/>
      <c r="BQ30" s="2"/>
      <c r="BR30" s="2"/>
      <c r="BS30" s="2"/>
      <c r="BT30" s="4">
        <v>3989889.0667329999</v>
      </c>
      <c r="BU30" s="4">
        <v>73905720</v>
      </c>
      <c r="BV30" s="4">
        <v>1585717</v>
      </c>
      <c r="BW30" s="4">
        <v>9762946</v>
      </c>
      <c r="BX30" s="4"/>
      <c r="BY30" s="4"/>
      <c r="BZ30" s="4"/>
      <c r="CA30" s="4"/>
      <c r="CB30" s="4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302"/>
      <c r="CO30" s="2"/>
      <c r="CP30" s="2"/>
      <c r="CQ30" s="303"/>
      <c r="CR30" s="304"/>
      <c r="CS30" s="304"/>
      <c r="CT30" s="2"/>
      <c r="CU30" s="2"/>
      <c r="CV30" s="2"/>
      <c r="CW30" s="2"/>
      <c r="CX30" s="2"/>
      <c r="CY30" s="2"/>
      <c r="CZ30" s="2"/>
      <c r="DA30" s="2"/>
      <c r="DB30" s="2"/>
      <c r="DC30" s="30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</row>
    <row r="31" spans="1:159" s="301" customFormat="1">
      <c r="A31" s="301" t="str">
        <f t="shared" si="157"/>
        <v>2312한화</v>
      </c>
      <c r="B31" s="301">
        <v>2312</v>
      </c>
      <c r="C31" s="301" t="s">
        <v>3</v>
      </c>
      <c r="D31" s="2">
        <v>114793101.717269</v>
      </c>
      <c r="E31" s="2">
        <v>27980558.639954999</v>
      </c>
      <c r="F31" s="2">
        <v>39461601.554899998</v>
      </c>
      <c r="G31" s="2">
        <v>29363251.169466</v>
      </c>
      <c r="H31" s="2">
        <v>11644470.545863001</v>
      </c>
      <c r="I31" s="302">
        <f t="shared" ref="I31:K32" si="260">+E31/$D31</f>
        <v>0.24374773589505438</v>
      </c>
      <c r="J31" s="302">
        <f t="shared" si="260"/>
        <v>0.34376283038411493</v>
      </c>
      <c r="K31" s="302">
        <f t="shared" si="260"/>
        <v>0.25579281969213236</v>
      </c>
      <c r="L31" s="2">
        <v>103405983.844648</v>
      </c>
      <c r="M31" s="2">
        <v>89138938.063813999</v>
      </c>
      <c r="N31" s="4">
        <f t="shared" si="159"/>
        <v>10888774.071070999</v>
      </c>
      <c r="O31" s="4">
        <v>11387117.872621</v>
      </c>
      <c r="P31" s="4">
        <v>498343.80154999997</v>
      </c>
      <c r="Q31" s="4">
        <v>872976.35564900003</v>
      </c>
      <c r="R31" s="4">
        <v>6306958.210225</v>
      </c>
      <c r="S31" s="4">
        <v>12379270.201598</v>
      </c>
      <c r="T31" s="308">
        <f t="shared" ref="T31:T33" si="261">N30</f>
        <v>10820900.12246</v>
      </c>
      <c r="U31" s="327">
        <v>114793102</v>
      </c>
      <c r="V31" s="327">
        <v>112257055</v>
      </c>
      <c r="W31" s="328">
        <v>0.97789999999999999</v>
      </c>
      <c r="X31" s="4">
        <v>872976</v>
      </c>
      <c r="Y31" s="4">
        <v>-3002413</v>
      </c>
      <c r="Z31" s="4">
        <v>4152718</v>
      </c>
      <c r="AA31" s="4">
        <v>3898</v>
      </c>
      <c r="AB31" s="4">
        <v>-485074</v>
      </c>
      <c r="AC31" s="4">
        <v>320896</v>
      </c>
      <c r="AD31" s="4">
        <v>-117049</v>
      </c>
      <c r="AE31" s="4">
        <f t="shared" si="160"/>
        <v>0</v>
      </c>
      <c r="AF31" s="2">
        <v>650941.14013900002</v>
      </c>
      <c r="AG31" s="2">
        <v>4855904.8198480001</v>
      </c>
      <c r="AH31" s="2">
        <v>4204963.6797089996</v>
      </c>
      <c r="AI31" s="2">
        <v>15143.933153</v>
      </c>
      <c r="AJ31" s="2">
        <f>0-4327359.276337</f>
        <v>-4327359.2763369996</v>
      </c>
      <c r="AK31" s="2">
        <f>3782.139839-2506.124401</f>
        <v>1276.0154379999999</v>
      </c>
      <c r="AL31" s="2">
        <f>+AI31-AJ31-AK31+AM31-AN31</f>
        <v>4767078.228503</v>
      </c>
      <c r="AM31" s="2">
        <v>125163.8471</v>
      </c>
      <c r="AN31" s="2">
        <f>165937.603231-466624.790582</f>
        <v>-300687.18735100003</v>
      </c>
      <c r="AO31" s="2">
        <v>666085.07329199999</v>
      </c>
      <c r="AP31" s="2">
        <v>87352.291100999995</v>
      </c>
      <c r="AQ31" s="4">
        <v>753437.36439300003</v>
      </c>
      <c r="AR31" s="4">
        <v>616261.56797400001</v>
      </c>
      <c r="AS31" s="4">
        <f>+AO31+AP31-AQ31</f>
        <v>0</v>
      </c>
      <c r="AT31" s="4">
        <f t="shared" ref="AT31:AT36" si="262">+AJ31+AK31+AL31-AM31+AN31-AI31</f>
        <v>7.8216544352471828E-11</v>
      </c>
      <c r="AU31" s="4">
        <f t="shared" ref="AU31:AU36" si="263">+AF31+AI31-AO31</f>
        <v>0</v>
      </c>
      <c r="AV31" s="4">
        <f t="shared" ref="AV31:AV36" si="264">+AF31</f>
        <v>650941.14013900002</v>
      </c>
      <c r="AW31" s="4">
        <f t="shared" ref="AW31:AW36" si="265">+AI31</f>
        <v>15143.933153</v>
      </c>
      <c r="AX31" s="4">
        <f t="shared" ref="AX31:AX36" si="266">+AP31</f>
        <v>87352.291100999995</v>
      </c>
      <c r="AY31" s="4">
        <f t="shared" ref="AY31:AY36" si="267">+SUM(AV31:AX31)</f>
        <v>753437.36439300003</v>
      </c>
      <c r="AZ31" s="2"/>
      <c r="BA31" s="2"/>
      <c r="BB31" s="302">
        <f t="shared" si="155"/>
        <v>-3.387446306507743E-2</v>
      </c>
      <c r="BC31" s="2">
        <v>1218271.482719</v>
      </c>
      <c r="BD31" s="2">
        <f>2384359.83423+532.213391</f>
        <v>2384892.0476210001</v>
      </c>
      <c r="BE31" s="2"/>
      <c r="BF31" s="2">
        <f>+-3002674.019387-16704.39689</f>
        <v>-3019378.4162769997</v>
      </c>
      <c r="BG31" s="2">
        <v>328770.38480399997</v>
      </c>
      <c r="BH31" s="2">
        <v>4423.3207130000001</v>
      </c>
      <c r="BI31" s="2">
        <v>-9954.4967159999997</v>
      </c>
      <c r="BJ31" s="2">
        <v>-34047.967214999997</v>
      </c>
      <c r="BK31" s="2">
        <v>872976.35564900003</v>
      </c>
      <c r="BL31" s="4">
        <f>+BK31-BC31-SUM(BD31:BJ31)</f>
        <v>0</v>
      </c>
      <c r="BM31" s="2">
        <v>5694414.2814929998</v>
      </c>
      <c r="BN31" s="2">
        <v>-37765.606457000002</v>
      </c>
      <c r="BO31" s="2"/>
      <c r="BP31" s="2">
        <v>616261.56797400001</v>
      </c>
      <c r="BQ31" s="2">
        <v>34047.967214999997</v>
      </c>
      <c r="BR31" s="2"/>
      <c r="BS31" s="2">
        <v>6306958.210225</v>
      </c>
      <c r="BT31" s="4">
        <f>+BM31+SUM(BN31:BQ31)-BS31</f>
        <v>0</v>
      </c>
      <c r="BU31" s="4">
        <v>78252133</v>
      </c>
      <c r="BV31" s="4">
        <v>1643735</v>
      </c>
      <c r="BW31" s="4">
        <v>9238487</v>
      </c>
      <c r="BX31" s="4">
        <v>2541216</v>
      </c>
      <c r="BY31" s="4">
        <v>887709</v>
      </c>
      <c r="BZ31" s="4">
        <v>-2530821</v>
      </c>
      <c r="CA31" s="4">
        <v>352855</v>
      </c>
      <c r="CB31" s="4">
        <v>9762946</v>
      </c>
      <c r="CC31" s="2"/>
      <c r="CD31" s="2">
        <f t="shared" ref="CD31:CD36" si="268">CB31+BX31-BY31+BZ31+CA31-BW31</f>
        <v>0</v>
      </c>
      <c r="CE31" s="2">
        <v>511109</v>
      </c>
      <c r="CF31" s="2">
        <v>841349</v>
      </c>
      <c r="CG31" s="2">
        <v>703513</v>
      </c>
      <c r="CH31" s="2">
        <v>1439024</v>
      </c>
      <c r="CI31" s="2">
        <v>5743492</v>
      </c>
      <c r="CJ31" s="2">
        <v>9238487</v>
      </c>
      <c r="CK31" s="2">
        <v>0</v>
      </c>
      <c r="CL31" s="2"/>
      <c r="CM31" s="2"/>
      <c r="CN31" s="302">
        <v>1.8301422720548983</v>
      </c>
      <c r="CO31" s="2">
        <v>20946949.108342901</v>
      </c>
      <c r="CP31" s="2">
        <v>11445530.453117996</v>
      </c>
      <c r="CQ31" s="303">
        <v>1.8380483445623319</v>
      </c>
      <c r="CR31" s="304">
        <v>20979262.175659504</v>
      </c>
      <c r="CS31" s="304">
        <v>11413912.960176133</v>
      </c>
      <c r="CT31" s="2"/>
      <c r="CU31" s="2">
        <v>2504752.2204049998</v>
      </c>
      <c r="CV31" s="2"/>
      <c r="CW31" s="314">
        <v>0.91</v>
      </c>
      <c r="CX31" s="314">
        <v>0.95</v>
      </c>
      <c r="CY31" s="314">
        <v>-0.04</v>
      </c>
      <c r="CZ31" s="302">
        <f>+CX31/CW31</f>
        <v>1.0439560439560438</v>
      </c>
      <c r="DA31" s="2"/>
      <c r="DB31" s="2"/>
      <c r="DC31" s="302">
        <f>DE31/DD31</f>
        <v>0.81101437787107877</v>
      </c>
      <c r="DD31" s="2">
        <v>2715225</v>
      </c>
      <c r="DE31" s="2">
        <v>2202086.514155</v>
      </c>
      <c r="DF31" s="2"/>
      <c r="DG31" s="2">
        <v>-53886.871653000009</v>
      </c>
      <c r="DH31" s="2">
        <v>-83768.590847000014</v>
      </c>
      <c r="DI31" s="2">
        <v>2312713.9965039999</v>
      </c>
      <c r="DJ31" s="2">
        <v>2396482.5873509999</v>
      </c>
      <c r="DK31" s="2">
        <v>29881.719194000005</v>
      </c>
      <c r="DL31" s="2">
        <v>607981.35660499998</v>
      </c>
      <c r="DM31" s="2">
        <v>578099.63741099997</v>
      </c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</row>
    <row r="32" spans="1:159" s="301" customFormat="1">
      <c r="A32" s="301" t="str">
        <f t="shared" si="157"/>
        <v>2412한화</v>
      </c>
      <c r="B32" s="301">
        <v>2412</v>
      </c>
      <c r="C32" s="301" t="s">
        <v>3</v>
      </c>
      <c r="D32" s="2">
        <v>122135032.51428901</v>
      </c>
      <c r="E32" s="2">
        <v>31134350.891286999</v>
      </c>
      <c r="F32" s="2">
        <v>45320455.403192997</v>
      </c>
      <c r="G32" s="450">
        <v>29034491</v>
      </c>
      <c r="H32" s="2">
        <v>11749528.777449399</v>
      </c>
      <c r="I32" s="302">
        <f t="shared" si="260"/>
        <v>0.25491744874792155</v>
      </c>
      <c r="J32" s="302">
        <f t="shared" si="260"/>
        <v>0.37106843524105826</v>
      </c>
      <c r="K32" s="302">
        <f t="shared" si="260"/>
        <v>0.23772451197901104</v>
      </c>
      <c r="L32" s="450">
        <v>111786666</v>
      </c>
      <c r="M32" s="2">
        <v>97152188.029018998</v>
      </c>
      <c r="N32" s="4">
        <f t="shared" si="159"/>
        <v>9251540</v>
      </c>
      <c r="O32" s="450">
        <v>10348367</v>
      </c>
      <c r="P32" s="450">
        <v>1096827</v>
      </c>
      <c r="Q32" s="450">
        <v>-1349279</v>
      </c>
      <c r="R32" s="450">
        <v>6886476</v>
      </c>
      <c r="S32" s="4">
        <v>11387117.872621</v>
      </c>
      <c r="T32" s="308">
        <f t="shared" si="261"/>
        <v>10888774.071070999</v>
      </c>
      <c r="U32" s="327">
        <v>122135033</v>
      </c>
      <c r="V32" s="327">
        <v>119449647</v>
      </c>
      <c r="W32" s="328">
        <v>0.97799999999999998</v>
      </c>
      <c r="X32" s="450">
        <v>-1349279</v>
      </c>
      <c r="Y32" s="450">
        <v>-1854717</v>
      </c>
      <c r="Z32" s="4">
        <v>536511</v>
      </c>
      <c r="AA32" s="4">
        <v>2994</v>
      </c>
      <c r="AB32" s="4">
        <v>-283968</v>
      </c>
      <c r="AC32" s="450">
        <v>376681</v>
      </c>
      <c r="AD32" s="4">
        <v>-126780</v>
      </c>
      <c r="AE32" s="4">
        <f t="shared" si="160"/>
        <v>0</v>
      </c>
      <c r="AF32" s="2">
        <v>506304.84630700003</v>
      </c>
      <c r="AG32" s="2">
        <v>4921893.2231660001</v>
      </c>
      <c r="AH32" s="2">
        <v>4415588.376859</v>
      </c>
      <c r="AI32" s="2">
        <v>76154.032934999996</v>
      </c>
      <c r="AJ32" s="2">
        <v>-3043794.4833769999</v>
      </c>
      <c r="AK32" s="450">
        <f>4421-1086</f>
        <v>3335</v>
      </c>
      <c r="AL32" s="2">
        <f>+AI32-AJ32-AK32+AM32-AN32</f>
        <v>3581968.7595449998</v>
      </c>
      <c r="AM32" s="2">
        <v>125312.56707799999</v>
      </c>
      <c r="AN32" s="2">
        <f>144264.709227-484307.385382</f>
        <v>-340042.67615499999</v>
      </c>
      <c r="AO32" s="2">
        <v>582458.87924200005</v>
      </c>
      <c r="AP32" s="2">
        <v>322462.49606400001</v>
      </c>
      <c r="AQ32" s="4">
        <v>904921.375306</v>
      </c>
      <c r="AR32" s="4">
        <v>720569.72916900006</v>
      </c>
      <c r="AS32" s="4">
        <f>+AO32+AP32-AQ32</f>
        <v>0</v>
      </c>
      <c r="AT32" s="4">
        <f t="shared" si="262"/>
        <v>0</v>
      </c>
      <c r="AU32" s="4">
        <f t="shared" si="263"/>
        <v>0</v>
      </c>
      <c r="AV32" s="4">
        <f t="shared" si="264"/>
        <v>506304.84630700003</v>
      </c>
      <c r="AW32" s="4">
        <f t="shared" si="265"/>
        <v>76154.032934999996</v>
      </c>
      <c r="AX32" s="4">
        <f t="shared" si="266"/>
        <v>322462.49606400001</v>
      </c>
      <c r="AY32" s="4">
        <f t="shared" si="267"/>
        <v>904921.375306</v>
      </c>
      <c r="AZ32" s="2"/>
      <c r="BA32" s="2"/>
      <c r="BB32" s="302">
        <f t="shared" si="155"/>
        <v>-3.7232936810069221E-2</v>
      </c>
      <c r="BC32" s="450">
        <v>894364</v>
      </c>
      <c r="BD32" s="450">
        <v>1182092</v>
      </c>
      <c r="BE32" s="2"/>
      <c r="BF32" s="2">
        <f>-3616207.462667-903.541964</f>
        <v>-3617111.0046310001</v>
      </c>
      <c r="BG32" s="2">
        <v>201106.887433</v>
      </c>
      <c r="BH32" s="450">
        <v>0</v>
      </c>
      <c r="BI32" s="2">
        <v>-9730.7416570000005</v>
      </c>
      <c r="BJ32" s="2"/>
      <c r="BK32" s="450">
        <v>-1349279</v>
      </c>
      <c r="BL32" s="4">
        <f>+BK32-BC32-SUM(BD32:BJ32)</f>
        <v>-0.14114499976858497</v>
      </c>
      <c r="BM32" s="2">
        <v>6306958.210225</v>
      </c>
      <c r="BN32" s="2">
        <v>-112708.53750000001</v>
      </c>
      <c r="BO32" s="2"/>
      <c r="BP32" s="2">
        <v>720569.72916900006</v>
      </c>
      <c r="BQ32" s="2"/>
      <c r="BR32" s="2">
        <v>-28342.865182000001</v>
      </c>
      <c r="BS32" s="2">
        <v>6886476.5367120001</v>
      </c>
      <c r="BT32" s="4">
        <f>+BM32+SUM(BN32:BR32)-BS32</f>
        <v>0</v>
      </c>
      <c r="BU32" s="4">
        <v>86140216</v>
      </c>
      <c r="BV32" s="4">
        <v>1898795</v>
      </c>
      <c r="BW32" s="4">
        <v>9109141</v>
      </c>
      <c r="BX32" s="4">
        <v>2123086</v>
      </c>
      <c r="BY32" s="4">
        <v>851918</v>
      </c>
      <c r="BZ32" s="4">
        <v>-1750600</v>
      </c>
      <c r="CA32" s="4">
        <v>350085</v>
      </c>
      <c r="CB32" s="4">
        <v>9238488</v>
      </c>
      <c r="CC32" s="717">
        <f>+BU32/BU31</f>
        <v>1.1008034247449843</v>
      </c>
      <c r="CD32" s="4">
        <f t="shared" si="268"/>
        <v>0</v>
      </c>
      <c r="CE32" s="2">
        <v>482165</v>
      </c>
      <c r="CF32" s="2">
        <f>424522+384073</f>
        <v>808595</v>
      </c>
      <c r="CG32" s="2">
        <f>357397+335420</f>
        <v>692817</v>
      </c>
      <c r="CH32" s="2">
        <f>316948+301133+284104+269455+258409</f>
        <v>1430049</v>
      </c>
      <c r="CI32" s="2">
        <f>1152160+979210+858110+707322+1998713</f>
        <v>5695515</v>
      </c>
      <c r="CJ32" s="2">
        <v>9109141</v>
      </c>
      <c r="CK32" s="2">
        <f>CJ32-SUM(CE32:CI32)</f>
        <v>0</v>
      </c>
      <c r="CL32" s="2">
        <f>BW32-CJ32</f>
        <v>0</v>
      </c>
      <c r="CM32" s="2"/>
      <c r="CN32" s="302"/>
      <c r="CO32" s="2"/>
      <c r="CP32" s="2"/>
      <c r="CQ32" s="303">
        <v>1.637</v>
      </c>
      <c r="CR32" s="304">
        <v>21331699</v>
      </c>
      <c r="CS32" s="304">
        <v>13027555</v>
      </c>
      <c r="CT32" s="2"/>
      <c r="CU32" s="2">
        <v>3631205.6025990001</v>
      </c>
      <c r="CV32" s="2"/>
      <c r="CW32" s="314">
        <v>0.9</v>
      </c>
      <c r="CX32" s="314">
        <v>0.97</v>
      </c>
      <c r="CY32" s="314">
        <v>-7.0000000000000007E-2</v>
      </c>
      <c r="CZ32" s="302">
        <f>+CX32/CW32</f>
        <v>1.0777777777777777</v>
      </c>
      <c r="DA32" s="2"/>
      <c r="DB32" s="2"/>
      <c r="DC32" s="302">
        <f>DE32/DD32</f>
        <v>0.79967257653732315</v>
      </c>
      <c r="DD32" s="2">
        <v>2889473.2230400001</v>
      </c>
      <c r="DE32" s="2">
        <v>2310632.4971040003</v>
      </c>
      <c r="DF32" s="2"/>
      <c r="DG32" s="2">
        <f>+DH32+DK32</f>
        <v>-223718.33917899997</v>
      </c>
      <c r="DH32" s="2">
        <v>-206663.45115799998</v>
      </c>
      <c r="DI32" s="2">
        <v>2409656.1099970001</v>
      </c>
      <c r="DJ32" s="2">
        <f>+DI32-DH32</f>
        <v>2616319.5611550002</v>
      </c>
      <c r="DK32" s="2">
        <v>-17054.888020999999</v>
      </c>
      <c r="DL32" s="2">
        <v>644693.14555799996</v>
      </c>
      <c r="DM32" s="2">
        <f>+DL32-DK32</f>
        <v>661748.03357899992</v>
      </c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P32" s="2">
        <v>747574</v>
      </c>
      <c r="EQ32" s="2">
        <v>-519818</v>
      </c>
      <c r="ER32" s="2">
        <v>95637</v>
      </c>
      <c r="ES32" s="2">
        <v>-216328</v>
      </c>
      <c r="ET32" s="2">
        <f>1513742+137404</f>
        <v>1651146</v>
      </c>
      <c r="EU32" s="2"/>
      <c r="EV32" s="2"/>
      <c r="EW32" s="2">
        <v>-747574</v>
      </c>
      <c r="EX32" s="2">
        <v>519818</v>
      </c>
      <c r="EY32" s="2">
        <v>-95637</v>
      </c>
      <c r="EZ32" s="2">
        <v>216328</v>
      </c>
      <c r="FA32" s="2">
        <v>-1651146</v>
      </c>
      <c r="FB32" s="2">
        <v>7611</v>
      </c>
      <c r="FC32" s="452">
        <f>SUM(EW32:FB32)-BZ32</f>
        <v>0</v>
      </c>
    </row>
    <row r="33" spans="1:159" s="301" customFormat="1">
      <c r="A33" s="301" t="str">
        <f t="shared" si="157"/>
        <v>2503한화</v>
      </c>
      <c r="B33" s="301">
        <v>2503</v>
      </c>
      <c r="C33" s="301" t="s">
        <v>1110</v>
      </c>
      <c r="D33" s="2">
        <v>125760878</v>
      </c>
      <c r="E33" s="2">
        <v>32387154</v>
      </c>
      <c r="F33" s="2">
        <v>47946555</v>
      </c>
      <c r="G33" s="2">
        <v>28551641</v>
      </c>
      <c r="H33" s="2">
        <v>11733211</v>
      </c>
      <c r="I33" s="302">
        <f t="shared" ref="I33" si="269">+E33/$D33</f>
        <v>0.25752964288305941</v>
      </c>
      <c r="J33" s="302">
        <f t="shared" ref="J33" si="270">+F33/$D33</f>
        <v>0.38125175143894907</v>
      </c>
      <c r="K33" s="302">
        <f t="shared" ref="K33" si="271">+G33/$D33</f>
        <v>0.22703118373585146</v>
      </c>
      <c r="L33" s="2">
        <v>115594958</v>
      </c>
      <c r="M33" s="2">
        <v>101208409</v>
      </c>
      <c r="N33" s="4">
        <f t="shared" si="159"/>
        <v>8470815</v>
      </c>
      <c r="O33" s="4">
        <v>10165920</v>
      </c>
      <c r="P33" s="4">
        <v>1695105</v>
      </c>
      <c r="Q33" s="4">
        <v>-2241833</v>
      </c>
      <c r="R33" s="4">
        <v>6994859</v>
      </c>
      <c r="S33" s="4">
        <v>10335004</v>
      </c>
      <c r="T33" s="308">
        <f t="shared" si="261"/>
        <v>9251540</v>
      </c>
      <c r="U33" s="327">
        <v>125760878</v>
      </c>
      <c r="V33" s="327">
        <v>122466318</v>
      </c>
      <c r="W33" s="328">
        <v>0.9738</v>
      </c>
      <c r="X33" s="4">
        <v>-2241832</v>
      </c>
      <c r="Y33" s="4">
        <v>-835864</v>
      </c>
      <c r="Z33" s="4">
        <v>-1543106</v>
      </c>
      <c r="AA33" s="4">
        <v>2803</v>
      </c>
      <c r="AB33" s="4">
        <v>-63899</v>
      </c>
      <c r="AC33" s="4">
        <v>325014</v>
      </c>
      <c r="AD33" s="4">
        <v>-126780</v>
      </c>
      <c r="AE33" s="4">
        <f t="shared" si="160"/>
        <v>0</v>
      </c>
      <c r="AF33" s="2">
        <v>104208</v>
      </c>
      <c r="AG33" s="2">
        <v>1277935</v>
      </c>
      <c r="AH33" s="2">
        <v>1173727</v>
      </c>
      <c r="AI33" s="2">
        <v>20871</v>
      </c>
      <c r="AJ33" s="2">
        <v>-1061434</v>
      </c>
      <c r="AK33" s="2">
        <f>1256-258</f>
        <v>998</v>
      </c>
      <c r="AL33" s="2">
        <f>+AI33-AJ33-AK33+AM33-AN33</f>
        <v>1200739</v>
      </c>
      <c r="AM33" s="2">
        <v>23808</v>
      </c>
      <c r="AN33" s="2">
        <f>28226-123850</f>
        <v>-95624</v>
      </c>
      <c r="AO33" s="2">
        <v>125079</v>
      </c>
      <c r="AP33" s="2">
        <v>27052</v>
      </c>
      <c r="AQ33" s="4">
        <v>152131</v>
      </c>
      <c r="AR33" s="4">
        <v>121991</v>
      </c>
      <c r="AS33" s="4">
        <f>+AO33+AP33-AQ33</f>
        <v>0</v>
      </c>
      <c r="AT33" s="4">
        <f t="shared" si="262"/>
        <v>0</v>
      </c>
      <c r="AU33" s="4">
        <f t="shared" si="263"/>
        <v>0</v>
      </c>
      <c r="AV33" s="4">
        <f t="shared" si="264"/>
        <v>104208</v>
      </c>
      <c r="AW33" s="4">
        <f t="shared" si="265"/>
        <v>20871</v>
      </c>
      <c r="AX33" s="4">
        <f t="shared" si="266"/>
        <v>27052</v>
      </c>
      <c r="AY33" s="4">
        <f t="shared" si="267"/>
        <v>152131</v>
      </c>
      <c r="AZ33" s="2"/>
      <c r="BA33" s="2"/>
      <c r="BB33" s="302"/>
      <c r="BC33" s="2">
        <v>-1362643</v>
      </c>
      <c r="BD33" s="2">
        <f>-12380+990494</f>
        <v>978114</v>
      </c>
      <c r="BE33" s="2"/>
      <c r="BF33" s="2">
        <f>-2079616-192</f>
        <v>-2079808</v>
      </c>
      <c r="BG33" s="2">
        <v>220069</v>
      </c>
      <c r="BH33" s="2">
        <v>2435</v>
      </c>
      <c r="BI33" s="2"/>
      <c r="BJ33" s="2"/>
      <c r="BK33" s="2">
        <v>-2241833</v>
      </c>
      <c r="BL33" s="4">
        <f>+BK33-BC33-SUM(BD33:BJ33)</f>
        <v>0</v>
      </c>
      <c r="BM33" s="2">
        <v>6886477</v>
      </c>
      <c r="BN33" s="2">
        <v>0</v>
      </c>
      <c r="BO33" s="2"/>
      <c r="BP33" s="2">
        <v>121991</v>
      </c>
      <c r="BQ33" s="2"/>
      <c r="BR33" s="2">
        <v>-13609</v>
      </c>
      <c r="BS33" s="2">
        <v>6994859</v>
      </c>
      <c r="BT33" s="4">
        <f>+BM33+SUM(BN33:BR33)-BS33</f>
        <v>0</v>
      </c>
      <c r="BU33" s="4">
        <v>90472226</v>
      </c>
      <c r="BV33" s="4">
        <v>1864986</v>
      </c>
      <c r="BW33" s="4">
        <v>8865711</v>
      </c>
      <c r="BX33" s="4">
        <v>488194</v>
      </c>
      <c r="BY33" s="4">
        <v>198639</v>
      </c>
      <c r="BZ33" s="4">
        <v>-621622</v>
      </c>
      <c r="CA33" s="4">
        <v>88637</v>
      </c>
      <c r="CB33" s="4">
        <v>9109141</v>
      </c>
      <c r="CC33" s="2"/>
      <c r="CD33" s="4">
        <f t="shared" si="268"/>
        <v>0</v>
      </c>
      <c r="CE33" s="2">
        <v>446461</v>
      </c>
      <c r="CF33" s="2">
        <f>388269+348655</f>
        <v>736924</v>
      </c>
      <c r="CG33" s="2">
        <f>326142+308823</f>
        <v>634965</v>
      </c>
      <c r="CH33" s="2">
        <f>293313+279099+263892+254233+241646</f>
        <v>1332183</v>
      </c>
      <c r="CI33" s="2">
        <f>1079196+960899+863788+724284+2087011</f>
        <v>5715178</v>
      </c>
      <c r="CJ33" s="2">
        <v>8865711</v>
      </c>
      <c r="CK33" s="2">
        <f>CJ33-SUM(CE33:CI33)</f>
        <v>0</v>
      </c>
      <c r="CL33" s="2">
        <f>BW33-CJ33</f>
        <v>0</v>
      </c>
      <c r="CM33" s="2"/>
      <c r="CN33" s="302"/>
      <c r="CO33" s="2"/>
      <c r="CP33" s="2"/>
      <c r="CQ33" s="303">
        <v>1.651</v>
      </c>
      <c r="CR33" s="304">
        <v>21074507</v>
      </c>
      <c r="CS33" s="304">
        <v>13676442</v>
      </c>
      <c r="CT33" s="2"/>
      <c r="CU33" s="2">
        <v>3631205.6025990001</v>
      </c>
      <c r="CV33" s="2"/>
      <c r="CW33" s="314"/>
      <c r="CX33" s="314"/>
      <c r="CY33" s="314"/>
      <c r="CZ33" s="302"/>
      <c r="DA33" s="2"/>
      <c r="DB33" s="2"/>
      <c r="DC33" s="302">
        <f>+DE33/DD33</f>
        <v>0.84050818087783175</v>
      </c>
      <c r="DD33" s="2">
        <v>755634.32586900005</v>
      </c>
      <c r="DE33" s="2">
        <f>624340.832645+10776</f>
        <v>635116.83264499996</v>
      </c>
      <c r="DF33" s="2"/>
      <c r="DG33" s="2">
        <f>+DH33+DK33</f>
        <v>-29178.843119000001</v>
      </c>
      <c r="DH33" s="2">
        <v>-48960.445182000003</v>
      </c>
      <c r="DI33" s="2">
        <v>605522.139386</v>
      </c>
      <c r="DJ33" s="2">
        <f>+DI33-DH33</f>
        <v>654482.58456800005</v>
      </c>
      <c r="DK33" s="2">
        <v>19781.602063000002</v>
      </c>
      <c r="DL33" s="2">
        <v>180354.799474</v>
      </c>
      <c r="DM33" s="2">
        <f>+DL33-DK33</f>
        <v>160573.197411</v>
      </c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</row>
    <row r="34" spans="1:159" s="301" customFormat="1">
      <c r="A34" s="301" t="str">
        <f t="shared" ref="A34" si="272">B34&amp;C34</f>
        <v>2506한화</v>
      </c>
      <c r="B34" s="301">
        <v>2506</v>
      </c>
      <c r="C34" s="301" t="s">
        <v>1033</v>
      </c>
      <c r="D34" s="2">
        <v>126797032</v>
      </c>
      <c r="E34" s="2">
        <v>33076346</v>
      </c>
      <c r="F34" s="2">
        <v>49324233</v>
      </c>
      <c r="G34" s="2">
        <v>27831192</v>
      </c>
      <c r="H34" s="2">
        <v>11879500</v>
      </c>
      <c r="I34" s="302">
        <f t="shared" ref="I34:I36" si="273">+E34/$D34</f>
        <v>0.26086056967011656</v>
      </c>
      <c r="J34" s="302">
        <f t="shared" ref="J34:J36" si="274">+F34/$D34</f>
        <v>0.38900147915134164</v>
      </c>
      <c r="K34" s="302">
        <f t="shared" ref="K34:K36" si="275">+G34/$D34</f>
        <v>0.21949403358274192</v>
      </c>
      <c r="L34" s="2">
        <v>115121740</v>
      </c>
      <c r="M34" s="2">
        <v>101055557</v>
      </c>
      <c r="N34" s="4">
        <v>8606839</v>
      </c>
      <c r="O34" s="4">
        <v>11675292</v>
      </c>
      <c r="P34" s="4">
        <v>3068453</v>
      </c>
      <c r="Q34" s="4">
        <v>-2152928</v>
      </c>
      <c r="R34" s="4">
        <v>7038532</v>
      </c>
      <c r="S34" s="4">
        <v>10335004</v>
      </c>
      <c r="T34" s="308">
        <f>T33</f>
        <v>9251540</v>
      </c>
      <c r="U34" s="327">
        <v>126797032</v>
      </c>
      <c r="V34" s="327">
        <v>123850232</v>
      </c>
      <c r="W34" s="328">
        <v>0.9768</v>
      </c>
      <c r="X34" s="4">
        <v>-2152928</v>
      </c>
      <c r="Y34" s="4">
        <v>-1526317</v>
      </c>
      <c r="Z34" s="4">
        <v>-540612</v>
      </c>
      <c r="AA34" s="4">
        <v>2302</v>
      </c>
      <c r="AB34" s="4">
        <v>-287100</v>
      </c>
      <c r="AC34" s="4">
        <v>325579</v>
      </c>
      <c r="AD34" s="4">
        <v>-126780</v>
      </c>
      <c r="AE34" s="4">
        <f t="shared" si="160"/>
        <v>0</v>
      </c>
      <c r="AF34" s="2">
        <v>175999</v>
      </c>
      <c r="AG34" s="2">
        <v>2563295</v>
      </c>
      <c r="AH34" s="2">
        <v>2387296</v>
      </c>
      <c r="AI34" s="2">
        <v>40525</v>
      </c>
      <c r="AJ34" s="2"/>
      <c r="AK34" s="2"/>
      <c r="AL34" s="2"/>
      <c r="AM34" s="2"/>
      <c r="AN34" s="2"/>
      <c r="AO34" s="2">
        <v>216524</v>
      </c>
      <c r="AP34" s="2">
        <v>6916</v>
      </c>
      <c r="AQ34" s="4">
        <v>223440</v>
      </c>
      <c r="AR34" s="4">
        <v>179701</v>
      </c>
      <c r="AS34" s="4">
        <v>0</v>
      </c>
      <c r="AT34" s="4">
        <f t="shared" si="262"/>
        <v>-40525</v>
      </c>
      <c r="AU34" s="4">
        <f t="shared" si="263"/>
        <v>0</v>
      </c>
      <c r="AV34" s="4">
        <f t="shared" si="264"/>
        <v>175999</v>
      </c>
      <c r="AW34" s="4">
        <f t="shared" si="265"/>
        <v>40525</v>
      </c>
      <c r="AX34" s="4">
        <f t="shared" si="266"/>
        <v>6916</v>
      </c>
      <c r="AY34" s="4">
        <f t="shared" si="267"/>
        <v>223440</v>
      </c>
      <c r="AZ34" s="2"/>
      <c r="BA34" s="2"/>
      <c r="BB34" s="302"/>
      <c r="BC34" s="2">
        <v>-1362643</v>
      </c>
      <c r="BD34" s="2">
        <v>287662</v>
      </c>
      <c r="BE34" s="2">
        <v>0</v>
      </c>
      <c r="BF34" s="2">
        <v>-1077815</v>
      </c>
      <c r="BG34" s="2">
        <v>-3133</v>
      </c>
      <c r="BH34" s="2">
        <v>3000</v>
      </c>
      <c r="BI34" s="2">
        <v>0</v>
      </c>
      <c r="BJ34" s="2">
        <v>0</v>
      </c>
      <c r="BK34" s="2">
        <v>-2152928</v>
      </c>
      <c r="BL34" s="4">
        <v>-1</v>
      </c>
      <c r="BM34" s="2">
        <v>6886477</v>
      </c>
      <c r="BN34" s="2">
        <v>0</v>
      </c>
      <c r="BO34" s="2">
        <v>0</v>
      </c>
      <c r="BP34" s="2">
        <v>179701</v>
      </c>
      <c r="BQ34" s="2">
        <v>0</v>
      </c>
      <c r="BR34" s="2">
        <v>-27646</v>
      </c>
      <c r="BS34" s="2">
        <v>7038532</v>
      </c>
      <c r="BT34" s="4">
        <v>0</v>
      </c>
      <c r="BU34" s="4">
        <v>90289838</v>
      </c>
      <c r="BV34" s="4">
        <v>1926480</v>
      </c>
      <c r="BW34" s="4">
        <v>8833097</v>
      </c>
      <c r="BX34" s="4">
        <v>925519</v>
      </c>
      <c r="BY34" s="4">
        <v>394479</v>
      </c>
      <c r="BZ34" s="4">
        <v>-984053</v>
      </c>
      <c r="CA34" s="4">
        <v>176969</v>
      </c>
      <c r="CB34" s="4">
        <v>9109141</v>
      </c>
      <c r="CC34" s="2"/>
      <c r="CD34" s="4">
        <f t="shared" si="268"/>
        <v>0</v>
      </c>
      <c r="CE34" s="2">
        <v>430791</v>
      </c>
      <c r="CF34" s="2">
        <f>377563+340660</f>
        <v>718223</v>
      </c>
      <c r="CG34" s="2">
        <f>319414+301790</f>
        <v>621204</v>
      </c>
      <c r="CH34" s="2">
        <f>286575+272649+258734+249551+235796</f>
        <v>1303305</v>
      </c>
      <c r="CI34" s="2">
        <f>1065918+957806+865172+730001+2140677</f>
        <v>5759574</v>
      </c>
      <c r="CJ34" s="2">
        <v>8833097</v>
      </c>
      <c r="CK34" s="2">
        <f>CJ34-SUM(CE34:CI34)</f>
        <v>0</v>
      </c>
      <c r="CL34" s="2">
        <f>BW34-CJ34</f>
        <v>0</v>
      </c>
      <c r="CM34" s="2"/>
      <c r="CN34" s="302"/>
      <c r="CO34" s="2"/>
      <c r="CP34" s="2"/>
      <c r="CQ34" s="303">
        <v>1.6</v>
      </c>
      <c r="CR34" s="304">
        <v>21074500</v>
      </c>
      <c r="CS34" s="304">
        <v>13861400</v>
      </c>
      <c r="CT34" s="2"/>
      <c r="CU34" s="2">
        <v>3631206</v>
      </c>
      <c r="CV34" s="2"/>
      <c r="CW34" s="314"/>
      <c r="CX34" s="314"/>
      <c r="CY34" s="314"/>
      <c r="CZ34" s="302"/>
      <c r="DA34" s="2"/>
      <c r="DB34" s="2"/>
      <c r="DC34" s="302">
        <f>+DE34/DD34</f>
        <v>0.82597174303742671</v>
      </c>
      <c r="DD34" s="2">
        <v>1524580</v>
      </c>
      <c r="DE34" s="2">
        <f>1275341-16081</f>
        <v>1259260</v>
      </c>
      <c r="DF34" s="2"/>
      <c r="DG34" s="2">
        <f>+DH34+DK34</f>
        <v>-67056.654544000092</v>
      </c>
      <c r="DH34" s="2">
        <f>DI34-DJ34</f>
        <v>-125218.34630000009</v>
      </c>
      <c r="DI34" s="2">
        <f>+'[5](볃도) 손익계산서(SAP)'!$E$8/10^6</f>
        <v>1226797.667224</v>
      </c>
      <c r="DJ34" s="2">
        <f>+'[5](볃도) 손익계산서(SAP)'!$E$20/10^6+'[5](볃도) 손익계산서(SAP)'!$E$25/10^6</f>
        <v>1352016.0135240001</v>
      </c>
      <c r="DK34" s="2">
        <f>'[5]요약 손익계산서'!$O$12*1000</f>
        <v>58161.691756</v>
      </c>
      <c r="DL34" s="2">
        <f>SUM('[5](볃도) 손익계산서(SAP)'!$E$9:$E$11)/10^6</f>
        <v>365259.73185400001</v>
      </c>
      <c r="DM34" s="2">
        <f>+DL34-DK34</f>
        <v>307098.04009800003</v>
      </c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</row>
    <row r="35" spans="1:159" s="301" customFormat="1">
      <c r="A35" s="301" t="str">
        <f t="shared" si="157"/>
        <v>2509한화</v>
      </c>
      <c r="B35" s="301">
        <v>2509</v>
      </c>
      <c r="C35" s="301" t="s">
        <v>1116</v>
      </c>
      <c r="D35" s="2">
        <v>127199674</v>
      </c>
      <c r="E35" s="2">
        <v>33271737</v>
      </c>
      <c r="F35" s="2">
        <v>49717845</v>
      </c>
      <c r="G35" s="2">
        <v>27477086</v>
      </c>
      <c r="H35" s="2">
        <v>12026567</v>
      </c>
      <c r="I35" s="302">
        <f t="shared" si="273"/>
        <v>0.26157092981228869</v>
      </c>
      <c r="J35" s="302">
        <f t="shared" si="274"/>
        <v>0.3908645630648393</v>
      </c>
      <c r="K35" s="302">
        <f t="shared" si="275"/>
        <v>0.21601538066834983</v>
      </c>
      <c r="L35" s="2">
        <v>115486058</v>
      </c>
      <c r="M35" s="2">
        <v>101157820</v>
      </c>
      <c r="N35" s="4">
        <f>O35-P35</f>
        <v>8645163</v>
      </c>
      <c r="O35" s="4">
        <v>11713616</v>
      </c>
      <c r="P35" s="4">
        <v>3068453</v>
      </c>
      <c r="Q35" s="4">
        <v>-2230603</v>
      </c>
      <c r="R35" s="4">
        <v>7154531</v>
      </c>
      <c r="S35" s="4">
        <v>10335004</v>
      </c>
      <c r="T35" s="308">
        <f>T34</f>
        <v>9251540</v>
      </c>
      <c r="U35" s="327">
        <v>127199674</v>
      </c>
      <c r="V35" s="327">
        <v>124483036</v>
      </c>
      <c r="W35" s="328">
        <v>0.97860000000000003</v>
      </c>
      <c r="X35" s="4">
        <v>-2230603</v>
      </c>
      <c r="Y35" s="4">
        <v>-2034299</v>
      </c>
      <c r="Z35" s="4">
        <v>16625</v>
      </c>
      <c r="AA35" s="4">
        <v>939</v>
      </c>
      <c r="AB35" s="4">
        <v>-413047</v>
      </c>
      <c r="AC35" s="4">
        <v>325959</v>
      </c>
      <c r="AD35" s="4">
        <v>-126780</v>
      </c>
      <c r="AE35" s="4">
        <f t="shared" si="160"/>
        <v>0</v>
      </c>
      <c r="AF35" s="2">
        <v>139423</v>
      </c>
      <c r="AG35" s="2">
        <v>3917278</v>
      </c>
      <c r="AH35" s="2">
        <v>3777855</v>
      </c>
      <c r="AI35" s="2">
        <v>221778</v>
      </c>
      <c r="AJ35" s="2">
        <v>-3359456</v>
      </c>
      <c r="AK35" s="2">
        <f>5166-892</f>
        <v>4274</v>
      </c>
      <c r="AL35" s="2">
        <f>+AI35-AJ35-AK35+AM35-AN35</f>
        <v>3968381</v>
      </c>
      <c r="AM35" s="2">
        <v>89123</v>
      </c>
      <c r="AN35" s="2">
        <f>83668-385966</f>
        <v>-302298</v>
      </c>
      <c r="AO35" s="2">
        <v>361201</v>
      </c>
      <c r="AP35" s="2">
        <v>32565</v>
      </c>
      <c r="AQ35" s="4">
        <v>393766</v>
      </c>
      <c r="AR35" s="4">
        <v>315816</v>
      </c>
      <c r="AS35" s="4">
        <v>0</v>
      </c>
      <c r="AT35" s="4">
        <f t="shared" si="262"/>
        <v>0</v>
      </c>
      <c r="AU35" s="4">
        <f t="shared" si="263"/>
        <v>0</v>
      </c>
      <c r="AV35" s="4">
        <f t="shared" si="264"/>
        <v>139423</v>
      </c>
      <c r="AW35" s="4">
        <f t="shared" si="265"/>
        <v>221778</v>
      </c>
      <c r="AX35" s="4">
        <f t="shared" si="266"/>
        <v>32565</v>
      </c>
      <c r="AY35" s="4">
        <f t="shared" si="267"/>
        <v>393766</v>
      </c>
      <c r="AZ35" s="2"/>
      <c r="BA35" s="2"/>
      <c r="BB35" s="302"/>
      <c r="BC35" s="2">
        <v>-1362643</v>
      </c>
      <c r="BD35" s="2">
        <f>+-220321</f>
        <v>-220321</v>
      </c>
      <c r="BE35" s="2"/>
      <c r="BF35" s="2">
        <f>+-519886+-2056</f>
        <v>-521942</v>
      </c>
      <c r="BG35" s="2">
        <v>-129079</v>
      </c>
      <c r="BH35" s="2">
        <v>3382</v>
      </c>
      <c r="BI35" s="2"/>
      <c r="BJ35" s="2"/>
      <c r="BK35" s="2">
        <v>-2230603</v>
      </c>
      <c r="BL35" s="426">
        <f>+BK35-BC35-SUM(BD35:BJ35)</f>
        <v>0</v>
      </c>
      <c r="BM35" s="2">
        <v>6886477</v>
      </c>
      <c r="BN35" s="2"/>
      <c r="BO35" s="2"/>
      <c r="BP35" s="2">
        <v>315816</v>
      </c>
      <c r="BQ35" s="2"/>
      <c r="BR35" s="2">
        <v>-47762</v>
      </c>
      <c r="BS35" s="2">
        <v>7154531</v>
      </c>
      <c r="BT35" s="4">
        <f>+BM35+SUM(BN35:BR35)-BS35</f>
        <v>0</v>
      </c>
      <c r="BU35" s="4">
        <v>90134103</v>
      </c>
      <c r="BV35" s="4">
        <v>1956420</v>
      </c>
      <c r="BW35" s="4">
        <v>9059401</v>
      </c>
      <c r="BX35" s="4">
        <v>1489814</v>
      </c>
      <c r="BY35" s="4">
        <v>590479</v>
      </c>
      <c r="BZ35" s="4">
        <v>-1215329</v>
      </c>
      <c r="CA35" s="4">
        <v>266254</v>
      </c>
      <c r="CB35" s="4">
        <v>9109141</v>
      </c>
      <c r="CC35" s="2"/>
      <c r="CD35" s="4">
        <f t="shared" si="268"/>
        <v>0</v>
      </c>
      <c r="CE35" s="2">
        <v>425672</v>
      </c>
      <c r="CF35" s="2">
        <f>375073+338700</f>
        <v>713773</v>
      </c>
      <c r="CG35" s="2">
        <f>317819+300253</f>
        <v>618072</v>
      </c>
      <c r="CH35" s="2">
        <f>285375+271930+259680+250161+236007</f>
        <v>1303153</v>
      </c>
      <c r="CI35" s="2">
        <f>1082590+984626+896603+763241+2271671</f>
        <v>5998731</v>
      </c>
      <c r="CJ35" s="2">
        <v>9059401</v>
      </c>
      <c r="CK35" s="2">
        <f>CJ35-SUM(CE35:CI35)</f>
        <v>0</v>
      </c>
      <c r="CL35" s="2">
        <f>BW35-CJ35</f>
        <v>0</v>
      </c>
      <c r="CM35" s="2"/>
      <c r="CN35" s="302"/>
      <c r="CO35" s="2"/>
      <c r="CP35" s="2"/>
      <c r="CQ35" s="303">
        <v>1.5820000000000001</v>
      </c>
      <c r="CR35" s="304">
        <v>22542639</v>
      </c>
      <c r="CS35" s="304">
        <v>14245459</v>
      </c>
      <c r="CT35" s="2"/>
      <c r="CU35" s="2">
        <v>3631206</v>
      </c>
      <c r="CV35" s="2"/>
      <c r="CW35" s="314"/>
      <c r="CX35" s="314"/>
      <c r="CY35" s="314"/>
      <c r="CZ35" s="302"/>
      <c r="DA35" s="2"/>
      <c r="DB35" s="2"/>
      <c r="DC35" s="302">
        <f>+DE35/DD35</f>
        <v>0.84158717021147011</v>
      </c>
      <c r="DD35" s="2">
        <v>2305250.029139</v>
      </c>
      <c r="DE35" s="2">
        <v>1940068.8486530001</v>
      </c>
      <c r="DF35" s="2"/>
      <c r="DG35" s="2">
        <f>+DH35+DK35</f>
        <v>-193425.84825699995</v>
      </c>
      <c r="DH35" s="2">
        <f>DI35-DJ35</f>
        <v>-269639.39599999995</v>
      </c>
      <c r="DI35" s="2">
        <f>'[6](볃도) 손익계산서(SAP)'!$E$8/10^6</f>
        <v>1859665.2371799999</v>
      </c>
      <c r="DJ35" s="2">
        <f>'[6](볃도) 손익계산서(SAP)'!$E$20/10^6+'[6](볃도) 손익계산서(SAP)'!$E$25/10^6</f>
        <v>2129304.6331799999</v>
      </c>
      <c r="DK35" s="2">
        <f>'[6]요약 손익계산서'!$O$12*1000</f>
        <v>76213.547743000003</v>
      </c>
      <c r="DL35" s="2">
        <f>SUM('[6](볃도) 손익계산서(SAP)'!$E$9:$E$11)/10^6</f>
        <v>553018.13386099995</v>
      </c>
      <c r="DM35" s="2">
        <f>+DL35-DK35</f>
        <v>476804.58611799998</v>
      </c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</row>
    <row r="36" spans="1:159" s="301" customFormat="1">
      <c r="A36" s="301" t="str">
        <f t="shared" si="157"/>
        <v>2512한화</v>
      </c>
      <c r="B36" s="301">
        <v>2512</v>
      </c>
      <c r="C36" s="301" t="s">
        <v>1131</v>
      </c>
      <c r="D36" s="2">
        <v>125776582</v>
      </c>
      <c r="E36" s="2">
        <v>32320124</v>
      </c>
      <c r="F36" s="2">
        <v>48218133</v>
      </c>
      <c r="G36" s="2">
        <v>28071420</v>
      </c>
      <c r="H36" s="2">
        <v>12141725</v>
      </c>
      <c r="I36" s="302">
        <f t="shared" si="273"/>
        <v>0.25696455958709391</v>
      </c>
      <c r="J36" s="302">
        <f t="shared" si="274"/>
        <v>0.38336335932550625</v>
      </c>
      <c r="K36" s="302">
        <f t="shared" si="275"/>
        <v>0.22318478967730257</v>
      </c>
      <c r="L36" s="2">
        <v>113307806</v>
      </c>
      <c r="M36" s="2">
        <v>96935830</v>
      </c>
      <c r="N36" s="4">
        <f>O36-P36</f>
        <v>9400323</v>
      </c>
      <c r="O36" s="4">
        <v>12468776</v>
      </c>
      <c r="P36" s="4">
        <v>3068453</v>
      </c>
      <c r="Q36" s="4">
        <v>-1406135</v>
      </c>
      <c r="R36" s="4">
        <v>7085336</v>
      </c>
      <c r="S36" s="4">
        <v>10348367</v>
      </c>
      <c r="T36" s="308">
        <f>10348367-1096827</f>
        <v>9251540</v>
      </c>
      <c r="U36" s="327">
        <v>125776582</v>
      </c>
      <c r="V36" s="327">
        <v>122982197</v>
      </c>
      <c r="W36" s="328">
        <v>0.97760000000000002</v>
      </c>
      <c r="X36" s="4">
        <v>-1406135</v>
      </c>
      <c r="Y36" s="4">
        <v>-4000815</v>
      </c>
      <c r="Z36" s="4">
        <v>3221381</v>
      </c>
      <c r="AA36" s="4">
        <v>10437</v>
      </c>
      <c r="AB36" s="4">
        <v>-882553</v>
      </c>
      <c r="AC36" s="4">
        <v>376681</v>
      </c>
      <c r="AD36" s="4">
        <v>-131266</v>
      </c>
      <c r="AE36" s="4">
        <f t="shared" si="160"/>
        <v>0</v>
      </c>
      <c r="AF36" s="2">
        <v>344419</v>
      </c>
      <c r="AG36" s="2">
        <v>5248088</v>
      </c>
      <c r="AH36" s="2">
        <v>4903669</v>
      </c>
      <c r="AI36" s="2">
        <v>57018</v>
      </c>
      <c r="AJ36" s="2">
        <v>-4359164</v>
      </c>
      <c r="AK36" s="2">
        <f>10245-1185</f>
        <v>9060</v>
      </c>
      <c r="AL36" s="2">
        <f>+AI36-AJ36-AK36+AM36-AN36</f>
        <v>4918843</v>
      </c>
      <c r="AM36" s="2">
        <v>117846</v>
      </c>
      <c r="AN36" s="2">
        <f>119673-513548</f>
        <v>-393875</v>
      </c>
      <c r="AO36" s="2">
        <v>401437</v>
      </c>
      <c r="AP36" s="2">
        <v>11213</v>
      </c>
      <c r="AQ36" s="4">
        <v>412650</v>
      </c>
      <c r="AR36" s="4">
        <v>313320</v>
      </c>
      <c r="AS36" s="4">
        <v>0</v>
      </c>
      <c r="AT36" s="4">
        <f t="shared" si="262"/>
        <v>0</v>
      </c>
      <c r="AU36" s="4">
        <f t="shared" si="263"/>
        <v>0</v>
      </c>
      <c r="AV36" s="4">
        <f t="shared" si="264"/>
        <v>344419</v>
      </c>
      <c r="AW36" s="4">
        <f t="shared" si="265"/>
        <v>57018</v>
      </c>
      <c r="AX36" s="4">
        <f t="shared" si="266"/>
        <v>11213</v>
      </c>
      <c r="AY36" s="4">
        <f t="shared" si="267"/>
        <v>412650</v>
      </c>
      <c r="AZ36" s="2"/>
      <c r="BA36" s="2"/>
      <c r="BB36" s="302"/>
      <c r="BC36" s="2">
        <v>-1349279</v>
      </c>
      <c r="BD36" s="2">
        <v>-2146099</v>
      </c>
      <c r="BE36" s="2"/>
      <c r="BF36" s="2">
        <f>2684870+7442</f>
        <v>2692312</v>
      </c>
      <c r="BG36" s="2">
        <v>-598584</v>
      </c>
      <c r="BH36" s="2"/>
      <c r="BI36" s="2">
        <v>-4485</v>
      </c>
      <c r="BJ36" s="2"/>
      <c r="BK36" s="2">
        <v>-1406135</v>
      </c>
      <c r="BL36" s="4">
        <f>+BK36-BC36-SUM(BD36:BJ36)</f>
        <v>0</v>
      </c>
      <c r="BM36" s="2">
        <v>6886476</v>
      </c>
      <c r="BN36" s="2"/>
      <c r="BO36" s="2"/>
      <c r="BP36" s="2">
        <v>313320</v>
      </c>
      <c r="BQ36" s="2"/>
      <c r="BR36" s="2">
        <v>-114460</v>
      </c>
      <c r="BS36" s="2">
        <v>7085336</v>
      </c>
      <c r="BT36" s="4">
        <f>+BM36+SUM(BN36:BR36)-BS36</f>
        <v>0</v>
      </c>
      <c r="BU36" s="4">
        <v>86222489</v>
      </c>
      <c r="BV36" s="4">
        <v>1993903</v>
      </c>
      <c r="BW36" s="4">
        <v>8713652</v>
      </c>
      <c r="BX36" s="4">
        <v>2066258</v>
      </c>
      <c r="BY36" s="4">
        <v>787290</v>
      </c>
      <c r="BZ36" s="4">
        <v>-2032224</v>
      </c>
      <c r="CA36" s="4">
        <v>357767</v>
      </c>
      <c r="CB36" s="4">
        <v>9109141</v>
      </c>
      <c r="CC36" s="2"/>
      <c r="CD36" s="4">
        <f t="shared" si="268"/>
        <v>0</v>
      </c>
      <c r="CE36" s="2">
        <v>424411</v>
      </c>
      <c r="CF36" s="2">
        <f>376228+343346</f>
        <v>719574</v>
      </c>
      <c r="CG36" s="2">
        <f>318350+295326</f>
        <v>613676</v>
      </c>
      <c r="CH36" s="2">
        <f>279032+264805+252322+240739+227200</f>
        <v>1264098</v>
      </c>
      <c r="CI36" s="2">
        <f>1038153+940166+850751+722344+2140479</f>
        <v>5691893</v>
      </c>
      <c r="CJ36" s="2">
        <v>8713652</v>
      </c>
      <c r="CK36" s="2">
        <f>CJ36-SUM(CE36:CI36)</f>
        <v>0</v>
      </c>
      <c r="CL36" s="2">
        <f>BW36-CJ36</f>
        <v>0</v>
      </c>
      <c r="CM36" s="2"/>
      <c r="CN36" s="302"/>
      <c r="CO36" s="2"/>
      <c r="CP36" s="2"/>
      <c r="CQ36" s="457">
        <v>1.575</v>
      </c>
      <c r="CR36" s="458">
        <v>22901084</v>
      </c>
      <c r="CS36" s="458">
        <v>14538834</v>
      </c>
      <c r="CT36" s="2"/>
      <c r="CU36" s="2">
        <f>+CU32+2876584</f>
        <v>6507789.6025990006</v>
      </c>
      <c r="CV36" s="2"/>
      <c r="CW36" s="314">
        <v>0.86</v>
      </c>
      <c r="CX36" s="314">
        <v>1</v>
      </c>
      <c r="CY36" s="314">
        <v>-0.13</v>
      </c>
      <c r="CZ36" s="302">
        <f>+CX36/CW36</f>
        <v>1.1627906976744187</v>
      </c>
      <c r="DA36" s="2"/>
      <c r="DB36" s="2"/>
      <c r="DC36" s="302">
        <f>+DE36/DD36</f>
        <v>0.86948582110486305</v>
      </c>
      <c r="DD36" s="2">
        <v>3097987.9486799999</v>
      </c>
      <c r="DE36" s="2">
        <v>2693656.5953310002</v>
      </c>
      <c r="DF36" s="2"/>
      <c r="DG36" s="2">
        <f>+DH36+DK36</f>
        <v>-309533.54121400038</v>
      </c>
      <c r="DH36" s="2">
        <f>DI36-DJ36</f>
        <v>-379928.47601400036</v>
      </c>
      <c r="DI36" s="2">
        <f>'[7](볃도) 손익계산서(SAP)'!$E$8/10^6</f>
        <v>2492631.5606379998</v>
      </c>
      <c r="DJ36" s="2">
        <f>'[7](볃도) 손익계산서(SAP)'!$E$20/10^6+'[7](볃도) 손익계산서(SAP)'!$E$25/10^6</f>
        <v>2872560.0366520002</v>
      </c>
      <c r="DK36" s="2">
        <f>'[7]요약 손익계산서'!$O$12*1000</f>
        <v>70394.934800000003</v>
      </c>
      <c r="DL36" s="2">
        <f>SUM('[7](볃도) 손익계산서(SAP)'!$E$9:$E$11)/10^6</f>
        <v>741612.28656899999</v>
      </c>
      <c r="DM36" s="2">
        <f>+DL36-DK36</f>
        <v>671217.35176899994</v>
      </c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P36" s="2">
        <v>605152</v>
      </c>
      <c r="EQ36" s="2">
        <v>74021</v>
      </c>
      <c r="ER36" s="2">
        <v>-137201</v>
      </c>
      <c r="ES36" s="2">
        <v>55586</v>
      </c>
      <c r="ET36" s="2">
        <f>1560536-24225</f>
        <v>1536311</v>
      </c>
      <c r="EU36" s="2"/>
      <c r="EV36" s="2"/>
      <c r="EW36" s="2">
        <v>-605152</v>
      </c>
      <c r="EX36" s="2">
        <v>-74021</v>
      </c>
      <c r="EY36" s="2">
        <v>137201</v>
      </c>
      <c r="EZ36" s="2">
        <v>55586</v>
      </c>
      <c r="FA36" s="2">
        <v>-1536311</v>
      </c>
      <c r="FB36" s="2">
        <v>-9527</v>
      </c>
      <c r="FC36" s="452">
        <f>SUM(EW36:FB36)-BZ36</f>
        <v>0</v>
      </c>
    </row>
    <row r="37" spans="1:159" s="301" customFormat="1">
      <c r="D37" s="2"/>
      <c r="E37" s="2"/>
      <c r="F37" s="2"/>
      <c r="G37" s="2"/>
      <c r="H37" s="2"/>
      <c r="I37" s="302"/>
      <c r="J37" s="302"/>
      <c r="K37" s="302"/>
      <c r="L37" s="2"/>
      <c r="M37" s="2"/>
      <c r="N37" s="4"/>
      <c r="O37" s="4"/>
      <c r="P37" s="4"/>
      <c r="Q37" s="4"/>
      <c r="R37" s="4"/>
      <c r="S37" s="4"/>
      <c r="T37" s="308"/>
      <c r="U37" s="327"/>
      <c r="V37" s="327"/>
      <c r="W37" s="328"/>
      <c r="X37" s="444"/>
      <c r="Y37" s="444"/>
      <c r="Z37" s="444"/>
      <c r="AA37" s="444"/>
      <c r="AB37" s="444"/>
      <c r="AC37" s="444"/>
      <c r="AD37" s="444"/>
      <c r="AE37" s="4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4"/>
      <c r="AR37" s="4"/>
      <c r="AS37" s="4"/>
      <c r="AT37" s="4"/>
      <c r="AU37" s="4"/>
      <c r="AV37" s="4"/>
      <c r="AW37" s="4"/>
      <c r="AX37" s="4"/>
      <c r="AY37" s="4"/>
      <c r="AZ37" s="2"/>
      <c r="BA37" s="2"/>
      <c r="BB37" s="302"/>
      <c r="BC37" s="2"/>
      <c r="BD37" s="2"/>
      <c r="BE37" s="2"/>
      <c r="BF37" s="2"/>
      <c r="BG37" s="2"/>
      <c r="BH37" s="2"/>
      <c r="BI37" s="2"/>
      <c r="BJ37" s="2"/>
      <c r="BK37" s="2"/>
      <c r="BL37" s="4"/>
      <c r="BM37" s="2"/>
      <c r="BN37" s="2"/>
      <c r="BO37" s="2"/>
      <c r="BP37" s="2"/>
      <c r="BQ37" s="2"/>
      <c r="BR37" s="2"/>
      <c r="BS37" s="2"/>
      <c r="BT37" s="4"/>
      <c r="BU37" s="4"/>
      <c r="BV37" s="4"/>
      <c r="BW37" s="4"/>
      <c r="BX37" s="4"/>
      <c r="BY37" s="4"/>
      <c r="BZ37" s="4"/>
      <c r="CA37" s="4"/>
      <c r="CB37" s="4"/>
      <c r="CC37" s="2"/>
      <c r="CD37" s="4"/>
      <c r="CE37" s="2"/>
      <c r="CF37" s="2"/>
      <c r="CG37" s="2"/>
      <c r="CH37" s="2"/>
      <c r="CI37" s="2"/>
      <c r="CJ37" s="2"/>
      <c r="CK37" s="2"/>
      <c r="CL37" s="2"/>
      <c r="CM37" s="2"/>
      <c r="CN37" s="302"/>
      <c r="CO37" s="2"/>
      <c r="CP37" s="2"/>
      <c r="CQ37" s="457"/>
      <c r="CR37" s="458"/>
      <c r="CS37" s="458"/>
      <c r="CT37" s="2"/>
      <c r="CU37" s="2"/>
      <c r="CV37" s="2"/>
      <c r="CW37" s="314"/>
      <c r="CX37" s="314"/>
      <c r="CY37" s="314"/>
      <c r="CZ37" s="302"/>
      <c r="DA37" s="2"/>
      <c r="DB37" s="2"/>
      <c r="DC37" s="302"/>
      <c r="DD37" s="2"/>
      <c r="DE37" s="2"/>
      <c r="DF37" s="2"/>
      <c r="DG37" s="2"/>
      <c r="DH37" s="2"/>
      <c r="DI37" s="2"/>
      <c r="DJ37" s="307">
        <f>+DJ36/DI36</f>
        <v>1.1524206312772338</v>
      </c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</row>
    <row r="38" spans="1:159" s="315" customFormat="1">
      <c r="A38" s="315" t="str">
        <f t="shared" si="157"/>
        <v>2212신한라이프</v>
      </c>
      <c r="B38" s="315">
        <v>2212</v>
      </c>
      <c r="C38" s="315" t="s">
        <v>1034</v>
      </c>
      <c r="D38" s="316"/>
      <c r="E38" s="316"/>
      <c r="F38" s="316"/>
      <c r="G38" s="316"/>
      <c r="H38" s="316"/>
      <c r="I38" s="317"/>
      <c r="J38" s="317"/>
      <c r="K38" s="317"/>
      <c r="L38" s="316"/>
      <c r="M38" s="316"/>
      <c r="N38" s="308">
        <f t="shared" si="159"/>
        <v>7834557</v>
      </c>
      <c r="O38" s="308">
        <v>8134009</v>
      </c>
      <c r="P38" s="308">
        <v>299452</v>
      </c>
      <c r="Q38" s="308">
        <v>113667</v>
      </c>
      <c r="R38" s="308">
        <v>6321129</v>
      </c>
      <c r="S38" s="308"/>
      <c r="T38" s="308"/>
      <c r="U38" s="316"/>
      <c r="V38" s="316"/>
      <c r="W38" s="316"/>
      <c r="X38" s="308">
        <v>113667</v>
      </c>
      <c r="Y38" s="308">
        <f>-4578272-10102</f>
        <v>-4588374</v>
      </c>
      <c r="Z38" s="308">
        <v>4734969</v>
      </c>
      <c r="AA38" s="308">
        <v>34045</v>
      </c>
      <c r="AB38" s="308">
        <v>-60015</v>
      </c>
      <c r="AC38" s="308"/>
      <c r="AD38" s="308">
        <v>-6958</v>
      </c>
      <c r="AE38" s="308">
        <f t="shared" si="160"/>
        <v>0</v>
      </c>
      <c r="AF38" s="316"/>
      <c r="AG38" s="316"/>
      <c r="AH38" s="316"/>
      <c r="AI38" s="316"/>
      <c r="AJ38" s="316"/>
      <c r="AK38" s="316"/>
      <c r="AL38" s="316"/>
      <c r="AM38" s="316"/>
      <c r="AN38" s="316"/>
      <c r="AO38" s="316"/>
      <c r="AP38" s="316"/>
      <c r="AQ38" s="308"/>
      <c r="AR38" s="308"/>
      <c r="AS38" s="316"/>
      <c r="AT38" s="316"/>
      <c r="AU38" s="316"/>
      <c r="AV38" s="316"/>
      <c r="AW38" s="316"/>
      <c r="AX38" s="316"/>
      <c r="AY38" s="316"/>
      <c r="AZ38" s="316"/>
      <c r="BA38" s="316"/>
      <c r="BB38" s="317"/>
      <c r="BC38" s="316"/>
      <c r="BD38" s="316"/>
      <c r="BE38" s="316"/>
      <c r="BF38" s="316"/>
      <c r="BG38" s="316"/>
      <c r="BH38" s="316"/>
      <c r="BI38" s="316"/>
      <c r="BJ38" s="316"/>
      <c r="BK38" s="316"/>
      <c r="BL38" s="316"/>
      <c r="BM38" s="316"/>
      <c r="BN38" s="316"/>
      <c r="BO38" s="316"/>
      <c r="BP38" s="316"/>
      <c r="BQ38" s="316"/>
      <c r="BR38" s="316"/>
      <c r="BS38" s="316"/>
      <c r="BT38" s="316">
        <v>3869188</v>
      </c>
      <c r="BU38" s="308">
        <v>34850352</v>
      </c>
      <c r="BV38" s="308">
        <v>1151709</v>
      </c>
      <c r="BW38" s="308">
        <v>6924913</v>
      </c>
      <c r="BX38" s="308"/>
      <c r="BY38" s="308"/>
      <c r="BZ38" s="308"/>
      <c r="CA38" s="308"/>
      <c r="CB38" s="308"/>
      <c r="CC38" s="316"/>
      <c r="CD38" s="316"/>
      <c r="CE38" s="316"/>
      <c r="CF38" s="316"/>
      <c r="CG38" s="316"/>
      <c r="CH38" s="316"/>
      <c r="CI38" s="316"/>
      <c r="CJ38" s="316"/>
      <c r="CK38" s="316"/>
      <c r="CL38" s="316"/>
      <c r="CM38" s="316"/>
      <c r="CN38" s="317"/>
      <c r="CO38" s="316"/>
      <c r="CP38" s="316"/>
      <c r="CQ38" s="318"/>
      <c r="CR38" s="319"/>
      <c r="CS38" s="319"/>
      <c r="CT38" s="316"/>
      <c r="CU38" s="316"/>
      <c r="CV38" s="316"/>
      <c r="CW38" s="316"/>
      <c r="CX38" s="316"/>
      <c r="CY38" s="316"/>
      <c r="CZ38" s="316"/>
      <c r="DA38" s="316"/>
      <c r="DB38" s="316"/>
      <c r="DC38" s="317"/>
      <c r="DD38" s="316"/>
      <c r="DE38" s="316"/>
      <c r="DF38" s="316"/>
      <c r="DG38" s="316"/>
      <c r="DH38" s="316"/>
      <c r="DI38" s="316"/>
      <c r="DJ38" s="316"/>
      <c r="DK38" s="316"/>
      <c r="DL38" s="316"/>
      <c r="DM38" s="316"/>
      <c r="DN38" s="316"/>
      <c r="DO38" s="316"/>
      <c r="DP38" s="316"/>
      <c r="DQ38" s="316"/>
      <c r="DR38" s="316"/>
      <c r="DS38" s="316"/>
      <c r="DT38" s="316"/>
      <c r="DU38" s="316"/>
      <c r="DV38" s="316"/>
      <c r="DW38" s="316"/>
      <c r="DX38" s="316"/>
      <c r="DY38" s="316"/>
      <c r="DZ38" s="316"/>
      <c r="EA38" s="316"/>
      <c r="EB38" s="316"/>
      <c r="EC38" s="316"/>
      <c r="ED38" s="316"/>
      <c r="EE38" s="316"/>
      <c r="EP38" s="316"/>
      <c r="EQ38" s="316"/>
      <c r="ER38" s="316"/>
      <c r="ES38" s="316"/>
      <c r="ET38" s="316"/>
      <c r="EU38" s="316"/>
      <c r="EV38" s="316"/>
      <c r="EW38" s="316"/>
      <c r="EX38" s="316"/>
      <c r="EY38" s="316"/>
      <c r="EZ38" s="316"/>
      <c r="FA38" s="316"/>
      <c r="FB38" s="316"/>
    </row>
    <row r="39" spans="1:159" s="315" customFormat="1">
      <c r="A39" s="315" t="str">
        <f t="shared" si="157"/>
        <v>2312신한라이프</v>
      </c>
      <c r="B39" s="315">
        <v>2312</v>
      </c>
      <c r="C39" s="315" t="s">
        <v>4</v>
      </c>
      <c r="D39" s="316">
        <v>58508315</v>
      </c>
      <c r="E39" s="316">
        <v>11478700</v>
      </c>
      <c r="F39" s="316">
        <v>35345575</v>
      </c>
      <c r="G39" s="316">
        <f>4348023+4707291</f>
        <v>9055314</v>
      </c>
      <c r="H39" s="316">
        <v>274581</v>
      </c>
      <c r="I39" s="317">
        <f t="shared" ref="I39:K40" si="276">+E39/$D39</f>
        <v>0.19618920832021911</v>
      </c>
      <c r="J39" s="317">
        <f t="shared" si="276"/>
        <v>0.60411199673072113</v>
      </c>
      <c r="K39" s="317">
        <f t="shared" si="276"/>
        <v>0.15476969384607983</v>
      </c>
      <c r="L39" s="316">
        <v>50061766</v>
      </c>
      <c r="M39" s="316">
        <v>45528986</v>
      </c>
      <c r="N39" s="308">
        <f t="shared" si="159"/>
        <v>8147097</v>
      </c>
      <c r="O39" s="308">
        <v>8446549</v>
      </c>
      <c r="P39" s="308">
        <v>299452</v>
      </c>
      <c r="Q39" s="308">
        <v>117417</v>
      </c>
      <c r="R39" s="308">
        <v>6629922</v>
      </c>
      <c r="S39" s="308">
        <v>8134009</v>
      </c>
      <c r="T39" s="308">
        <f t="shared" ref="T39:T41" si="277">N38</f>
        <v>7834557</v>
      </c>
      <c r="U39" s="316">
        <v>52552500</v>
      </c>
      <c r="V39" s="316">
        <v>50931900</v>
      </c>
      <c r="W39" s="320">
        <v>0.96899999999999997</v>
      </c>
      <c r="X39" s="308">
        <v>117417</v>
      </c>
      <c r="Y39" s="308">
        <f>-2491054-6206</f>
        <v>-2497260</v>
      </c>
      <c r="Z39" s="308">
        <v>2572059</v>
      </c>
      <c r="AA39" s="308">
        <v>13280</v>
      </c>
      <c r="AB39" s="308">
        <v>45462</v>
      </c>
      <c r="AC39" s="308"/>
      <c r="AD39" s="308">
        <v>-16124</v>
      </c>
      <c r="AE39" s="308">
        <f t="shared" si="160"/>
        <v>0</v>
      </c>
      <c r="AF39" s="316">
        <v>663624</v>
      </c>
      <c r="AG39" s="316">
        <v>2669499</v>
      </c>
      <c r="AH39" s="316">
        <f>1881746-124129</f>
        <v>1757617</v>
      </c>
      <c r="AI39" s="316">
        <v>2693</v>
      </c>
      <c r="AJ39" s="316">
        <f>364541-2500731</f>
        <v>-2136190</v>
      </c>
      <c r="AK39" s="316">
        <f>71631-19095</f>
        <v>52536</v>
      </c>
      <c r="AL39" s="316">
        <f>+AI39-AJ39-AK39+AM39-AN39</f>
        <v>2130149</v>
      </c>
      <c r="AM39" s="316">
        <v>16925</v>
      </c>
      <c r="AN39" s="316">
        <f>30483+12489+10924-80773</f>
        <v>-26877</v>
      </c>
      <c r="AO39" s="316">
        <v>666317</v>
      </c>
      <c r="AP39" s="316">
        <v>-23943</v>
      </c>
      <c r="AQ39" s="308">
        <v>642374</v>
      </c>
      <c r="AR39" s="308">
        <v>481851</v>
      </c>
      <c r="AS39" s="316">
        <f>+AO39+AP39-AQ39</f>
        <v>0</v>
      </c>
      <c r="AT39" s="316">
        <f t="shared" ref="AT39:AT44" si="278">+AJ39+AK39+AL39-AM39+AN39-AI39</f>
        <v>0</v>
      </c>
      <c r="AU39" s="316">
        <f t="shared" ref="AU39:AU44" si="279">+AF39+AI39-AO39</f>
        <v>0</v>
      </c>
      <c r="AV39" s="316">
        <f t="shared" ref="AV39:AV44" si="280">+AF39</f>
        <v>663624</v>
      </c>
      <c r="AW39" s="316">
        <f t="shared" ref="AW39:AW44" si="281">+AI39</f>
        <v>2693</v>
      </c>
      <c r="AX39" s="316">
        <f t="shared" ref="AX39:AX44" si="282">+AP39</f>
        <v>-23943</v>
      </c>
      <c r="AY39" s="316">
        <f t="shared" ref="AY39:AY44" si="283">+SUM(AV39:AX39)</f>
        <v>642374</v>
      </c>
      <c r="AZ39" s="316"/>
      <c r="BA39" s="316"/>
      <c r="BB39" s="317">
        <f t="shared" si="155"/>
        <v>-4.7962546921446608E-2</v>
      </c>
      <c r="BC39" s="316">
        <v>113667</v>
      </c>
      <c r="BD39" s="316">
        <v>2091114</v>
      </c>
      <c r="BE39" s="316"/>
      <c r="BF39" s="316">
        <f>+-2162910-20765</f>
        <v>-2183675</v>
      </c>
      <c r="BG39" s="316">
        <v>105477</v>
      </c>
      <c r="BH39" s="316"/>
      <c r="BI39" s="316">
        <v>-9166</v>
      </c>
      <c r="BJ39" s="316"/>
      <c r="BK39" s="316">
        <v>117417</v>
      </c>
      <c r="BL39" s="316">
        <f>+BK39-BC39-SUM(BD39:BJ39)</f>
        <v>0</v>
      </c>
      <c r="BM39" s="316">
        <v>6321129</v>
      </c>
      <c r="BN39" s="316">
        <v>-162257</v>
      </c>
      <c r="BO39" s="316"/>
      <c r="BP39" s="316">
        <v>481851</v>
      </c>
      <c r="BQ39" s="316">
        <v>-10801</v>
      </c>
      <c r="BR39" s="316"/>
      <c r="BS39" s="316">
        <v>6629922</v>
      </c>
      <c r="BT39" s="316">
        <f t="shared" ref="BT39:BT60" si="284">+BM39+SUM(BN39:BR39)-BS39</f>
        <v>0</v>
      </c>
      <c r="BU39" s="308">
        <v>37208495</v>
      </c>
      <c r="BV39" s="308">
        <v>1151534</v>
      </c>
      <c r="BW39" s="308">
        <v>7168725</v>
      </c>
      <c r="BX39" s="308">
        <v>901777</v>
      </c>
      <c r="BY39" s="308">
        <v>696825</v>
      </c>
      <c r="BZ39" s="308">
        <v>-200846</v>
      </c>
      <c r="CA39" s="308">
        <v>239706</v>
      </c>
      <c r="CB39" s="308">
        <v>6924913</v>
      </c>
      <c r="CC39" s="316"/>
      <c r="CD39" s="316">
        <f t="shared" ref="CD39:CD44" si="285">CB39+BX39-BY39+BZ39+CA39-BW39</f>
        <v>0</v>
      </c>
      <c r="CE39" s="316">
        <v>445732</v>
      </c>
      <c r="CF39" s="316">
        <f>386402+345588</f>
        <v>731990</v>
      </c>
      <c r="CG39" s="316">
        <f>317901+296020</f>
        <v>613921</v>
      </c>
      <c r="CH39" s="316">
        <f>276423+259809+245309+233483+222606</f>
        <v>1237630</v>
      </c>
      <c r="CI39" s="316">
        <f>978568+778000+609381+479845+1293657</f>
        <v>4139451</v>
      </c>
      <c r="CJ39" s="316">
        <v>7168725</v>
      </c>
      <c r="CK39" s="316">
        <v>0</v>
      </c>
      <c r="CL39" s="316"/>
      <c r="CM39" s="316"/>
      <c r="CN39" s="317">
        <v>2.532</v>
      </c>
      <c r="CO39" s="316">
        <v>10973700</v>
      </c>
      <c r="CP39" s="316">
        <v>4333800</v>
      </c>
      <c r="CQ39" s="318">
        <v>2.508</v>
      </c>
      <c r="CR39" s="319">
        <v>10922400</v>
      </c>
      <c r="CS39" s="319">
        <v>4354200</v>
      </c>
      <c r="CT39" s="316"/>
      <c r="CU39" s="316">
        <v>3449210</v>
      </c>
      <c r="CV39" s="316"/>
      <c r="CW39" s="320">
        <v>0.9224</v>
      </c>
      <c r="CX39" s="320">
        <v>0.92320000000000002</v>
      </c>
      <c r="CY39" s="320">
        <v>-8.0000000000000004E-4</v>
      </c>
      <c r="CZ39" s="317">
        <f>+CX39/CW39</f>
        <v>1.0008673026886383</v>
      </c>
      <c r="DA39" s="316"/>
      <c r="DB39" s="316"/>
      <c r="DC39" s="317"/>
      <c r="DD39" s="316"/>
      <c r="DE39" s="316"/>
      <c r="DF39" s="316"/>
      <c r="DG39" s="316"/>
      <c r="DH39" s="316"/>
      <c r="DI39" s="316"/>
      <c r="DJ39" s="316"/>
      <c r="DK39" s="316"/>
      <c r="DL39" s="316"/>
      <c r="DM39" s="316"/>
      <c r="DN39" s="316"/>
      <c r="DO39" s="316"/>
      <c r="DP39" s="316"/>
      <c r="DQ39" s="316"/>
      <c r="DR39" s="316"/>
      <c r="DS39" s="316"/>
      <c r="DT39" s="316"/>
      <c r="DU39" s="316"/>
      <c r="DV39" s="316"/>
      <c r="DW39" s="316"/>
      <c r="DX39" s="316"/>
      <c r="DY39" s="316"/>
      <c r="DZ39" s="316"/>
      <c r="EA39" s="316"/>
      <c r="EB39" s="316"/>
      <c r="EC39" s="316"/>
      <c r="ED39" s="316"/>
      <c r="EE39" s="316"/>
      <c r="EP39" s="316"/>
      <c r="EQ39" s="316"/>
      <c r="ER39" s="316"/>
      <c r="ES39" s="316"/>
      <c r="ET39" s="316"/>
      <c r="EU39" s="316"/>
      <c r="EV39" s="316"/>
      <c r="EW39" s="316"/>
      <c r="EX39" s="316"/>
      <c r="EY39" s="316"/>
      <c r="EZ39" s="316"/>
      <c r="FA39" s="316"/>
      <c r="FB39" s="316"/>
    </row>
    <row r="40" spans="1:159" s="315" customFormat="1">
      <c r="A40" s="315" t="str">
        <f t="shared" si="157"/>
        <v>2412신한라이프</v>
      </c>
      <c r="B40" s="315">
        <v>2412</v>
      </c>
      <c r="C40" s="315" t="s">
        <v>4</v>
      </c>
      <c r="D40" s="316">
        <v>59617796</v>
      </c>
      <c r="E40" s="316">
        <v>11579983</v>
      </c>
      <c r="F40" s="316">
        <v>37647435</v>
      </c>
      <c r="G40" s="316">
        <f>3931915+3954379</f>
        <v>7886294</v>
      </c>
      <c r="H40" s="316">
        <v>274581</v>
      </c>
      <c r="I40" s="317">
        <f t="shared" si="276"/>
        <v>0.19423701942956764</v>
      </c>
      <c r="J40" s="317">
        <f t="shared" si="276"/>
        <v>0.63147981854277202</v>
      </c>
      <c r="K40" s="317">
        <f t="shared" si="276"/>
        <v>0.13228087130225344</v>
      </c>
      <c r="L40" s="316">
        <v>52555228</v>
      </c>
      <c r="M40" s="316">
        <v>48419650</v>
      </c>
      <c r="N40" s="308">
        <f t="shared" si="159"/>
        <v>6762850</v>
      </c>
      <c r="O40" s="449">
        <v>7062302</v>
      </c>
      <c r="P40" s="308">
        <v>299452</v>
      </c>
      <c r="Q40" s="449">
        <v>-1474328</v>
      </c>
      <c r="R40" s="308">
        <v>6837420</v>
      </c>
      <c r="S40" s="308">
        <v>8446549</v>
      </c>
      <c r="T40" s="308">
        <f t="shared" si="277"/>
        <v>8147097</v>
      </c>
      <c r="U40" s="316">
        <v>54103400</v>
      </c>
      <c r="V40" s="316">
        <v>52418100</v>
      </c>
      <c r="W40" s="320">
        <v>0.96899999999999997</v>
      </c>
      <c r="X40" s="308">
        <v>-1474062</v>
      </c>
      <c r="Y40" s="308">
        <f>-1761100-5317</f>
        <v>-1766417</v>
      </c>
      <c r="Z40" s="308">
        <v>218656</v>
      </c>
      <c r="AA40" s="308">
        <v>11736</v>
      </c>
      <c r="AB40" s="308">
        <v>90681</v>
      </c>
      <c r="AC40" s="308"/>
      <c r="AD40" s="308">
        <v>-28718</v>
      </c>
      <c r="AE40" s="308">
        <f t="shared" si="160"/>
        <v>0</v>
      </c>
      <c r="AF40" s="316">
        <v>658381</v>
      </c>
      <c r="AG40" s="316">
        <v>2900268</v>
      </c>
      <c r="AH40" s="316">
        <f>2126852-115035</f>
        <v>2011817</v>
      </c>
      <c r="AI40" s="316">
        <v>80188</v>
      </c>
      <c r="AJ40" s="316">
        <f>397712-2103148</f>
        <v>-1705436</v>
      </c>
      <c r="AK40" s="316">
        <f>24101-24045</f>
        <v>56</v>
      </c>
      <c r="AL40" s="316">
        <f>+AI40-AJ40-AK40+AM40-AN40</f>
        <v>1861724</v>
      </c>
      <c r="AM40" s="316">
        <v>16291</v>
      </c>
      <c r="AN40" s="316">
        <f>12563+8677-81105</f>
        <v>-59865</v>
      </c>
      <c r="AO40" s="316">
        <v>738569</v>
      </c>
      <c r="AP40" s="316">
        <v>-2961</v>
      </c>
      <c r="AQ40" s="308">
        <v>735608</v>
      </c>
      <c r="AR40" s="308">
        <v>533681</v>
      </c>
      <c r="AS40" s="316">
        <f>+AO40+AP40-AQ40</f>
        <v>0</v>
      </c>
      <c r="AT40" s="316">
        <f t="shared" si="278"/>
        <v>0</v>
      </c>
      <c r="AU40" s="316">
        <f t="shared" si="279"/>
        <v>0</v>
      </c>
      <c r="AV40" s="316">
        <f t="shared" si="280"/>
        <v>658381</v>
      </c>
      <c r="AW40" s="316">
        <f t="shared" si="281"/>
        <v>80188</v>
      </c>
      <c r="AX40" s="316">
        <f t="shared" si="282"/>
        <v>-2961</v>
      </c>
      <c r="AY40" s="316">
        <f t="shared" si="283"/>
        <v>735608</v>
      </c>
      <c r="AZ40" s="316"/>
      <c r="BA40" s="316"/>
      <c r="BB40" s="317">
        <f t="shared" si="155"/>
        <v>-4.8636604740789874E-2</v>
      </c>
      <c r="BC40" s="449">
        <f>117417-754</f>
        <v>116663</v>
      </c>
      <c r="BD40" s="449">
        <v>731291</v>
      </c>
      <c r="BE40" s="316"/>
      <c r="BF40" s="316">
        <f>-2353403-1544</f>
        <v>-2354947</v>
      </c>
      <c r="BG40" s="316">
        <v>45219</v>
      </c>
      <c r="BH40" s="316">
        <v>41</v>
      </c>
      <c r="BI40" s="316">
        <v>-12594</v>
      </c>
      <c r="BJ40" s="316"/>
      <c r="BK40" s="449">
        <v>-1474328</v>
      </c>
      <c r="BL40" s="316">
        <f>+BK40-BC40-SUM(BD40:BJ40)</f>
        <v>-1</v>
      </c>
      <c r="BM40" s="316">
        <v>6629922</v>
      </c>
      <c r="BN40" s="316">
        <f>-165338-150004</f>
        <v>-315342</v>
      </c>
      <c r="BO40" s="316"/>
      <c r="BP40" s="316">
        <v>533681</v>
      </c>
      <c r="BQ40" s="316">
        <v>-41</v>
      </c>
      <c r="BR40" s="316">
        <v>-10800</v>
      </c>
      <c r="BS40" s="316">
        <v>6837420</v>
      </c>
      <c r="BT40" s="316">
        <f t="shared" si="284"/>
        <v>0</v>
      </c>
      <c r="BU40" s="308">
        <v>39849028</v>
      </c>
      <c r="BV40" s="308">
        <v>1346089</v>
      </c>
      <c r="BW40" s="308">
        <v>7224114</v>
      </c>
      <c r="BX40" s="308">
        <v>1264682</v>
      </c>
      <c r="BY40" s="308">
        <v>732650</v>
      </c>
      <c r="BZ40" s="308">
        <v>-732472</v>
      </c>
      <c r="CA40" s="308">
        <v>255829</v>
      </c>
      <c r="CB40" s="308">
        <v>7168725</v>
      </c>
      <c r="CC40" s="717">
        <f>+BU40/BU39</f>
        <v>1.0709658641124828</v>
      </c>
      <c r="CD40" s="316">
        <f t="shared" si="285"/>
        <v>0</v>
      </c>
      <c r="CE40" s="316">
        <v>437202</v>
      </c>
      <c r="CF40" s="316">
        <f>366019+327558</f>
        <v>693577</v>
      </c>
      <c r="CG40" s="316">
        <f>302210+279384</f>
        <v>581594</v>
      </c>
      <c r="CH40" s="316">
        <f>251445+233759+220836+209966+200534</f>
        <v>1116540</v>
      </c>
      <c r="CI40" s="316">
        <f>893848+745159+621030+513795+1621366</f>
        <v>4395198</v>
      </c>
      <c r="CJ40" s="316">
        <v>7224111</v>
      </c>
      <c r="CK40" s="306">
        <v>0</v>
      </c>
      <c r="CL40" s="316"/>
      <c r="CM40" s="316"/>
      <c r="CN40" s="317"/>
      <c r="CO40" s="316"/>
      <c r="CP40" s="316"/>
      <c r="CQ40" s="318">
        <v>2.0569999999999999</v>
      </c>
      <c r="CR40" s="319">
        <v>9623800</v>
      </c>
      <c r="CS40" s="319">
        <v>4677600</v>
      </c>
      <c r="CT40" s="316"/>
      <c r="CU40" s="316">
        <v>3638116</v>
      </c>
      <c r="CV40" s="316"/>
      <c r="CW40" s="320">
        <v>0.93110000000000004</v>
      </c>
      <c r="CX40" s="320">
        <v>0.96260000000000001</v>
      </c>
      <c r="CY40" s="320">
        <v>-3.15E-2</v>
      </c>
      <c r="CZ40" s="317">
        <f>+CX40/CW40</f>
        <v>1.0338309526366662</v>
      </c>
      <c r="DA40" s="316"/>
      <c r="DB40" s="316"/>
      <c r="DC40" s="317"/>
      <c r="DD40" s="316"/>
      <c r="DE40" s="316"/>
      <c r="DF40" s="316"/>
      <c r="DG40" s="316"/>
      <c r="DH40" s="316"/>
      <c r="DI40" s="316"/>
      <c r="DJ40" s="316"/>
      <c r="DK40" s="316"/>
      <c r="DL40" s="316"/>
      <c r="DM40" s="316"/>
      <c r="DN40" s="316"/>
      <c r="DO40" s="316"/>
      <c r="DP40" s="316"/>
      <c r="DQ40" s="316"/>
      <c r="DR40" s="316"/>
      <c r="DS40" s="316"/>
      <c r="DT40" s="316"/>
      <c r="DU40" s="316"/>
      <c r="DV40" s="316"/>
      <c r="DW40" s="316"/>
      <c r="DX40" s="316"/>
      <c r="DY40" s="316"/>
      <c r="DZ40" s="316"/>
      <c r="EA40" s="316"/>
      <c r="EB40" s="316"/>
      <c r="EC40" s="316"/>
      <c r="ED40" s="316"/>
      <c r="EE40" s="316"/>
      <c r="EP40" s="316">
        <v>282107</v>
      </c>
      <c r="EQ40" s="316">
        <v>-468866</v>
      </c>
      <c r="ER40" s="316">
        <v>-245474</v>
      </c>
      <c r="ES40" s="316">
        <v>219456</v>
      </c>
      <c r="ET40" s="316">
        <f>904700+90800</f>
        <v>995500</v>
      </c>
      <c r="EU40" s="316"/>
      <c r="EV40" s="316"/>
      <c r="EW40" s="316">
        <v>-408712</v>
      </c>
      <c r="EX40" s="316">
        <v>455092</v>
      </c>
      <c r="EY40" s="316">
        <v>258604</v>
      </c>
      <c r="EZ40" s="316">
        <v>-217764</v>
      </c>
      <c r="FA40" s="316">
        <v>-869943</v>
      </c>
      <c r="FB40" s="316">
        <v>50251</v>
      </c>
      <c r="FC40" s="452">
        <f>SUM(EW40:FB40)-BZ40</f>
        <v>0</v>
      </c>
    </row>
    <row r="41" spans="1:159" s="315" customFormat="1">
      <c r="A41" s="315" t="str">
        <f t="shared" si="157"/>
        <v>2503신한라이프</v>
      </c>
      <c r="B41" s="315">
        <v>2503</v>
      </c>
      <c r="C41" s="315" t="s">
        <v>1034</v>
      </c>
      <c r="D41" s="316">
        <v>60193893</v>
      </c>
      <c r="E41" s="316">
        <v>11699546</v>
      </c>
      <c r="F41" s="316">
        <v>38140765</v>
      </c>
      <c r="G41" s="316">
        <f>3936399+3703652</f>
        <v>7640051</v>
      </c>
      <c r="H41" s="316">
        <v>314581</v>
      </c>
      <c r="I41" s="317">
        <f t="shared" ref="I41" si="286">+E41/$D41</f>
        <v>0.19436433526570543</v>
      </c>
      <c r="J41" s="317">
        <f t="shared" ref="J41" si="287">+F41/$D41</f>
        <v>0.63363180381106099</v>
      </c>
      <c r="K41" s="317">
        <f t="shared" ref="K41" si="288">+G41/$D41</f>
        <v>0.12692402201000691</v>
      </c>
      <c r="L41" s="316">
        <v>54035219</v>
      </c>
      <c r="M41" s="316">
        <v>50191711</v>
      </c>
      <c r="N41" s="308">
        <f t="shared" si="159"/>
        <v>5859222</v>
      </c>
      <c r="O41" s="308">
        <v>6158674</v>
      </c>
      <c r="P41" s="308">
        <v>299452</v>
      </c>
      <c r="Q41" s="308">
        <v>-2162591</v>
      </c>
      <c r="R41" s="308">
        <v>6622055</v>
      </c>
      <c r="S41" s="308">
        <v>7062568</v>
      </c>
      <c r="T41" s="308">
        <f t="shared" si="277"/>
        <v>6762850</v>
      </c>
      <c r="U41" s="316">
        <v>54727500</v>
      </c>
      <c r="V41" s="316">
        <v>52946800</v>
      </c>
      <c r="W41" s="320">
        <v>0.96699999999999997</v>
      </c>
      <c r="X41" s="308">
        <v>-2162591</v>
      </c>
      <c r="Y41" s="308">
        <v>-1079336</v>
      </c>
      <c r="Z41" s="308">
        <v>-1195742</v>
      </c>
      <c r="AA41" s="308">
        <v>5381</v>
      </c>
      <c r="AB41" s="308">
        <v>135824</v>
      </c>
      <c r="AC41" s="308"/>
      <c r="AD41" s="308">
        <v>-28718</v>
      </c>
      <c r="AE41" s="308">
        <f t="shared" si="160"/>
        <v>0</v>
      </c>
      <c r="AF41" s="316">
        <v>189026</v>
      </c>
      <c r="AG41" s="316">
        <v>764463</v>
      </c>
      <c r="AH41" s="316">
        <v>555284</v>
      </c>
      <c r="AI41" s="316">
        <v>41220</v>
      </c>
      <c r="AJ41" s="316">
        <f>58911-511387</f>
        <v>-452476</v>
      </c>
      <c r="AK41" s="316">
        <f>11155-10726</f>
        <v>429</v>
      </c>
      <c r="AL41" s="316">
        <f>+AI41-AJ41-AK41+AM41-AN41</f>
        <v>514161</v>
      </c>
      <c r="AM41" s="316">
        <v>3646</v>
      </c>
      <c r="AN41" s="316">
        <f>2289+696-20233</f>
        <v>-17248</v>
      </c>
      <c r="AO41" s="316">
        <v>230246</v>
      </c>
      <c r="AP41" s="316">
        <v>-6961</v>
      </c>
      <c r="AQ41" s="308">
        <v>223285</v>
      </c>
      <c r="AR41" s="308">
        <v>165632</v>
      </c>
      <c r="AS41" s="316">
        <f>+AO41+AP41-AQ41</f>
        <v>0</v>
      </c>
      <c r="AT41" s="316">
        <f t="shared" si="278"/>
        <v>0</v>
      </c>
      <c r="AU41" s="316">
        <f t="shared" si="279"/>
        <v>0</v>
      </c>
      <c r="AV41" s="316">
        <f t="shared" si="280"/>
        <v>189026</v>
      </c>
      <c r="AW41" s="316">
        <f t="shared" si="281"/>
        <v>41220</v>
      </c>
      <c r="AX41" s="316">
        <f t="shared" si="282"/>
        <v>-6961</v>
      </c>
      <c r="AY41" s="316">
        <f t="shared" si="283"/>
        <v>223285</v>
      </c>
      <c r="AZ41" s="316"/>
      <c r="BA41" s="316"/>
      <c r="BB41" s="317"/>
      <c r="BC41" s="316">
        <v>-1474062</v>
      </c>
      <c r="BD41" s="316">
        <v>687081</v>
      </c>
      <c r="BE41" s="316"/>
      <c r="BF41" s="316">
        <f>-1414398-6355</f>
        <v>-1420753</v>
      </c>
      <c r="BG41" s="316">
        <v>45143</v>
      </c>
      <c r="BH41" s="316"/>
      <c r="BI41" s="316"/>
      <c r="BJ41" s="316"/>
      <c r="BK41" s="316">
        <v>-2162591</v>
      </c>
      <c r="BL41" s="316">
        <f>+BK41-BC41-SUM(BD41:BJ41)</f>
        <v>0</v>
      </c>
      <c r="BM41" s="316">
        <v>6837420</v>
      </c>
      <c r="BN41" s="316">
        <v>-378307</v>
      </c>
      <c r="BO41" s="316"/>
      <c r="BP41" s="316">
        <v>165632</v>
      </c>
      <c r="BQ41" s="316"/>
      <c r="BR41" s="316">
        <v>-2690</v>
      </c>
      <c r="BS41" s="316">
        <v>6622055</v>
      </c>
      <c r="BT41" s="316">
        <f t="shared" si="284"/>
        <v>0</v>
      </c>
      <c r="BU41" s="308">
        <v>41392217</v>
      </c>
      <c r="BV41" s="308">
        <v>1374274</v>
      </c>
      <c r="BW41" s="308">
        <v>7424312</v>
      </c>
      <c r="BX41" s="308">
        <v>366893</v>
      </c>
      <c r="BY41" s="308">
        <v>183598</v>
      </c>
      <c r="BZ41" s="308">
        <v>-47799</v>
      </c>
      <c r="CA41" s="308">
        <v>64702</v>
      </c>
      <c r="CB41" s="308">
        <v>7224114</v>
      </c>
      <c r="CC41" s="316"/>
      <c r="CD41" s="316">
        <f t="shared" si="285"/>
        <v>0</v>
      </c>
      <c r="CE41" s="316">
        <v>437133</v>
      </c>
      <c r="CF41" s="316">
        <f>372044+334823</f>
        <v>706867</v>
      </c>
      <c r="CG41" s="316">
        <f>309490+284289</f>
        <v>593779</v>
      </c>
      <c r="CH41" s="316">
        <f>254657+236923+224178+213772+204103</f>
        <v>1133633</v>
      </c>
      <c r="CI41" s="316">
        <f>914449+767032+642758+533144+1695517</f>
        <v>4552900</v>
      </c>
      <c r="CJ41" s="316">
        <v>7424312</v>
      </c>
      <c r="CK41" s="306">
        <v>0</v>
      </c>
      <c r="CL41" s="316"/>
      <c r="CM41" s="316"/>
      <c r="CN41" s="317"/>
      <c r="CO41" s="316"/>
      <c r="CP41" s="316"/>
      <c r="CQ41" s="318">
        <v>1.883</v>
      </c>
      <c r="CR41" s="319">
        <v>9206600</v>
      </c>
      <c r="CS41" s="319">
        <v>4888200</v>
      </c>
      <c r="CT41" s="316"/>
      <c r="CU41" s="316">
        <v>3904563</v>
      </c>
      <c r="CV41" s="316"/>
      <c r="CW41" s="320"/>
      <c r="CX41" s="320"/>
      <c r="CY41" s="320"/>
      <c r="CZ41" s="317"/>
      <c r="DA41" s="316"/>
      <c r="DB41" s="316"/>
      <c r="DC41" s="317"/>
      <c r="DD41" s="316"/>
      <c r="DE41" s="316"/>
      <c r="DF41" s="316"/>
      <c r="DG41" s="316"/>
      <c r="DH41" s="316"/>
      <c r="DI41" s="316"/>
      <c r="DJ41" s="316"/>
      <c r="DK41" s="316"/>
      <c r="DL41" s="316"/>
      <c r="DM41" s="316"/>
      <c r="DN41" s="316"/>
      <c r="DO41" s="316"/>
      <c r="DP41" s="316"/>
      <c r="DQ41" s="316"/>
      <c r="DR41" s="316"/>
      <c r="DS41" s="316"/>
      <c r="DT41" s="316"/>
      <c r="DU41" s="316"/>
      <c r="DV41" s="316"/>
      <c r="DW41" s="316"/>
      <c r="DX41" s="316"/>
      <c r="DY41" s="316"/>
      <c r="DZ41" s="316"/>
      <c r="EA41" s="316"/>
      <c r="EB41" s="316"/>
      <c r="EC41" s="316"/>
      <c r="ED41" s="316"/>
      <c r="EE41" s="316"/>
      <c r="EP41" s="316"/>
      <c r="EQ41" s="316"/>
      <c r="ER41" s="316"/>
      <c r="ES41" s="316"/>
      <c r="ET41" s="316"/>
      <c r="EU41" s="316"/>
      <c r="EV41" s="316"/>
      <c r="EW41" s="316"/>
      <c r="EX41" s="316"/>
      <c r="EY41" s="316"/>
      <c r="EZ41" s="316"/>
      <c r="FA41" s="316"/>
      <c r="FB41" s="316"/>
      <c r="FC41" s="316"/>
    </row>
    <row r="42" spans="1:159" s="315" customFormat="1">
      <c r="A42" s="315" t="str">
        <f t="shared" si="157"/>
        <v>2506신한라이프</v>
      </c>
      <c r="B42" s="315">
        <v>2506</v>
      </c>
      <c r="C42" s="315" t="s">
        <v>1034</v>
      </c>
      <c r="D42" s="316">
        <v>60224722</v>
      </c>
      <c r="E42" s="316">
        <v>12155002</v>
      </c>
      <c r="F42" s="316">
        <v>37152644</v>
      </c>
      <c r="G42" s="316">
        <v>7604021</v>
      </c>
      <c r="H42" s="316">
        <v>314581</v>
      </c>
      <c r="I42" s="317">
        <f t="shared" ref="I42:I44" si="289">+E42/$D42</f>
        <v>0.20182744886726087</v>
      </c>
      <c r="J42" s="317">
        <f t="shared" ref="J42:J44" si="290">+F42/$D42</f>
        <v>0.61690021582831056</v>
      </c>
      <c r="K42" s="317">
        <f t="shared" ref="K42:K44" si="291">+G42/$D42</f>
        <v>0.12626079037774554</v>
      </c>
      <c r="L42" s="316">
        <v>53792250</v>
      </c>
      <c r="M42" s="316">
        <v>49900166</v>
      </c>
      <c r="N42" s="308">
        <v>6133020</v>
      </c>
      <c r="O42" s="308">
        <v>6432472</v>
      </c>
      <c r="P42" s="308">
        <v>299452</v>
      </c>
      <c r="Q42" s="308">
        <v>-2065718</v>
      </c>
      <c r="R42" s="308">
        <v>6798980</v>
      </c>
      <c r="S42" s="308">
        <v>7062568</v>
      </c>
      <c r="T42" s="308">
        <f>T41</f>
        <v>6762850</v>
      </c>
      <c r="U42" s="316">
        <v>54377600</v>
      </c>
      <c r="V42" s="316">
        <v>52072200</v>
      </c>
      <c r="W42" s="320">
        <v>0.95799999999999996</v>
      </c>
      <c r="X42" s="308">
        <v>-2065718</v>
      </c>
      <c r="Y42" s="308">
        <f>-1502478-4996</f>
        <v>-1507474</v>
      </c>
      <c r="Z42" s="308">
        <f>-575782</f>
        <v>-575782</v>
      </c>
      <c r="AA42" s="308">
        <v>-13873</v>
      </c>
      <c r="AB42" s="308">
        <v>63624</v>
      </c>
      <c r="AC42" s="308"/>
      <c r="AD42" s="308">
        <v>-32213</v>
      </c>
      <c r="AE42" s="308">
        <f t="shared" si="160"/>
        <v>0</v>
      </c>
      <c r="AF42" s="316">
        <v>375476</v>
      </c>
      <c r="AG42" s="316">
        <v>1561218</v>
      </c>
      <c r="AH42" s="316">
        <v>1185742</v>
      </c>
      <c r="AI42" s="316">
        <v>90948</v>
      </c>
      <c r="AJ42" s="316"/>
      <c r="AK42" s="316"/>
      <c r="AL42" s="316"/>
      <c r="AM42" s="316">
        <v>0</v>
      </c>
      <c r="AN42" s="316">
        <v>0</v>
      </c>
      <c r="AO42" s="316">
        <v>466424</v>
      </c>
      <c r="AP42" s="316">
        <v>-10445</v>
      </c>
      <c r="AQ42" s="308">
        <v>455979</v>
      </c>
      <c r="AR42" s="308">
        <v>345267</v>
      </c>
      <c r="AS42" s="316">
        <f t="shared" ref="AS42:AS44" si="292">+AO42+AP42-AQ42</f>
        <v>0</v>
      </c>
      <c r="AT42" s="316">
        <f t="shared" si="278"/>
        <v>-90948</v>
      </c>
      <c r="AU42" s="316">
        <f t="shared" si="279"/>
        <v>0</v>
      </c>
      <c r="AV42" s="316">
        <f t="shared" si="280"/>
        <v>375476</v>
      </c>
      <c r="AW42" s="316">
        <f t="shared" si="281"/>
        <v>90948</v>
      </c>
      <c r="AX42" s="316">
        <f t="shared" si="282"/>
        <v>-10445</v>
      </c>
      <c r="AY42" s="316">
        <f t="shared" si="283"/>
        <v>455979</v>
      </c>
      <c r="AZ42" s="316"/>
      <c r="BA42" s="316"/>
      <c r="BB42" s="317"/>
      <c r="BC42" s="316">
        <v>-1474062</v>
      </c>
      <c r="BD42" s="316">
        <v>258943</v>
      </c>
      <c r="BE42" s="316">
        <v>0</v>
      </c>
      <c r="BF42" s="316">
        <v>-820048</v>
      </c>
      <c r="BG42" s="316">
        <v>-27057</v>
      </c>
      <c r="BH42" s="316">
        <v>-3494</v>
      </c>
      <c r="BI42" s="316">
        <v>0</v>
      </c>
      <c r="BJ42" s="316">
        <v>0</v>
      </c>
      <c r="BK42" s="316">
        <v>-2065718</v>
      </c>
      <c r="BL42" s="316">
        <v>0</v>
      </c>
      <c r="BM42" s="316">
        <v>6837420</v>
      </c>
      <c r="BN42" s="316">
        <v>-378307</v>
      </c>
      <c r="BO42" s="316">
        <v>0</v>
      </c>
      <c r="BP42" s="316">
        <v>345267</v>
      </c>
      <c r="BQ42" s="316">
        <v>0</v>
      </c>
      <c r="BR42" s="316">
        <v>-5400</v>
      </c>
      <c r="BS42" s="316">
        <v>6798980</v>
      </c>
      <c r="BT42" s="316">
        <f t="shared" si="284"/>
        <v>0</v>
      </c>
      <c r="BU42" s="308">
        <v>41241097</v>
      </c>
      <c r="BV42" s="308">
        <v>1396083</v>
      </c>
      <c r="BW42" s="308">
        <v>7262137</v>
      </c>
      <c r="BX42" s="308">
        <v>704497</v>
      </c>
      <c r="BY42" s="308">
        <v>364712</v>
      </c>
      <c r="BZ42" s="308">
        <v>-431318</v>
      </c>
      <c r="CA42" s="308">
        <v>129556</v>
      </c>
      <c r="CB42" s="308">
        <v>7224114</v>
      </c>
      <c r="CC42" s="316"/>
      <c r="CD42" s="316">
        <f t="shared" si="285"/>
        <v>0</v>
      </c>
      <c r="CE42" s="316">
        <v>422984</v>
      </c>
      <c r="CF42" s="316">
        <f>363420+328644</f>
        <v>692064</v>
      </c>
      <c r="CG42" s="316">
        <f>303623+275855</f>
        <v>579478</v>
      </c>
      <c r="CH42" s="316">
        <f>247608+231222+219044+209044+199415</f>
        <v>1106333</v>
      </c>
      <c r="CI42" s="316">
        <f>895180+751208+627403+518972+1668515</f>
        <v>4461278</v>
      </c>
      <c r="CJ42" s="316">
        <v>7262137</v>
      </c>
      <c r="CK42" s="306">
        <v>0</v>
      </c>
      <c r="CL42" s="316"/>
      <c r="CM42" s="316"/>
      <c r="CN42" s="317"/>
      <c r="CO42" s="316"/>
      <c r="CP42" s="316"/>
      <c r="CQ42" s="318">
        <v>1.996</v>
      </c>
      <c r="CR42" s="319">
        <v>9824600</v>
      </c>
      <c r="CS42" s="319">
        <v>4922200</v>
      </c>
      <c r="CT42" s="316"/>
      <c r="CU42" s="316">
        <v>4156050</v>
      </c>
      <c r="CV42" s="316"/>
      <c r="CW42" s="320"/>
      <c r="CX42" s="320"/>
      <c r="CY42" s="320"/>
      <c r="CZ42" s="317"/>
      <c r="DA42" s="316"/>
      <c r="DB42" s="316"/>
      <c r="DC42" s="317"/>
      <c r="DD42" s="316"/>
      <c r="DE42" s="316"/>
      <c r="DF42" s="316"/>
      <c r="DG42" s="316"/>
      <c r="DH42" s="316"/>
      <c r="DI42" s="316"/>
      <c r="DJ42" s="316"/>
      <c r="DK42" s="316"/>
      <c r="DL42" s="316"/>
      <c r="DM42" s="316"/>
      <c r="DN42" s="316"/>
      <c r="DO42" s="316"/>
      <c r="DP42" s="316"/>
      <c r="DQ42" s="316"/>
      <c r="DR42" s="316"/>
      <c r="DS42" s="316"/>
      <c r="DT42" s="316"/>
      <c r="DU42" s="316"/>
      <c r="DV42" s="316"/>
      <c r="DW42" s="316"/>
      <c r="DX42" s="316"/>
      <c r="DY42" s="316"/>
      <c r="DZ42" s="316"/>
      <c r="EA42" s="316"/>
      <c r="EB42" s="316"/>
      <c r="EC42" s="316"/>
      <c r="ED42" s="316"/>
      <c r="EE42" s="316"/>
      <c r="EP42" s="316"/>
      <c r="EQ42" s="316"/>
      <c r="ER42" s="316"/>
      <c r="ES42" s="316"/>
      <c r="ET42" s="316"/>
      <c r="EU42" s="316"/>
      <c r="EV42" s="316"/>
      <c r="EW42" s="316"/>
      <c r="EX42" s="316"/>
      <c r="EY42" s="316"/>
      <c r="EZ42" s="316"/>
      <c r="FA42" s="316"/>
      <c r="FB42" s="316"/>
      <c r="FC42" s="316"/>
    </row>
    <row r="43" spans="1:159" s="315" customFormat="1">
      <c r="A43" s="315" t="str">
        <f t="shared" si="157"/>
        <v>2509신한라이프</v>
      </c>
      <c r="B43" s="315">
        <v>2509</v>
      </c>
      <c r="C43" s="315" t="s">
        <v>1034</v>
      </c>
      <c r="D43" s="316">
        <v>60171813</v>
      </c>
      <c r="E43" s="316">
        <v>12903089</v>
      </c>
      <c r="F43" s="316">
        <v>36968359</v>
      </c>
      <c r="G43" s="316">
        <v>3945885</v>
      </c>
      <c r="H43" s="316">
        <v>339581</v>
      </c>
      <c r="I43" s="317">
        <f t="shared" si="289"/>
        <v>0.21443743102771393</v>
      </c>
      <c r="J43" s="317">
        <f t="shared" si="290"/>
        <v>0.61438000879248889</v>
      </c>
      <c r="K43" s="317">
        <f t="shared" si="291"/>
        <v>6.5576967075929721E-2</v>
      </c>
      <c r="L43" s="316">
        <v>54020222</v>
      </c>
      <c r="M43" s="316">
        <v>49760283</v>
      </c>
      <c r="N43" s="308">
        <f t="shared" si="159"/>
        <v>6151591</v>
      </c>
      <c r="O43" s="308">
        <v>6151591</v>
      </c>
      <c r="P43" s="308">
        <v>0</v>
      </c>
      <c r="Q43" s="308">
        <v>-2219352</v>
      </c>
      <c r="R43" s="308">
        <v>6971741</v>
      </c>
      <c r="S43" s="308">
        <v>7062568</v>
      </c>
      <c r="T43" s="308">
        <f>T42</f>
        <v>6762850</v>
      </c>
      <c r="U43" s="316">
        <v>54151200</v>
      </c>
      <c r="V43" s="316">
        <v>52019500</v>
      </c>
      <c r="W43" s="320">
        <v>0.96099999999999997</v>
      </c>
      <c r="X43" s="308">
        <v>-2219352</v>
      </c>
      <c r="Y43" s="308">
        <v>-1837805</v>
      </c>
      <c r="Z43" s="308">
        <v>-303928</v>
      </c>
      <c r="AA43" s="308">
        <v>-49198</v>
      </c>
      <c r="AB43" s="308">
        <v>3791</v>
      </c>
      <c r="AC43" s="308"/>
      <c r="AD43" s="308">
        <v>-32212</v>
      </c>
      <c r="AE43" s="308">
        <f t="shared" si="160"/>
        <v>0</v>
      </c>
      <c r="AF43" s="316">
        <v>579358</v>
      </c>
      <c r="AG43" s="316">
        <v>2386344</v>
      </c>
      <c r="AH43" s="316">
        <v>1742361</v>
      </c>
      <c r="AI43" s="316">
        <v>124322</v>
      </c>
      <c r="AJ43" s="316">
        <f>159176-2092551</f>
        <v>-1933375</v>
      </c>
      <c r="AK43" s="316">
        <f>49125-40126</f>
        <v>8999</v>
      </c>
      <c r="AL43" s="316">
        <f>+AI43-AJ43-AK43+AM43-AN43</f>
        <v>2111186</v>
      </c>
      <c r="AM43" s="316">
        <v>12608</v>
      </c>
      <c r="AN43" s="316">
        <f>7141+1970-58991</f>
        <v>-49880</v>
      </c>
      <c r="AO43" s="316">
        <v>703680</v>
      </c>
      <c r="AP43" s="316">
        <v>-11464</v>
      </c>
      <c r="AQ43" s="308">
        <v>692216</v>
      </c>
      <c r="AR43" s="308">
        <v>519261</v>
      </c>
      <c r="AS43" s="316">
        <f t="shared" si="292"/>
        <v>0</v>
      </c>
      <c r="AT43" s="316">
        <f t="shared" si="278"/>
        <v>0</v>
      </c>
      <c r="AU43" s="316">
        <f t="shared" si="279"/>
        <v>0</v>
      </c>
      <c r="AV43" s="316">
        <f t="shared" si="280"/>
        <v>579358</v>
      </c>
      <c r="AW43" s="316">
        <f t="shared" si="281"/>
        <v>124322</v>
      </c>
      <c r="AX43" s="316">
        <f t="shared" si="282"/>
        <v>-11464</v>
      </c>
      <c r="AY43" s="316">
        <f t="shared" si="283"/>
        <v>692216</v>
      </c>
      <c r="AZ43" s="316"/>
      <c r="BA43" s="316"/>
      <c r="BB43" s="317"/>
      <c r="BC43" s="316">
        <v>-1474062</v>
      </c>
      <c r="BD43" s="316">
        <v>-71388</v>
      </c>
      <c r="BE43" s="316"/>
      <c r="BF43" s="316">
        <f>+-522584+-60934</f>
        <v>-583518</v>
      </c>
      <c r="BG43" s="316">
        <v>-86890</v>
      </c>
      <c r="BH43" s="316"/>
      <c r="BI43" s="316">
        <v>-3494</v>
      </c>
      <c r="BJ43" s="316"/>
      <c r="BK43" s="316">
        <v>-2219352</v>
      </c>
      <c r="BL43" s="308">
        <f>+BK43-BC43-SUM(BD43:BJ43)</f>
        <v>0</v>
      </c>
      <c r="BM43" s="316">
        <v>6837420</v>
      </c>
      <c r="BN43" s="316">
        <v>-378307</v>
      </c>
      <c r="BO43" s="316"/>
      <c r="BP43" s="316">
        <v>519261</v>
      </c>
      <c r="BQ43" s="316"/>
      <c r="BR43" s="316">
        <v>-6633</v>
      </c>
      <c r="BS43" s="316">
        <v>6971741</v>
      </c>
      <c r="BT43" s="316">
        <f t="shared" si="284"/>
        <v>0</v>
      </c>
      <c r="BU43" s="308">
        <v>40729320</v>
      </c>
      <c r="BV43" s="308">
        <v>1423792</v>
      </c>
      <c r="BW43" s="308">
        <v>7606162</v>
      </c>
      <c r="BX43" s="308">
        <v>1200711</v>
      </c>
      <c r="BY43" s="308">
        <v>549620</v>
      </c>
      <c r="BZ43" s="308">
        <v>-465618</v>
      </c>
      <c r="CA43" s="308">
        <v>196575</v>
      </c>
      <c r="CB43" s="308">
        <v>7224114</v>
      </c>
      <c r="CC43" s="316"/>
      <c r="CD43" s="316">
        <f t="shared" si="285"/>
        <v>0</v>
      </c>
      <c r="CE43" s="316">
        <v>434842</v>
      </c>
      <c r="CF43" s="316">
        <f>377338+341934</f>
        <v>719272</v>
      </c>
      <c r="CG43" s="316">
        <f>314993+283543</f>
        <v>598536</v>
      </c>
      <c r="CH43" s="316">
        <f>256223+239997+227899+217824+208156</f>
        <v>1150099</v>
      </c>
      <c r="CI43" s="316">
        <f>936168+790049+661689+547667+1767840</f>
        <v>4703413</v>
      </c>
      <c r="CJ43" s="316">
        <v>7606162</v>
      </c>
      <c r="CK43" s="316">
        <f>CJ43-SUM(CE43:CI43)</f>
        <v>0</v>
      </c>
      <c r="CL43" s="316"/>
      <c r="CM43" s="316"/>
      <c r="CN43" s="317"/>
      <c r="CO43" s="316"/>
      <c r="CP43" s="316"/>
      <c r="CQ43" s="318">
        <v>1.897</v>
      </c>
      <c r="CR43" s="319">
        <v>9644100</v>
      </c>
      <c r="CS43" s="319">
        <v>5085100</v>
      </c>
      <c r="CT43" s="316"/>
      <c r="CU43" s="316">
        <v>4572593</v>
      </c>
      <c r="CV43" s="316"/>
      <c r="CW43" s="320"/>
      <c r="CX43" s="320"/>
      <c r="CY43" s="320"/>
      <c r="CZ43" s="317"/>
      <c r="DA43" s="316"/>
      <c r="DB43" s="316"/>
      <c r="DC43" s="317"/>
      <c r="DD43" s="316"/>
      <c r="DE43" s="316"/>
      <c r="DF43" s="316"/>
      <c r="DG43" s="316"/>
      <c r="DH43" s="316"/>
      <c r="DI43" s="316"/>
      <c r="DJ43" s="316"/>
      <c r="DK43" s="316"/>
      <c r="DL43" s="316"/>
      <c r="DM43" s="316"/>
      <c r="DN43" s="316"/>
      <c r="DO43" s="316"/>
      <c r="DP43" s="316"/>
      <c r="DQ43" s="316"/>
      <c r="DR43" s="316"/>
      <c r="DS43" s="316"/>
      <c r="DT43" s="316"/>
      <c r="DU43" s="316"/>
      <c r="DV43" s="316"/>
      <c r="DW43" s="316"/>
      <c r="DX43" s="316"/>
      <c r="DY43" s="316"/>
      <c r="DZ43" s="316"/>
      <c r="EA43" s="316"/>
      <c r="EB43" s="316"/>
      <c r="EC43" s="316"/>
      <c r="ED43" s="316"/>
      <c r="EE43" s="316"/>
      <c r="EP43" s="316"/>
      <c r="EQ43" s="316"/>
      <c r="ER43" s="316"/>
      <c r="ES43" s="316"/>
      <c r="ET43" s="316"/>
      <c r="EU43" s="316"/>
      <c r="EV43" s="316"/>
      <c r="EW43" s="316"/>
      <c r="EX43" s="316"/>
      <c r="EY43" s="316"/>
      <c r="EZ43" s="316"/>
      <c r="FA43" s="316"/>
      <c r="FB43" s="316"/>
      <c r="FC43" s="316"/>
    </row>
    <row r="44" spans="1:159" s="315" customFormat="1">
      <c r="A44" s="315" t="str">
        <f t="shared" si="157"/>
        <v>2512신한라이프</v>
      </c>
      <c r="B44" s="315">
        <v>2512</v>
      </c>
      <c r="C44" s="315" t="s">
        <v>1034</v>
      </c>
      <c r="D44" s="316">
        <v>59448032</v>
      </c>
      <c r="E44" s="316">
        <v>13265276</v>
      </c>
      <c r="F44" s="316">
        <v>35288458</v>
      </c>
      <c r="G44" s="316">
        <v>3950344</v>
      </c>
      <c r="H44" s="316">
        <v>339581</v>
      </c>
      <c r="I44" s="317">
        <f t="shared" si="289"/>
        <v>0.22314070884634163</v>
      </c>
      <c r="J44" s="317">
        <f t="shared" si="290"/>
        <v>0.59360178651498507</v>
      </c>
      <c r="K44" s="317">
        <f t="shared" si="291"/>
        <v>6.6450374673462695E-2</v>
      </c>
      <c r="L44" s="316">
        <v>53208738</v>
      </c>
      <c r="M44" s="316">
        <v>47912623</v>
      </c>
      <c r="N44" s="308">
        <f t="shared" si="159"/>
        <v>6239294</v>
      </c>
      <c r="O44" s="308">
        <v>6239294</v>
      </c>
      <c r="P44" s="308"/>
      <c r="Q44" s="308">
        <v>-2128291</v>
      </c>
      <c r="R44" s="308">
        <v>6968397</v>
      </c>
      <c r="S44" s="308">
        <v>7062302</v>
      </c>
      <c r="T44" s="308">
        <f>+N40</f>
        <v>6762850</v>
      </c>
      <c r="U44" s="316">
        <v>53086900</v>
      </c>
      <c r="V44" s="316">
        <v>51175100</v>
      </c>
      <c r="W44" s="320">
        <v>0.96399999999999997</v>
      </c>
      <c r="X44" s="308">
        <v>-2128291</v>
      </c>
      <c r="Y44" s="308">
        <f>+-3238354+-5936</f>
        <v>-3244290</v>
      </c>
      <c r="Z44" s="308">
        <v>1497528</v>
      </c>
      <c r="AA44" s="308">
        <v>-141935</v>
      </c>
      <c r="AB44" s="308">
        <v>-209393</v>
      </c>
      <c r="AC44" s="308"/>
      <c r="AD44" s="308">
        <v>-30201</v>
      </c>
      <c r="AE44" s="308">
        <f t="shared" si="160"/>
        <v>0</v>
      </c>
      <c r="AF44" s="316">
        <v>704153</v>
      </c>
      <c r="AG44" s="316">
        <v>3236219</v>
      </c>
      <c r="AH44" s="316">
        <v>2433089</v>
      </c>
      <c r="AI44" s="316">
        <v>92533</v>
      </c>
      <c r="AJ44" s="316">
        <f>204421-2990559</f>
        <v>-2786138</v>
      </c>
      <c r="AK44" s="316">
        <f>68751-57872</f>
        <v>10879</v>
      </c>
      <c r="AL44" s="316">
        <f>+AI44-AJ44-AK44+AM44-AN44</f>
        <v>2989192</v>
      </c>
      <c r="AM44" s="316">
        <v>18342</v>
      </c>
      <c r="AN44" s="316">
        <f>9481+2771-115310</f>
        <v>-103058</v>
      </c>
      <c r="AO44" s="316">
        <v>796686</v>
      </c>
      <c r="AP44" s="316">
        <v>-148</v>
      </c>
      <c r="AQ44" s="308">
        <v>796538</v>
      </c>
      <c r="AR44" s="308">
        <v>515916</v>
      </c>
      <c r="AS44" s="316">
        <f t="shared" si="292"/>
        <v>0</v>
      </c>
      <c r="AT44" s="316">
        <f t="shared" si="278"/>
        <v>0</v>
      </c>
      <c r="AU44" s="316">
        <f t="shared" si="279"/>
        <v>0</v>
      </c>
      <c r="AV44" s="316">
        <f t="shared" si="280"/>
        <v>704153</v>
      </c>
      <c r="AW44" s="316">
        <f t="shared" si="281"/>
        <v>92533</v>
      </c>
      <c r="AX44" s="316">
        <f t="shared" si="282"/>
        <v>-148</v>
      </c>
      <c r="AY44" s="316">
        <f t="shared" si="283"/>
        <v>796538</v>
      </c>
      <c r="AZ44" s="316"/>
      <c r="BA44" s="316"/>
      <c r="BB44" s="317"/>
      <c r="BC44" s="316">
        <v>-1474328</v>
      </c>
      <c r="BD44" s="316">
        <v>-1477607</v>
      </c>
      <c r="BE44" s="316"/>
      <c r="BF44" s="316">
        <f>1278873+-153671</f>
        <v>1125202</v>
      </c>
      <c r="BG44" s="316">
        <v>-300075</v>
      </c>
      <c r="BH44" s="316"/>
      <c r="BI44" s="316">
        <v>-1483</v>
      </c>
      <c r="BJ44" s="316"/>
      <c r="BK44" s="316">
        <v>-2128291</v>
      </c>
      <c r="BL44" s="308">
        <f>+BK44-BC44-SUM(BD44:BJ44)</f>
        <v>0</v>
      </c>
      <c r="BM44" s="316">
        <v>6837420</v>
      </c>
      <c r="BN44" s="316">
        <v>-378307</v>
      </c>
      <c r="BO44" s="316"/>
      <c r="BP44" s="316">
        <v>515916</v>
      </c>
      <c r="BQ44" s="316"/>
      <c r="BR44" s="316">
        <v>-6632</v>
      </c>
      <c r="BS44" s="316">
        <v>6968397</v>
      </c>
      <c r="BT44" s="316">
        <f t="shared" si="284"/>
        <v>0</v>
      </c>
      <c r="BU44" s="308">
        <f>4939822+28507505+5512825</f>
        <v>38960152</v>
      </c>
      <c r="BV44" s="308">
        <f>19239+1300007+78339</f>
        <v>1397585</v>
      </c>
      <c r="BW44" s="308">
        <f>130866+7199650+223218</f>
        <v>7553734</v>
      </c>
      <c r="BX44" s="308">
        <f>1+1641786+4211</f>
        <v>1645998</v>
      </c>
      <c r="BY44" s="308">
        <f>12101+703064+20064</f>
        <v>735229</v>
      </c>
      <c r="BZ44" s="308">
        <f>20594-967991+100382</f>
        <v>-847015</v>
      </c>
      <c r="CA44" s="308">
        <f>3838+259247+2780</f>
        <v>265865</v>
      </c>
      <c r="CB44" s="308">
        <f>+CB43</f>
        <v>7224114</v>
      </c>
      <c r="CC44" s="316"/>
      <c r="CD44" s="316">
        <f t="shared" si="285"/>
        <v>-1</v>
      </c>
      <c r="CE44" s="316">
        <v>441523</v>
      </c>
      <c r="CF44" s="316">
        <f>387405+351168</f>
        <v>738573</v>
      </c>
      <c r="CG44" s="316">
        <f>321321+286391</f>
        <v>607712</v>
      </c>
      <c r="CH44" s="316">
        <f>259104+241487+228406+217248+207231</f>
        <v>1153476</v>
      </c>
      <c r="CI44" s="316">
        <f>927134+779213+650417+536269+1719419</f>
        <v>4612452</v>
      </c>
      <c r="CJ44" s="316">
        <v>7553736</v>
      </c>
      <c r="CK44" s="316">
        <f>CJ44-SUM(CE44:CI44)</f>
        <v>0</v>
      </c>
      <c r="CL44" s="316"/>
      <c r="CM44" s="316"/>
      <c r="CN44" s="317">
        <v>2.06</v>
      </c>
      <c r="CO44" s="316">
        <v>9876500</v>
      </c>
      <c r="CP44" s="316">
        <v>4793400</v>
      </c>
      <c r="CQ44" s="459">
        <v>2.06</v>
      </c>
      <c r="CR44" s="308">
        <v>9873800</v>
      </c>
      <c r="CS44" s="308">
        <v>4793500</v>
      </c>
      <c r="CT44" s="316"/>
      <c r="CU44" s="316">
        <v>4918355</v>
      </c>
      <c r="CV44" s="316"/>
      <c r="CW44" s="320">
        <v>0.93120000000000003</v>
      </c>
      <c r="CX44" s="320">
        <v>0.99390000000000001</v>
      </c>
      <c r="CY44" s="320">
        <v>-6.2700000000000006E-2</v>
      </c>
      <c r="CZ44" s="317">
        <f>+CX44/CW44</f>
        <v>1.067332474226804</v>
      </c>
      <c r="DA44" s="316"/>
      <c r="DB44" s="316"/>
      <c r="DC44" s="317"/>
      <c r="DD44" s="316"/>
      <c r="DE44" s="316"/>
      <c r="DF44" s="316"/>
      <c r="DG44" s="316"/>
      <c r="DH44" s="316"/>
      <c r="DI44" s="316"/>
      <c r="DJ44" s="316"/>
      <c r="DK44" s="316"/>
      <c r="DL44" s="316"/>
      <c r="DM44" s="316"/>
      <c r="DN44" s="316"/>
      <c r="DO44" s="316"/>
      <c r="DP44" s="316"/>
      <c r="DQ44" s="316"/>
      <c r="DR44" s="316"/>
      <c r="DS44" s="316"/>
      <c r="DT44" s="316"/>
      <c r="DU44" s="316"/>
      <c r="DV44" s="316"/>
      <c r="DW44" s="316"/>
      <c r="DX44" s="316"/>
      <c r="DY44" s="316"/>
      <c r="DZ44" s="316"/>
      <c r="EA44" s="316"/>
      <c r="EB44" s="316"/>
      <c r="EC44" s="316"/>
      <c r="ED44" s="316"/>
      <c r="EE44" s="316"/>
      <c r="EP44" s="316">
        <v>494068</v>
      </c>
      <c r="EQ44" s="316">
        <v>377457</v>
      </c>
      <c r="ER44" s="316">
        <v>-150236</v>
      </c>
      <c r="ES44" s="316">
        <v>-123488</v>
      </c>
      <c r="ET44" s="316">
        <f>296240-14436</f>
        <v>281804</v>
      </c>
      <c r="EU44" s="316">
        <f>SUM(EP44:ET44)</f>
        <v>879605</v>
      </c>
      <c r="EV44" s="316"/>
      <c r="EW44" s="316">
        <v>-472651</v>
      </c>
      <c r="EX44" s="316">
        <v>-380902</v>
      </c>
      <c r="EY44" s="316">
        <v>157884</v>
      </c>
      <c r="EZ44" s="316">
        <v>119033</v>
      </c>
      <c r="FA44" s="316">
        <v>-302970</v>
      </c>
      <c r="FB44" s="316">
        <v>32591</v>
      </c>
      <c r="FC44" s="452">
        <f>SUM(EW44:FB44)-BZ44</f>
        <v>0</v>
      </c>
    </row>
    <row r="45" spans="1:159" s="315" customFormat="1">
      <c r="A45" s="315" t="str">
        <f t="shared" si="157"/>
        <v/>
      </c>
      <c r="D45" s="316"/>
      <c r="E45" s="316"/>
      <c r="F45" s="316"/>
      <c r="G45" s="316"/>
      <c r="H45" s="316"/>
      <c r="I45" s="317"/>
      <c r="J45" s="317"/>
      <c r="K45" s="317"/>
      <c r="L45" s="316"/>
      <c r="M45" s="316"/>
      <c r="N45" s="308"/>
      <c r="O45" s="308"/>
      <c r="P45" s="308"/>
      <c r="Q45" s="308"/>
      <c r="R45" s="308"/>
      <c r="S45" s="308"/>
      <c r="T45" s="308"/>
      <c r="U45" s="316"/>
      <c r="V45" s="316"/>
      <c r="W45" s="320"/>
      <c r="X45" s="308"/>
      <c r="Y45" s="308"/>
      <c r="Z45" s="308"/>
      <c r="AA45" s="308"/>
      <c r="AB45" s="308"/>
      <c r="AC45" s="308"/>
      <c r="AD45" s="308"/>
      <c r="AE45" s="308"/>
      <c r="AF45" s="316"/>
      <c r="AG45" s="316"/>
      <c r="AH45" s="316"/>
      <c r="AI45" s="316"/>
      <c r="AJ45" s="316"/>
      <c r="AK45" s="316"/>
      <c r="AL45" s="316"/>
      <c r="AM45" s="316"/>
      <c r="AN45" s="316"/>
      <c r="AO45" s="316"/>
      <c r="AP45" s="316"/>
      <c r="AQ45" s="308"/>
      <c r="AR45" s="308"/>
      <c r="AS45" s="316"/>
      <c r="AT45" s="316"/>
      <c r="AU45" s="316"/>
      <c r="AV45" s="316"/>
      <c r="AW45" s="316"/>
      <c r="AX45" s="316"/>
      <c r="AY45" s="316"/>
      <c r="AZ45" s="316"/>
      <c r="BA45" s="316"/>
      <c r="BB45" s="317"/>
      <c r="BC45" s="316"/>
      <c r="BD45" s="316"/>
      <c r="BE45" s="316"/>
      <c r="BF45" s="316"/>
      <c r="BG45" s="316"/>
      <c r="BH45" s="316"/>
      <c r="BI45" s="316"/>
      <c r="BJ45" s="316"/>
      <c r="BK45" s="316"/>
      <c r="BL45" s="316"/>
      <c r="BM45" s="316"/>
      <c r="BN45" s="316"/>
      <c r="BO45" s="316"/>
      <c r="BP45" s="316"/>
      <c r="BQ45" s="316"/>
      <c r="BR45" s="316"/>
      <c r="BS45" s="316"/>
      <c r="BT45" s="316"/>
      <c r="BU45" s="308"/>
      <c r="BV45" s="308"/>
      <c r="BW45" s="308"/>
      <c r="BX45" s="308"/>
      <c r="BY45" s="308"/>
      <c r="BZ45" s="308"/>
      <c r="CA45" s="308"/>
      <c r="CB45" s="308"/>
      <c r="CC45" s="316"/>
      <c r="CD45" s="316"/>
      <c r="CE45" s="316"/>
      <c r="CF45" s="316"/>
      <c r="CG45" s="316"/>
      <c r="CH45" s="316"/>
      <c r="CI45" s="316"/>
      <c r="CJ45" s="316"/>
      <c r="CK45" s="316"/>
      <c r="CL45" s="316"/>
      <c r="CM45" s="316"/>
      <c r="CN45" s="317"/>
      <c r="CO45" s="316"/>
      <c r="CP45" s="316"/>
      <c r="CQ45" s="318"/>
      <c r="CR45" s="319"/>
      <c r="CS45" s="319"/>
      <c r="CT45" s="316"/>
      <c r="CU45" s="316"/>
      <c r="CV45" s="316"/>
      <c r="CW45" s="320"/>
      <c r="CX45" s="320"/>
      <c r="CY45" s="320"/>
      <c r="CZ45" s="317"/>
      <c r="DA45" s="316"/>
      <c r="DB45" s="316"/>
      <c r="DC45" s="317"/>
      <c r="DD45" s="316"/>
      <c r="DE45" s="316"/>
      <c r="DF45" s="316"/>
      <c r="DG45" s="316"/>
      <c r="DH45" s="316"/>
      <c r="DI45" s="316"/>
      <c r="DJ45" s="316"/>
      <c r="DK45" s="316"/>
      <c r="DL45" s="316"/>
      <c r="DM45" s="316"/>
      <c r="DN45" s="316"/>
      <c r="DO45" s="316"/>
      <c r="DP45" s="316"/>
      <c r="DQ45" s="316"/>
      <c r="DR45" s="316"/>
      <c r="DS45" s="316"/>
      <c r="DT45" s="316"/>
      <c r="DU45" s="316"/>
      <c r="DV45" s="316"/>
      <c r="DW45" s="316"/>
      <c r="DX45" s="316"/>
      <c r="DY45" s="316"/>
      <c r="DZ45" s="316"/>
      <c r="EA45" s="316"/>
      <c r="EB45" s="316"/>
      <c r="EC45" s="316"/>
      <c r="ED45" s="316"/>
      <c r="EE45" s="316"/>
      <c r="EP45" s="316"/>
      <c r="EQ45" s="316"/>
      <c r="ER45" s="316"/>
      <c r="ES45" s="316"/>
      <c r="ET45" s="316"/>
      <c r="EU45" s="316"/>
      <c r="EV45" s="316"/>
      <c r="EW45" s="316"/>
      <c r="EX45" s="316"/>
      <c r="EY45" s="316"/>
      <c r="EZ45" s="316"/>
      <c r="FA45" s="316"/>
      <c r="FB45" s="316"/>
      <c r="FC45" s="316"/>
    </row>
    <row r="46" spans="1:159" s="301" customFormat="1">
      <c r="A46" s="301" t="str">
        <f t="shared" si="157"/>
        <v>2212동양</v>
      </c>
      <c r="B46" s="301">
        <v>2212</v>
      </c>
      <c r="C46" s="301" t="s">
        <v>1035</v>
      </c>
      <c r="D46" s="2"/>
      <c r="E46" s="2"/>
      <c r="F46" s="2"/>
      <c r="G46" s="2"/>
      <c r="H46" s="2"/>
      <c r="I46" s="302"/>
      <c r="J46" s="302"/>
      <c r="K46" s="302"/>
      <c r="L46" s="2"/>
      <c r="M46" s="2"/>
      <c r="N46" s="4">
        <f t="shared" si="159"/>
        <v>2670630.4572409997</v>
      </c>
      <c r="O46" s="4">
        <v>3015202.5158289997</v>
      </c>
      <c r="P46" s="4">
        <v>344572.05858799996</v>
      </c>
      <c r="Q46" s="4">
        <v>364171.24149500002</v>
      </c>
      <c r="R46" s="4">
        <v>1096791.902187</v>
      </c>
      <c r="S46" s="4"/>
      <c r="T46" s="4"/>
      <c r="U46" s="327"/>
      <c r="V46" s="327"/>
      <c r="W46" s="327"/>
      <c r="X46" s="4"/>
      <c r="Y46" s="4"/>
      <c r="Z46" s="4"/>
      <c r="AA46" s="4"/>
      <c r="AB46" s="4"/>
      <c r="AC46" s="4"/>
      <c r="AD46" s="4"/>
      <c r="AE46" s="4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4"/>
      <c r="AR46" s="4"/>
      <c r="AS46" s="4"/>
      <c r="AT46" s="4"/>
      <c r="AU46" s="4"/>
      <c r="AV46" s="4"/>
      <c r="AW46" s="4"/>
      <c r="AX46" s="4"/>
      <c r="AY46" s="4"/>
      <c r="AZ46" s="2"/>
      <c r="BA46" s="2"/>
      <c r="BB46" s="302"/>
      <c r="BC46" s="2"/>
      <c r="BD46" s="2"/>
      <c r="BE46" s="2"/>
      <c r="BF46" s="2"/>
      <c r="BG46" s="2"/>
      <c r="BH46" s="2"/>
      <c r="BI46" s="2"/>
      <c r="BJ46" s="2"/>
      <c r="BK46" s="2"/>
      <c r="BL46" s="4"/>
      <c r="BM46" s="2"/>
      <c r="BN46" s="2"/>
      <c r="BO46" s="2"/>
      <c r="BP46" s="2"/>
      <c r="BQ46" s="2"/>
      <c r="BR46" s="2"/>
      <c r="BS46" s="2"/>
      <c r="BT46" s="4">
        <v>1292477.232511</v>
      </c>
      <c r="BU46" s="4">
        <v>23421169</v>
      </c>
      <c r="BV46" s="4">
        <v>444972</v>
      </c>
      <c r="BW46" s="4">
        <v>2374228</v>
      </c>
      <c r="BX46" s="4"/>
      <c r="BY46" s="4"/>
      <c r="BZ46" s="4"/>
      <c r="CA46" s="4"/>
      <c r="CB46" s="4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302"/>
      <c r="CO46" s="2"/>
      <c r="CP46" s="2"/>
      <c r="CQ46" s="303"/>
      <c r="CR46" s="304"/>
      <c r="CS46" s="304"/>
      <c r="CT46" s="2"/>
      <c r="CU46" s="2"/>
      <c r="CV46" s="2"/>
      <c r="CW46" s="2"/>
      <c r="CX46" s="2"/>
      <c r="CY46" s="2"/>
      <c r="CZ46" s="2"/>
      <c r="DA46" s="2"/>
      <c r="DB46" s="2"/>
      <c r="DC46" s="30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</row>
    <row r="47" spans="1:159" s="301" customFormat="1">
      <c r="A47" s="301" t="str">
        <f t="shared" si="157"/>
        <v>2312동양</v>
      </c>
      <c r="B47" s="301">
        <v>2312</v>
      </c>
      <c r="C47" s="301" t="s">
        <v>5</v>
      </c>
      <c r="D47" s="2">
        <v>32895665.240515001</v>
      </c>
      <c r="E47" s="2">
        <v>5401652.9200250003</v>
      </c>
      <c r="F47" s="2">
        <v>18570667.309792001</v>
      </c>
      <c r="G47" s="2">
        <v>7203997.0898179999</v>
      </c>
      <c r="H47" s="2">
        <v>161104.41538799999</v>
      </c>
      <c r="I47" s="302">
        <f t="shared" ref="I47:K48" si="293">+E47/$D47</f>
        <v>0.16420561434253075</v>
      </c>
      <c r="J47" s="302">
        <f t="shared" si="293"/>
        <v>0.56453235324513129</v>
      </c>
      <c r="K47" s="302">
        <f t="shared" si="293"/>
        <v>0.21899533075699604</v>
      </c>
      <c r="L47" s="2">
        <v>29943918.422754001</v>
      </c>
      <c r="M47" s="2">
        <v>26417000.323931001</v>
      </c>
      <c r="N47" s="4">
        <f t="shared" si="159"/>
        <v>2607179.4570139996</v>
      </c>
      <c r="O47" s="4">
        <v>2951746.8177609998</v>
      </c>
      <c r="P47" s="4">
        <v>344567.36074700003</v>
      </c>
      <c r="Q47" s="4">
        <v>56405.467597000003</v>
      </c>
      <c r="R47" s="4">
        <v>1340967.3326079999</v>
      </c>
      <c r="S47" s="4">
        <v>3015202.5158290002</v>
      </c>
      <c r="T47" s="308">
        <f t="shared" ref="T47:T49" si="294">N46</f>
        <v>2670630.4572409997</v>
      </c>
      <c r="U47" s="327">
        <v>31720164</v>
      </c>
      <c r="V47" s="327">
        <v>31152844</v>
      </c>
      <c r="W47" s="328">
        <v>0.98199999999999998</v>
      </c>
      <c r="X47" s="4">
        <v>56406</v>
      </c>
      <c r="Y47" s="4">
        <f>-1256539+3302</f>
        <v>-1253237</v>
      </c>
      <c r="Z47" s="4">
        <v>1309152</v>
      </c>
      <c r="AA47" s="4">
        <v>-22747</v>
      </c>
      <c r="AB47" s="4">
        <v>19317</v>
      </c>
      <c r="AC47" s="4">
        <v>15594</v>
      </c>
      <c r="AD47" s="4">
        <v>-11673</v>
      </c>
      <c r="AE47" s="4">
        <f t="shared" si="160"/>
        <v>0</v>
      </c>
      <c r="AF47" s="2">
        <v>234128.26221099999</v>
      </c>
      <c r="AG47" s="2">
        <v>1131389.699633</v>
      </c>
      <c r="AH47" s="2">
        <v>897261.43742199999</v>
      </c>
      <c r="AI47" s="2">
        <v>84954.043342999998</v>
      </c>
      <c r="AJ47" s="2">
        <f>647.468881-1105915.137106</f>
        <v>-1105267.6682249999</v>
      </c>
      <c r="AK47" s="2">
        <v>315.44184000000001</v>
      </c>
      <c r="AL47" s="2">
        <f>+AI47-AJ47-AK47+AM47-AN47</f>
        <v>1032722.9125849998</v>
      </c>
      <c r="AM47" s="2">
        <v>4496.0610640000004</v>
      </c>
      <c r="AN47" s="2">
        <f>14666.871697+169880.403739-22867.857229</f>
        <v>161679.41820700001</v>
      </c>
      <c r="AO47" s="2">
        <v>319082.30555400002</v>
      </c>
      <c r="AP47" s="2">
        <f>14517.822297-843.122324</f>
        <v>13674.699973000001</v>
      </c>
      <c r="AQ47" s="4">
        <v>332757.005527</v>
      </c>
      <c r="AR47" s="4">
        <v>264926.92659799999</v>
      </c>
      <c r="AS47" s="4">
        <f>+AO47+AP47-AQ47</f>
        <v>0</v>
      </c>
      <c r="AT47" s="4">
        <f t="shared" ref="AT47:AT52" si="295">+AJ47+AK47+AL47-AM47+AN47-AI47</f>
        <v>0</v>
      </c>
      <c r="AU47" s="4">
        <f t="shared" ref="AU47:AU52" si="296">+AF47+AI47-AO47</f>
        <v>0</v>
      </c>
      <c r="AV47" s="4">
        <f>+AF47</f>
        <v>234128.26221099999</v>
      </c>
      <c r="AW47" s="4">
        <f>+AI47</f>
        <v>84954.043342999998</v>
      </c>
      <c r="AX47" s="4">
        <f>+AP47</f>
        <v>13674.699973000001</v>
      </c>
      <c r="AY47" s="4">
        <f>+SUM(AV47:AX47)</f>
        <v>332757.00552699994</v>
      </c>
      <c r="AZ47" s="2"/>
      <c r="BA47" s="2"/>
      <c r="BB47" s="302">
        <f t="shared" si="155"/>
        <v>-4.331478939193064E-2</v>
      </c>
      <c r="BC47" s="2">
        <v>364171.24149500002</v>
      </c>
      <c r="BD47" s="2">
        <f>769899.834859+22717.920717</f>
        <v>792617.75557600008</v>
      </c>
      <c r="BE47" s="2"/>
      <c r="BF47" s="2">
        <f>-1121304.812252-22942.109059</f>
        <v>-1144246.9213109999</v>
      </c>
      <c r="BG47" s="2">
        <v>51027.058227000001</v>
      </c>
      <c r="BH47" s="2">
        <v>9.2250000000000006E-3</v>
      </c>
      <c r="BI47" s="2">
        <v>-7163.6756150000001</v>
      </c>
      <c r="BJ47" s="2"/>
      <c r="BK47" s="2">
        <v>56405.467597000003</v>
      </c>
      <c r="BL47" s="4">
        <f>+BK47-BC47-SUM(BD47:BJ47)</f>
        <v>0</v>
      </c>
      <c r="BM47" s="2">
        <v>1096791.902187</v>
      </c>
      <c r="BN47" s="2"/>
      <c r="BO47" s="2"/>
      <c r="BP47" s="2">
        <v>264926.92659799999</v>
      </c>
      <c r="BQ47" s="2"/>
      <c r="BR47" s="2">
        <v>-20751.496177000001</v>
      </c>
      <c r="BS47" s="2">
        <v>1340967.3326079999</v>
      </c>
      <c r="BT47" s="4">
        <f t="shared" si="284"/>
        <v>0</v>
      </c>
      <c r="BU47" s="4">
        <v>23437807</v>
      </c>
      <c r="BV47" s="4">
        <v>437393</v>
      </c>
      <c r="BW47" s="4">
        <v>2541803</v>
      </c>
      <c r="BX47" s="4">
        <v>760162</v>
      </c>
      <c r="BY47" s="4">
        <v>257715</v>
      </c>
      <c r="BZ47" s="4">
        <v>-405781</v>
      </c>
      <c r="CA47" s="4">
        <v>70909</v>
      </c>
      <c r="CB47" s="4">
        <v>2374228</v>
      </c>
      <c r="CC47" s="2"/>
      <c r="CD47" s="2">
        <f t="shared" ref="CD47:CD52" si="297">CB47+BX47-BY47+BZ47+CA47-BW47</f>
        <v>0</v>
      </c>
      <c r="CE47" s="2">
        <v>132882</v>
      </c>
      <c r="CF47" s="2">
        <f>118867+105024</f>
        <v>223891</v>
      </c>
      <c r="CG47" s="2">
        <f>93494+84653</f>
        <v>178147</v>
      </c>
      <c r="CH47" s="2">
        <f>78434+72948+67780+64363+61419</f>
        <v>344944</v>
      </c>
      <c r="CI47" s="2">
        <f>273737+243359+221435+197289+726118</f>
        <v>1661938</v>
      </c>
      <c r="CJ47" s="2">
        <v>2541802</v>
      </c>
      <c r="CK47" s="2">
        <v>-1</v>
      </c>
      <c r="CL47" s="2"/>
      <c r="CM47" s="2"/>
      <c r="CN47" s="302">
        <v>1.919</v>
      </c>
      <c r="CO47" s="2">
        <v>4214682</v>
      </c>
      <c r="CP47" s="2">
        <v>2195906</v>
      </c>
      <c r="CQ47" s="303">
        <v>1.9339999999999999</v>
      </c>
      <c r="CR47" s="304">
        <v>4189755</v>
      </c>
      <c r="CS47" s="304">
        <v>2166822</v>
      </c>
      <c r="CT47" s="2" t="s">
        <v>101</v>
      </c>
      <c r="CU47" s="2">
        <v>640201</v>
      </c>
      <c r="CV47" s="2"/>
      <c r="CW47" s="2"/>
      <c r="CX47" s="2"/>
      <c r="CY47" s="2"/>
      <c r="CZ47" s="2"/>
      <c r="DA47" s="2"/>
      <c r="DB47" s="2"/>
      <c r="DC47" s="302">
        <f t="shared" ref="DC47:DC52" si="298">+DE47/DD47</f>
        <v>0.82924197944046418</v>
      </c>
      <c r="DD47" s="2">
        <v>570770.66976199951</v>
      </c>
      <c r="DE47" s="2">
        <v>473307</v>
      </c>
      <c r="DF47" s="2"/>
      <c r="DG47" s="2">
        <v>11133.641797999997</v>
      </c>
      <c r="DH47" s="2">
        <v>11315.384760999994</v>
      </c>
      <c r="DI47" s="2">
        <v>524176.153231</v>
      </c>
      <c r="DJ47" s="2">
        <v>512860.76847000001</v>
      </c>
      <c r="DK47" s="2">
        <v>-181.74296299999696</v>
      </c>
      <c r="DL47" s="2">
        <v>179602.90272899999</v>
      </c>
      <c r="DM47" s="2">
        <f>180909.002588-1124.356896</f>
        <v>179784.64569199999</v>
      </c>
      <c r="DN47" s="2"/>
      <c r="DO47" s="2"/>
      <c r="DP47" s="2"/>
      <c r="DQ47" s="2">
        <v>-1124.356896</v>
      </c>
      <c r="DR47" s="2" t="s">
        <v>81</v>
      </c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</row>
    <row r="48" spans="1:159" s="301" customFormat="1">
      <c r="A48" s="301" t="str">
        <f t="shared" si="157"/>
        <v>2412동양</v>
      </c>
      <c r="B48" s="301">
        <v>2412</v>
      </c>
      <c r="C48" s="301" t="s">
        <v>5</v>
      </c>
      <c r="D48" s="450">
        <v>34576849</v>
      </c>
      <c r="E48" s="2">
        <v>5857335.6210930003</v>
      </c>
      <c r="F48" s="2">
        <v>20037393.225611001</v>
      </c>
      <c r="G48" s="2">
        <v>7063305.2289620005</v>
      </c>
      <c r="H48" s="2">
        <v>121642.754136</v>
      </c>
      <c r="I48" s="302">
        <f t="shared" si="293"/>
        <v>0.16940050324114267</v>
      </c>
      <c r="J48" s="302">
        <f t="shared" si="293"/>
        <v>0.5795031590533597</v>
      </c>
      <c r="K48" s="302">
        <f t="shared" si="293"/>
        <v>0.20427845316275062</v>
      </c>
      <c r="L48" s="450">
        <v>32563891</v>
      </c>
      <c r="M48" s="2">
        <v>28221455.749061</v>
      </c>
      <c r="N48" s="4">
        <f t="shared" si="159"/>
        <v>1668390.639253</v>
      </c>
      <c r="O48" s="450">
        <v>2012958</v>
      </c>
      <c r="P48" s="4">
        <v>344567.36074700003</v>
      </c>
      <c r="Q48" s="450">
        <v>-1103320</v>
      </c>
      <c r="R48" s="4">
        <v>1561498.2376949999</v>
      </c>
      <c r="S48" s="4">
        <v>2951746.8177609998</v>
      </c>
      <c r="T48" s="308">
        <f t="shared" si="294"/>
        <v>2607179.4570139996</v>
      </c>
      <c r="U48" s="327">
        <v>33398431</v>
      </c>
      <c r="V48" s="327">
        <v>32314193</v>
      </c>
      <c r="W48" s="328">
        <v>0.96799999999999997</v>
      </c>
      <c r="X48" s="4">
        <v>-1105738</v>
      </c>
      <c r="Y48" s="4">
        <f>-1064154+4845</f>
        <v>-1059309</v>
      </c>
      <c r="Z48" s="4">
        <v>-133478</v>
      </c>
      <c r="AA48" s="4">
        <v>10551</v>
      </c>
      <c r="AB48" s="4">
        <v>82084</v>
      </c>
      <c r="AC48" s="4">
        <v>15602</v>
      </c>
      <c r="AD48" s="4">
        <v>-21188</v>
      </c>
      <c r="AE48" s="4">
        <f t="shared" si="160"/>
        <v>0</v>
      </c>
      <c r="AF48" s="2">
        <v>274408.16082599998</v>
      </c>
      <c r="AG48" s="2">
        <v>1233613.962236</v>
      </c>
      <c r="AH48" s="2">
        <v>959205.80140999996</v>
      </c>
      <c r="AI48" s="2">
        <v>104644.860142</v>
      </c>
      <c r="AJ48" s="2">
        <f>514.922806-954222.661894</f>
        <v>-953707.73908800003</v>
      </c>
      <c r="AK48" s="2">
        <v>7142.6405960000002</v>
      </c>
      <c r="AL48" s="2">
        <f>+AI48-AJ48-AK48+AM48-AN48</f>
        <v>912812.57473600004</v>
      </c>
      <c r="AM48" s="2">
        <v>4454.7663949999996</v>
      </c>
      <c r="AN48" s="2">
        <f>16701.74472+149150.490995-23000.085422</f>
        <v>142852.15029299998</v>
      </c>
      <c r="AO48" s="2">
        <v>379053.020968</v>
      </c>
      <c r="AP48" s="2">
        <f>29158.761779-26238.820112</f>
        <v>2919.9416669999991</v>
      </c>
      <c r="AQ48" s="4">
        <v>381972.962635</v>
      </c>
      <c r="AR48" s="4">
        <v>310158.02989800001</v>
      </c>
      <c r="AS48" s="4">
        <f>+AO48+AP48-AQ48</f>
        <v>0</v>
      </c>
      <c r="AT48" s="4">
        <f t="shared" si="295"/>
        <v>0</v>
      </c>
      <c r="AU48" s="4">
        <f t="shared" si="296"/>
        <v>0</v>
      </c>
      <c r="AV48" s="4">
        <f>+AF48</f>
        <v>274408.16082599998</v>
      </c>
      <c r="AW48" s="4">
        <f>+AI48</f>
        <v>104644.860142</v>
      </c>
      <c r="AX48" s="4">
        <f>+AP48</f>
        <v>2919.9416669999991</v>
      </c>
      <c r="AY48" s="4">
        <f>+SUM(AV48:AX48)</f>
        <v>381972.962635</v>
      </c>
      <c r="AZ48" s="2"/>
      <c r="BA48" s="2"/>
      <c r="BB48" s="302">
        <f t="shared" si="155"/>
        <v>-4.9938360686576928E-2</v>
      </c>
      <c r="BC48" s="450">
        <v>55115</v>
      </c>
      <c r="BD48" s="450">
        <f>178336+19261</f>
        <v>197597</v>
      </c>
      <c r="BE48" s="2"/>
      <c r="BF48" s="2">
        <f>-1442630.160241+33296.961351</f>
        <v>-1409333.1988899999</v>
      </c>
      <c r="BG48" s="2">
        <v>62766.693834999998</v>
      </c>
      <c r="BH48" s="450">
        <v>0</v>
      </c>
      <c r="BI48" s="450">
        <v>-9513</v>
      </c>
      <c r="BJ48" s="4">
        <v>46.934072999999998</v>
      </c>
      <c r="BK48" s="450">
        <v>-1103320</v>
      </c>
      <c r="BL48" s="4">
        <f>+BK48-BC48-SUM(BD48:BJ48)</f>
        <v>0.57098199985921383</v>
      </c>
      <c r="BM48" s="2">
        <v>1340967.3326079999</v>
      </c>
      <c r="BN48" s="2">
        <v>-62378.105199999998</v>
      </c>
      <c r="BO48" s="2"/>
      <c r="BP48" s="2">
        <v>310158.02989800001</v>
      </c>
      <c r="BQ48" s="2">
        <f>-6176.066825-46.934073</f>
        <v>-6223.0008980000002</v>
      </c>
      <c r="BR48" s="2">
        <f>-21026.018713</f>
        <v>-21026.018713000001</v>
      </c>
      <c r="BS48" s="2">
        <v>1561498.2376949999</v>
      </c>
      <c r="BT48" s="4">
        <f t="shared" si="284"/>
        <v>0</v>
      </c>
      <c r="BU48" s="4">
        <v>25078965</v>
      </c>
      <c r="BV48" s="4">
        <v>471402</v>
      </c>
      <c r="BW48" s="4">
        <v>2671088</v>
      </c>
      <c r="BX48" s="4">
        <v>731976</v>
      </c>
      <c r="BY48" s="4">
        <v>259987</v>
      </c>
      <c r="BZ48" s="4">
        <v>-456139</v>
      </c>
      <c r="CA48" s="4">
        <v>113437</v>
      </c>
      <c r="CB48" s="4">
        <v>2541801</v>
      </c>
      <c r="CC48" s="717">
        <f>+BU48/BU47</f>
        <v>1.0700218241407995</v>
      </c>
      <c r="CD48" s="2">
        <f t="shared" si="297"/>
        <v>0</v>
      </c>
      <c r="CE48" s="2">
        <v>159538</v>
      </c>
      <c r="CF48" s="2">
        <f>124376+109301</f>
        <v>233677</v>
      </c>
      <c r="CG48" s="2">
        <f>98918+91759</f>
        <v>190677</v>
      </c>
      <c r="CH48" s="2">
        <f>85263+79112+74829+71257+66964</f>
        <v>377425</v>
      </c>
      <c r="CI48" s="2">
        <f>297191+262256+236898+204722+728705</f>
        <v>1729772</v>
      </c>
      <c r="CJ48" s="2">
        <v>2671089</v>
      </c>
      <c r="CK48" s="2">
        <v>-1</v>
      </c>
      <c r="CL48" s="2"/>
      <c r="CM48" s="2"/>
      <c r="CN48" s="302"/>
      <c r="CO48" s="2"/>
      <c r="CP48" s="2"/>
      <c r="CQ48" s="303">
        <v>1.5549999999999999</v>
      </c>
      <c r="CR48" s="304">
        <v>3875304</v>
      </c>
      <c r="CS48" s="304">
        <v>2491824</v>
      </c>
      <c r="CT48" s="2"/>
      <c r="CU48" s="2">
        <v>918835</v>
      </c>
      <c r="CV48" s="2"/>
      <c r="CW48" s="312">
        <v>0.85299999999999998</v>
      </c>
      <c r="CX48" s="312">
        <v>0.86699999999999999</v>
      </c>
      <c r="CY48" s="312">
        <v>-1.4E-2</v>
      </c>
      <c r="CZ48" s="302">
        <f>+CX48/CW48</f>
        <v>1.0164126611957796</v>
      </c>
      <c r="DA48" s="2"/>
      <c r="DB48" s="2"/>
      <c r="DC48" s="302">
        <f t="shared" si="298"/>
        <v>0.8338039745111081</v>
      </c>
      <c r="DD48" s="2">
        <v>605911</v>
      </c>
      <c r="DE48" s="2">
        <v>505211</v>
      </c>
      <c r="DF48" s="2"/>
      <c r="DG48" s="2">
        <f>+DH48+DK48</f>
        <v>16816.516200999991</v>
      </c>
      <c r="DH48" s="2">
        <f>+DI48-DJ48</f>
        <v>-4948.584606999997</v>
      </c>
      <c r="DI48" s="2">
        <v>563420.05269899999</v>
      </c>
      <c r="DJ48" s="2">
        <f>545943.617115+22425.020191</f>
        <v>568368.63730599999</v>
      </c>
      <c r="DK48" s="2">
        <f>+DL48-DM48</f>
        <v>21765.100807999988</v>
      </c>
      <c r="DL48" s="2">
        <v>196650.798281</v>
      </c>
      <c r="DM48" s="2">
        <f>193435.983615-18550.286142</f>
        <v>174885.69747300001</v>
      </c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P48" s="2">
        <v>614976</v>
      </c>
      <c r="EQ48" s="2">
        <v>-271515</v>
      </c>
      <c r="ER48" s="2">
        <v>23981</v>
      </c>
      <c r="ES48" s="2">
        <v>54278</v>
      </c>
      <c r="ET48" s="2">
        <f>211494-3829</f>
        <v>207665</v>
      </c>
      <c r="EU48" s="2"/>
      <c r="EV48" s="2"/>
      <c r="EW48" s="2">
        <v>-614976</v>
      </c>
      <c r="EX48" s="2">
        <v>271515</v>
      </c>
      <c r="EY48" s="2">
        <v>23981</v>
      </c>
      <c r="EZ48" s="2">
        <v>54278</v>
      </c>
      <c r="FA48" s="2">
        <v>-195166</v>
      </c>
      <c r="FB48" s="2">
        <v>4228</v>
      </c>
      <c r="FC48" s="452">
        <f>SUM(EW48:FB48)-BZ48</f>
        <v>-1</v>
      </c>
    </row>
    <row r="49" spans="1:160" s="301" customFormat="1">
      <c r="A49" s="301" t="str">
        <f t="shared" si="157"/>
        <v>2503동양</v>
      </c>
      <c r="B49" s="301">
        <v>2503</v>
      </c>
      <c r="C49" s="301" t="s">
        <v>1111</v>
      </c>
      <c r="D49" s="2">
        <v>35191700.89598</v>
      </c>
      <c r="E49" s="2">
        <v>5927777.7227469999</v>
      </c>
      <c r="F49" s="2">
        <v>20858794.351852</v>
      </c>
      <c r="G49" s="2">
        <v>6559862.1061220001</v>
      </c>
      <c r="H49" s="2">
        <v>115233.888909</v>
      </c>
      <c r="I49" s="302">
        <f t="shared" ref="I49" si="299">+E49/$D49</f>
        <v>0.16844248990034291</v>
      </c>
      <c r="J49" s="302">
        <f t="shared" ref="J49" si="300">+F49/$D49</f>
        <v>0.59271913038550317</v>
      </c>
      <c r="K49" s="302">
        <f t="shared" ref="K49" si="301">+G49/$D49</f>
        <v>0.18640366731666963</v>
      </c>
      <c r="L49" s="2">
        <v>33666177.100011997</v>
      </c>
      <c r="M49" s="2">
        <v>29330677.006866999</v>
      </c>
      <c r="N49" s="4">
        <f t="shared" si="159"/>
        <v>1180956.435239</v>
      </c>
      <c r="O49" s="4">
        <v>1525523.795986</v>
      </c>
      <c r="P49" s="4">
        <v>344567.36074700003</v>
      </c>
      <c r="Q49" s="4">
        <v>-1626743.8367389999</v>
      </c>
      <c r="R49" s="4">
        <v>1596767.5307730001</v>
      </c>
      <c r="S49" s="4">
        <v>2010539.027552</v>
      </c>
      <c r="T49" s="308">
        <f t="shared" si="294"/>
        <v>1668390.639253</v>
      </c>
      <c r="U49" s="327">
        <v>34100683</v>
      </c>
      <c r="V49" s="327">
        <v>32635579</v>
      </c>
      <c r="W49" s="328">
        <v>0.95699999999999996</v>
      </c>
      <c r="X49" s="4">
        <v>-1626744</v>
      </c>
      <c r="Y49" s="4">
        <f>-886297+4585</f>
        <v>-881712</v>
      </c>
      <c r="Z49" s="4">
        <v>-882337</v>
      </c>
      <c r="AA49" s="4">
        <v>21677</v>
      </c>
      <c r="AB49" s="4">
        <v>123435</v>
      </c>
      <c r="AC49" s="4">
        <v>15612</v>
      </c>
      <c r="AD49" s="4">
        <v>-23419</v>
      </c>
      <c r="AE49" s="4">
        <f t="shared" si="160"/>
        <v>0</v>
      </c>
      <c r="AF49" s="2">
        <v>4071.0674250000002</v>
      </c>
      <c r="AG49" s="2">
        <v>319287.70390099997</v>
      </c>
      <c r="AH49" s="2">
        <v>315216.63647600001</v>
      </c>
      <c r="AI49" s="2">
        <v>55389.596159000001</v>
      </c>
      <c r="AJ49" s="2">
        <f>95712.605-270650.346963</f>
        <v>-174937.74196300004</v>
      </c>
      <c r="AK49" s="2">
        <v>3628.6551639999998</v>
      </c>
      <c r="AL49" s="2">
        <f>+AI49-AJ49-AK49+AM49-AN49</f>
        <v>195868.65845900006</v>
      </c>
      <c r="AM49" s="2">
        <v>869.92996300000004</v>
      </c>
      <c r="AN49" s="2">
        <f>35759.45624-4059.501778</f>
        <v>31699.954462000002</v>
      </c>
      <c r="AO49" s="2">
        <v>59460.663584000002</v>
      </c>
      <c r="AP49" s="2">
        <f>222.937234-5249.782997</f>
        <v>-5026.8457630000003</v>
      </c>
      <c r="AQ49" s="4">
        <v>54433.817820999997</v>
      </c>
      <c r="AR49" s="4">
        <v>46739.826589999997</v>
      </c>
      <c r="AS49" s="4">
        <f>+AO49+AP49-AQ49</f>
        <v>0</v>
      </c>
      <c r="AT49" s="4">
        <f t="shared" si="295"/>
        <v>0</v>
      </c>
      <c r="AU49" s="4">
        <f t="shared" si="296"/>
        <v>0</v>
      </c>
      <c r="AV49" s="4">
        <f>+AF49</f>
        <v>4071.0674250000002</v>
      </c>
      <c r="AW49" s="4">
        <f>+AI49</f>
        <v>55389.596159000001</v>
      </c>
      <c r="AX49" s="4">
        <f>+AP49</f>
        <v>-5026.8457630000003</v>
      </c>
      <c r="AY49" s="4">
        <f>+SUM(AV49:AX49)</f>
        <v>54433.817821000004</v>
      </c>
      <c r="AZ49" s="2"/>
      <c r="BA49" s="2"/>
      <c r="BB49" s="302"/>
      <c r="BC49" s="2">
        <v>-1105739.275686</v>
      </c>
      <c r="BD49" s="2">
        <f>174740.859051+2856.877887</f>
        <v>177597.73693800002</v>
      </c>
      <c r="BE49" s="2"/>
      <c r="BF49" s="2">
        <f>-748859.145437+11127.2174</f>
        <v>-737731.92803700001</v>
      </c>
      <c r="BG49" s="2">
        <v>41351.162062000003</v>
      </c>
      <c r="BH49" s="2">
        <v>9.5732119999999998</v>
      </c>
      <c r="BI49" s="2">
        <v>-2231.1052279999999</v>
      </c>
      <c r="BJ49" s="2"/>
      <c r="BK49" s="2">
        <v>-1626743.8367389999</v>
      </c>
      <c r="BL49" s="4">
        <f>+BK49-BC49-SUM(BD49:BJ49)</f>
        <v>0</v>
      </c>
      <c r="BM49" s="2">
        <v>1561498.2376949999</v>
      </c>
      <c r="BN49" s="2"/>
      <c r="BO49" s="2"/>
      <c r="BP49" s="2">
        <v>46739.826589999997</v>
      </c>
      <c r="BQ49" s="2"/>
      <c r="BR49" s="2">
        <v>-11470.533512</v>
      </c>
      <c r="BS49" s="2">
        <v>1596767.5307730001</v>
      </c>
      <c r="BT49" s="4">
        <f t="shared" si="284"/>
        <v>0</v>
      </c>
      <c r="BU49" s="4">
        <v>26191211</v>
      </c>
      <c r="BV49" s="4">
        <v>478289</v>
      </c>
      <c r="BW49" s="4">
        <v>2661177</v>
      </c>
      <c r="BX49" s="4">
        <v>190381</v>
      </c>
      <c r="BY49" s="4">
        <v>62318</v>
      </c>
      <c r="BZ49" s="4">
        <v>-165780</v>
      </c>
      <c r="CA49" s="4">
        <v>27805</v>
      </c>
      <c r="CB49" s="4">
        <v>2671089</v>
      </c>
      <c r="CC49" s="2"/>
      <c r="CD49" s="2">
        <f t="shared" si="297"/>
        <v>0</v>
      </c>
      <c r="CE49" s="2"/>
      <c r="CF49" s="2"/>
      <c r="CG49" s="2"/>
      <c r="CH49" s="2"/>
      <c r="CI49" s="2"/>
      <c r="CJ49" s="2"/>
      <c r="CK49" s="2"/>
      <c r="CL49" s="2"/>
      <c r="CM49" s="2"/>
      <c r="CN49" s="302"/>
      <c r="CO49" s="2"/>
      <c r="CP49" s="2"/>
      <c r="CQ49" s="303">
        <v>1.272</v>
      </c>
      <c r="CR49" s="304">
        <v>3386157</v>
      </c>
      <c r="CS49" s="304">
        <v>2662845</v>
      </c>
      <c r="CT49" s="2"/>
      <c r="CU49" s="2">
        <v>957628</v>
      </c>
      <c r="CV49" s="2"/>
      <c r="CW49" s="312"/>
      <c r="CX49" s="312"/>
      <c r="CY49" s="312"/>
      <c r="CZ49" s="302"/>
      <c r="DA49" s="2"/>
      <c r="DB49" s="2"/>
      <c r="DC49" s="302">
        <f t="shared" si="298"/>
        <v>0.92045492468920231</v>
      </c>
      <c r="DD49" s="2">
        <v>155968.25638199999</v>
      </c>
      <c r="DE49" s="2">
        <v>143561.74968199999</v>
      </c>
      <c r="DF49" s="2"/>
      <c r="DG49" s="2">
        <f>+DH49+DK49</f>
        <v>-17649.082879999987</v>
      </c>
      <c r="DH49" s="2">
        <f>+DI49-DJ49</f>
        <v>-19417.09419199999</v>
      </c>
      <c r="DI49" s="2">
        <v>141838.08881700001</v>
      </c>
      <c r="DJ49" s="2">
        <v>161255.183009</v>
      </c>
      <c r="DK49" s="2">
        <f>+DL49-DM49</f>
        <v>1768.0113120000024</v>
      </c>
      <c r="DL49" s="2">
        <v>50773.859978</v>
      </c>
      <c r="DM49" s="2">
        <v>49005.848665999998</v>
      </c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</row>
    <row r="50" spans="1:160" s="301" customFormat="1">
      <c r="A50" s="301" t="str">
        <f t="shared" si="157"/>
        <v>2506동양</v>
      </c>
      <c r="B50" s="301">
        <v>2506</v>
      </c>
      <c r="C50" s="301" t="s">
        <v>1035</v>
      </c>
      <c r="D50" s="2">
        <v>35647471.326780997</v>
      </c>
      <c r="E50" s="2">
        <v>5799448.6362049999</v>
      </c>
      <c r="F50" s="2">
        <v>21635551.140032001</v>
      </c>
      <c r="G50" s="2">
        <v>6437918.5711019998</v>
      </c>
      <c r="H50" s="2">
        <v>98520.989411999995</v>
      </c>
      <c r="I50" s="302">
        <f t="shared" ref="I50:I52" si="302">+E50/$D50</f>
        <v>0.16268892071028973</v>
      </c>
      <c r="J50" s="302">
        <f t="shared" ref="J50:J52" si="303">+F50/$D50</f>
        <v>0.60693087994092265</v>
      </c>
      <c r="K50" s="302">
        <f t="shared" ref="K50:K52" si="304">+G50/$D50</f>
        <v>0.1805995862114731</v>
      </c>
      <c r="L50" s="2">
        <v>33949684.811107002</v>
      </c>
      <c r="M50" s="2">
        <v>29166616.193314999</v>
      </c>
      <c r="N50" s="4">
        <v>1353219.1549269999</v>
      </c>
      <c r="O50" s="4">
        <v>1697786.5156739999</v>
      </c>
      <c r="P50" s="4">
        <v>344567.36074700003</v>
      </c>
      <c r="Q50" s="4">
        <v>-1494513.5926119999</v>
      </c>
      <c r="R50" s="4">
        <v>1636800.006334</v>
      </c>
      <c r="S50" s="4">
        <v>2010539.027552</v>
      </c>
      <c r="T50" s="308">
        <f>+T49</f>
        <v>1668390.639253</v>
      </c>
      <c r="U50" s="327">
        <v>34443482</v>
      </c>
      <c r="V50" s="327">
        <v>33074927</v>
      </c>
      <c r="W50" s="328">
        <v>0.96</v>
      </c>
      <c r="X50" s="4">
        <v>-1494513.5926119999</v>
      </c>
      <c r="Y50" s="4">
        <f>-1000647+4641</f>
        <v>-996006</v>
      </c>
      <c r="Z50" s="4">
        <v>-585723</v>
      </c>
      <c r="AA50" s="4">
        <v>14274</v>
      </c>
      <c r="AB50" s="4">
        <v>79959</v>
      </c>
      <c r="AC50" s="4">
        <v>15613</v>
      </c>
      <c r="AD50" s="4">
        <v>-22630</v>
      </c>
      <c r="AE50" s="4">
        <f t="shared" si="160"/>
        <v>-0.59261199994944036</v>
      </c>
      <c r="AF50" s="2">
        <v>70419</v>
      </c>
      <c r="AG50" s="2">
        <v>629541</v>
      </c>
      <c r="AH50" s="2">
        <v>559122</v>
      </c>
      <c r="AI50" s="2">
        <v>30963</v>
      </c>
      <c r="AJ50" s="2"/>
      <c r="AK50" s="2"/>
      <c r="AL50" s="2"/>
      <c r="AM50" s="2"/>
      <c r="AN50" s="2"/>
      <c r="AO50" s="2">
        <v>101382</v>
      </c>
      <c r="AP50" s="2">
        <v>-341</v>
      </c>
      <c r="AQ50" s="4">
        <v>101041</v>
      </c>
      <c r="AR50" s="4">
        <v>86772</v>
      </c>
      <c r="AS50" s="4">
        <v>0</v>
      </c>
      <c r="AT50" s="4">
        <f t="shared" si="295"/>
        <v>-30963</v>
      </c>
      <c r="AU50" s="4">
        <f t="shared" si="296"/>
        <v>0</v>
      </c>
      <c r="AV50" s="4">
        <f t="shared" ref="AV50:AV60" si="305">+AF50</f>
        <v>70419</v>
      </c>
      <c r="AW50" s="4">
        <f t="shared" ref="AW50:AW60" si="306">+AI50</f>
        <v>30963</v>
      </c>
      <c r="AX50" s="4">
        <f t="shared" ref="AX50:AX60" si="307">+AP50</f>
        <v>-341</v>
      </c>
      <c r="AY50" s="4">
        <f t="shared" ref="AY50:AY60" si="308">+SUM(AV50:AX50)</f>
        <v>101041</v>
      </c>
      <c r="AZ50" s="2"/>
      <c r="BA50" s="2"/>
      <c r="BB50" s="302"/>
      <c r="BC50" s="2">
        <v>-1105739.275686</v>
      </c>
      <c r="BD50" s="2">
        <v>63304.070646</v>
      </c>
      <c r="BE50" s="2">
        <v>0</v>
      </c>
      <c r="BF50" s="2">
        <v>-448522.26302800002</v>
      </c>
      <c r="BG50" s="2">
        <v>-2125.2072269999999</v>
      </c>
      <c r="BH50" s="2">
        <v>11.079939</v>
      </c>
      <c r="BI50" s="2">
        <v>-1441.9972560000001</v>
      </c>
      <c r="BJ50" s="2">
        <v>0</v>
      </c>
      <c r="BK50" s="2">
        <v>-1494513.5926119999</v>
      </c>
      <c r="BL50" s="4">
        <v>0</v>
      </c>
      <c r="BM50" s="2">
        <v>1561498.2376949999</v>
      </c>
      <c r="BN50" s="2">
        <v>0</v>
      </c>
      <c r="BO50" s="2">
        <v>0</v>
      </c>
      <c r="BP50" s="2">
        <v>86772.302150999996</v>
      </c>
      <c r="BQ50" s="2">
        <v>0</v>
      </c>
      <c r="BR50" s="2">
        <v>-11470.533512</v>
      </c>
      <c r="BS50" s="2">
        <v>1636800.006334</v>
      </c>
      <c r="BT50" s="4">
        <v>0</v>
      </c>
      <c r="BU50" s="4">
        <f>5393958+3737719+16790301+5800</f>
        <v>25927778</v>
      </c>
      <c r="BV50" s="4">
        <f>161913+297879+34810+0</f>
        <v>494602</v>
      </c>
      <c r="BW50" s="4">
        <f>228194+53443+448607+505698+120861+1030436+73407+211660+71458+473</f>
        <v>2744237</v>
      </c>
      <c r="BX50" s="4">
        <f>45164+256770+952</f>
        <v>302886</v>
      </c>
      <c r="BY50" s="4">
        <f>9174+1758+19437+21865+5340+43623+5141+14424+5278+24</f>
        <v>126064</v>
      </c>
      <c r="BZ50" s="4">
        <f>16287+53787+28352-67755-48564-159306+2247+8144+8183-45</f>
        <v>-158670</v>
      </c>
      <c r="CA50" s="4">
        <f>4016+322+9113+11175+2438+21942+1051+3411+1518+8</f>
        <v>54994</v>
      </c>
      <c r="CB50" s="4">
        <f>217064+1092+385414+584143+172327+954652+75250+214529+66083+534</f>
        <v>2671088</v>
      </c>
      <c r="CC50" s="2"/>
      <c r="CD50" s="2">
        <f t="shared" si="297"/>
        <v>-3</v>
      </c>
      <c r="CE50" s="2">
        <f>22604+74381+3146+4863+38+31995+32+1537+198</f>
        <v>138794</v>
      </c>
      <c r="CF50" s="2">
        <f>20252+19286+68185+59788+2850+592+4105+3539+36+35+28355+25898+33+33+1424+1325+173+153</f>
        <v>236062</v>
      </c>
      <c r="CG50" s="2">
        <f>19259+19430+53996+49814+151+133+3112+2806+33+31+24157+21039+34+34+1232+1145+136+120</f>
        <v>196662</v>
      </c>
      <c r="CH50" s="2">
        <f>18309+17059+16359+16045+14648+46681+44303+42316+40691+39163+125+121+103+21+3+2583+2411+2280+2182+2103+30+29+28+27+27+18545+17050+15944+13794+11530+34+34+34+34+34+1065+987+913+845+783+107+93+80+69+59</f>
        <v>389681</v>
      </c>
      <c r="CI50" s="2">
        <f>63927+59063+55800+52507+204587+182307+169282+156531+134022+495159+14+6+9600+8559+8129+7662+26633+61+44975+30528+21584+15136+27142+125+12+3159+2196+1530+1029+1373+199+99+52+27+25</f>
        <v>1783040</v>
      </c>
      <c r="CJ50" s="2">
        <f>619134+1656621+7266+90566+374+347670+472+20543+1589</f>
        <v>2744235</v>
      </c>
      <c r="CK50" s="2">
        <f>CJ50-SUM(CE50:CI50)</f>
        <v>-4</v>
      </c>
      <c r="CL50" s="2">
        <f>BW50-CJ50</f>
        <v>2</v>
      </c>
      <c r="CM50" s="2"/>
      <c r="CN50" s="302"/>
      <c r="CO50" s="2"/>
      <c r="CP50" s="2"/>
      <c r="CQ50" s="303">
        <v>1.7210000000000001</v>
      </c>
      <c r="CR50" s="304">
        <v>4166200</v>
      </c>
      <c r="CS50" s="304">
        <v>2421410</v>
      </c>
      <c r="CT50" s="2"/>
      <c r="CU50" s="2">
        <v>1146824</v>
      </c>
      <c r="CV50" s="2"/>
      <c r="CW50" s="312"/>
      <c r="CX50" s="312"/>
      <c r="CY50" s="312"/>
      <c r="CZ50" s="302"/>
      <c r="DA50" s="2"/>
      <c r="DB50" s="2"/>
      <c r="DC50" s="302">
        <f t="shared" si="298"/>
        <v>0.89953778733913292</v>
      </c>
      <c r="DD50" s="2">
        <v>313996.45896199957</v>
      </c>
      <c r="DE50" s="2">
        <v>282451.67992699996</v>
      </c>
      <c r="DF50" s="2"/>
      <c r="DG50" s="2">
        <f>+DH50+DK50</f>
        <v>-22240.588265000028</v>
      </c>
      <c r="DH50" s="2">
        <f>+DI50-DJ50</f>
        <v>-28754.024496000027</v>
      </c>
      <c r="DI50" s="2">
        <f>'[8]IS(Insurance Acct.)'!$B$10/1000000</f>
        <v>287500.46499299997</v>
      </c>
      <c r="DJ50" s="2">
        <f>(+'[8]IS(Insurance Acct.)'!$B$19+'[8]IS(Insurance Acct.)'!$B$24)/10^6</f>
        <v>316254.489489</v>
      </c>
      <c r="DK50" s="2">
        <f>+DL50-DM50</f>
        <v>6513.4362309999997</v>
      </c>
      <c r="DL50" s="2">
        <f>SUM('[8]IS  K-IFRS'!$B$12/10^6)</f>
        <v>101868.148735</v>
      </c>
      <c r="DM50" s="2">
        <f>'[8]IS  K-IFRS'!$B$19/10^6</f>
        <v>95354.712503999996</v>
      </c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</row>
    <row r="51" spans="1:160" s="301" customFormat="1">
      <c r="A51" s="301" t="str">
        <f t="shared" si="157"/>
        <v>2509동양</v>
      </c>
      <c r="B51" s="301">
        <v>2509</v>
      </c>
      <c r="C51" s="301" t="s">
        <v>1117</v>
      </c>
      <c r="D51" s="2">
        <v>35727983</v>
      </c>
      <c r="E51" s="2">
        <v>5507528</v>
      </c>
      <c r="F51" s="2">
        <v>22988363</v>
      </c>
      <c r="G51" s="2">
        <v>5574981</v>
      </c>
      <c r="H51" s="2">
        <v>70000</v>
      </c>
      <c r="I51" s="302">
        <f t="shared" si="302"/>
        <v>0.15415166313754683</v>
      </c>
      <c r="J51" s="302">
        <f t="shared" si="303"/>
        <v>0.64342739415208516</v>
      </c>
      <c r="K51" s="302">
        <f t="shared" si="304"/>
        <v>0.1560396230596057</v>
      </c>
      <c r="L51" s="2">
        <v>34339205</v>
      </c>
      <c r="M51" s="2">
        <v>29392006</v>
      </c>
      <c r="N51" s="4">
        <f>+O51-P51</f>
        <v>1388778</v>
      </c>
      <c r="O51" s="4">
        <v>1388778</v>
      </c>
      <c r="P51" s="4">
        <v>0</v>
      </c>
      <c r="Q51" s="4">
        <v>-1415498</v>
      </c>
      <c r="R51" s="4">
        <v>1651794</v>
      </c>
      <c r="S51" s="4">
        <v>2010539.027552</v>
      </c>
      <c r="T51" s="308">
        <f>+T50</f>
        <v>1668390.639253</v>
      </c>
      <c r="U51" s="327">
        <v>34474250</v>
      </c>
      <c r="V51" s="327">
        <v>33174995</v>
      </c>
      <c r="W51" s="328">
        <v>0.96199999999999997</v>
      </c>
      <c r="X51" s="4">
        <v>-1415498</v>
      </c>
      <c r="Y51" s="4">
        <f>+-1060236+5694</f>
        <v>-1054542</v>
      </c>
      <c r="Z51" s="4">
        <v>-415791</v>
      </c>
      <c r="AA51" s="4">
        <v>10179</v>
      </c>
      <c r="AB51" s="4">
        <v>53991</v>
      </c>
      <c r="AC51" s="4">
        <v>15581</v>
      </c>
      <c r="AD51" s="4">
        <v>-24916</v>
      </c>
      <c r="AE51" s="4">
        <f t="shared" si="160"/>
        <v>0</v>
      </c>
      <c r="AF51" s="2">
        <v>94982</v>
      </c>
      <c r="AG51" s="2">
        <v>949693</v>
      </c>
      <c r="AH51" s="2">
        <v>854711</v>
      </c>
      <c r="AI51" s="2">
        <v>57137</v>
      </c>
      <c r="AJ51" s="2">
        <f>159-959382</f>
        <v>-959223</v>
      </c>
      <c r="AK51" s="2">
        <v>11719</v>
      </c>
      <c r="AL51" s="2">
        <f>+AI51-AJ51-AK51+AM51-AN51</f>
        <v>928618</v>
      </c>
      <c r="AM51" s="2">
        <v>2594</v>
      </c>
      <c r="AN51" s="2">
        <f>4884+90595-16862</f>
        <v>78617</v>
      </c>
      <c r="AO51" s="2">
        <v>152119</v>
      </c>
      <c r="AP51" s="2">
        <f>4465-25868</f>
        <v>-21403</v>
      </c>
      <c r="AQ51" s="4">
        <v>130716</v>
      </c>
      <c r="AR51" s="4">
        <v>113213</v>
      </c>
      <c r="AS51" s="4">
        <v>0</v>
      </c>
      <c r="AT51" s="4">
        <f t="shared" si="295"/>
        <v>0</v>
      </c>
      <c r="AU51" s="4">
        <f t="shared" si="296"/>
        <v>0</v>
      </c>
      <c r="AV51" s="4">
        <f t="shared" si="305"/>
        <v>94982</v>
      </c>
      <c r="AW51" s="4">
        <f t="shared" si="306"/>
        <v>57137</v>
      </c>
      <c r="AX51" s="4">
        <f t="shared" si="307"/>
        <v>-21403</v>
      </c>
      <c r="AY51" s="4">
        <f t="shared" si="308"/>
        <v>130716</v>
      </c>
      <c r="AZ51" s="2"/>
      <c r="BA51" s="2"/>
      <c r="BB51" s="302"/>
      <c r="BC51" s="2">
        <v>-1105739</v>
      </c>
      <c r="BD51" s="2">
        <f>3862+419+485</f>
        <v>4766</v>
      </c>
      <c r="BE51" s="2"/>
      <c r="BF51" s="2">
        <f>+-282313+-372</f>
        <v>-282685</v>
      </c>
      <c r="BG51" s="2">
        <v>-28093</v>
      </c>
      <c r="BH51" s="2">
        <f>13+-34</f>
        <v>-21</v>
      </c>
      <c r="BI51" s="2">
        <v>-3726</v>
      </c>
      <c r="BJ51" s="2"/>
      <c r="BK51" s="2">
        <v>-1415498</v>
      </c>
      <c r="BL51" s="4">
        <f>+BK51-BC51-SUM(BD51:BJ51)</f>
        <v>0</v>
      </c>
      <c r="BM51" s="2">
        <v>1561498</v>
      </c>
      <c r="BN51" s="2"/>
      <c r="BO51" s="2"/>
      <c r="BP51" s="2">
        <v>113213</v>
      </c>
      <c r="BQ51" s="2">
        <f>+-485+34</f>
        <v>-451</v>
      </c>
      <c r="BR51" s="2">
        <v>-22466</v>
      </c>
      <c r="BS51" s="2">
        <v>1651794</v>
      </c>
      <c r="BT51" s="4">
        <f t="shared" si="284"/>
        <v>0</v>
      </c>
      <c r="BU51" s="4">
        <v>26094230</v>
      </c>
      <c r="BV51" s="4">
        <v>500796</v>
      </c>
      <c r="BW51" s="4">
        <f>787677+387381+1621922</f>
        <v>2796980</v>
      </c>
      <c r="BX51" s="4">
        <v>425848</v>
      </c>
      <c r="BY51" s="4">
        <f>53518+32602+103741</f>
        <v>189861</v>
      </c>
      <c r="BZ51" s="4">
        <f>-59219+22347-155915</f>
        <v>-192787</v>
      </c>
      <c r="CA51" s="4">
        <f>23957+9154+49580</f>
        <v>82691</v>
      </c>
      <c r="CB51" s="4">
        <f>217064+1092+385414+584143+172327+954652+75250+214529+66083+534</f>
        <v>2671088</v>
      </c>
      <c r="CC51" s="2"/>
      <c r="CD51" s="2">
        <f t="shared" si="297"/>
        <v>-1</v>
      </c>
      <c r="CE51" s="2">
        <v>139874</v>
      </c>
      <c r="CF51" s="2">
        <f>126485+112631</f>
        <v>239116</v>
      </c>
      <c r="CG51" s="2">
        <f>104162+96245</f>
        <v>200407</v>
      </c>
      <c r="CH51" s="2">
        <f>88946+83828+79837+74794+69617</f>
        <v>397022</v>
      </c>
      <c r="CI51" s="2">
        <f>311767+276805+249750+215049+767190</f>
        <v>1820561</v>
      </c>
      <c r="CJ51" s="2">
        <v>2796980</v>
      </c>
      <c r="CK51" s="2">
        <f>CJ51-SUM(CE51:CI51)</f>
        <v>0</v>
      </c>
      <c r="CL51" s="2">
        <f>BW51-CJ51</f>
        <v>0</v>
      </c>
      <c r="CM51" s="2"/>
      <c r="CN51" s="302"/>
      <c r="CO51" s="2"/>
      <c r="CP51" s="2"/>
      <c r="CQ51" s="303">
        <v>1.736</v>
      </c>
      <c r="CR51" s="304">
        <v>4020040</v>
      </c>
      <c r="CS51" s="304">
        <v>2315761</v>
      </c>
      <c r="CT51" s="2"/>
      <c r="CU51" s="2">
        <v>1026174</v>
      </c>
      <c r="CV51" s="2"/>
      <c r="CW51" s="312"/>
      <c r="CX51" s="312"/>
      <c r="CY51" s="312"/>
      <c r="CZ51" s="302"/>
      <c r="DA51" s="2"/>
      <c r="DB51" s="2"/>
      <c r="DC51" s="302">
        <f t="shared" si="298"/>
        <v>0.91877409691754564</v>
      </c>
      <c r="DD51" s="2">
        <v>473713.80840099999</v>
      </c>
      <c r="DE51" s="2">
        <v>435235.97651100002</v>
      </c>
      <c r="DF51" s="2"/>
      <c r="DG51" s="2">
        <f>[9]FS!$T$37*1000</f>
        <v>-65127.082644000111</v>
      </c>
      <c r="DH51" s="2">
        <f>+DI51-DJ51</f>
        <v>-55640.804105999996</v>
      </c>
      <c r="DI51" s="2">
        <f>'[9]IS(Insurance Acct.)'!$B$10/10^6</f>
        <v>435119.303992</v>
      </c>
      <c r="DJ51" s="2">
        <f>('[9]IS(Insurance Acct.)'!$B$19+'[9]IS(Insurance Acct.)'!$B$24)/10^6</f>
        <v>490760.108098</v>
      </c>
      <c r="DK51" s="2">
        <f>DG51-DH51</f>
        <v>-9486.2785380001151</v>
      </c>
      <c r="DL51" s="2">
        <f>'[9]IS(Insurance Acct.)'!$B$12/1000000</f>
        <v>122232.134934</v>
      </c>
      <c r="DM51" s="2">
        <f>+DL51-DK51</f>
        <v>131718.4134720001</v>
      </c>
      <c r="DN51" s="2"/>
      <c r="DO51" s="2"/>
      <c r="DP51" s="2"/>
      <c r="DQ51" s="2"/>
      <c r="DR51" s="2" t="s">
        <v>1128</v>
      </c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</row>
    <row r="52" spans="1:160" s="301" customFormat="1">
      <c r="A52" s="301" t="str">
        <f t="shared" si="157"/>
        <v>2512동양</v>
      </c>
      <c r="B52" s="301">
        <v>2512</v>
      </c>
      <c r="C52" s="301" t="s">
        <v>1132</v>
      </c>
      <c r="D52" s="2">
        <v>35315258</v>
      </c>
      <c r="E52" s="2">
        <v>5375104</v>
      </c>
      <c r="F52" s="2">
        <v>22837835</v>
      </c>
      <c r="G52" s="2">
        <v>5622603</v>
      </c>
      <c r="H52" s="2"/>
      <c r="I52" s="302">
        <f t="shared" si="302"/>
        <v>0.15220344701998212</v>
      </c>
      <c r="J52" s="302">
        <f t="shared" si="303"/>
        <v>0.64668464265502468</v>
      </c>
      <c r="K52" s="302">
        <f t="shared" si="304"/>
        <v>0.15921172089412458</v>
      </c>
      <c r="L52" s="2">
        <v>33781287</v>
      </c>
      <c r="M52" s="2">
        <v>28145079</v>
      </c>
      <c r="N52" s="4">
        <f>+O52-P52</f>
        <v>1533971</v>
      </c>
      <c r="O52" s="4">
        <v>1533971</v>
      </c>
      <c r="P52" s="4"/>
      <c r="Q52" s="4">
        <v>-1224013</v>
      </c>
      <c r="R52" s="4">
        <v>1604417</v>
      </c>
      <c r="S52" s="4">
        <v>2012958</v>
      </c>
      <c r="T52" s="308">
        <f>+N48</f>
        <v>1668390.639253</v>
      </c>
      <c r="U52" s="327">
        <v>33940882</v>
      </c>
      <c r="V52" s="327">
        <v>32695593</v>
      </c>
      <c r="W52" s="328">
        <v>0.96299999999999997</v>
      </c>
      <c r="X52" s="4">
        <v>-1224013</v>
      </c>
      <c r="Y52" s="4">
        <f>+-1704158+4550</f>
        <v>-1699608</v>
      </c>
      <c r="Z52" s="4">
        <v>575901</v>
      </c>
      <c r="AA52" s="4">
        <v>-4705</v>
      </c>
      <c r="AB52" s="4">
        <v>-98248</v>
      </c>
      <c r="AC52" s="4">
        <v>15958</v>
      </c>
      <c r="AD52" s="4">
        <v>-13311</v>
      </c>
      <c r="AE52" s="4">
        <f t="shared" si="160"/>
        <v>0</v>
      </c>
      <c r="AF52" s="2">
        <v>113771</v>
      </c>
      <c r="AG52" s="2">
        <v>1263501</v>
      </c>
      <c r="AH52" s="2">
        <v>1149730</v>
      </c>
      <c r="AI52" s="2">
        <v>91164</v>
      </c>
      <c r="AJ52" s="2">
        <f>185-1299401</f>
        <v>-1299216</v>
      </c>
      <c r="AK52" s="2">
        <v>16114</v>
      </c>
      <c r="AL52" s="2">
        <f>+AI52-AJ52-AK52+AM52-AN52</f>
        <v>1374458</v>
      </c>
      <c r="AM52" s="2">
        <v>3546</v>
      </c>
      <c r="AN52" s="2">
        <f>6287+19017-21950</f>
        <v>3354</v>
      </c>
      <c r="AO52" s="2">
        <v>204935</v>
      </c>
      <c r="AP52" s="2">
        <f>14675-108222</f>
        <v>-93547</v>
      </c>
      <c r="AQ52" s="4">
        <v>111388</v>
      </c>
      <c r="AR52" s="4">
        <v>65837</v>
      </c>
      <c r="AS52" s="4">
        <f>+AO52+AP52-AQ52</f>
        <v>0</v>
      </c>
      <c r="AT52" s="4">
        <f t="shared" si="295"/>
        <v>0</v>
      </c>
      <c r="AU52" s="4">
        <f t="shared" si="296"/>
        <v>0</v>
      </c>
      <c r="AV52" s="4">
        <f t="shared" si="305"/>
        <v>113771</v>
      </c>
      <c r="AW52" s="4">
        <f t="shared" si="306"/>
        <v>91164</v>
      </c>
      <c r="AX52" s="4">
        <f>+AP52</f>
        <v>-93547</v>
      </c>
      <c r="AY52" s="4">
        <f t="shared" ref="AY52" si="309">+SUM(AV52:AX52)</f>
        <v>111388</v>
      </c>
      <c r="AZ52" s="2"/>
      <c r="BA52" s="2"/>
      <c r="BB52" s="302"/>
      <c r="BC52" s="2">
        <v>-1103320</v>
      </c>
      <c r="BD52" s="2">
        <f>+-633053+-9528</f>
        <v>-642581</v>
      </c>
      <c r="BE52" s="2"/>
      <c r="BF52" s="2">
        <f>709379+-15255</f>
        <v>694124</v>
      </c>
      <c r="BG52" s="2">
        <v>-180332</v>
      </c>
      <c r="BH52" s="2">
        <f>+-231+-34</f>
        <v>-265</v>
      </c>
      <c r="BI52" s="2">
        <v>7875</v>
      </c>
      <c r="BJ52" s="4">
        <v>486</v>
      </c>
      <c r="BK52" s="2">
        <v>-1224013</v>
      </c>
      <c r="BL52" s="4">
        <f>+BK52-BC52-SUM(BD52:BJ52)</f>
        <v>0</v>
      </c>
      <c r="BM52" s="2">
        <v>1561498</v>
      </c>
      <c r="BN52" s="2"/>
      <c r="BO52" s="2"/>
      <c r="BP52" s="2">
        <v>65837</v>
      </c>
      <c r="BQ52" s="2">
        <f>+-486+34</f>
        <v>-452</v>
      </c>
      <c r="BR52" s="2">
        <v>-22466</v>
      </c>
      <c r="BS52" s="2">
        <v>1604417</v>
      </c>
      <c r="BT52" s="4">
        <f t="shared" si="284"/>
        <v>0</v>
      </c>
      <c r="BU52" s="4">
        <f>2849757+20925551+1435962</f>
        <v>25211270</v>
      </c>
      <c r="BV52" s="4">
        <f>15182+444218+17314</f>
        <v>476714</v>
      </c>
      <c r="BW52" s="4">
        <f>5721+54342+869+748220+268415+1369462+852+9115+99</f>
        <v>2457095</v>
      </c>
      <c r="BX52" s="4">
        <v>529132</v>
      </c>
      <c r="BY52" s="4">
        <f>395+5025+60+70314+36759+132530+115+1534+19</f>
        <v>246751</v>
      </c>
      <c r="BZ52" s="4">
        <f>-603+10729-555-81537-46304-498596-185+10260-89</f>
        <v>-606880</v>
      </c>
      <c r="CA52" s="4">
        <f>250+1468+72+31234+10555+66926</f>
        <v>110505</v>
      </c>
      <c r="CB52" s="4">
        <f>+CB51</f>
        <v>2671088</v>
      </c>
      <c r="CC52" s="2"/>
      <c r="CD52" s="2">
        <f t="shared" si="297"/>
        <v>-1</v>
      </c>
      <c r="CE52" s="2"/>
      <c r="CF52" s="2"/>
      <c r="CG52" s="2"/>
      <c r="CH52" s="2"/>
      <c r="CI52" s="2"/>
      <c r="CJ52" s="2"/>
      <c r="CK52" s="2"/>
      <c r="CL52" s="2"/>
      <c r="CM52" s="2"/>
      <c r="CN52" s="16">
        <v>1.7729999999999999</v>
      </c>
      <c r="CO52" s="425">
        <v>4015166</v>
      </c>
      <c r="CP52" s="425">
        <v>2264745</v>
      </c>
      <c r="CQ52" s="460">
        <v>1.798</v>
      </c>
      <c r="CR52" s="426">
        <v>4059496</v>
      </c>
      <c r="CS52" s="426">
        <v>2257298</v>
      </c>
      <c r="CT52" s="2"/>
      <c r="CU52" s="425">
        <f>918835+187779</f>
        <v>1106614</v>
      </c>
      <c r="CV52" s="2"/>
      <c r="CW52" s="431">
        <v>0.83899999999999997</v>
      </c>
      <c r="CX52" s="431">
        <v>0.95199999999999996</v>
      </c>
      <c r="CY52" s="431">
        <v>-0.113</v>
      </c>
      <c r="CZ52" s="302">
        <f>+CX52/CW52</f>
        <v>1.134684147794994</v>
      </c>
      <c r="DA52" s="2"/>
      <c r="DB52" s="2"/>
      <c r="DC52" s="302">
        <f t="shared" si="298"/>
        <v>0.91321555626753914</v>
      </c>
      <c r="DD52" s="2">
        <v>634733.19049799896</v>
      </c>
      <c r="DE52" s="2">
        <v>579648.2236421</v>
      </c>
      <c r="DF52" s="2"/>
      <c r="DG52" s="2">
        <f>[10]FS!$T$40*1000</f>
        <v>-71869.127857999934</v>
      </c>
      <c r="DH52" s="2">
        <f>+DI52-DJ52</f>
        <v>-68803.226295000059</v>
      </c>
      <c r="DI52" s="2">
        <f>'[10]IS  K-IFRS'!$B$11/10^6</f>
        <v>583593.16829299997</v>
      </c>
      <c r="DJ52" s="2">
        <f>('[10]IS  K-IFRS'!$B$22+'[10]IS  K-IFRS'!$B$27)/10^6</f>
        <v>652396.39458800002</v>
      </c>
      <c r="DK52" s="2">
        <f>DG52-DH52</f>
        <v>-3065.9015629998758</v>
      </c>
      <c r="DL52" s="2">
        <f>SUM('[10]IS  K-IFRS'!$B$12:$B$14)/10^6</f>
        <v>206353.890835</v>
      </c>
      <c r="DM52" s="2">
        <f>+DL52-DK52</f>
        <v>209419.79239799987</v>
      </c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P52" s="2">
        <v>248623</v>
      </c>
      <c r="EQ52" s="2">
        <v>433359</v>
      </c>
      <c r="ER52" s="2">
        <v>-27458</v>
      </c>
      <c r="ES52" s="2">
        <v>7459</v>
      </c>
      <c r="ET52" s="2">
        <f>68073-29270</f>
        <v>38803</v>
      </c>
      <c r="EU52" s="2">
        <f>SUM(EP52:ET52)</f>
        <v>700786</v>
      </c>
      <c r="EV52" s="2"/>
      <c r="EW52" s="2">
        <v>-248623</v>
      </c>
      <c r="EX52" s="2">
        <v>-433359</v>
      </c>
      <c r="EY52" s="2">
        <v>27458</v>
      </c>
      <c r="EZ52" s="2">
        <v>7459</v>
      </c>
      <c r="FA52" s="2">
        <v>-68612</v>
      </c>
      <c r="FB52" s="2">
        <v>108797</v>
      </c>
      <c r="FC52" s="452">
        <f>SUM(EW52:FB52)-BZ52</f>
        <v>0</v>
      </c>
      <c r="FD52" s="2"/>
    </row>
    <row r="53" spans="1:160" s="301" customFormat="1">
      <c r="A53" s="301" t="str">
        <f t="shared" si="157"/>
        <v/>
      </c>
      <c r="D53" s="2"/>
      <c r="E53" s="2"/>
      <c r="F53" s="2"/>
      <c r="G53" s="2"/>
      <c r="H53" s="2"/>
      <c r="I53" s="302"/>
      <c r="J53" s="302"/>
      <c r="K53" s="302"/>
      <c r="L53" s="2"/>
      <c r="M53" s="2"/>
      <c r="N53" s="4"/>
      <c r="O53" s="4"/>
      <c r="P53" s="4"/>
      <c r="Q53" s="4"/>
      <c r="R53" s="4"/>
      <c r="S53" s="4"/>
      <c r="T53" s="308"/>
      <c r="U53" s="327"/>
      <c r="V53" s="327"/>
      <c r="W53" s="328"/>
      <c r="X53" s="4"/>
      <c r="Y53" s="4"/>
      <c r="Z53" s="4"/>
      <c r="AA53" s="4"/>
      <c r="AB53" s="4"/>
      <c r="AC53" s="4"/>
      <c r="AD53" s="4"/>
      <c r="AE53" s="4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4"/>
      <c r="AR53" s="4"/>
      <c r="AS53" s="4"/>
      <c r="AT53" s="4"/>
      <c r="AU53" s="4"/>
      <c r="AV53" s="4">
        <f t="shared" si="305"/>
        <v>0</v>
      </c>
      <c r="AW53" s="4">
        <f t="shared" si="306"/>
        <v>0</v>
      </c>
      <c r="AX53" s="4">
        <f t="shared" si="307"/>
        <v>0</v>
      </c>
      <c r="AY53" s="4">
        <f t="shared" si="308"/>
        <v>0</v>
      </c>
      <c r="AZ53" s="2"/>
      <c r="BA53" s="2"/>
      <c r="BB53" s="302"/>
      <c r="BC53" s="2"/>
      <c r="BD53" s="2"/>
      <c r="BE53" s="2"/>
      <c r="BF53" s="2"/>
      <c r="BG53" s="2"/>
      <c r="BH53" s="2"/>
      <c r="BI53" s="2"/>
      <c r="BJ53" s="2"/>
      <c r="BK53" s="2"/>
      <c r="BL53" s="4"/>
      <c r="BM53" s="2"/>
      <c r="BN53" s="2"/>
      <c r="BO53" s="2"/>
      <c r="BP53" s="2"/>
      <c r="BQ53" s="2"/>
      <c r="BR53" s="2"/>
      <c r="BS53" s="2"/>
      <c r="BT53" s="4"/>
      <c r="BU53" s="4"/>
      <c r="BV53" s="4"/>
      <c r="BW53" s="4"/>
      <c r="BX53" s="4"/>
      <c r="BY53" s="4"/>
      <c r="BZ53" s="4"/>
      <c r="CA53" s="4"/>
      <c r="CB53" s="4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302"/>
      <c r="CO53" s="2"/>
      <c r="CP53" s="2"/>
      <c r="CQ53" s="303"/>
      <c r="CR53" s="304"/>
      <c r="CS53" s="304"/>
      <c r="CT53" s="2"/>
      <c r="CU53" s="2"/>
      <c r="CV53" s="2"/>
      <c r="CW53" s="312"/>
      <c r="CX53" s="312"/>
      <c r="CY53" s="312"/>
      <c r="CZ53" s="302"/>
      <c r="DA53" s="2"/>
      <c r="DB53" s="2"/>
      <c r="DC53" s="302"/>
      <c r="DD53" s="2"/>
      <c r="DE53" s="2"/>
      <c r="DF53" s="2"/>
      <c r="DG53" s="2"/>
      <c r="DH53" s="2"/>
      <c r="DI53" s="2"/>
      <c r="DJ53" s="307">
        <f>+DJ52/DI52</f>
        <v>1.1178958734151194</v>
      </c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</row>
    <row r="54" spans="1:160" s="305" customFormat="1">
      <c r="A54" s="305" t="str">
        <f t="shared" si="157"/>
        <v>2212KB라이프</v>
      </c>
      <c r="B54" s="305">
        <v>2212</v>
      </c>
      <c r="C54" s="305" t="s">
        <v>6</v>
      </c>
      <c r="D54" s="306"/>
      <c r="E54" s="306"/>
      <c r="F54" s="306"/>
      <c r="G54" s="306"/>
      <c r="H54" s="306"/>
      <c r="I54" s="307"/>
      <c r="J54" s="307"/>
      <c r="K54" s="307"/>
      <c r="L54" s="306"/>
      <c r="M54" s="306"/>
      <c r="N54" s="308">
        <f t="shared" si="159"/>
        <v>5103670</v>
      </c>
      <c r="O54" s="308">
        <v>5103670</v>
      </c>
      <c r="P54" s="308">
        <v>0</v>
      </c>
      <c r="Q54" s="308">
        <v>1210325</v>
      </c>
      <c r="R54" s="308">
        <v>2865248</v>
      </c>
      <c r="S54" s="308"/>
      <c r="T54" s="308"/>
      <c r="U54" s="316"/>
      <c r="V54" s="316"/>
      <c r="W54" s="316"/>
      <c r="X54" s="308"/>
      <c r="Y54" s="308"/>
      <c r="Z54" s="308"/>
      <c r="AA54" s="308"/>
      <c r="AB54" s="308"/>
      <c r="AC54" s="308"/>
      <c r="AD54" s="308"/>
      <c r="AE54" s="308"/>
      <c r="AF54" s="321"/>
      <c r="AG54" s="321"/>
      <c r="AH54" s="321"/>
      <c r="AI54" s="321"/>
      <c r="AJ54" s="306"/>
      <c r="AK54" s="306"/>
      <c r="AL54" s="306"/>
      <c r="AM54" s="306"/>
      <c r="AN54" s="306"/>
      <c r="AO54" s="321"/>
      <c r="AP54" s="306"/>
      <c r="AQ54" s="308"/>
      <c r="AR54" s="308"/>
      <c r="AS54" s="308"/>
      <c r="AT54" s="308"/>
      <c r="AU54" s="308"/>
      <c r="AV54" s="308">
        <f t="shared" si="305"/>
        <v>0</v>
      </c>
      <c r="AW54" s="308">
        <f t="shared" si="306"/>
        <v>0</v>
      </c>
      <c r="AX54" s="308">
        <f t="shared" si="307"/>
        <v>0</v>
      </c>
      <c r="AY54" s="308">
        <f t="shared" si="308"/>
        <v>0</v>
      </c>
      <c r="AZ54" s="306"/>
      <c r="BA54" s="306"/>
      <c r="BB54" s="307"/>
      <c r="BC54" s="306"/>
      <c r="BD54" s="306"/>
      <c r="BE54" s="306"/>
      <c r="BF54" s="306"/>
      <c r="BG54" s="306"/>
      <c r="BH54" s="306"/>
      <c r="BI54" s="306"/>
      <c r="BJ54" s="306"/>
      <c r="BK54" s="306"/>
      <c r="BL54" s="308"/>
      <c r="BM54" s="306"/>
      <c r="BN54" s="306"/>
      <c r="BO54" s="306"/>
      <c r="BP54" s="306"/>
      <c r="BQ54" s="306"/>
      <c r="BR54" s="306"/>
      <c r="BS54" s="306"/>
      <c r="BT54" s="308">
        <f>2342388+11903</f>
        <v>2354291</v>
      </c>
      <c r="BU54" s="308">
        <f>11664310+6501483</f>
        <v>18165793</v>
      </c>
      <c r="BV54" s="308">
        <f>309350+121508</f>
        <v>430858</v>
      </c>
      <c r="BW54" s="308">
        <f>2600655+758915</f>
        <v>3359570</v>
      </c>
      <c r="BX54" s="308"/>
      <c r="BY54" s="308"/>
      <c r="BZ54" s="308"/>
      <c r="CA54" s="308"/>
      <c r="CB54" s="308"/>
      <c r="CC54" s="306"/>
      <c r="CD54" s="306"/>
      <c r="CE54" s="306"/>
      <c r="CF54" s="306"/>
      <c r="CG54" s="306"/>
      <c r="CH54" s="306"/>
      <c r="CI54" s="306"/>
      <c r="CJ54" s="306"/>
      <c r="CK54" s="306"/>
      <c r="CL54" s="306"/>
      <c r="CM54" s="306"/>
      <c r="CN54" s="307"/>
      <c r="CO54" s="306"/>
      <c r="CP54" s="306"/>
      <c r="CQ54" s="322"/>
      <c r="CR54" s="323"/>
      <c r="CS54" s="323"/>
      <c r="CT54" s="306"/>
      <c r="CU54" s="306"/>
      <c r="CV54" s="306"/>
      <c r="CW54" s="306"/>
      <c r="CX54" s="306"/>
      <c r="CY54" s="306"/>
      <c r="CZ54" s="306"/>
      <c r="DA54" s="306"/>
      <c r="DB54" s="306"/>
      <c r="DC54" s="307"/>
      <c r="DD54" s="306"/>
      <c r="DE54" s="306"/>
      <c r="DF54" s="306"/>
      <c r="DG54" s="306"/>
      <c r="DH54" s="306"/>
      <c r="DI54" s="306"/>
      <c r="DJ54" s="306"/>
      <c r="DK54" s="306"/>
      <c r="DL54" s="306"/>
      <c r="DM54" s="306"/>
      <c r="DN54" s="306"/>
      <c r="DO54" s="306"/>
      <c r="DP54" s="306"/>
      <c r="DQ54" s="306"/>
      <c r="DR54" s="306"/>
      <c r="DS54" s="306"/>
      <c r="DT54" s="306"/>
      <c r="DU54" s="306"/>
      <c r="DV54" s="306"/>
      <c r="DW54" s="306"/>
      <c r="DX54" s="306"/>
      <c r="DY54" s="306"/>
      <c r="DZ54" s="306"/>
      <c r="EA54" s="306"/>
      <c r="EB54" s="306"/>
      <c r="EC54" s="306"/>
      <c r="ED54" s="306"/>
      <c r="EE54" s="306"/>
      <c r="EP54" s="306"/>
      <c r="EQ54" s="306"/>
      <c r="ER54" s="306"/>
      <c r="ES54" s="306"/>
      <c r="ET54" s="306"/>
      <c r="EU54" s="306"/>
      <c r="EV54" s="306"/>
      <c r="EW54" s="306"/>
      <c r="EX54" s="306"/>
      <c r="EY54" s="306"/>
      <c r="EZ54" s="306"/>
      <c r="FA54" s="306"/>
      <c r="FB54" s="306"/>
      <c r="FC54" s="306"/>
      <c r="FD54" s="306"/>
    </row>
    <row r="55" spans="1:160" s="305" customFormat="1">
      <c r="A55" s="305" t="str">
        <f t="shared" si="157"/>
        <v>2312KB라이프</v>
      </c>
      <c r="B55" s="305">
        <v>2312</v>
      </c>
      <c r="C55" s="305" t="s">
        <v>6</v>
      </c>
      <c r="D55" s="306">
        <v>31634138</v>
      </c>
      <c r="E55" s="306">
        <v>8297751</v>
      </c>
      <c r="F55" s="306">
        <v>19466521</v>
      </c>
      <c r="G55" s="306">
        <f>647242+1267665</f>
        <v>1914907</v>
      </c>
      <c r="H55" s="306">
        <v>143262</v>
      </c>
      <c r="I55" s="307">
        <f t="shared" ref="I55:K56" si="310">+E55/$D55</f>
        <v>0.2623036859736782</v>
      </c>
      <c r="J55" s="307">
        <f t="shared" si="310"/>
        <v>0.61536435732814976</v>
      </c>
      <c r="K55" s="307">
        <f t="shared" si="310"/>
        <v>6.0532928066508403E-2</v>
      </c>
      <c r="L55" s="306">
        <v>24031927</v>
      </c>
      <c r="M55" s="306">
        <v>24031927</v>
      </c>
      <c r="N55" s="308">
        <f t="shared" si="159"/>
        <v>5313706</v>
      </c>
      <c r="O55" s="308">
        <v>5363506</v>
      </c>
      <c r="P55" s="308">
        <v>49800</v>
      </c>
      <c r="Q55" s="308">
        <v>1336551</v>
      </c>
      <c r="R55" s="308">
        <v>2998852</v>
      </c>
      <c r="S55" s="308">
        <v>4482904</v>
      </c>
      <c r="T55" s="308">
        <f t="shared" ref="T55:T57" si="311">N54</f>
        <v>5103670</v>
      </c>
      <c r="U55" s="316">
        <v>25849700</v>
      </c>
      <c r="V55" s="316">
        <v>25260900</v>
      </c>
      <c r="W55" s="317">
        <v>0.97719999999999996</v>
      </c>
      <c r="X55" s="308">
        <v>1336551</v>
      </c>
      <c r="Y55" s="308">
        <v>-566920</v>
      </c>
      <c r="Z55" s="308">
        <v>1907143</v>
      </c>
      <c r="AA55" s="308">
        <v>5516</v>
      </c>
      <c r="AB55" s="308">
        <v>-2813</v>
      </c>
      <c r="AC55" s="308"/>
      <c r="AD55" s="308">
        <v>-6375</v>
      </c>
      <c r="AE55" s="308">
        <f t="shared" si="160"/>
        <v>0</v>
      </c>
      <c r="AF55" s="306">
        <v>249794</v>
      </c>
      <c r="AG55" s="306">
        <v>781478</v>
      </c>
      <c r="AH55" s="306">
        <v>531684</v>
      </c>
      <c r="AI55" s="306">
        <v>76008</v>
      </c>
      <c r="AJ55" s="306">
        <f>5582-1275667</f>
        <v>-1270085</v>
      </c>
      <c r="AK55" s="306">
        <f>112-471</f>
        <v>-359</v>
      </c>
      <c r="AL55" s="306">
        <f>+AI55-AJ55-AK55-AN55</f>
        <v>1253104</v>
      </c>
      <c r="AM55" s="306"/>
      <c r="AN55" s="306">
        <f>150236-56888</f>
        <v>93348</v>
      </c>
      <c r="AO55" s="306">
        <v>325802</v>
      </c>
      <c r="AP55" s="306">
        <v>-5767</v>
      </c>
      <c r="AQ55" s="308">
        <v>320035</v>
      </c>
      <c r="AR55" s="308">
        <v>236403</v>
      </c>
      <c r="AS55" s="308">
        <f>+AO55+AP55-AQ55</f>
        <v>0</v>
      </c>
      <c r="AT55" s="308">
        <f>+AJ55+AK55+AL55-AM55+AN55-AI55</f>
        <v>0</v>
      </c>
      <c r="AU55" s="308">
        <f>+AF55+AI55-AO55</f>
        <v>0</v>
      </c>
      <c r="AV55" s="308">
        <f t="shared" si="305"/>
        <v>249794</v>
      </c>
      <c r="AW55" s="308">
        <f t="shared" si="306"/>
        <v>76008</v>
      </c>
      <c r="AX55" s="308">
        <f t="shared" si="307"/>
        <v>-5767</v>
      </c>
      <c r="AY55" s="308">
        <f t="shared" si="308"/>
        <v>320035</v>
      </c>
      <c r="AZ55" s="306"/>
      <c r="BA55" s="306"/>
      <c r="BB55" s="307">
        <f t="shared" si="155"/>
        <v>-4.1302973386319518E-2</v>
      </c>
      <c r="BC55" s="306">
        <f>2193782-726126</f>
        <v>1467656</v>
      </c>
      <c r="BD55" s="306">
        <v>1116687</v>
      </c>
      <c r="BE55" s="306"/>
      <c r="BF55" s="306">
        <f>-990226-2364</f>
        <v>-992590</v>
      </c>
      <c r="BG55" s="306">
        <v>128</v>
      </c>
      <c r="BH55" s="306"/>
      <c r="BI55" s="306">
        <v>2007</v>
      </c>
      <c r="BJ55" s="306">
        <v>-257337</v>
      </c>
      <c r="BK55" s="306">
        <v>1336551</v>
      </c>
      <c r="BL55" s="308">
        <f>+BK55-BC55-SUM(BD55:BJ55)</f>
        <v>0</v>
      </c>
      <c r="BM55" s="306">
        <f>2815444+49804</f>
        <v>2865248</v>
      </c>
      <c r="BN55" s="306">
        <v>-100000</v>
      </c>
      <c r="BO55" s="306"/>
      <c r="BP55" s="306">
        <v>236403</v>
      </c>
      <c r="BQ55" s="306">
        <f>-2799</f>
        <v>-2799</v>
      </c>
      <c r="BR55" s="306"/>
      <c r="BS55" s="306">
        <v>2998852</v>
      </c>
      <c r="BT55" s="308">
        <f t="shared" si="284"/>
        <v>0</v>
      </c>
      <c r="BU55" s="308">
        <v>20403538</v>
      </c>
      <c r="BV55" s="308">
        <v>448563</v>
      </c>
      <c r="BW55" s="308">
        <v>3179825</v>
      </c>
      <c r="BX55" s="308">
        <v>634668</v>
      </c>
      <c r="BY55" s="308">
        <v>300213</v>
      </c>
      <c r="BZ55" s="308">
        <v>-621380</v>
      </c>
      <c r="CA55" s="308">
        <v>107180</v>
      </c>
      <c r="CB55" s="308">
        <v>3359570</v>
      </c>
      <c r="CC55" s="306"/>
      <c r="CD55" s="306">
        <f t="shared" ref="CD55:CD60" si="312">CB55+BX55-BY55+BZ55+CA55-BW55</f>
        <v>0</v>
      </c>
      <c r="CE55" s="306">
        <v>143552</v>
      </c>
      <c r="CF55" s="306">
        <f>133643+126232</f>
        <v>259875</v>
      </c>
      <c r="CG55" s="306">
        <f>119946+114146</f>
        <v>234092</v>
      </c>
      <c r="CH55" s="306">
        <f>108925+104309+100281+96535+93289</f>
        <v>503339</v>
      </c>
      <c r="CI55" s="306">
        <f>394060+355898+323070+280861+685071</f>
        <v>2038960</v>
      </c>
      <c r="CJ55" s="306">
        <v>3179818</v>
      </c>
      <c r="CK55" s="306">
        <v>0</v>
      </c>
      <c r="CL55" s="306">
        <f t="shared" ref="CL55:CL60" si="313">BW55-CJ55</f>
        <v>7</v>
      </c>
      <c r="CM55" s="306"/>
      <c r="CN55" s="307">
        <v>3.0794999999999999</v>
      </c>
      <c r="CO55" s="306">
        <v>6812893</v>
      </c>
      <c r="CP55" s="306">
        <v>2212326</v>
      </c>
      <c r="CQ55" s="322">
        <v>3.2978000000000001</v>
      </c>
      <c r="CR55" s="323">
        <v>6758937</v>
      </c>
      <c r="CS55" s="323">
        <v>2049538</v>
      </c>
      <c r="CT55" s="306"/>
      <c r="CU55" s="306">
        <v>720502</v>
      </c>
      <c r="CV55" s="306"/>
      <c r="CW55" s="306"/>
      <c r="CX55" s="306"/>
      <c r="CY55" s="306"/>
      <c r="CZ55" s="306"/>
      <c r="DA55" s="306"/>
      <c r="DB55" s="306"/>
      <c r="DC55" s="307"/>
      <c r="DD55" s="306"/>
      <c r="DE55" s="306"/>
      <c r="DF55" s="306"/>
      <c r="DG55" s="306"/>
      <c r="DH55" s="306"/>
      <c r="DI55" s="306"/>
      <c r="DJ55" s="306"/>
      <c r="DK55" s="306"/>
      <c r="DL55" s="306"/>
      <c r="DM55" s="306"/>
      <c r="DN55" s="306"/>
      <c r="DO55" s="306"/>
      <c r="DP55" s="306"/>
      <c r="DQ55" s="306"/>
      <c r="DR55" s="306"/>
      <c r="DS55" s="306"/>
      <c r="DT55" s="306"/>
      <c r="DU55" s="306"/>
      <c r="DV55" s="306"/>
      <c r="DW55" s="306"/>
      <c r="DX55" s="306"/>
      <c r="DY55" s="306"/>
      <c r="DZ55" s="306"/>
      <c r="EA55" s="306"/>
      <c r="EB55" s="306"/>
      <c r="EC55" s="306"/>
      <c r="ED55" s="306"/>
      <c r="EE55" s="306"/>
      <c r="EP55" s="306"/>
      <c r="EQ55" s="306"/>
      <c r="ER55" s="306"/>
      <c r="ES55" s="306"/>
      <c r="ET55" s="306"/>
      <c r="EU55" s="306"/>
      <c r="EV55" s="306"/>
      <c r="EW55" s="306"/>
      <c r="EX55" s="306"/>
      <c r="EY55" s="306"/>
      <c r="EZ55" s="306"/>
      <c r="FA55" s="306"/>
      <c r="FB55" s="306"/>
      <c r="FC55" s="306"/>
      <c r="FD55" s="306"/>
    </row>
    <row r="56" spans="1:160" s="305" customFormat="1">
      <c r="A56" s="305" t="str">
        <f t="shared" si="157"/>
        <v>2412KB라이프</v>
      </c>
      <c r="B56" s="305">
        <v>2412</v>
      </c>
      <c r="C56" s="305" t="s">
        <v>6</v>
      </c>
      <c r="D56" s="306">
        <v>33717436</v>
      </c>
      <c r="E56" s="306">
        <v>8505252</v>
      </c>
      <c r="F56" s="306">
        <v>21575283</v>
      </c>
      <c r="G56" s="306">
        <f>712253+1092732</f>
        <v>1804985</v>
      </c>
      <c r="H56" s="306">
        <v>149839</v>
      </c>
      <c r="I56" s="307">
        <f t="shared" si="310"/>
        <v>0.25225085323806945</v>
      </c>
      <c r="J56" s="307">
        <f t="shared" si="310"/>
        <v>0.63988504345348207</v>
      </c>
      <c r="K56" s="307">
        <f t="shared" si="310"/>
        <v>5.3532688547254896E-2</v>
      </c>
      <c r="L56" s="306">
        <v>29180278</v>
      </c>
      <c r="M56" s="306">
        <v>27209738</v>
      </c>
      <c r="N56" s="308">
        <f t="shared" si="159"/>
        <v>4487358</v>
      </c>
      <c r="O56" s="308">
        <v>4537158</v>
      </c>
      <c r="P56" s="308">
        <v>49800</v>
      </c>
      <c r="Q56" s="308">
        <v>363125</v>
      </c>
      <c r="R56" s="308">
        <v>3145930</v>
      </c>
      <c r="S56" s="308">
        <v>5363506</v>
      </c>
      <c r="T56" s="308">
        <f t="shared" si="311"/>
        <v>5313706</v>
      </c>
      <c r="U56" s="316">
        <v>27947000</v>
      </c>
      <c r="V56" s="316">
        <v>27343600</v>
      </c>
      <c r="W56" s="317">
        <v>0.97840000000000005</v>
      </c>
      <c r="X56" s="308">
        <v>363125</v>
      </c>
      <c r="Y56" s="308">
        <v>-60417</v>
      </c>
      <c r="Z56" s="308">
        <v>433955</v>
      </c>
      <c r="AA56" s="308">
        <v>1920</v>
      </c>
      <c r="AB56" s="308">
        <v>-2681</v>
      </c>
      <c r="AC56" s="308"/>
      <c r="AD56" s="308">
        <v>-9652</v>
      </c>
      <c r="AE56" s="308">
        <f t="shared" si="160"/>
        <v>0</v>
      </c>
      <c r="AF56" s="306">
        <v>313810</v>
      </c>
      <c r="AG56" s="306">
        <v>865050</v>
      </c>
      <c r="AH56" s="306">
        <v>551240</v>
      </c>
      <c r="AI56" s="306">
        <v>87610</v>
      </c>
      <c r="AJ56" s="306">
        <f>2796-1100868</f>
        <v>-1098072</v>
      </c>
      <c r="AK56" s="306">
        <f>134-591</f>
        <v>-457</v>
      </c>
      <c r="AL56" s="306">
        <f>+AI56-AJ56-AK56-AN56</f>
        <v>1083641</v>
      </c>
      <c r="AM56" s="306"/>
      <c r="AN56" s="306">
        <f>173952-71454</f>
        <v>102498</v>
      </c>
      <c r="AO56" s="306">
        <v>401420</v>
      </c>
      <c r="AP56" s="306">
        <v>-3515</v>
      </c>
      <c r="AQ56" s="308">
        <v>397905</v>
      </c>
      <c r="AR56" s="308">
        <v>299878</v>
      </c>
      <c r="AS56" s="308">
        <f>+AO56+AP56-AQ56</f>
        <v>0</v>
      </c>
      <c r="AT56" s="308">
        <f>+AJ56+AK56+AL56-AM56+AN56-AI56</f>
        <v>0</v>
      </c>
      <c r="AU56" s="308">
        <f>+AF56+AI56-AO56</f>
        <v>0</v>
      </c>
      <c r="AV56" s="308">
        <f t="shared" si="305"/>
        <v>313810</v>
      </c>
      <c r="AW56" s="308">
        <f t="shared" si="306"/>
        <v>87610</v>
      </c>
      <c r="AX56" s="308">
        <f t="shared" si="307"/>
        <v>-3515</v>
      </c>
      <c r="AY56" s="308">
        <f t="shared" si="308"/>
        <v>397905</v>
      </c>
      <c r="AZ56" s="306"/>
      <c r="BA56" s="306"/>
      <c r="BB56" s="307">
        <f t="shared" si="155"/>
        <v>-5.4274061734809795E-2</v>
      </c>
      <c r="BC56" s="306">
        <v>1336551</v>
      </c>
      <c r="BD56" s="306">
        <v>506502</v>
      </c>
      <c r="BE56" s="306"/>
      <c r="BF56" s="306">
        <f>-1473189-3594</f>
        <v>-1476783</v>
      </c>
      <c r="BG56" s="306">
        <v>132</v>
      </c>
      <c r="BH56" s="306"/>
      <c r="BI56" s="306">
        <v>-3277</v>
      </c>
      <c r="BJ56" s="306"/>
      <c r="BK56" s="306">
        <v>363125</v>
      </c>
      <c r="BL56" s="308">
        <f>+BK56-BC56-SUM(BD56:BJ56)</f>
        <v>0</v>
      </c>
      <c r="BM56" s="306">
        <v>2998852</v>
      </c>
      <c r="BN56" s="306">
        <v>-150000</v>
      </c>
      <c r="BO56" s="306"/>
      <c r="BP56" s="306">
        <v>299878</v>
      </c>
      <c r="BQ56" s="306"/>
      <c r="BR56" s="306">
        <v>-2800</v>
      </c>
      <c r="BS56" s="306">
        <v>3145930</v>
      </c>
      <c r="BT56" s="308">
        <f t="shared" si="284"/>
        <v>0</v>
      </c>
      <c r="BU56" s="308">
        <v>23688473</v>
      </c>
      <c r="BV56" s="308">
        <v>510756</v>
      </c>
      <c r="BW56" s="308">
        <v>3010509</v>
      </c>
      <c r="BX56" s="308">
        <v>501304</v>
      </c>
      <c r="BY56" s="308">
        <v>293080</v>
      </c>
      <c r="BZ56" s="308">
        <v>-500612</v>
      </c>
      <c r="CA56" s="308">
        <v>123071</v>
      </c>
      <c r="CB56" s="308">
        <v>3179826</v>
      </c>
      <c r="CC56" s="717">
        <f>+BU56/BU55</f>
        <v>1.160998303333471</v>
      </c>
      <c r="CD56" s="306">
        <f t="shared" si="312"/>
        <v>0</v>
      </c>
      <c r="CE56" s="306">
        <v>152557</v>
      </c>
      <c r="CF56" s="306">
        <f>140434+131120</f>
        <v>271554</v>
      </c>
      <c r="CG56" s="306">
        <f>123317+115688</f>
        <v>239005</v>
      </c>
      <c r="CH56" s="306">
        <f>107951+102698+98255+94582+91402</f>
        <v>494888</v>
      </c>
      <c r="CI56" s="306">
        <f>385215+344262+305202+255046+562781</f>
        <v>1852506</v>
      </c>
      <c r="CJ56" s="306">
        <v>3010510</v>
      </c>
      <c r="CK56" s="306">
        <f>CJ56-SUM(CE56:CI56)</f>
        <v>0</v>
      </c>
      <c r="CL56" s="306">
        <f t="shared" si="313"/>
        <v>-1</v>
      </c>
      <c r="CM56" s="306"/>
      <c r="CN56" s="307"/>
      <c r="CO56" s="306"/>
      <c r="CP56" s="306"/>
      <c r="CQ56" s="322">
        <v>2.6314000000000002</v>
      </c>
      <c r="CR56" s="323">
        <v>5898953</v>
      </c>
      <c r="CS56" s="323">
        <v>2241740</v>
      </c>
      <c r="CT56" s="306"/>
      <c r="CU56" s="306">
        <v>938343</v>
      </c>
      <c r="CV56" s="306"/>
      <c r="CW56" s="324">
        <v>0.52800000000000002</v>
      </c>
      <c r="CX56" s="324">
        <v>0.53800000000000003</v>
      </c>
      <c r="CY56" s="324">
        <v>-0.01</v>
      </c>
      <c r="CZ56" s="302">
        <f>+CX56/CW56</f>
        <v>1.018939393939394</v>
      </c>
      <c r="DA56" s="306"/>
      <c r="DB56" s="306"/>
      <c r="DC56" s="307"/>
      <c r="DD56" s="306"/>
      <c r="DE56" s="306"/>
      <c r="DF56" s="306"/>
      <c r="DG56" s="306"/>
      <c r="DH56" s="306"/>
      <c r="DI56" s="306"/>
      <c r="DJ56" s="306"/>
      <c r="DK56" s="306"/>
      <c r="DL56" s="306"/>
      <c r="DM56" s="306"/>
      <c r="DN56" s="306"/>
      <c r="DO56" s="306"/>
      <c r="DP56" s="306"/>
      <c r="DQ56" s="306"/>
      <c r="DR56" s="306"/>
      <c r="DS56" s="306"/>
      <c r="DT56" s="306"/>
      <c r="DU56" s="306"/>
      <c r="DV56" s="306"/>
      <c r="DW56" s="306"/>
      <c r="DX56" s="306"/>
      <c r="DY56" s="306"/>
      <c r="DZ56" s="306"/>
      <c r="EA56" s="306"/>
      <c r="EB56" s="306"/>
      <c r="EC56" s="306"/>
      <c r="ED56" s="306"/>
      <c r="EE56" s="306"/>
      <c r="EP56" s="306">
        <v>509858</v>
      </c>
      <c r="EQ56" s="306">
        <v>-209016</v>
      </c>
      <c r="ER56" s="306">
        <v>-170412</v>
      </c>
      <c r="ES56" s="306">
        <v>-65410</v>
      </c>
      <c r="ET56" s="306">
        <f>427273-7496</f>
        <v>419777</v>
      </c>
      <c r="EU56" s="306"/>
      <c r="EV56" s="306"/>
      <c r="EW56" s="306">
        <v>-509858</v>
      </c>
      <c r="EX56" s="306">
        <v>209016</v>
      </c>
      <c r="EY56" s="306">
        <v>170412</v>
      </c>
      <c r="EZ56" s="306">
        <v>65410</v>
      </c>
      <c r="FA56" s="306">
        <v>-419778</v>
      </c>
      <c r="FB56" s="306">
        <v>-15814</v>
      </c>
      <c r="FC56" s="452">
        <f>SUM(EW56:FB56)-BZ56</f>
        <v>0</v>
      </c>
    </row>
    <row r="57" spans="1:160" s="305" customFormat="1">
      <c r="A57" s="305" t="str">
        <f t="shared" si="157"/>
        <v>2503KB라이프</v>
      </c>
      <c r="B57" s="305">
        <v>2503</v>
      </c>
      <c r="C57" s="305" t="s">
        <v>6</v>
      </c>
      <c r="D57" s="306">
        <v>35021300</v>
      </c>
      <c r="E57" s="306">
        <v>8556744</v>
      </c>
      <c r="F57" s="306">
        <v>22820231</v>
      </c>
      <c r="G57" s="306">
        <f>714508+1137848</f>
        <v>1852356</v>
      </c>
      <c r="H57" s="306">
        <v>149744</v>
      </c>
      <c r="I57" s="307">
        <f t="shared" ref="I57" si="314">+E57/$D57</f>
        <v>0.24432970792060832</v>
      </c>
      <c r="J57" s="307">
        <f t="shared" ref="J57" si="315">+F57/$D57</f>
        <v>0.65161004874176576</v>
      </c>
      <c r="K57" s="307">
        <f t="shared" ref="K57" si="316">+G57/$D57</f>
        <v>5.2892268419504701E-2</v>
      </c>
      <c r="L57" s="306">
        <v>30859865</v>
      </c>
      <c r="M57" s="306">
        <v>28915618</v>
      </c>
      <c r="N57" s="308">
        <f>O57-P57</f>
        <v>4111635</v>
      </c>
      <c r="O57" s="308">
        <v>4161435</v>
      </c>
      <c r="P57" s="308">
        <v>49800</v>
      </c>
      <c r="Q57" s="308">
        <v>27786</v>
      </c>
      <c r="R57" s="308">
        <v>3105546</v>
      </c>
      <c r="S57" s="308">
        <v>4537158</v>
      </c>
      <c r="T57" s="308">
        <f t="shared" si="311"/>
        <v>4487358</v>
      </c>
      <c r="U57" s="316">
        <v>29252100</v>
      </c>
      <c r="V57" s="316">
        <v>28613900</v>
      </c>
      <c r="W57" s="317">
        <f>+V57/U57</f>
        <v>0.97818276294693374</v>
      </c>
      <c r="X57" s="308">
        <v>27786</v>
      </c>
      <c r="Y57" s="308">
        <v>376166</v>
      </c>
      <c r="Z57" s="308">
        <v>-338040</v>
      </c>
      <c r="AA57" s="308">
        <v>3914</v>
      </c>
      <c r="AB57" s="308">
        <v>-4564</v>
      </c>
      <c r="AC57" s="308"/>
      <c r="AD57" s="308">
        <v>-9690</v>
      </c>
      <c r="AE57" s="308">
        <f t="shared" si="160"/>
        <v>0</v>
      </c>
      <c r="AF57" s="306">
        <v>77253</v>
      </c>
      <c r="AG57" s="306">
        <v>218286</v>
      </c>
      <c r="AH57" s="306">
        <v>141033</v>
      </c>
      <c r="AI57" s="306">
        <v>43008</v>
      </c>
      <c r="AJ57" s="306">
        <f>1665-332340</f>
        <v>-330675</v>
      </c>
      <c r="AK57" s="306">
        <f>23-115</f>
        <v>-92</v>
      </c>
      <c r="AL57" s="306">
        <f>+AI57-AJ57-AK57-AN57</f>
        <v>353466</v>
      </c>
      <c r="AM57" s="306"/>
      <c r="AN57" s="306">
        <f>38264-17955</f>
        <v>20309</v>
      </c>
      <c r="AO57" s="306">
        <v>120261</v>
      </c>
      <c r="AP57" s="306">
        <v>503</v>
      </c>
      <c r="AQ57" s="308">
        <v>120764</v>
      </c>
      <c r="AR57" s="308">
        <v>90315</v>
      </c>
      <c r="AS57" s="308">
        <f>+AO57+AP57-AQ57</f>
        <v>0</v>
      </c>
      <c r="AT57" s="308">
        <f>+AJ57+AK57+AL57-AM57+AN57-AI57</f>
        <v>0</v>
      </c>
      <c r="AU57" s="308">
        <f>+AF57+AI57-AO57</f>
        <v>0</v>
      </c>
      <c r="AV57" s="308">
        <f t="shared" si="305"/>
        <v>77253</v>
      </c>
      <c r="AW57" s="308">
        <f t="shared" si="306"/>
        <v>43008</v>
      </c>
      <c r="AX57" s="308">
        <f t="shared" si="307"/>
        <v>503</v>
      </c>
      <c r="AY57" s="308">
        <f t="shared" si="308"/>
        <v>120764</v>
      </c>
      <c r="AZ57" s="306"/>
      <c r="BA57" s="306"/>
      <c r="BB57" s="307"/>
      <c r="BC57" s="306">
        <v>363125</v>
      </c>
      <c r="BD57" s="306">
        <v>436582</v>
      </c>
      <c r="BE57" s="306"/>
      <c r="BF57" s="306">
        <f>-771993+1993</f>
        <v>-770000</v>
      </c>
      <c r="BG57" s="306">
        <v>-1883</v>
      </c>
      <c r="BH57" s="306"/>
      <c r="BI57" s="306">
        <v>-38</v>
      </c>
      <c r="BJ57" s="306"/>
      <c r="BK57" s="306">
        <v>27786</v>
      </c>
      <c r="BL57" s="308">
        <f>+BK57-BC57-SUM(BD57:BJ57)</f>
        <v>0</v>
      </c>
      <c r="BM57" s="306">
        <v>3145930</v>
      </c>
      <c r="BN57" s="306">
        <v>-130000</v>
      </c>
      <c r="BO57" s="306"/>
      <c r="BP57" s="306">
        <v>90315</v>
      </c>
      <c r="BQ57" s="306"/>
      <c r="BR57" s="306">
        <v>-699</v>
      </c>
      <c r="BS57" s="306">
        <v>3105546</v>
      </c>
      <c r="BT57" s="308">
        <f t="shared" si="284"/>
        <v>0</v>
      </c>
      <c r="BU57" s="308">
        <v>25427737</v>
      </c>
      <c r="BV57" s="308">
        <v>498152</v>
      </c>
      <c r="BW57" s="308">
        <v>2989729</v>
      </c>
      <c r="BX57" s="308">
        <v>125691</v>
      </c>
      <c r="BY57" s="308">
        <v>72371</v>
      </c>
      <c r="BZ57" s="308">
        <v>-98221</v>
      </c>
      <c r="CA57" s="308">
        <v>24121</v>
      </c>
      <c r="CB57" s="308">
        <v>3010509</v>
      </c>
      <c r="CC57" s="306"/>
      <c r="CD57" s="306">
        <f t="shared" si="312"/>
        <v>0</v>
      </c>
      <c r="CE57" s="306">
        <v>177986</v>
      </c>
      <c r="CF57" s="306">
        <f>159700+144800</f>
        <v>304500</v>
      </c>
      <c r="CG57" s="306">
        <f>131669+120018</f>
        <v>251687</v>
      </c>
      <c r="CH57" s="306">
        <f>109134+102450+96950+92512+88754</f>
        <v>489800</v>
      </c>
      <c r="CI57" s="306">
        <f>371337+326579+283051+234072+550716</f>
        <v>1765755</v>
      </c>
      <c r="CJ57" s="306">
        <v>2989728</v>
      </c>
      <c r="CK57" s="306">
        <f>CJ57-SUM(CE57:CI57)</f>
        <v>0</v>
      </c>
      <c r="CL57" s="306">
        <f t="shared" si="313"/>
        <v>1</v>
      </c>
      <c r="CM57" s="306"/>
      <c r="CN57" s="307"/>
      <c r="CO57" s="306"/>
      <c r="CP57" s="306"/>
      <c r="CQ57" s="322">
        <v>2.3409</v>
      </c>
      <c r="CR57" s="323">
        <v>5544787</v>
      </c>
      <c r="CS57" s="323">
        <v>2368635</v>
      </c>
      <c r="CT57" s="306"/>
      <c r="CU57" s="306">
        <v>1133576</v>
      </c>
      <c r="CV57" s="306"/>
      <c r="CW57" s="324"/>
      <c r="CX57" s="324"/>
      <c r="CY57" s="324"/>
      <c r="CZ57" s="302"/>
      <c r="DA57" s="306"/>
      <c r="DB57" s="306"/>
      <c r="DC57" s="307"/>
      <c r="DD57" s="306"/>
      <c r="DE57" s="306"/>
      <c r="DF57" s="306"/>
      <c r="DG57" s="306"/>
      <c r="DH57" s="306"/>
      <c r="DI57" s="306"/>
      <c r="DJ57" s="306"/>
      <c r="DK57" s="306"/>
      <c r="DL57" s="306"/>
      <c r="DM57" s="306"/>
      <c r="DN57" s="306"/>
      <c r="DO57" s="306"/>
      <c r="DP57" s="306"/>
      <c r="DQ57" s="306"/>
      <c r="DR57" s="306"/>
      <c r="DS57" s="306"/>
      <c r="DT57" s="306"/>
      <c r="DU57" s="306"/>
      <c r="DV57" s="306"/>
      <c r="DW57" s="306"/>
      <c r="DX57" s="306"/>
      <c r="DY57" s="306"/>
      <c r="DZ57" s="306"/>
      <c r="EA57" s="306"/>
      <c r="EB57" s="306"/>
      <c r="EC57" s="306"/>
      <c r="ED57" s="306"/>
      <c r="EE57" s="306"/>
      <c r="EP57" s="306"/>
      <c r="EQ57" s="306"/>
      <c r="ER57" s="306"/>
      <c r="ES57" s="306"/>
      <c r="ET57" s="306"/>
      <c r="EU57" s="306"/>
      <c r="EV57" s="306"/>
      <c r="EW57" s="306"/>
      <c r="EX57" s="306"/>
      <c r="EY57" s="306"/>
      <c r="EZ57" s="306"/>
      <c r="FA57" s="306"/>
      <c r="FB57" s="306"/>
    </row>
    <row r="58" spans="1:160" s="305" customFormat="1">
      <c r="A58" s="305" t="str">
        <f t="shared" si="157"/>
        <v>2506KB라이프</v>
      </c>
      <c r="B58" s="305">
        <v>2506</v>
      </c>
      <c r="C58" s="305" t="s">
        <v>6</v>
      </c>
      <c r="D58" s="306">
        <v>35423110</v>
      </c>
      <c r="E58" s="306">
        <v>8834727</v>
      </c>
      <c r="F58" s="306">
        <v>22887011</v>
      </c>
      <c r="G58" s="306">
        <v>1671739</v>
      </c>
      <c r="H58" s="306">
        <v>219936</v>
      </c>
      <c r="I58" s="307">
        <f t="shared" ref="I58:I60" si="317">+E58/$D58</f>
        <v>0.24940574105435689</v>
      </c>
      <c r="J58" s="307">
        <f t="shared" ref="J58:J60" si="318">+F58/$D58</f>
        <v>0.64610394174876229</v>
      </c>
      <c r="K58" s="307">
        <f t="shared" ref="K58:K60" si="319">+G58/$D58</f>
        <v>4.7193456475165506E-2</v>
      </c>
      <c r="L58" s="306">
        <v>31159446</v>
      </c>
      <c r="M58" s="306">
        <v>29060877</v>
      </c>
      <c r="N58" s="308">
        <v>4213864</v>
      </c>
      <c r="O58" s="308">
        <v>4263664</v>
      </c>
      <c r="P58" s="308">
        <v>49800</v>
      </c>
      <c r="Q58" s="308">
        <v>20868</v>
      </c>
      <c r="R58" s="308">
        <v>3214693</v>
      </c>
      <c r="S58" s="308">
        <v>4537158</v>
      </c>
      <c r="T58" s="308">
        <f>+T57</f>
        <v>4487358</v>
      </c>
      <c r="U58" s="316"/>
      <c r="V58" s="316">
        <v>28593900</v>
      </c>
      <c r="W58" s="317">
        <v>0.97499999999999998</v>
      </c>
      <c r="X58" s="308">
        <v>20868</v>
      </c>
      <c r="Y58" s="308">
        <v>42194</v>
      </c>
      <c r="Z58" s="308">
        <v>-264</v>
      </c>
      <c r="AA58" s="308">
        <v>5250</v>
      </c>
      <c r="AB58" s="308">
        <v>-16713</v>
      </c>
      <c r="AC58" s="308"/>
      <c r="AD58" s="308">
        <v>-9599</v>
      </c>
      <c r="AE58" s="308">
        <f t="shared" si="160"/>
        <v>0</v>
      </c>
      <c r="AF58" s="306">
        <v>151727</v>
      </c>
      <c r="AG58" s="306">
        <v>431335</v>
      </c>
      <c r="AH58" s="306">
        <v>279608</v>
      </c>
      <c r="AI58" s="306">
        <v>109809</v>
      </c>
      <c r="AJ58" s="306"/>
      <c r="AK58" s="306"/>
      <c r="AL58" s="306"/>
      <c r="AM58" s="306"/>
      <c r="AN58" s="306"/>
      <c r="AO58" s="306">
        <v>261536</v>
      </c>
      <c r="AP58" s="306">
        <v>-425</v>
      </c>
      <c r="AQ58" s="308">
        <v>261111</v>
      </c>
      <c r="AR58" s="308">
        <v>200155</v>
      </c>
      <c r="AS58" s="308">
        <v>0</v>
      </c>
      <c r="AT58" s="308"/>
      <c r="AU58" s="308"/>
      <c r="AV58" s="308">
        <f t="shared" si="305"/>
        <v>151727</v>
      </c>
      <c r="AW58" s="308">
        <f t="shared" si="306"/>
        <v>109809</v>
      </c>
      <c r="AX58" s="308">
        <f t="shared" si="307"/>
        <v>-425</v>
      </c>
      <c r="AY58" s="308">
        <f t="shared" si="308"/>
        <v>261111</v>
      </c>
      <c r="AZ58" s="306"/>
      <c r="BA58" s="306"/>
      <c r="BB58" s="307"/>
      <c r="BC58" s="306">
        <v>363125</v>
      </c>
      <c r="BD58" s="306">
        <v>102610</v>
      </c>
      <c r="BE58" s="306">
        <v>0</v>
      </c>
      <c r="BF58" s="306">
        <v>-430888</v>
      </c>
      <c r="BG58" s="306">
        <v>-14033</v>
      </c>
      <c r="BH58" s="306">
        <v>0</v>
      </c>
      <c r="BI58" s="306">
        <v>54</v>
      </c>
      <c r="BJ58" s="306">
        <v>0</v>
      </c>
      <c r="BK58" s="306">
        <v>20868</v>
      </c>
      <c r="BL58" s="308">
        <v>0</v>
      </c>
      <c r="BM58" s="306">
        <v>3145930</v>
      </c>
      <c r="BN58" s="306">
        <v>-130000</v>
      </c>
      <c r="BO58" s="306">
        <v>0</v>
      </c>
      <c r="BP58" s="306">
        <v>200155</v>
      </c>
      <c r="BQ58" s="306">
        <v>0</v>
      </c>
      <c r="BR58" s="306">
        <v>-1392</v>
      </c>
      <c r="BS58" s="306">
        <v>3214693</v>
      </c>
      <c r="BT58" s="308">
        <f t="shared" si="284"/>
        <v>0</v>
      </c>
      <c r="BU58" s="308">
        <v>25450789</v>
      </c>
      <c r="BV58" s="308">
        <v>521893</v>
      </c>
      <c r="BW58" s="308">
        <v>3088195</v>
      </c>
      <c r="BX58" s="308">
        <v>233178</v>
      </c>
      <c r="BY58" s="308">
        <v>144975</v>
      </c>
      <c r="BZ58" s="308">
        <v>-51981</v>
      </c>
      <c r="CA58" s="308">
        <v>41464</v>
      </c>
      <c r="CB58" s="308">
        <v>3010509</v>
      </c>
      <c r="CC58" s="306"/>
      <c r="CD58" s="306">
        <f t="shared" si="312"/>
        <v>0</v>
      </c>
      <c r="CE58" s="306">
        <v>184223</v>
      </c>
      <c r="CF58" s="306">
        <f>165900+150884</f>
        <v>316784</v>
      </c>
      <c r="CG58" s="306">
        <f>137260+125165</f>
        <v>262425</v>
      </c>
      <c r="CH58" s="306">
        <f>114797+108135+102101+97507+93550</f>
        <v>516090</v>
      </c>
      <c r="CI58" s="306">
        <f>389626+339051+291101+238292+550602</f>
        <v>1808672</v>
      </c>
      <c r="CJ58" s="306">
        <v>3088194</v>
      </c>
      <c r="CK58" s="306">
        <f>CJ58-SUM(CE58:CI58)</f>
        <v>0</v>
      </c>
      <c r="CL58" s="306">
        <f t="shared" si="313"/>
        <v>1</v>
      </c>
      <c r="CM58" s="306"/>
      <c r="CN58" s="307"/>
      <c r="CO58" s="306"/>
      <c r="CP58" s="306"/>
      <c r="CQ58" s="322">
        <v>2.5062000000000002</v>
      </c>
      <c r="CR58" s="323">
        <v>5761374</v>
      </c>
      <c r="CS58" s="323">
        <v>2298893</v>
      </c>
      <c r="CT58" s="306"/>
      <c r="CU58" s="306">
        <v>1204455</v>
      </c>
      <c r="CV58" s="306"/>
      <c r="CW58" s="324"/>
      <c r="CX58" s="324"/>
      <c r="CY58" s="324"/>
      <c r="CZ58" s="302"/>
      <c r="DA58" s="306"/>
      <c r="DB58" s="306"/>
      <c r="DC58" s="307"/>
      <c r="DD58" s="306"/>
      <c r="DE58" s="306"/>
      <c r="DF58" s="306"/>
      <c r="DG58" s="306"/>
      <c r="DH58" s="306"/>
      <c r="DI58" s="306"/>
      <c r="DJ58" s="306"/>
      <c r="DK58" s="306"/>
      <c r="DL58" s="306"/>
      <c r="DM58" s="306"/>
      <c r="DN58" s="306"/>
      <c r="DO58" s="306"/>
      <c r="DP58" s="306"/>
      <c r="DQ58" s="306"/>
      <c r="DR58" s="306"/>
      <c r="DS58" s="306"/>
      <c r="DT58" s="306"/>
      <c r="DU58" s="306"/>
      <c r="DV58" s="306"/>
      <c r="DW58" s="306"/>
      <c r="DX58" s="306"/>
      <c r="DY58" s="306"/>
      <c r="DZ58" s="306"/>
      <c r="EA58" s="306"/>
      <c r="EB58" s="306"/>
      <c r="EC58" s="306"/>
      <c r="ED58" s="306"/>
      <c r="EE58" s="306"/>
      <c r="EP58" s="306"/>
      <c r="EQ58" s="306"/>
      <c r="ER58" s="306"/>
      <c r="ES58" s="306"/>
      <c r="ET58" s="306"/>
      <c r="EU58" s="306"/>
      <c r="EV58" s="306"/>
      <c r="EW58" s="306"/>
      <c r="EX58" s="306"/>
      <c r="EY58" s="306"/>
      <c r="EZ58" s="306"/>
      <c r="FA58" s="306"/>
      <c r="FB58" s="306"/>
    </row>
    <row r="59" spans="1:160" s="305" customFormat="1">
      <c r="A59" s="305" t="str">
        <f t="shared" si="157"/>
        <v>2509KB라이프</v>
      </c>
      <c r="B59" s="305">
        <v>2509</v>
      </c>
      <c r="C59" s="305" t="s">
        <v>6</v>
      </c>
      <c r="D59" s="306">
        <v>35815391</v>
      </c>
      <c r="E59" s="306">
        <v>8955471</v>
      </c>
      <c r="F59" s="306">
        <v>23310027</v>
      </c>
      <c r="G59" s="306">
        <f>697298+998197</f>
        <v>1695495</v>
      </c>
      <c r="H59" s="306">
        <v>221616</v>
      </c>
      <c r="I59" s="307">
        <f t="shared" si="317"/>
        <v>0.25004532269381058</v>
      </c>
      <c r="J59" s="307">
        <f t="shared" si="318"/>
        <v>0.65083826671053235</v>
      </c>
      <c r="K59" s="307">
        <f t="shared" si="319"/>
        <v>4.7339843365105244E-2</v>
      </c>
      <c r="L59" s="306">
        <v>31535039</v>
      </c>
      <c r="M59" s="306">
        <v>29308480</v>
      </c>
      <c r="N59" s="308">
        <f>+O59-P59</f>
        <v>4230552</v>
      </c>
      <c r="O59" s="308">
        <v>4280352</v>
      </c>
      <c r="P59" s="308">
        <v>49800</v>
      </c>
      <c r="Q59" s="308">
        <v>-28841</v>
      </c>
      <c r="R59" s="308">
        <v>3281090</v>
      </c>
      <c r="S59" s="308">
        <v>4537158</v>
      </c>
      <c r="T59" s="308">
        <f>+T58</f>
        <v>4487358</v>
      </c>
      <c r="U59" s="316"/>
      <c r="V59" s="316">
        <v>28988200</v>
      </c>
      <c r="W59" s="317"/>
      <c r="X59" s="308">
        <v>-28841</v>
      </c>
      <c r="Y59" s="308">
        <v>-165480</v>
      </c>
      <c r="Z59" s="308">
        <v>162833</v>
      </c>
      <c r="AA59" s="308">
        <v>5429</v>
      </c>
      <c r="AB59" s="308">
        <v>-22321</v>
      </c>
      <c r="AC59" s="308"/>
      <c r="AD59" s="308">
        <v>-9302</v>
      </c>
      <c r="AE59" s="308">
        <f t="shared" si="160"/>
        <v>0</v>
      </c>
      <c r="AF59" s="306">
        <v>215817</v>
      </c>
      <c r="AG59" s="306">
        <v>650232</v>
      </c>
      <c r="AH59" s="306">
        <v>434415</v>
      </c>
      <c r="AI59" s="306">
        <v>145213</v>
      </c>
      <c r="AJ59" s="306">
        <f>14733-1273099</f>
        <v>-1258366</v>
      </c>
      <c r="AK59" s="306">
        <f>64-367</f>
        <v>-303</v>
      </c>
      <c r="AL59" s="306">
        <f>+AI59-AJ59-AK59-AN59</f>
        <v>1323181</v>
      </c>
      <c r="AM59" s="306"/>
      <c r="AN59" s="306">
        <f>137503-56802</f>
        <v>80701</v>
      </c>
      <c r="AO59" s="306">
        <v>361030</v>
      </c>
      <c r="AP59" s="306">
        <v>-557</v>
      </c>
      <c r="AQ59" s="308">
        <v>360473</v>
      </c>
      <c r="AR59" s="308">
        <v>267252</v>
      </c>
      <c r="AS59" s="308">
        <f>+AO59+AP59-AQ59</f>
        <v>0</v>
      </c>
      <c r="AT59" s="308">
        <f>+AJ59+AK59+AL59-AM59+AN59-AI59</f>
        <v>0</v>
      </c>
      <c r="AU59" s="308">
        <f>+AF59+AI59-AO59</f>
        <v>0</v>
      </c>
      <c r="AV59" s="308">
        <f t="shared" si="305"/>
        <v>215817</v>
      </c>
      <c r="AW59" s="308">
        <f t="shared" si="306"/>
        <v>145213</v>
      </c>
      <c r="AX59" s="308">
        <f t="shared" si="307"/>
        <v>-557</v>
      </c>
      <c r="AY59" s="308">
        <f t="shared" si="308"/>
        <v>360473</v>
      </c>
      <c r="AZ59" s="306"/>
      <c r="BA59" s="306"/>
      <c r="BB59" s="307"/>
      <c r="BC59" s="306">
        <v>363125</v>
      </c>
      <c r="BD59" s="306">
        <v>-105063</v>
      </c>
      <c r="BE59" s="306"/>
      <c r="BF59" s="306">
        <f>+-271121+3508</f>
        <v>-267613</v>
      </c>
      <c r="BG59" s="306">
        <v>-19640</v>
      </c>
      <c r="BH59" s="306"/>
      <c r="BI59" s="306">
        <v>350</v>
      </c>
      <c r="BJ59" s="306"/>
      <c r="BK59" s="306">
        <v>-28841</v>
      </c>
      <c r="BL59" s="308">
        <f>+BK59-BC59-SUM(BD59:BJ59)</f>
        <v>0</v>
      </c>
      <c r="BM59" s="306">
        <v>3145930</v>
      </c>
      <c r="BN59" s="306">
        <v>-130000</v>
      </c>
      <c r="BO59" s="306"/>
      <c r="BP59" s="306">
        <v>267252</v>
      </c>
      <c r="BQ59" s="306"/>
      <c r="BR59" s="306">
        <v>-2092</v>
      </c>
      <c r="BS59" s="306">
        <v>3281090</v>
      </c>
      <c r="BT59" s="308">
        <f t="shared" si="284"/>
        <v>0</v>
      </c>
      <c r="BU59" s="308">
        <v>25587106</v>
      </c>
      <c r="BV59" s="308">
        <v>526364</v>
      </c>
      <c r="BW59" s="308">
        <v>3195010</v>
      </c>
      <c r="BX59" s="308">
        <v>383197</v>
      </c>
      <c r="BY59" s="308">
        <v>219854</v>
      </c>
      <c r="BZ59" s="308">
        <v>-48514</v>
      </c>
      <c r="CA59" s="308">
        <v>69672</v>
      </c>
      <c r="CB59" s="308">
        <v>3010509</v>
      </c>
      <c r="CC59" s="306"/>
      <c r="CD59" s="306">
        <f t="shared" si="312"/>
        <v>0</v>
      </c>
      <c r="CE59" s="306">
        <v>189356</v>
      </c>
      <c r="CF59" s="306">
        <f>171245+156244</f>
        <v>327489</v>
      </c>
      <c r="CG59" s="306">
        <f>142896+130517</f>
        <v>273413</v>
      </c>
      <c r="CH59" s="306">
        <f>120825+114026+107418+102633+98472</f>
        <v>543374</v>
      </c>
      <c r="CI59" s="306">
        <f>407038+350791+298762+243289+561497</f>
        <v>1861377</v>
      </c>
      <c r="CJ59" s="306">
        <v>3195009</v>
      </c>
      <c r="CK59" s="306">
        <f>CJ59-SUM(CE59:CI59)</f>
        <v>0</v>
      </c>
      <c r="CL59" s="306">
        <f t="shared" si="313"/>
        <v>1</v>
      </c>
      <c r="CM59" s="306"/>
      <c r="CN59" s="307"/>
      <c r="CO59" s="306"/>
      <c r="CP59" s="306"/>
      <c r="CQ59" s="322">
        <v>2.5354000000000001</v>
      </c>
      <c r="CR59" s="323">
        <v>5862925</v>
      </c>
      <c r="CS59" s="323">
        <v>2312406</v>
      </c>
      <c r="CT59" s="306"/>
      <c r="CU59" s="306">
        <v>1301706</v>
      </c>
      <c r="CV59" s="306"/>
      <c r="CW59" s="324"/>
      <c r="CX59" s="324"/>
      <c r="CY59" s="324"/>
      <c r="CZ59" s="302"/>
      <c r="DA59" s="306"/>
      <c r="DB59" s="306"/>
      <c r="DC59" s="307"/>
      <c r="DD59" s="306"/>
      <c r="DE59" s="306"/>
      <c r="DF59" s="306"/>
      <c r="DG59" s="306"/>
      <c r="DH59" s="306"/>
      <c r="DI59" s="306"/>
      <c r="DJ59" s="306"/>
      <c r="DK59" s="306"/>
      <c r="DL59" s="306"/>
      <c r="DM59" s="306"/>
      <c r="DN59" s="306"/>
      <c r="DO59" s="306"/>
      <c r="DP59" s="306"/>
      <c r="DQ59" s="306"/>
      <c r="DR59" s="306"/>
      <c r="DS59" s="306"/>
      <c r="DT59" s="306"/>
      <c r="DU59" s="306"/>
      <c r="DV59" s="306"/>
      <c r="DW59" s="306"/>
      <c r="DX59" s="306"/>
      <c r="DY59" s="306"/>
      <c r="DZ59" s="306"/>
      <c r="EA59" s="306"/>
      <c r="EB59" s="306"/>
      <c r="EC59" s="306"/>
      <c r="ED59" s="306"/>
      <c r="EE59" s="306"/>
      <c r="EP59" s="306"/>
      <c r="EQ59" s="306"/>
      <c r="ER59" s="306"/>
      <c r="ES59" s="306"/>
      <c r="ET59" s="306"/>
      <c r="EU59" s="306"/>
      <c r="EV59" s="306"/>
      <c r="EW59" s="306"/>
      <c r="EX59" s="306"/>
      <c r="EY59" s="306"/>
      <c r="EZ59" s="306"/>
      <c r="FA59" s="306"/>
      <c r="FB59" s="306"/>
    </row>
    <row r="60" spans="1:160" s="305" customFormat="1">
      <c r="A60" s="305" t="str">
        <f t="shared" si="157"/>
        <v>2512KB라이프</v>
      </c>
      <c r="B60" s="305">
        <v>2512</v>
      </c>
      <c r="C60" s="305" t="s">
        <v>6</v>
      </c>
      <c r="D60" s="306">
        <v>35228934</v>
      </c>
      <c r="E60" s="306">
        <v>9242637</v>
      </c>
      <c r="F60" s="306">
        <v>22153157</v>
      </c>
      <c r="G60" s="306">
        <f>718086+977799</f>
        <v>1695885</v>
      </c>
      <c r="H60" s="306">
        <v>233432</v>
      </c>
      <c r="I60" s="307">
        <f t="shared" si="317"/>
        <v>0.26235925844364183</v>
      </c>
      <c r="J60" s="307">
        <f t="shared" si="318"/>
        <v>0.62883415660547659</v>
      </c>
      <c r="K60" s="307">
        <f t="shared" si="319"/>
        <v>4.8138981440653296E-2</v>
      </c>
      <c r="L60" s="306">
        <v>31010346</v>
      </c>
      <c r="M60" s="306">
        <f>841004+27636366</f>
        <v>28477370</v>
      </c>
      <c r="N60" s="308">
        <f>+O60-P60</f>
        <v>4168788</v>
      </c>
      <c r="O60" s="308">
        <v>4218588</v>
      </c>
      <c r="P60" s="308">
        <v>49800</v>
      </c>
      <c r="Q60" s="308">
        <v>31467</v>
      </c>
      <c r="R60" s="308">
        <v>3159018</v>
      </c>
      <c r="S60" s="308">
        <v>4537158</v>
      </c>
      <c r="T60" s="308">
        <f>+N56</f>
        <v>4487358</v>
      </c>
      <c r="U60" s="427"/>
      <c r="V60" s="427"/>
      <c r="W60" s="451"/>
      <c r="X60" s="308">
        <v>31467</v>
      </c>
      <c r="Y60" s="308">
        <v>-1063957</v>
      </c>
      <c r="Z60" s="308">
        <v>1141793</v>
      </c>
      <c r="AA60" s="308">
        <v>9328</v>
      </c>
      <c r="AB60" s="308">
        <v>-48859</v>
      </c>
      <c r="AC60" s="308"/>
      <c r="AD60" s="308">
        <v>-6838</v>
      </c>
      <c r="AE60" s="308">
        <f t="shared" si="160"/>
        <v>0</v>
      </c>
      <c r="AF60" s="306">
        <v>261885</v>
      </c>
      <c r="AG60" s="306">
        <v>872636</v>
      </c>
      <c r="AH60" s="306">
        <v>610751</v>
      </c>
      <c r="AI60" s="306">
        <v>151829</v>
      </c>
      <c r="AJ60" s="306">
        <f>7379-1834211</f>
        <v>-1826832</v>
      </c>
      <c r="AK60" s="306">
        <f>78-483</f>
        <v>-405</v>
      </c>
      <c r="AL60" s="306">
        <f>+AI60-AJ60-AK60-AN60</f>
        <v>1863480</v>
      </c>
      <c r="AM60" s="306"/>
      <c r="AN60" s="306">
        <f>191890-76304</f>
        <v>115586</v>
      </c>
      <c r="AO60" s="306">
        <v>413714</v>
      </c>
      <c r="AP60" s="306">
        <v>4478</v>
      </c>
      <c r="AQ60" s="308">
        <v>418192</v>
      </c>
      <c r="AR60" s="308">
        <v>265888</v>
      </c>
      <c r="AS60" s="308">
        <f>+AO60+AP60-AQ60</f>
        <v>0</v>
      </c>
      <c r="AT60" s="308">
        <f>+AJ60+AK60+AL60-AM60+AN60-AI60</f>
        <v>0</v>
      </c>
      <c r="AU60" s="308">
        <f>+AF60+AI60-AO60</f>
        <v>0</v>
      </c>
      <c r="AV60" s="308">
        <f t="shared" si="305"/>
        <v>261885</v>
      </c>
      <c r="AW60" s="308">
        <f t="shared" si="306"/>
        <v>151829</v>
      </c>
      <c r="AX60" s="308">
        <f t="shared" si="307"/>
        <v>4478</v>
      </c>
      <c r="AY60" s="308">
        <f t="shared" si="308"/>
        <v>418192</v>
      </c>
      <c r="AZ60" s="306"/>
      <c r="BA60" s="306"/>
      <c r="BB60" s="307"/>
      <c r="BC60" s="306">
        <v>363125</v>
      </c>
      <c r="BD60" s="306">
        <v>-1003540</v>
      </c>
      <c r="BE60" s="306"/>
      <c r="BF60" s="306">
        <f>707839+7408</f>
        <v>715247</v>
      </c>
      <c r="BG60" s="306">
        <v>-46179</v>
      </c>
      <c r="BH60" s="306"/>
      <c r="BI60" s="306">
        <v>2814</v>
      </c>
      <c r="BJ60" s="306"/>
      <c r="BK60" s="306">
        <v>31467</v>
      </c>
      <c r="BL60" s="308">
        <f>+BK60-BC60-SUM(BD60:BJ60)</f>
        <v>0</v>
      </c>
      <c r="BM60" s="306">
        <v>3145930</v>
      </c>
      <c r="BN60" s="306">
        <f>+-120000+-130000</f>
        <v>-250000</v>
      </c>
      <c r="BO60" s="306"/>
      <c r="BP60" s="306">
        <v>265888</v>
      </c>
      <c r="BQ60" s="306"/>
      <c r="BR60" s="306">
        <v>-2800</v>
      </c>
      <c r="BS60" s="306">
        <v>3159018</v>
      </c>
      <c r="BT60" s="308">
        <f t="shared" si="284"/>
        <v>0</v>
      </c>
      <c r="BU60" s="308">
        <f>803552+23859746</f>
        <v>24663298</v>
      </c>
      <c r="BV60" s="308">
        <f>2547+547750</f>
        <v>550297</v>
      </c>
      <c r="BW60" s="308">
        <f>34905+3228870</f>
        <v>3263775</v>
      </c>
      <c r="BX60" s="308">
        <v>504729</v>
      </c>
      <c r="BY60" s="308">
        <f>5506+292100</f>
        <v>297606</v>
      </c>
      <c r="BZ60" s="308">
        <f>-2646-48619</f>
        <v>-51265</v>
      </c>
      <c r="CA60" s="308">
        <f>1066+96342</f>
        <v>97408</v>
      </c>
      <c r="CB60" s="308">
        <v>3010509</v>
      </c>
      <c r="CC60" s="306"/>
      <c r="CD60" s="306">
        <f t="shared" si="312"/>
        <v>0</v>
      </c>
      <c r="CE60" s="306">
        <v>204954</v>
      </c>
      <c r="CF60" s="306">
        <f>186180+169946</f>
        <v>356126</v>
      </c>
      <c r="CG60" s="306">
        <f>155724+143039</f>
        <v>298763</v>
      </c>
      <c r="CH60" s="306">
        <f>133165+124910+117301+111498+105997</f>
        <v>592871</v>
      </c>
      <c r="CI60" s="306">
        <f>426833+351793+288705+228989+514741</f>
        <v>1811061</v>
      </c>
      <c r="CJ60" s="306">
        <v>3263775</v>
      </c>
      <c r="CK60" s="306">
        <f>CJ60-SUM(CE60:CI60)</f>
        <v>0</v>
      </c>
      <c r="CL60" s="306">
        <f t="shared" si="313"/>
        <v>0</v>
      </c>
      <c r="CM60" s="306"/>
      <c r="CN60" s="307">
        <v>2.7206000000000001</v>
      </c>
      <c r="CO60" s="306">
        <v>5871444</v>
      </c>
      <c r="CP60" s="306">
        <v>2158114</v>
      </c>
      <c r="CQ60" s="459">
        <v>2.7219000000000002</v>
      </c>
      <c r="CR60" s="308">
        <v>5871662</v>
      </c>
      <c r="CS60" s="308">
        <v>2157159</v>
      </c>
      <c r="CT60" s="306"/>
      <c r="CU60" s="306">
        <f>+CU56+422812</f>
        <v>1361155</v>
      </c>
      <c r="CV60" s="306"/>
      <c r="CW60" s="324">
        <v>0.52100000000000002</v>
      </c>
      <c r="CX60" s="324">
        <v>0.57199999999999995</v>
      </c>
      <c r="CY60" s="324">
        <v>-5.1999999999999998E-2</v>
      </c>
      <c r="CZ60" s="302">
        <f>+CX60/CW60</f>
        <v>1.0978886756238002</v>
      </c>
      <c r="DA60" s="306"/>
      <c r="DB60" s="306"/>
      <c r="DC60" s="307"/>
      <c r="DD60" s="306"/>
      <c r="DE60" s="306"/>
      <c r="DF60" s="306"/>
      <c r="DG60" s="306"/>
      <c r="DH60" s="306"/>
      <c r="DI60" s="306"/>
      <c r="DJ60" s="306"/>
      <c r="DK60" s="306"/>
      <c r="DL60" s="306"/>
      <c r="DM60" s="306"/>
      <c r="DN60" s="306"/>
      <c r="DO60" s="306"/>
      <c r="DP60" s="306"/>
      <c r="DQ60" s="306"/>
      <c r="DR60" s="306"/>
      <c r="DS60" s="306"/>
      <c r="DT60" s="306"/>
      <c r="DU60" s="306"/>
      <c r="DV60" s="306"/>
      <c r="DW60" s="306"/>
      <c r="DX60" s="306"/>
      <c r="DY60" s="306"/>
      <c r="DZ60" s="306"/>
      <c r="EA60" s="306"/>
      <c r="EB60" s="306"/>
      <c r="EC60" s="306"/>
      <c r="ED60" s="306"/>
      <c r="EE60" s="306"/>
      <c r="EP60" s="306">
        <v>328145</v>
      </c>
      <c r="EQ60" s="306">
        <v>-5289</v>
      </c>
      <c r="ER60" s="306">
        <v>-147004</v>
      </c>
      <c r="ES60" s="306">
        <v>20271</v>
      </c>
      <c r="ET60" s="306">
        <f>-101753-9344</f>
        <v>-111097</v>
      </c>
      <c r="EU60" s="306"/>
      <c r="EV60" s="306"/>
      <c r="EW60" s="306">
        <v>-328145</v>
      </c>
      <c r="EX60" s="306">
        <v>5289</v>
      </c>
      <c r="EY60" s="306">
        <v>147004</v>
      </c>
      <c r="EZ60" s="306">
        <v>-20271</v>
      </c>
      <c r="FA60" s="306">
        <v>111097</v>
      </c>
      <c r="FB60" s="306">
        <v>33761</v>
      </c>
      <c r="FC60" s="452">
        <f>SUM(EW60:FB60)-BZ60</f>
        <v>0</v>
      </c>
    </row>
    <row r="61" spans="1:160" s="305" customFormat="1">
      <c r="A61" s="305" t="str">
        <f t="shared" si="157"/>
        <v/>
      </c>
      <c r="D61" s="306"/>
      <c r="E61" s="306"/>
      <c r="F61" s="306"/>
      <c r="G61" s="306"/>
      <c r="H61" s="306"/>
      <c r="I61" s="307"/>
      <c r="J61" s="307"/>
      <c r="K61" s="307"/>
      <c r="L61" s="306"/>
      <c r="M61" s="306"/>
      <c r="N61" s="308"/>
      <c r="O61" s="308"/>
      <c r="P61" s="308"/>
      <c r="Q61" s="308"/>
      <c r="R61" s="308"/>
      <c r="S61" s="308"/>
      <c r="T61" s="308"/>
      <c r="U61" s="316"/>
      <c r="V61" s="316"/>
      <c r="W61" s="317"/>
      <c r="X61" s="308"/>
      <c r="Y61" s="308"/>
      <c r="Z61" s="308"/>
      <c r="AA61" s="308"/>
      <c r="AB61" s="308"/>
      <c r="AC61" s="308"/>
      <c r="AD61" s="308"/>
      <c r="AE61" s="308"/>
      <c r="AF61" s="306"/>
      <c r="AG61" s="306"/>
      <c r="AH61" s="306"/>
      <c r="AI61" s="306"/>
      <c r="AJ61" s="306"/>
      <c r="AK61" s="306"/>
      <c r="AL61" s="306"/>
      <c r="AM61" s="306"/>
      <c r="AN61" s="306"/>
      <c r="AO61" s="306"/>
      <c r="AP61" s="306"/>
      <c r="AQ61" s="308"/>
      <c r="AR61" s="308"/>
      <c r="AS61" s="308"/>
      <c r="AT61" s="308"/>
      <c r="AU61" s="308"/>
      <c r="AV61" s="308"/>
      <c r="AW61" s="308"/>
      <c r="AX61" s="308"/>
      <c r="AY61" s="308"/>
      <c r="AZ61" s="306"/>
      <c r="BA61" s="306"/>
      <c r="BB61" s="307"/>
      <c r="BC61" s="306"/>
      <c r="BD61" s="306"/>
      <c r="BE61" s="306"/>
      <c r="BF61" s="306"/>
      <c r="BG61" s="306"/>
      <c r="BH61" s="306"/>
      <c r="BI61" s="306"/>
      <c r="BJ61" s="306"/>
      <c r="BK61" s="306"/>
      <c r="BL61" s="308"/>
      <c r="BM61" s="306"/>
      <c r="BN61" s="306"/>
      <c r="BO61" s="306"/>
      <c r="BP61" s="306"/>
      <c r="BQ61" s="306"/>
      <c r="BR61" s="306"/>
      <c r="BS61" s="306"/>
      <c r="BT61" s="308"/>
      <c r="BU61" s="308"/>
      <c r="BV61" s="308"/>
      <c r="BW61" s="308"/>
      <c r="BX61" s="308"/>
      <c r="BY61" s="308"/>
      <c r="BZ61" s="308"/>
      <c r="CA61" s="308"/>
      <c r="CB61" s="308"/>
      <c r="CC61" s="306"/>
      <c r="CD61" s="306"/>
      <c r="CE61" s="306"/>
      <c r="CF61" s="306"/>
      <c r="CG61" s="306"/>
      <c r="CH61" s="306"/>
      <c r="CI61" s="306"/>
      <c r="CJ61" s="306"/>
      <c r="CK61" s="306"/>
      <c r="CL61" s="306"/>
      <c r="CM61" s="306"/>
      <c r="CN61" s="307"/>
      <c r="CO61" s="306"/>
      <c r="CP61" s="306"/>
      <c r="CQ61" s="462"/>
      <c r="CR61" s="463"/>
      <c r="CS61" s="463"/>
      <c r="CT61" s="306"/>
      <c r="CU61" s="306"/>
      <c r="CV61" s="306"/>
      <c r="CW61" s="324"/>
      <c r="CX61" s="324"/>
      <c r="CY61" s="324"/>
      <c r="CZ61" s="302"/>
      <c r="DA61" s="306"/>
      <c r="DB61" s="306"/>
      <c r="DC61" s="307"/>
      <c r="DD61" s="306"/>
      <c r="DE61" s="306"/>
      <c r="DF61" s="306"/>
      <c r="DG61" s="306"/>
      <c r="DH61" s="306"/>
      <c r="DI61" s="306"/>
      <c r="DJ61" s="306"/>
      <c r="DK61" s="306"/>
      <c r="DL61" s="306"/>
      <c r="DM61" s="306"/>
      <c r="DN61" s="306"/>
      <c r="DO61" s="306"/>
      <c r="DP61" s="306"/>
      <c r="DQ61" s="306"/>
      <c r="DR61" s="306"/>
      <c r="DS61" s="306"/>
      <c r="DT61" s="306"/>
      <c r="DU61" s="306"/>
      <c r="DV61" s="306"/>
      <c r="DW61" s="306"/>
      <c r="DX61" s="306"/>
      <c r="DY61" s="306"/>
      <c r="DZ61" s="306"/>
      <c r="EA61" s="306"/>
      <c r="EB61" s="306"/>
      <c r="EC61" s="306"/>
      <c r="ED61" s="306"/>
      <c r="EE61" s="306"/>
      <c r="EP61" s="306"/>
      <c r="EQ61" s="306"/>
      <c r="ER61" s="306"/>
      <c r="ES61" s="306"/>
      <c r="ET61" s="306"/>
      <c r="EU61" s="306"/>
      <c r="EV61" s="306"/>
      <c r="EW61" s="306"/>
      <c r="EX61" s="306"/>
      <c r="EY61" s="306"/>
      <c r="EZ61" s="306"/>
      <c r="FA61" s="306"/>
      <c r="FB61" s="306"/>
    </row>
    <row r="62" spans="1:160" s="301" customFormat="1">
      <c r="A62" s="301" t="str">
        <f t="shared" si="157"/>
        <v>2212삼성화재</v>
      </c>
      <c r="B62" s="301">
        <v>2212</v>
      </c>
      <c r="C62" s="301" t="s">
        <v>1036</v>
      </c>
      <c r="D62" s="2"/>
      <c r="E62" s="2"/>
      <c r="F62" s="2"/>
      <c r="G62" s="2"/>
      <c r="H62" s="2"/>
      <c r="I62" s="302"/>
      <c r="J62" s="302"/>
      <c r="K62" s="302"/>
      <c r="L62" s="2"/>
      <c r="M62" s="2"/>
      <c r="N62" s="4">
        <f t="shared" ref="N62:N97" si="320">O62-P62</f>
        <v>12087326.328411</v>
      </c>
      <c r="O62" s="4">
        <v>12087326.328411</v>
      </c>
      <c r="P62" s="4">
        <v>0</v>
      </c>
      <c r="Q62" s="4">
        <v>1694368.669894</v>
      </c>
      <c r="R62" s="4">
        <v>10910754.577965999</v>
      </c>
      <c r="S62" s="4"/>
      <c r="T62" s="4"/>
      <c r="U62" s="327"/>
      <c r="V62" s="327"/>
      <c r="W62" s="327"/>
      <c r="X62" s="4"/>
      <c r="Y62" s="4"/>
      <c r="Z62" s="4"/>
      <c r="AA62" s="4"/>
      <c r="AB62" s="4"/>
      <c r="AC62" s="4"/>
      <c r="AD62" s="4"/>
      <c r="AE62" s="4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4"/>
      <c r="AR62" s="4"/>
      <c r="AS62" s="4"/>
      <c r="AT62" s="4"/>
      <c r="AU62" s="4"/>
      <c r="AV62" s="4">
        <f t="shared" ref="AV62:AV100" si="321">+AF62</f>
        <v>0</v>
      </c>
      <c r="AW62" s="4">
        <f t="shared" ref="AW62:AW100" si="322">+AI62</f>
        <v>0</v>
      </c>
      <c r="AX62" s="4">
        <f t="shared" ref="AX62:AX100" si="323">+AP62</f>
        <v>0</v>
      </c>
      <c r="AY62" s="4">
        <f t="shared" ref="AY62:AY97" si="324">+SUM(AV62:AX62)</f>
        <v>0</v>
      </c>
      <c r="AZ62" s="2"/>
      <c r="BA62" s="2"/>
      <c r="BB62" s="302"/>
      <c r="BC62" s="2"/>
      <c r="BD62" s="2"/>
      <c r="BE62" s="2"/>
      <c r="BF62" s="2"/>
      <c r="BG62" s="2"/>
      <c r="BH62" s="2"/>
      <c r="BI62" s="2"/>
      <c r="BJ62" s="2"/>
      <c r="BK62" s="2"/>
      <c r="BL62" s="4"/>
      <c r="BM62" s="2"/>
      <c r="BN62" s="2"/>
      <c r="BO62" s="2"/>
      <c r="BP62" s="2"/>
      <c r="BQ62" s="2"/>
      <c r="BR62" s="2"/>
      <c r="BS62" s="2"/>
      <c r="BT62" s="4">
        <v>10705216.533996001</v>
      </c>
      <c r="BU62" s="4"/>
      <c r="BV62" s="4"/>
      <c r="BW62" s="4"/>
      <c r="BX62" s="4"/>
      <c r="BY62" s="4"/>
      <c r="BZ62" s="4"/>
      <c r="CA62" s="4"/>
      <c r="CB62" s="4"/>
      <c r="CC62" s="2"/>
      <c r="CD62" s="2">
        <f t="shared" ref="CD62:CD99" si="325">CB62+BX62-BY62+BZ62+CA62-BW62</f>
        <v>0</v>
      </c>
      <c r="CE62" s="2"/>
      <c r="CF62" s="2"/>
      <c r="CG62" s="2"/>
      <c r="CH62" s="2"/>
      <c r="CI62" s="2"/>
      <c r="CJ62" s="2"/>
      <c r="CK62" s="2">
        <f t="shared" ref="CK62:CK96" si="326">CJ62-SUM(CE62:CI62)</f>
        <v>0</v>
      </c>
      <c r="CL62" s="2">
        <f t="shared" ref="CL62:CL100" si="327">BW62-CJ62</f>
        <v>0</v>
      </c>
      <c r="CM62" s="2"/>
      <c r="CN62" s="302"/>
      <c r="CO62" s="2"/>
      <c r="CP62" s="2"/>
      <c r="CQ62" s="303"/>
      <c r="CR62" s="304"/>
      <c r="CS62" s="304"/>
      <c r="CT62" s="2"/>
      <c r="CU62" s="2"/>
      <c r="CV62" s="2"/>
      <c r="CW62" s="2"/>
      <c r="CX62" s="2"/>
      <c r="CY62" s="2"/>
      <c r="CZ62" s="2"/>
      <c r="DA62" s="2"/>
      <c r="DB62" s="2"/>
      <c r="DC62" s="30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 t="s">
        <v>1066</v>
      </c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</row>
    <row r="63" spans="1:160" s="301" customFormat="1">
      <c r="A63" s="301" t="str">
        <f t="shared" si="157"/>
        <v>2312삼성화재</v>
      </c>
      <c r="B63" s="301">
        <v>2312</v>
      </c>
      <c r="C63" s="301" t="s">
        <v>7</v>
      </c>
      <c r="D63" s="2">
        <v>83617400.318566993</v>
      </c>
      <c r="E63" s="2">
        <v>11482430.335878</v>
      </c>
      <c r="F63" s="2">
        <v>37719997.078624003</v>
      </c>
      <c r="G63" s="2">
        <f>1669987.493776+27231414.183783+794885.797313</f>
        <v>29696287.474872001</v>
      </c>
      <c r="H63" s="2">
        <v>579396.89072200004</v>
      </c>
      <c r="I63" s="302">
        <f t="shared" ref="I63:K68" si="328">+E63/$D63</f>
        <v>0.13732106346444689</v>
      </c>
      <c r="J63" s="302">
        <f t="shared" si="328"/>
        <v>0.45110224588324577</v>
      </c>
      <c r="K63" s="302">
        <f t="shared" si="328"/>
        <v>0.3551448306421221</v>
      </c>
      <c r="L63" s="2">
        <v>67712224.851601005</v>
      </c>
      <c r="M63" s="2">
        <v>51620536.425094001</v>
      </c>
      <c r="N63" s="4">
        <f t="shared" si="320"/>
        <v>15905175.466965999</v>
      </c>
      <c r="O63" s="4">
        <v>15905175.466965999</v>
      </c>
      <c r="P63" s="4">
        <v>0</v>
      </c>
      <c r="Q63" s="4">
        <v>4343488.2483980004</v>
      </c>
      <c r="R63" s="4">
        <v>12079484.138017001</v>
      </c>
      <c r="S63" s="4">
        <v>12087326.328411</v>
      </c>
      <c r="T63" s="308">
        <f t="shared" ref="T63:T65" si="329">N62</f>
        <v>12087326.328411</v>
      </c>
      <c r="U63" s="327">
        <v>83617400</v>
      </c>
      <c r="V63" s="327">
        <v>80508367</v>
      </c>
      <c r="W63" s="328">
        <v>0.96279999999999999</v>
      </c>
      <c r="X63" s="4">
        <v>4343488</v>
      </c>
      <c r="Y63" s="4">
        <v>3417619</v>
      </c>
      <c r="Z63" s="4">
        <v>931276</v>
      </c>
      <c r="AA63" s="4">
        <v>-22331</v>
      </c>
      <c r="AB63" s="4">
        <f>12574+99395</f>
        <v>111969</v>
      </c>
      <c r="AC63" s="4"/>
      <c r="AD63" s="4">
        <v>-95045</v>
      </c>
      <c r="AE63" s="4">
        <f t="shared" ref="AE63:AE87" si="330">X63-SUM(Y63:AD63)</f>
        <v>0</v>
      </c>
      <c r="AF63" s="2">
        <v>1863078.75816</v>
      </c>
      <c r="AG63" s="2">
        <v>16794121.007130999</v>
      </c>
      <c r="AH63" s="2">
        <v>14931042.248971</v>
      </c>
      <c r="AI63" s="2">
        <v>513146.17923299997</v>
      </c>
      <c r="AJ63" s="2">
        <f>154628.887049-1572926.27309</f>
        <v>-1418297.386041</v>
      </c>
      <c r="AK63" s="2">
        <f>87361.327908-4111.861203</f>
        <v>83249.466704999999</v>
      </c>
      <c r="AL63" s="2">
        <f>+AI63-AJ63-AK63+AM63-AN63</f>
        <v>1675700.9181909999</v>
      </c>
      <c r="AM63" s="2">
        <v>29548.213026000001</v>
      </c>
      <c r="AN63" s="2">
        <f>271150.136197-69108.742793</f>
        <v>202041.39340399997</v>
      </c>
      <c r="AO63" s="2">
        <v>2376224.9373929999</v>
      </c>
      <c r="AP63" s="2">
        <f>36286.217091-51454.73601</f>
        <v>-15168.518919000002</v>
      </c>
      <c r="AQ63" s="4">
        <v>2361056.4184739999</v>
      </c>
      <c r="AR63" s="4">
        <v>1755374.2869510001</v>
      </c>
      <c r="AS63" s="4">
        <f t="shared" ref="AS63:AS68" si="331">+AO63+AP63-AQ63</f>
        <v>0</v>
      </c>
      <c r="AT63" s="4">
        <f t="shared" ref="AT63:AT68" si="332">+AJ63+AK63+AL63-AM63+AN63-AI63</f>
        <v>0</v>
      </c>
      <c r="AU63" s="4">
        <f t="shared" ref="AU63:AU68" si="333">+AF63+AI63-AO63</f>
        <v>0</v>
      </c>
      <c r="AV63" s="4">
        <f t="shared" si="321"/>
        <v>1863078.75816</v>
      </c>
      <c r="AW63" s="4">
        <f t="shared" si="322"/>
        <v>513146.17923299997</v>
      </c>
      <c r="AX63" s="4">
        <f t="shared" si="323"/>
        <v>-15168.518919000002</v>
      </c>
      <c r="AY63" s="4">
        <f t="shared" si="324"/>
        <v>2361056.4184739999</v>
      </c>
      <c r="AZ63" s="2"/>
      <c r="BA63" s="2"/>
      <c r="BB63" s="302">
        <f t="shared" ref="BB63:BB64" si="334">+BF63/(BU63+BV63+BW63)</f>
        <v>-1.2962318596764643E-2</v>
      </c>
      <c r="BC63" s="2">
        <v>1694368.669894</v>
      </c>
      <c r="BD63" s="2">
        <v>3240092.034186</v>
      </c>
      <c r="BE63" s="2"/>
      <c r="BF63" s="2">
        <f>-592355.043137+17131.545319</f>
        <v>-575223.49781799992</v>
      </c>
      <c r="BG63" s="2">
        <f>2142.982758+32250.606365</f>
        <v>34393.589122999998</v>
      </c>
      <c r="BH63" s="2"/>
      <c r="BI63" s="2">
        <v>-50142.546987000002</v>
      </c>
      <c r="BJ63" s="2"/>
      <c r="BK63" s="2">
        <v>4343488.2483980004</v>
      </c>
      <c r="BL63" s="4">
        <f>+BK63-BC63-SUM(BD63:BJ63)</f>
        <v>0</v>
      </c>
      <c r="BM63" s="2">
        <v>10910754.577966001</v>
      </c>
      <c r="BN63" s="2">
        <v>-586644.72690000001</v>
      </c>
      <c r="BO63" s="2"/>
      <c r="BP63" s="2">
        <v>1755374.2869510001</v>
      </c>
      <c r="BQ63" s="2"/>
      <c r="BR63" s="2"/>
      <c r="BS63" s="2">
        <v>12079484.138017001</v>
      </c>
      <c r="BT63" s="4">
        <f t="shared" ref="BT63:BT100" si="335">+BM63+SUM(BN63:BR63)-BS63</f>
        <v>0</v>
      </c>
      <c r="BU63" s="4">
        <v>29570875</v>
      </c>
      <c r="BV63" s="4">
        <v>1502897</v>
      </c>
      <c r="BW63" s="4">
        <v>13302818</v>
      </c>
      <c r="BX63" s="4">
        <v>3499533</v>
      </c>
      <c r="BY63" s="4">
        <v>1538540</v>
      </c>
      <c r="BZ63" s="4">
        <v>-1200244</v>
      </c>
      <c r="CA63" s="4">
        <v>397899</v>
      </c>
      <c r="CB63" s="4">
        <v>12144170</v>
      </c>
      <c r="CC63" s="2"/>
      <c r="CD63" s="2">
        <f t="shared" si="325"/>
        <v>0</v>
      </c>
      <c r="CE63" s="2">
        <v>1064159</v>
      </c>
      <c r="CF63" s="2">
        <v>1691307</v>
      </c>
      <c r="CG63" s="2">
        <v>1316590</v>
      </c>
      <c r="CH63" s="2">
        <v>9230762</v>
      </c>
      <c r="CI63" s="2"/>
      <c r="CJ63" s="2">
        <v>13302818</v>
      </c>
      <c r="CK63" s="2">
        <f t="shared" si="326"/>
        <v>0</v>
      </c>
      <c r="CL63" s="2">
        <f t="shared" si="327"/>
        <v>0</v>
      </c>
      <c r="CM63" s="2"/>
      <c r="CN63" s="302">
        <v>2.7233000000000001</v>
      </c>
      <c r="CO63" s="2">
        <v>23852200</v>
      </c>
      <c r="CP63" s="2">
        <v>8758500</v>
      </c>
      <c r="CQ63" s="303">
        <v>2.7301000000000002</v>
      </c>
      <c r="CR63" s="304">
        <v>23762200</v>
      </c>
      <c r="CS63" s="304">
        <v>8703800</v>
      </c>
      <c r="CT63" s="2"/>
      <c r="CU63" s="2">
        <v>1180012.1363590001</v>
      </c>
      <c r="CV63" s="2"/>
      <c r="CW63" s="2"/>
      <c r="CX63" s="2"/>
      <c r="CY63" s="2"/>
      <c r="CZ63" s="2"/>
      <c r="DA63" s="2"/>
      <c r="DB63" s="2" t="s">
        <v>1067</v>
      </c>
      <c r="DC63" s="302">
        <v>0.84714225490990103</v>
      </c>
      <c r="DD63" s="2">
        <v>4036564.5258099996</v>
      </c>
      <c r="DE63" s="2">
        <f t="shared" ref="DE63:DE68" si="336">+DD63*DC63</f>
        <v>3419544.3744839984</v>
      </c>
      <c r="DF63" s="2"/>
      <c r="DG63" s="2">
        <f>+DH63+DK63</f>
        <v>141342.45956300001</v>
      </c>
      <c r="DH63" s="2">
        <f>+DI63-DJ63</f>
        <v>226132.12183899991</v>
      </c>
      <c r="DI63" s="2">
        <v>4628567.7066029999</v>
      </c>
      <c r="DJ63" s="2">
        <v>4402435.584764</v>
      </c>
      <c r="DK63" s="2">
        <f>+DL63-DM63</f>
        <v>-84789.662275999901</v>
      </c>
      <c r="DL63" s="2">
        <v>865733.76603000006</v>
      </c>
      <c r="DM63" s="2">
        <v>950523.42830599996</v>
      </c>
      <c r="DN63" s="2"/>
      <c r="DO63" s="2"/>
      <c r="DP63" s="2"/>
      <c r="DQ63" s="2"/>
      <c r="DR63" s="2" t="s">
        <v>82</v>
      </c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</row>
    <row r="64" spans="1:160" s="301" customFormat="1">
      <c r="A64" s="301" t="str">
        <f t="shared" si="157"/>
        <v>2412삼성화재</v>
      </c>
      <c r="B64" s="301">
        <v>2412</v>
      </c>
      <c r="C64" s="301" t="s">
        <v>7</v>
      </c>
      <c r="D64" s="2">
        <v>85223562.940378994</v>
      </c>
      <c r="E64" s="2">
        <v>12871140.409560001</v>
      </c>
      <c r="F64" s="2">
        <v>37005933.194439001</v>
      </c>
      <c r="G64" s="2">
        <f>1667014.328696+26831302.703393</f>
        <v>28498317.032089002</v>
      </c>
      <c r="H64" s="2">
        <v>750180.73039200006</v>
      </c>
      <c r="I64" s="302">
        <f t="shared" si="328"/>
        <v>0.1510279547754233</v>
      </c>
      <c r="J64" s="302">
        <f t="shared" si="328"/>
        <v>0.43422185036229644</v>
      </c>
      <c r="K64" s="302">
        <f t="shared" si="328"/>
        <v>0.33439480876933009</v>
      </c>
      <c r="L64" s="2">
        <v>69927725.392902002</v>
      </c>
      <c r="M64" s="2">
        <v>51609548.606734999</v>
      </c>
      <c r="N64" s="4">
        <f t="shared" si="320"/>
        <v>15295837.547476999</v>
      </c>
      <c r="O64" s="4">
        <v>15295837.547476999</v>
      </c>
      <c r="P64" s="4">
        <v>0</v>
      </c>
      <c r="Q64" s="4">
        <v>2368463.8186889999</v>
      </c>
      <c r="R64" s="4">
        <v>13445170.648236999</v>
      </c>
      <c r="S64" s="4">
        <v>15905175.466965999</v>
      </c>
      <c r="T64" s="308">
        <f t="shared" si="329"/>
        <v>15905175.466965999</v>
      </c>
      <c r="U64" s="327">
        <v>85223563</v>
      </c>
      <c r="V64" s="327">
        <v>81940978</v>
      </c>
      <c r="W64" s="328">
        <v>0.96150000000000002</v>
      </c>
      <c r="X64" s="4">
        <v>2368464</v>
      </c>
      <c r="Y64" s="4">
        <v>2371798</v>
      </c>
      <c r="Z64" s="4">
        <v>-685</v>
      </c>
      <c r="AA64" s="4">
        <v>-23861</v>
      </c>
      <c r="AB64" s="4">
        <f>117358+33393</f>
        <v>150751</v>
      </c>
      <c r="AC64" s="4"/>
      <c r="AD64" s="4">
        <v>-129539</v>
      </c>
      <c r="AE64" s="4">
        <f t="shared" si="330"/>
        <v>0</v>
      </c>
      <c r="AF64" s="2">
        <v>1780370.3943350001</v>
      </c>
      <c r="AG64" s="2">
        <v>17534798.454723001</v>
      </c>
      <c r="AH64" s="2">
        <v>15754428.060388001</v>
      </c>
      <c r="AI64" s="2">
        <v>919173.46410400001</v>
      </c>
      <c r="AJ64" s="2">
        <f>10013.049568-1513542.715169</f>
        <v>-1503529.665601</v>
      </c>
      <c r="AK64" s="2">
        <f>107300.799703-33987.993592</f>
        <v>73312.806110999998</v>
      </c>
      <c r="AL64" s="2">
        <f>+AI64-AJ64-AK64+AM64-AN64</f>
        <v>1929047.989389</v>
      </c>
      <c r="AM64" s="2">
        <v>28248.237907999999</v>
      </c>
      <c r="AN64" s="2">
        <f>520208.967779-71618.395666</f>
        <v>448590.57211299997</v>
      </c>
      <c r="AO64" s="2">
        <v>2699543.8584389999</v>
      </c>
      <c r="AP64" s="2">
        <f>29579.166741-25038.650185</f>
        <v>4540.5165560000023</v>
      </c>
      <c r="AQ64" s="4">
        <v>2704084.3749950002</v>
      </c>
      <c r="AR64" s="4">
        <v>2047781.248104</v>
      </c>
      <c r="AS64" s="4">
        <f t="shared" si="331"/>
        <v>0</v>
      </c>
      <c r="AT64" s="4">
        <f t="shared" si="332"/>
        <v>0</v>
      </c>
      <c r="AU64" s="4">
        <f t="shared" si="333"/>
        <v>0</v>
      </c>
      <c r="AV64" s="4">
        <f t="shared" si="321"/>
        <v>1780370.3943350001</v>
      </c>
      <c r="AW64" s="4">
        <f t="shared" si="322"/>
        <v>919173.46410400001</v>
      </c>
      <c r="AX64" s="4">
        <f t="shared" si="323"/>
        <v>4540.5165560000023</v>
      </c>
      <c r="AY64" s="4">
        <f t="shared" si="324"/>
        <v>2704084.3749950002</v>
      </c>
      <c r="AZ64" s="2"/>
      <c r="BA64" s="2"/>
      <c r="BB64" s="302">
        <f t="shared" si="334"/>
        <v>-2.1186471984680395E-2</v>
      </c>
      <c r="BC64" s="2">
        <v>4343488.2483980004</v>
      </c>
      <c r="BD64" s="2">
        <v>-1045820.858672</v>
      </c>
      <c r="BE64" s="2"/>
      <c r="BF64" s="2">
        <f>-931960.57417-1529.385733</f>
        <v>-933489.95990300004</v>
      </c>
      <c r="BG64" s="2">
        <f>18752.901707-790.388542</f>
        <v>17962.513165</v>
      </c>
      <c r="BH64" s="2"/>
      <c r="BI64" s="2">
        <v>-34495.269752</v>
      </c>
      <c r="BJ64" s="2">
        <v>20819.145453000001</v>
      </c>
      <c r="BK64" s="2">
        <v>2368463.8186889999</v>
      </c>
      <c r="BL64" s="4">
        <f>+BK64-BC64-SUM(BD64:BJ64)</f>
        <v>0</v>
      </c>
      <c r="BM64" s="2">
        <v>12079484.138017001</v>
      </c>
      <c r="BN64" s="2">
        <v>-680165.66209999996</v>
      </c>
      <c r="BO64" s="2"/>
      <c r="BP64" s="2">
        <v>2047781.248104</v>
      </c>
      <c r="BQ64" s="2">
        <v>-1929.0757840000001</v>
      </c>
      <c r="BR64" s="2"/>
      <c r="BS64" s="2">
        <v>13445170.648236999</v>
      </c>
      <c r="BT64" s="4">
        <f t="shared" si="335"/>
        <v>0</v>
      </c>
      <c r="BU64" s="4">
        <v>28209271</v>
      </c>
      <c r="BV64" s="4">
        <v>1777482</v>
      </c>
      <c r="BW64" s="4">
        <v>14073908</v>
      </c>
      <c r="BX64" s="4">
        <v>3451183</v>
      </c>
      <c r="BY64" s="4">
        <v>1612298</v>
      </c>
      <c r="BZ64" s="4">
        <v>-1558374</v>
      </c>
      <c r="CA64" s="4">
        <v>490579</v>
      </c>
      <c r="CB64" s="4">
        <v>13302818</v>
      </c>
      <c r="CC64" s="717">
        <f>+BU64/BU63</f>
        <v>0.95395455832808462</v>
      </c>
      <c r="CD64" s="2">
        <f t="shared" si="325"/>
        <v>0</v>
      </c>
      <c r="CE64" s="2">
        <v>1058610</v>
      </c>
      <c r="CF64" s="2">
        <v>1681189</v>
      </c>
      <c r="CG64" s="2">
        <v>1288901</v>
      </c>
      <c r="CH64" s="2">
        <v>10045209</v>
      </c>
      <c r="CI64" s="2"/>
      <c r="CJ64" s="2">
        <v>14073909</v>
      </c>
      <c r="CK64" s="2">
        <f t="shared" si="326"/>
        <v>0</v>
      </c>
      <c r="CL64" s="2">
        <f t="shared" si="327"/>
        <v>-1</v>
      </c>
      <c r="CM64" s="2"/>
      <c r="CN64" s="302"/>
      <c r="CO64" s="2"/>
      <c r="CP64" s="2"/>
      <c r="CQ64" s="303">
        <v>2.6446000000000001</v>
      </c>
      <c r="CR64" s="304">
        <v>24163900</v>
      </c>
      <c r="CS64" s="304">
        <v>9137100</v>
      </c>
      <c r="CT64" s="2"/>
      <c r="CU64" s="425">
        <v>2213099.2953019999</v>
      </c>
      <c r="CV64" s="2"/>
      <c r="CW64" s="312">
        <v>0.90239999999999998</v>
      </c>
      <c r="CX64" s="312">
        <v>0.87560000000000004</v>
      </c>
      <c r="CY64" s="312">
        <v>2.6800000000000001E-2</v>
      </c>
      <c r="CZ64" s="302">
        <f>+CX64/CW64</f>
        <v>0.9703014184397164</v>
      </c>
      <c r="DA64" s="2"/>
      <c r="DB64" s="2" t="s">
        <v>1067</v>
      </c>
      <c r="DC64" s="302">
        <v>0.87710003433081696</v>
      </c>
      <c r="DD64" s="2">
        <v>4423763.2355199996</v>
      </c>
      <c r="DE64" s="2">
        <f t="shared" si="336"/>
        <v>3880082.8857459975</v>
      </c>
      <c r="DF64" s="2"/>
      <c r="DG64" s="2">
        <f>+DH64+DK64</f>
        <v>80699.256915000267</v>
      </c>
      <c r="DH64" s="2">
        <f>+DI64-DJ64</f>
        <v>146436.28929600026</v>
      </c>
      <c r="DI64" s="2">
        <v>4819223.7926160004</v>
      </c>
      <c r="DJ64" s="2">
        <v>4672787.5033200001</v>
      </c>
      <c r="DK64" s="2">
        <f>+DL64-DM64</f>
        <v>-65737.032380999997</v>
      </c>
      <c r="DL64" s="2">
        <v>975827.90717799996</v>
      </c>
      <c r="DM64" s="2">
        <v>1041564.939559</v>
      </c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P64" s="2">
        <v>702988</v>
      </c>
      <c r="EQ64" s="2">
        <v>186850</v>
      </c>
      <c r="ER64" s="2">
        <v>-46788</v>
      </c>
      <c r="ES64" s="2">
        <v>-349516</v>
      </c>
      <c r="ET64" s="2">
        <f>1005940+132421</f>
        <v>1138361</v>
      </c>
      <c r="EU64" s="2"/>
      <c r="EV64" s="2"/>
      <c r="EW64" s="2">
        <v>-702988</v>
      </c>
      <c r="EX64" s="2">
        <v>-186850</v>
      </c>
      <c r="EY64" s="2">
        <v>46788</v>
      </c>
      <c r="EZ64" s="2">
        <v>349516</v>
      </c>
      <c r="FA64" s="2">
        <v>-1138361</v>
      </c>
      <c r="FB64" s="2">
        <v>73521</v>
      </c>
      <c r="FC64" s="452">
        <f>SUM(EW64:FB64)-BZ64</f>
        <v>0</v>
      </c>
    </row>
    <row r="65" spans="1:159" s="301" customFormat="1">
      <c r="A65" s="301" t="str">
        <f t="shared" si="157"/>
        <v>2503삼성화재</v>
      </c>
      <c r="B65" s="301">
        <v>2503</v>
      </c>
      <c r="C65" s="301" t="s">
        <v>7</v>
      </c>
      <c r="D65" s="2">
        <v>86372190.309066996</v>
      </c>
      <c r="E65" s="2">
        <v>12738820.165580999</v>
      </c>
      <c r="F65" s="2">
        <v>38638753.217122003</v>
      </c>
      <c r="G65" s="2">
        <f>1667110.329556+26863233.548232+984873.810626</f>
        <v>29515217.688414</v>
      </c>
      <c r="H65" s="2">
        <v>750161.21873700002</v>
      </c>
      <c r="I65" s="302">
        <f t="shared" si="328"/>
        <v>0.14748752023073022</v>
      </c>
      <c r="J65" s="302">
        <f t="shared" si="328"/>
        <v>0.4473517816192959</v>
      </c>
      <c r="K65" s="302">
        <f t="shared" si="328"/>
        <v>0.34172130616115237</v>
      </c>
      <c r="L65" s="2">
        <v>71349476.577412993</v>
      </c>
      <c r="M65" s="2">
        <v>51961988.308161996</v>
      </c>
      <c r="N65" s="4">
        <f t="shared" si="320"/>
        <v>15022713.731654</v>
      </c>
      <c r="O65" s="4">
        <v>15022713.731654</v>
      </c>
      <c r="P65" s="4">
        <v>0</v>
      </c>
      <c r="Q65" s="4">
        <v>2307195.774284</v>
      </c>
      <c r="R65" s="4">
        <v>13233314.876819</v>
      </c>
      <c r="S65" s="4">
        <v>15295837.547476999</v>
      </c>
      <c r="T65" s="308">
        <f t="shared" si="329"/>
        <v>15295837.547476999</v>
      </c>
      <c r="U65" s="327">
        <v>86372190</v>
      </c>
      <c r="V65" s="327">
        <v>82790948</v>
      </c>
      <c r="W65" s="328">
        <v>0.95850000000000002</v>
      </c>
      <c r="X65" s="4">
        <v>2307196</v>
      </c>
      <c r="Y65" s="4">
        <v>2962361</v>
      </c>
      <c r="Z65" s="4">
        <v>-623619</v>
      </c>
      <c r="AA65" s="4">
        <v>-26880</v>
      </c>
      <c r="AB65" s="4">
        <f>95622+29810</f>
        <v>125432</v>
      </c>
      <c r="AC65" s="4"/>
      <c r="AD65" s="4">
        <v>-130098</v>
      </c>
      <c r="AE65" s="4">
        <f t="shared" si="330"/>
        <v>0</v>
      </c>
      <c r="AF65" s="2">
        <v>481593.29545600002</v>
      </c>
      <c r="AG65" s="2">
        <v>4809826.3360219998</v>
      </c>
      <c r="AH65" s="2">
        <v>4328233.0405660002</v>
      </c>
      <c r="AI65" s="2">
        <v>271543.41725</v>
      </c>
      <c r="AJ65" s="2">
        <f>33727.517223-380941.162101</f>
        <v>-347213.64487800002</v>
      </c>
      <c r="AK65" s="2">
        <f>28191.279982-6969.172543</f>
        <v>21222.107438999999</v>
      </c>
      <c r="AL65" s="2">
        <f>+AI65-AJ65-AK65+AM65-AN65</f>
        <v>493046.14695899986</v>
      </c>
      <c r="AM65" s="2">
        <v>7590.3852820000002</v>
      </c>
      <c r="AN65" s="2">
        <f>129965.048171-17885.855159</f>
        <v>112079.193012</v>
      </c>
      <c r="AO65" s="2">
        <v>753136.71270599996</v>
      </c>
      <c r="AP65" s="2">
        <f>6418.825572-4598.452749</f>
        <v>1820.3728229999997</v>
      </c>
      <c r="AQ65" s="4">
        <v>754957.08552900003</v>
      </c>
      <c r="AR65" s="4">
        <v>555633.84342699999</v>
      </c>
      <c r="AS65" s="4">
        <f t="shared" si="331"/>
        <v>0</v>
      </c>
      <c r="AT65" s="4">
        <f t="shared" si="332"/>
        <v>0</v>
      </c>
      <c r="AU65" s="4">
        <f t="shared" si="333"/>
        <v>0</v>
      </c>
      <c r="AV65" s="4">
        <f t="shared" si="321"/>
        <v>481593.29545600002</v>
      </c>
      <c r="AW65" s="4">
        <f t="shared" si="322"/>
        <v>271543.41725</v>
      </c>
      <c r="AX65" s="4">
        <f t="shared" si="323"/>
        <v>1820.3728229999997</v>
      </c>
      <c r="AY65" s="4">
        <f t="shared" si="324"/>
        <v>754957.08552900003</v>
      </c>
      <c r="AZ65" s="2"/>
      <c r="BA65" s="2"/>
      <c r="BB65" s="302"/>
      <c r="BC65" s="2">
        <v>2368463.8186889999</v>
      </c>
      <c r="BD65" s="2">
        <v>590563.05394400004</v>
      </c>
      <c r="BE65" s="2"/>
      <c r="BF65" s="2">
        <f>-622934.408132-3018.844003</f>
        <v>-625953.25213499996</v>
      </c>
      <c r="BG65" s="2">
        <f>-21165.128515-570.657381</f>
        <v>-21735.785896000001</v>
      </c>
      <c r="BH65" s="2"/>
      <c r="BI65" s="2">
        <v>-559.16910299999995</v>
      </c>
      <c r="BJ65" s="2">
        <v>-3582.8912150000001</v>
      </c>
      <c r="BK65" s="2">
        <v>2307195.774284</v>
      </c>
      <c r="BL65" s="4">
        <f>+BK65-BC65-SUM(BD65:BJ65)</f>
        <v>1.0186340659856796E-10</v>
      </c>
      <c r="BM65" s="2">
        <v>13445170.648236999</v>
      </c>
      <c r="BN65" s="2">
        <v>-807694.21010000003</v>
      </c>
      <c r="BO65" s="2"/>
      <c r="BP65" s="2">
        <v>555633.84342699999</v>
      </c>
      <c r="BQ65" s="2"/>
      <c r="BR65" s="2">
        <v>40204.595255</v>
      </c>
      <c r="BS65" s="2">
        <v>13233314.876819</v>
      </c>
      <c r="BT65" s="4">
        <f t="shared" si="335"/>
        <v>0</v>
      </c>
      <c r="BU65" s="4">
        <v>28243066</v>
      </c>
      <c r="BV65" s="4">
        <v>1836765</v>
      </c>
      <c r="BW65" s="4">
        <v>14332819</v>
      </c>
      <c r="BX65" s="4">
        <v>701517</v>
      </c>
      <c r="BY65" s="4">
        <v>406021</v>
      </c>
      <c r="BZ65" s="4">
        <v>-159055</v>
      </c>
      <c r="CA65" s="4">
        <v>122470</v>
      </c>
      <c r="CB65" s="4">
        <v>14073908</v>
      </c>
      <c r="CC65" s="717"/>
      <c r="CD65" s="2">
        <f t="shared" si="325"/>
        <v>0</v>
      </c>
      <c r="CE65" s="2">
        <v>1067663</v>
      </c>
      <c r="CF65" s="2">
        <v>1687001</v>
      </c>
      <c r="CG65" s="2">
        <v>1290035</v>
      </c>
      <c r="CH65" s="2">
        <v>10288121</v>
      </c>
      <c r="CI65" s="2"/>
      <c r="CJ65" s="2">
        <v>14332820</v>
      </c>
      <c r="CK65" s="2">
        <f t="shared" ref="CK65" si="337">CJ65-SUM(CE65:CI65)</f>
        <v>0</v>
      </c>
      <c r="CL65" s="2">
        <f t="shared" si="327"/>
        <v>-1</v>
      </c>
      <c r="CM65" s="2"/>
      <c r="CN65" s="302"/>
      <c r="CO65" s="2"/>
      <c r="CP65" s="2"/>
      <c r="CQ65" s="303">
        <v>2.6661000000000001</v>
      </c>
      <c r="CR65" s="304">
        <v>24913500</v>
      </c>
      <c r="CS65" s="304">
        <v>9344600</v>
      </c>
      <c r="CT65" s="2"/>
      <c r="CU65" s="2">
        <f>+CU64+473747.770874</f>
        <v>2686847.0661760001</v>
      </c>
      <c r="CV65" s="2"/>
      <c r="CW65" s="312"/>
      <c r="CX65" s="312"/>
      <c r="CY65" s="312"/>
      <c r="CZ65" s="302"/>
      <c r="DA65" s="2"/>
      <c r="DB65" s="2" t="s">
        <v>1067</v>
      </c>
      <c r="DC65" s="302">
        <v>0.93628043651918658</v>
      </c>
      <c r="DD65" s="2">
        <v>1192632.035464</v>
      </c>
      <c r="DE65" s="2">
        <f t="shared" si="336"/>
        <v>1116638.0427709999</v>
      </c>
      <c r="DF65" s="2"/>
      <c r="DG65" s="2">
        <f>+DH65+DK65</f>
        <v>-16383.063461999816</v>
      </c>
      <c r="DH65" s="2">
        <f>+DI65-DJ65</f>
        <v>-23415.317217999836</v>
      </c>
      <c r="DI65" s="2">
        <v>1369460.5777740001</v>
      </c>
      <c r="DJ65" s="2">
        <v>1392875.894992</v>
      </c>
      <c r="DK65" s="2">
        <f>+DL65-DM65</f>
        <v>7032.2537560000201</v>
      </c>
      <c r="DL65" s="2">
        <v>259459.56983800002</v>
      </c>
      <c r="DM65" s="2">
        <v>252427.316082</v>
      </c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</row>
    <row r="66" spans="1:159" s="301" customFormat="1">
      <c r="A66" s="301" t="str">
        <f t="shared" si="157"/>
        <v>2506삼성화재</v>
      </c>
      <c r="B66" s="301">
        <v>2506</v>
      </c>
      <c r="C66" s="301" t="str">
        <f>C65</f>
        <v>삼성화재</v>
      </c>
      <c r="D66" s="2">
        <v>86078393.878755003</v>
      </c>
      <c r="E66" s="2">
        <v>11969379.353568999</v>
      </c>
      <c r="F66" s="2">
        <v>38563051.136619002</v>
      </c>
      <c r="G66" s="2">
        <v>29628952.175301999</v>
      </c>
      <c r="H66" s="2">
        <v>750161.21873700002</v>
      </c>
      <c r="I66" s="302">
        <f t="shared" si="328"/>
        <v>0.13905207583715337</v>
      </c>
      <c r="J66" s="302">
        <f t="shared" si="328"/>
        <v>0.44799919467522431</v>
      </c>
      <c r="K66" s="302">
        <f t="shared" si="328"/>
        <v>0.34420893374283457</v>
      </c>
      <c r="L66" s="2">
        <v>70054256.140402004</v>
      </c>
      <c r="M66" s="2">
        <v>50968518.224509001</v>
      </c>
      <c r="N66" s="4">
        <v>16024137.738352999</v>
      </c>
      <c r="O66" s="4">
        <v>16024137.738352999</v>
      </c>
      <c r="P66" s="4">
        <v>0</v>
      </c>
      <c r="Q66" s="4">
        <v>2920605.1058029998</v>
      </c>
      <c r="R66" s="4">
        <v>13353245.747586999</v>
      </c>
      <c r="S66" s="4">
        <v>15295837.547476999</v>
      </c>
      <c r="T66" s="308">
        <f>T65</f>
        <v>15295837.547476999</v>
      </c>
      <c r="U66" s="327">
        <v>86078394</v>
      </c>
      <c r="V66" s="327">
        <v>82430331</v>
      </c>
      <c r="W66" s="328">
        <v>0.95760000000000001</v>
      </c>
      <c r="X66" s="4">
        <v>2920605</v>
      </c>
      <c r="Y66" s="4">
        <v>3222658</v>
      </c>
      <c r="Z66" s="4">
        <v>-247275</v>
      </c>
      <c r="AA66" s="4">
        <v>-17098</v>
      </c>
      <c r="AB66" s="4">
        <f>72391+22652-1802</f>
        <v>93241</v>
      </c>
      <c r="AC66" s="4"/>
      <c r="AD66" s="4">
        <v>-130921</v>
      </c>
      <c r="AE66" s="4">
        <f t="shared" si="330"/>
        <v>0</v>
      </c>
      <c r="AF66" s="2">
        <v>935730.89560499997</v>
      </c>
      <c r="AG66" s="2">
        <v>9516852.0358899999</v>
      </c>
      <c r="AH66" s="2">
        <v>8581121.1402850002</v>
      </c>
      <c r="AI66" s="2">
        <v>336858.707482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1272589.6030870001</v>
      </c>
      <c r="AP66" s="2">
        <v>4009.4341760000007</v>
      </c>
      <c r="AQ66" s="4">
        <v>1276599.0372629999</v>
      </c>
      <c r="AR66" s="4">
        <v>953860.48580200004</v>
      </c>
      <c r="AS66" s="4">
        <f t="shared" si="331"/>
        <v>0</v>
      </c>
      <c r="AT66" s="4">
        <f t="shared" si="332"/>
        <v>-336858.707482</v>
      </c>
      <c r="AU66" s="4">
        <f t="shared" si="333"/>
        <v>0</v>
      </c>
      <c r="AV66" s="4">
        <f t="shared" si="321"/>
        <v>935730.89560499997</v>
      </c>
      <c r="AW66" s="4">
        <f t="shared" si="322"/>
        <v>336858.707482</v>
      </c>
      <c r="AX66" s="4">
        <f t="shared" si="323"/>
        <v>4009.4341760000007</v>
      </c>
      <c r="AY66" s="4">
        <f t="shared" si="324"/>
        <v>1276599.0372630002</v>
      </c>
      <c r="AZ66" s="2"/>
      <c r="BA66" s="2"/>
      <c r="BB66" s="302"/>
      <c r="BC66" s="2">
        <v>2368463.8186889999</v>
      </c>
      <c r="BD66" s="2">
        <v>850860.41796200001</v>
      </c>
      <c r="BE66" s="2">
        <v>0</v>
      </c>
      <c r="BF66" s="2">
        <v>-239826.99231199999</v>
      </c>
      <c r="BG66" s="2">
        <v>-46768.580762999998</v>
      </c>
      <c r="BH66" s="2">
        <v>0</v>
      </c>
      <c r="BI66" s="2">
        <v>-1382.1486010000001</v>
      </c>
      <c r="BJ66" s="2">
        <v>-10741.409172</v>
      </c>
      <c r="BK66" s="2">
        <v>2920605.1058029998</v>
      </c>
      <c r="BL66" s="4">
        <v>0</v>
      </c>
      <c r="BM66" s="2">
        <v>13445170.648236999</v>
      </c>
      <c r="BN66" s="2">
        <v>-807694.21010000003</v>
      </c>
      <c r="BO66" s="2">
        <v>-268083.804412</v>
      </c>
      <c r="BP66" s="2">
        <v>953860.48580200004</v>
      </c>
      <c r="BQ66" s="2">
        <v>29992.628059999999</v>
      </c>
      <c r="BR66" s="2">
        <v>0</v>
      </c>
      <c r="BS66" s="2">
        <v>13353245.747586999</v>
      </c>
      <c r="BT66" s="4">
        <f t="shared" si="335"/>
        <v>0</v>
      </c>
      <c r="BU66" s="4">
        <v>27013801</v>
      </c>
      <c r="BV66" s="4">
        <v>1873492</v>
      </c>
      <c r="BW66" s="4">
        <v>14577584</v>
      </c>
      <c r="BX66" s="4">
        <v>1421250</v>
      </c>
      <c r="BY66" s="4">
        <v>812438</v>
      </c>
      <c r="BZ66" s="4">
        <v>-352985</v>
      </c>
      <c r="CA66" s="4">
        <v>247849</v>
      </c>
      <c r="CB66" s="4">
        <v>14073908</v>
      </c>
      <c r="CC66" s="2"/>
      <c r="CD66" s="2">
        <f t="shared" si="325"/>
        <v>0</v>
      </c>
      <c r="CE66" s="2">
        <v>1074780</v>
      </c>
      <c r="CF66" s="2">
        <v>1687276</v>
      </c>
      <c r="CG66" s="2">
        <v>1293134</v>
      </c>
      <c r="CH66" s="2">
        <v>10522394</v>
      </c>
      <c r="CI66" s="2"/>
      <c r="CJ66" s="2">
        <v>14577584</v>
      </c>
      <c r="CK66" s="2">
        <f t="shared" ref="CK66" si="338">CJ66-SUM(CE66:CI66)</f>
        <v>0</v>
      </c>
      <c r="CL66" s="2">
        <f t="shared" si="327"/>
        <v>0</v>
      </c>
      <c r="CM66" s="2"/>
      <c r="CN66" s="302"/>
      <c r="CO66" s="2"/>
      <c r="CP66" s="2"/>
      <c r="CQ66" s="303">
        <v>2.7448000000000001</v>
      </c>
      <c r="CR66" s="304">
        <v>26341200</v>
      </c>
      <c r="CS66" s="304">
        <v>9596700</v>
      </c>
      <c r="CT66" s="2"/>
      <c r="CU66" s="2">
        <v>3191994</v>
      </c>
      <c r="CV66" s="2"/>
      <c r="CW66" s="312"/>
      <c r="CX66" s="312"/>
      <c r="CY66" s="312"/>
      <c r="CZ66" s="302"/>
      <c r="DA66" s="2"/>
      <c r="DB66" s="2"/>
      <c r="DC66" s="302">
        <v>0.91536417641076195</v>
      </c>
      <c r="DD66" s="2">
        <v>2426709.378889</v>
      </c>
      <c r="DE66" s="2">
        <f t="shared" si="336"/>
        <v>2221322.8319950011</v>
      </c>
      <c r="DF66" s="2"/>
      <c r="DG66" s="2">
        <f>+DH66+DK66</f>
        <v>2660.9590870000038</v>
      </c>
      <c r="DH66" s="2">
        <v>4073.4827830000031</v>
      </c>
      <c r="DI66" s="2">
        <v>2773787.5649930001</v>
      </c>
      <c r="DJ66" s="2">
        <v>2769714.0822099997</v>
      </c>
      <c r="DK66" s="2">
        <v>-1412.5236959999995</v>
      </c>
      <c r="DL66" s="2">
        <v>510681.03301800002</v>
      </c>
      <c r="DM66" s="2">
        <v>512093.55671400001</v>
      </c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</row>
    <row r="67" spans="1:159" s="301" customFormat="1">
      <c r="A67" s="301" t="str">
        <f t="shared" si="157"/>
        <v>2509삼성화재</v>
      </c>
      <c r="B67" s="301">
        <v>2509</v>
      </c>
      <c r="C67" s="301" t="s">
        <v>106</v>
      </c>
      <c r="D67" s="2">
        <v>88148171.915124997</v>
      </c>
      <c r="E67" s="2">
        <v>12434155.336138999</v>
      </c>
      <c r="F67" s="2">
        <v>41218580.528379999</v>
      </c>
      <c r="G67" s="2">
        <f>1667856.30376+26500437.297167+888852.87871</f>
        <v>29057146.479637001</v>
      </c>
      <c r="H67" s="2">
        <v>750158.48813800002</v>
      </c>
      <c r="I67" s="302">
        <f t="shared" si="328"/>
        <v>0.14105970737670478</v>
      </c>
      <c r="J67" s="302">
        <f t="shared" si="328"/>
        <v>0.46760561941168816</v>
      </c>
      <c r="K67" s="302">
        <f>+G67/$D67</f>
        <v>0.3296398081586443</v>
      </c>
      <c r="L67" s="2">
        <v>70041296.881246999</v>
      </c>
      <c r="M67" s="2">
        <v>50107799.429931998</v>
      </c>
      <c r="N67" s="4">
        <f>+O67-P67</f>
        <v>18106875.033877999</v>
      </c>
      <c r="O67" s="4">
        <v>18106875.033877999</v>
      </c>
      <c r="P67" s="4">
        <v>0</v>
      </c>
      <c r="Q67" s="4">
        <v>4494421.4112750003</v>
      </c>
      <c r="R67" s="4">
        <v>13862166.737640001</v>
      </c>
      <c r="S67" s="4">
        <v>15295837.547476999</v>
      </c>
      <c r="T67" s="308">
        <f>T66</f>
        <v>15295837.547476999</v>
      </c>
      <c r="U67" s="327">
        <v>88148172</v>
      </c>
      <c r="V67" s="327">
        <v>84705710</v>
      </c>
      <c r="W67" s="328">
        <v>0.96089999999999998</v>
      </c>
      <c r="X67" s="4">
        <v>4494421</v>
      </c>
      <c r="Y67" s="4">
        <v>4683280</v>
      </c>
      <c r="Z67" s="4">
        <v>-86565</v>
      </c>
      <c r="AA67" s="4">
        <v>-14812</v>
      </c>
      <c r="AB67" s="4">
        <f>22937+23631+-2604</f>
        <v>43964</v>
      </c>
      <c r="AC67" s="4"/>
      <c r="AD67" s="4">
        <v>-131446</v>
      </c>
      <c r="AE67" s="4">
        <f t="shared" si="330"/>
        <v>0</v>
      </c>
      <c r="AF67" s="2">
        <v>1286276.6447370001</v>
      </c>
      <c r="AG67" s="2">
        <v>14280562.834864</v>
      </c>
      <c r="AH67" s="2">
        <v>12994286.190127</v>
      </c>
      <c r="AI67" s="2">
        <v>650889.54026699997</v>
      </c>
      <c r="AJ67" s="2">
        <f>140600.087587-1119381.041328</f>
        <v>-978780.95374099992</v>
      </c>
      <c r="AK67" s="2">
        <f>73781.996569-51057.296652</f>
        <v>22724.699916999998</v>
      </c>
      <c r="AL67" s="2">
        <f>+AI67-AJ67-AK67+AM67-AN67</f>
        <v>890425.09225099999</v>
      </c>
      <c r="AM67" s="2">
        <v>22107.717014000002</v>
      </c>
      <c r="AN67" s="2">
        <f>794253.445204-55625.02635</f>
        <v>738628.41885400005</v>
      </c>
      <c r="AO67" s="2">
        <v>1937166.1850040001</v>
      </c>
      <c r="AP67" s="2">
        <f>16833.073767-7961.638771</f>
        <v>8871.4349960000018</v>
      </c>
      <c r="AQ67" s="4">
        <v>1946037.62</v>
      </c>
      <c r="AR67" s="4">
        <v>1463183.521807</v>
      </c>
      <c r="AS67" s="4">
        <f t="shared" si="331"/>
        <v>0</v>
      </c>
      <c r="AT67" s="4">
        <f t="shared" si="332"/>
        <v>0</v>
      </c>
      <c r="AU67" s="4">
        <f t="shared" si="333"/>
        <v>0</v>
      </c>
      <c r="AV67" s="4">
        <f t="shared" si="321"/>
        <v>1286276.6447370001</v>
      </c>
      <c r="AW67" s="4">
        <f t="shared" si="322"/>
        <v>650889.54026699997</v>
      </c>
      <c r="AX67" s="4">
        <f t="shared" si="323"/>
        <v>8871.4349960000018</v>
      </c>
      <c r="AY67" s="4">
        <f t="shared" si="324"/>
        <v>1946037.62</v>
      </c>
      <c r="AZ67" s="2"/>
      <c r="BA67" s="2"/>
      <c r="BB67" s="302"/>
      <c r="BC67" s="2">
        <v>2368463.8186889999</v>
      </c>
      <c r="BD67" s="2">
        <v>2311482.1161250002</v>
      </c>
      <c r="BE67" s="2"/>
      <c r="BF67" s="2">
        <f>+-85879.903394+9049.194389</f>
        <v>-76830.709004999997</v>
      </c>
      <c r="BG67" s="2">
        <f>+-95665.831229+-1358.829303</f>
        <v>-97024.660532000009</v>
      </c>
      <c r="BH67" s="2"/>
      <c r="BI67" s="2">
        <v>-1906.7818850000001</v>
      </c>
      <c r="BJ67" s="2">
        <v>-9762.3721170000008</v>
      </c>
      <c r="BK67" s="2">
        <v>4494421.4112750003</v>
      </c>
      <c r="BL67" s="4">
        <f>+BK67-BC67-SUM(BD67:BJ67)</f>
        <v>0</v>
      </c>
      <c r="BM67" s="2">
        <v>13445170.648236999</v>
      </c>
      <c r="BN67" s="2">
        <v>-807694.21010000003</v>
      </c>
      <c r="BO67" s="2">
        <v>-268083.804412</v>
      </c>
      <c r="BP67" s="2">
        <v>1463183.521807</v>
      </c>
      <c r="BQ67" s="2">
        <v>29590.582107999999</v>
      </c>
      <c r="BR67" s="2"/>
      <c r="BS67" s="2">
        <v>13862166.737640001</v>
      </c>
      <c r="BT67" s="4">
        <f t="shared" si="335"/>
        <v>0</v>
      </c>
      <c r="BU67" s="4">
        <v>25810316</v>
      </c>
      <c r="BV67" s="4">
        <v>1892676</v>
      </c>
      <c r="BW67" s="4">
        <v>15007679</v>
      </c>
      <c r="BX67" s="4">
        <v>2188166</v>
      </c>
      <c r="BY67" s="4">
        <v>1228632</v>
      </c>
      <c r="BZ67" s="4">
        <v>-399524</v>
      </c>
      <c r="CA67" s="4">
        <v>373760</v>
      </c>
      <c r="CB67" s="4">
        <v>14073909</v>
      </c>
      <c r="CC67" s="2"/>
      <c r="CD67" s="2">
        <f t="shared" si="325"/>
        <v>0</v>
      </c>
      <c r="CE67" s="2">
        <v>1095965</v>
      </c>
      <c r="CF67" s="2">
        <v>1708224</v>
      </c>
      <c r="CG67" s="2">
        <v>1312222</v>
      </c>
      <c r="CH67" s="2">
        <v>10891268</v>
      </c>
      <c r="CI67" s="2"/>
      <c r="CJ67" s="2">
        <v>15007679</v>
      </c>
      <c r="CK67" s="2">
        <f t="shared" ref="CK67:CK68" si="339">CJ67-SUM(CE67:CI67)</f>
        <v>0</v>
      </c>
      <c r="CL67" s="2">
        <f t="shared" si="327"/>
        <v>0</v>
      </c>
      <c r="CM67" s="2"/>
      <c r="CN67" s="302"/>
      <c r="CO67" s="2"/>
      <c r="CP67" s="2"/>
      <c r="CQ67" s="303">
        <v>2.7591999999999999</v>
      </c>
      <c r="CR67" s="304">
        <v>28650200</v>
      </c>
      <c r="CS67" s="304">
        <v>10383300</v>
      </c>
      <c r="CT67" s="2"/>
      <c r="CU67" s="2">
        <f>+CU64+1455141.301178</f>
        <v>3668240.5964799998</v>
      </c>
      <c r="CV67" s="2"/>
      <c r="CW67" s="312"/>
      <c r="CX67" s="312"/>
      <c r="CY67" s="312"/>
      <c r="CZ67" s="302"/>
      <c r="DA67" s="2"/>
      <c r="DB67" s="2"/>
      <c r="DC67" s="302">
        <f>+'[11]Profit &amp; Loss Breakdown'!$N$38/100</f>
        <v>0.92470355655838044</v>
      </c>
      <c r="DD67" s="2">
        <f>'[11]Profit &amp; Loss Breakdown'!$N$35*100</f>
        <v>3690098.5795490001</v>
      </c>
      <c r="DE67" s="2">
        <f t="shared" si="336"/>
        <v>3412247.2805599882</v>
      </c>
      <c r="DF67" s="2"/>
      <c r="DG67" s="2">
        <f>+DH67+DK67</f>
        <v>-42244.703844999662</v>
      </c>
      <c r="DH67" s="2">
        <f>+DI67-DJ67</f>
        <v>-47449.411201999523</v>
      </c>
      <c r="DI67" s="2">
        <v>4194289.8730629999</v>
      </c>
      <c r="DJ67" s="2">
        <v>4241739.2842649994</v>
      </c>
      <c r="DK67" s="2">
        <f>+DL67-DM67</f>
        <v>5204.7073569998611</v>
      </c>
      <c r="DL67" s="2">
        <v>762866.39182299993</v>
      </c>
      <c r="DM67" s="2">
        <v>757661.68446600006</v>
      </c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</row>
    <row r="68" spans="1:159" s="301" customFormat="1">
      <c r="A68" s="301" t="str">
        <f t="shared" si="157"/>
        <v>2512삼성화재</v>
      </c>
      <c r="B68" s="301">
        <v>2512</v>
      </c>
      <c r="C68" s="301" t="s">
        <v>106</v>
      </c>
      <c r="D68" s="2">
        <v>93809044.479173005</v>
      </c>
      <c r="E68" s="2">
        <v>12705776.538884001</v>
      </c>
      <c r="F68" s="2">
        <v>43430681.364228003</v>
      </c>
      <c r="G68" s="2">
        <f>1668466.766686+27421114.215978+996161.682235</f>
        <v>30085742.664898999</v>
      </c>
      <c r="H68" s="2">
        <v>1613522.0008759999</v>
      </c>
      <c r="I68" s="302">
        <f t="shared" si="328"/>
        <v>0.13544298003914612</v>
      </c>
      <c r="J68" s="302">
        <f t="shared" si="328"/>
        <v>0.46296901972890531</v>
      </c>
      <c r="K68" s="302">
        <f>+G68/$D68</f>
        <v>0.32071260113494149</v>
      </c>
      <c r="L68" s="2">
        <v>73181267.241129994</v>
      </c>
      <c r="M68" s="2">
        <v>48734812.310826004</v>
      </c>
      <c r="N68" s="4">
        <f>+O68-P68</f>
        <v>20627777.238042999</v>
      </c>
      <c r="O68" s="4">
        <v>20627777.238042999</v>
      </c>
      <c r="P68" s="4"/>
      <c r="Q68" s="4">
        <v>6787628.9229889996</v>
      </c>
      <c r="R68" s="4">
        <v>14089861.430090999</v>
      </c>
      <c r="S68" s="4">
        <v>15295837.547476999</v>
      </c>
      <c r="T68" s="308">
        <f>+N64</f>
        <v>15295837.547476999</v>
      </c>
      <c r="U68" s="427">
        <v>93809044</v>
      </c>
      <c r="V68" s="427">
        <v>90152163</v>
      </c>
      <c r="W68" s="428">
        <v>0.96099999999999997</v>
      </c>
      <c r="X68" s="4">
        <v>6787628.9229889996</v>
      </c>
      <c r="Y68" s="4">
        <v>6316661</v>
      </c>
      <c r="Z68" s="4">
        <v>697232</v>
      </c>
      <c r="AA68" s="4">
        <v>-7749</v>
      </c>
      <c r="AB68" s="4">
        <f>+-99048+29380+-3205</f>
        <v>-72873</v>
      </c>
      <c r="AC68" s="4"/>
      <c r="AD68" s="4">
        <v>-145642</v>
      </c>
      <c r="AE68" s="4">
        <f t="shared" si="330"/>
        <v>-7.7011000365018845E-2</v>
      </c>
      <c r="AF68" s="2">
        <v>1446696.251285</v>
      </c>
      <c r="AG68" s="2">
        <v>19136809.629629999</v>
      </c>
      <c r="AH68" s="2">
        <v>17690113.378345001</v>
      </c>
      <c r="AI68" s="2">
        <v>883986.44576300005</v>
      </c>
      <c r="AJ68" s="2">
        <f>177911.559602-1482494.903786</f>
        <v>-1304583.344184</v>
      </c>
      <c r="AK68" s="2">
        <f>115937.905157-65905.269856</f>
        <v>50032.635301000002</v>
      </c>
      <c r="AL68" s="2">
        <f>+AI68-AJ68-AK68+AM68-AN68</f>
        <v>1339953.9085120005</v>
      </c>
      <c r="AM68" s="2">
        <v>28410.555036999998</v>
      </c>
      <c r="AN68" s="2">
        <f>901429.391097-74435.589926</f>
        <v>826993.801171</v>
      </c>
      <c r="AO68" s="2">
        <v>2330682.6970480001</v>
      </c>
      <c r="AP68" s="2">
        <f>26461.571931-23664.86366</f>
        <v>2796.7082709999995</v>
      </c>
      <c r="AQ68" s="4">
        <v>2333479.4053190001</v>
      </c>
      <c r="AR68" s="4">
        <v>1690878.214258</v>
      </c>
      <c r="AS68" s="4">
        <f t="shared" si="331"/>
        <v>0</v>
      </c>
      <c r="AT68" s="4">
        <f t="shared" si="332"/>
        <v>0</v>
      </c>
      <c r="AU68" s="4">
        <f t="shared" si="333"/>
        <v>0</v>
      </c>
      <c r="AV68" s="4">
        <f t="shared" si="321"/>
        <v>1446696.251285</v>
      </c>
      <c r="AW68" s="4">
        <f t="shared" si="322"/>
        <v>883986.44576300005</v>
      </c>
      <c r="AX68" s="4">
        <f t="shared" si="323"/>
        <v>2796.7082709999995</v>
      </c>
      <c r="AY68" s="4">
        <f t="shared" ref="AY68" si="340">+SUM(AV68:AX68)</f>
        <v>2333479.4053190001</v>
      </c>
      <c r="AZ68" s="2"/>
      <c r="BA68" s="2"/>
      <c r="BB68" s="302"/>
      <c r="BC68" s="2">
        <v>2368463.8186889999</v>
      </c>
      <c r="BD68" s="2">
        <v>3944863.7088959999</v>
      </c>
      <c r="BE68" s="2"/>
      <c r="BF68" s="2">
        <f>697916.874077+16111.501598</f>
        <v>714028.3756749999</v>
      </c>
      <c r="BG68" s="2">
        <f>+-217651.358093+-1960.223683</f>
        <v>-219611.58177599998</v>
      </c>
      <c r="BH68" s="2"/>
      <c r="BI68" s="2">
        <v>-16102.228811000001</v>
      </c>
      <c r="BJ68" s="2">
        <v>-4013.169684</v>
      </c>
      <c r="BK68" s="2">
        <v>6787628.9229889996</v>
      </c>
      <c r="BL68" s="4">
        <f>+BK68-BC68-SUM(BD68:BJ68)</f>
        <v>0</v>
      </c>
      <c r="BM68" s="2">
        <v>13445170.648236999</v>
      </c>
      <c r="BN68" s="2">
        <v>-807694.21010000003</v>
      </c>
      <c r="BO68" s="2">
        <v>-268083.804412</v>
      </c>
      <c r="BP68" s="2">
        <v>1690878.214258</v>
      </c>
      <c r="BQ68" s="2">
        <v>29590.582107999999</v>
      </c>
      <c r="BR68" s="2"/>
      <c r="BS68" s="2">
        <v>14089861.430090999</v>
      </c>
      <c r="BT68" s="4">
        <f t="shared" si="335"/>
        <v>0</v>
      </c>
      <c r="BU68" s="4">
        <f>18995942+6051537</f>
        <v>25047479</v>
      </c>
      <c r="BV68" s="4">
        <f>11680+1884011</f>
        <v>1895691</v>
      </c>
      <c r="BW68" s="4">
        <f>525226+13642438</f>
        <v>14167664</v>
      </c>
      <c r="BX68" s="4">
        <v>2898367</v>
      </c>
      <c r="BY68" s="4">
        <f>51994+1568787</f>
        <v>1620781</v>
      </c>
      <c r="BZ68" s="4">
        <f>-118775-1567342</f>
        <v>-1686117</v>
      </c>
      <c r="CA68" s="4">
        <f>18718+483569</f>
        <v>502287</v>
      </c>
      <c r="CB68" s="4">
        <f>+CB67</f>
        <v>14073909</v>
      </c>
      <c r="CC68" s="2"/>
      <c r="CD68" s="2">
        <f t="shared" si="325"/>
        <v>1</v>
      </c>
      <c r="CE68" s="2">
        <v>1047949</v>
      </c>
      <c r="CF68" s="2">
        <v>1619374</v>
      </c>
      <c r="CG68" s="2">
        <v>1238141</v>
      </c>
      <c r="CH68" s="2">
        <v>10262200</v>
      </c>
      <c r="CI68" s="2"/>
      <c r="CJ68" s="2">
        <v>14167664</v>
      </c>
      <c r="CK68" s="2">
        <f t="shared" si="339"/>
        <v>0</v>
      </c>
      <c r="CL68" s="2">
        <f t="shared" si="327"/>
        <v>0</v>
      </c>
      <c r="CM68" s="2"/>
      <c r="CN68" s="302">
        <v>2.6286999999999998</v>
      </c>
      <c r="CO68" s="2">
        <v>29300000</v>
      </c>
      <c r="CP68" s="2">
        <v>11146300</v>
      </c>
      <c r="CQ68" s="302">
        <v>2.6286999999999998</v>
      </c>
      <c r="CR68" s="2">
        <v>29300000</v>
      </c>
      <c r="CS68" s="2">
        <v>11146300</v>
      </c>
      <c r="CT68" s="2"/>
      <c r="CU68" s="2">
        <f>+CU64+1916970.674228</f>
        <v>4130069.9695299999</v>
      </c>
      <c r="CV68" s="2"/>
      <c r="CW68" s="312">
        <v>0.95179999999999998</v>
      </c>
      <c r="CX68" s="312">
        <v>0.97545999999999999</v>
      </c>
      <c r="CY68" s="312">
        <v>-2.3699999999999999E-2</v>
      </c>
      <c r="CZ68" s="302">
        <f>+CX68/CW68</f>
        <v>1.0248581634797227</v>
      </c>
      <c r="DA68" s="2"/>
      <c r="DB68" s="2"/>
      <c r="DC68" s="302">
        <f>'[12]Profit &amp; Loss Breakdown'!$N$38/100</f>
        <v>0.92593771512820156</v>
      </c>
      <c r="DD68" s="2">
        <f>'[12]Profit &amp; Loss Breakdown'!$N$35*100</f>
        <v>4989056.2940180004</v>
      </c>
      <c r="DE68" s="2">
        <f t="shared" si="336"/>
        <v>4619555.3855290003</v>
      </c>
      <c r="DF68" s="2"/>
      <c r="DG68" s="2">
        <f>(+DH68+DK68)</f>
        <v>-169095.94646399998</v>
      </c>
      <c r="DH68" s="2">
        <v>-124729.28968799999</v>
      </c>
      <c r="DI68" s="2">
        <v>5638005.853658</v>
      </c>
      <c r="DJ68" s="2">
        <v>5762735.1433459995</v>
      </c>
      <c r="DK68" s="2">
        <v>-44366.656776000003</v>
      </c>
      <c r="DL68" s="2">
        <v>982610.31965199998</v>
      </c>
      <c r="DM68" s="2">
        <v>1026976.9764279999</v>
      </c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P68" s="425">
        <v>467437</v>
      </c>
      <c r="EQ68" s="425">
        <v>1214514</v>
      </c>
      <c r="ER68" s="425">
        <v>-623691</v>
      </c>
      <c r="ES68" s="425">
        <v>-111475</v>
      </c>
      <c r="ET68" s="425">
        <f>696352-17524</f>
        <v>678828</v>
      </c>
      <c r="EU68" s="425">
        <v>1643136</v>
      </c>
      <c r="EV68" s="425"/>
      <c r="EW68" s="425">
        <v>-467437</v>
      </c>
      <c r="EX68" s="425">
        <v>-1214514</v>
      </c>
      <c r="EY68" s="425">
        <v>623691</v>
      </c>
      <c r="EZ68" s="425">
        <v>111475</v>
      </c>
      <c r="FA68" s="425">
        <v>-678828</v>
      </c>
      <c r="FB68" s="425">
        <v>-60506</v>
      </c>
      <c r="FC68" s="452">
        <f>SUM(EW68:FB68)-BZ68</f>
        <v>-2</v>
      </c>
    </row>
    <row r="69" spans="1:159" s="301" customFormat="1">
      <c r="A69" s="301" t="str">
        <f t="shared" si="157"/>
        <v/>
      </c>
      <c r="D69" s="2"/>
      <c r="E69" s="2"/>
      <c r="F69" s="2"/>
      <c r="G69" s="2"/>
      <c r="H69" s="2"/>
      <c r="I69" s="302"/>
      <c r="J69" s="302"/>
      <c r="K69" s="302"/>
      <c r="L69" s="2"/>
      <c r="M69" s="2"/>
      <c r="N69" s="4"/>
      <c r="O69" s="4"/>
      <c r="P69" s="4"/>
      <c r="Q69" s="4"/>
      <c r="R69" s="4"/>
      <c r="S69" s="4"/>
      <c r="T69" s="308"/>
      <c r="U69" s="327"/>
      <c r="V69" s="327"/>
      <c r="W69" s="328"/>
      <c r="X69" s="4"/>
      <c r="Y69" s="4"/>
      <c r="Z69" s="4"/>
      <c r="AA69" s="4"/>
      <c r="AB69" s="4"/>
      <c r="AC69" s="4"/>
      <c r="AD69" s="4"/>
      <c r="AE69" s="4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4"/>
      <c r="AR69" s="4"/>
      <c r="AS69" s="4"/>
      <c r="AT69" s="4"/>
      <c r="AU69" s="4"/>
      <c r="AV69" s="4"/>
      <c r="AW69" s="4"/>
      <c r="AX69" s="4"/>
      <c r="AY69" s="4"/>
      <c r="AZ69" s="2"/>
      <c r="BA69" s="2"/>
      <c r="BB69" s="302"/>
      <c r="BC69" s="2"/>
      <c r="BD69" s="2"/>
      <c r="BE69" s="2"/>
      <c r="BF69" s="2"/>
      <c r="BG69" s="2"/>
      <c r="BH69" s="2"/>
      <c r="BI69" s="2"/>
      <c r="BJ69" s="2"/>
      <c r="BK69" s="2"/>
      <c r="BL69" s="4"/>
      <c r="BM69" s="2"/>
      <c r="BN69" s="2"/>
      <c r="BO69" s="2"/>
      <c r="BP69" s="2"/>
      <c r="BQ69" s="2"/>
      <c r="BR69" s="2"/>
      <c r="BS69" s="2"/>
      <c r="BT69" s="4"/>
      <c r="BU69" s="4"/>
      <c r="BV69" s="4"/>
      <c r="BW69" s="4"/>
      <c r="BX69" s="4"/>
      <c r="BY69" s="4"/>
      <c r="BZ69" s="4"/>
      <c r="CA69" s="4"/>
      <c r="CB69" s="4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302"/>
      <c r="CO69" s="2"/>
      <c r="CP69" s="2"/>
      <c r="CQ69" s="461"/>
      <c r="CR69" s="4"/>
      <c r="CS69" s="4"/>
      <c r="CT69" s="2"/>
      <c r="CU69" s="2"/>
      <c r="CV69" s="2"/>
      <c r="CW69" s="312"/>
      <c r="CX69" s="312"/>
      <c r="CY69" s="312"/>
      <c r="CZ69" s="302"/>
      <c r="DA69" s="2"/>
      <c r="DB69" s="2"/>
      <c r="DC69" s="302"/>
      <c r="DD69" s="2"/>
      <c r="DE69" s="2"/>
      <c r="DF69" s="2"/>
      <c r="DG69" s="2"/>
      <c r="DH69" s="2"/>
      <c r="DI69" s="2"/>
      <c r="DJ69" s="307">
        <f>+DJ68/DI68</f>
        <v>1.0221229443398101</v>
      </c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</row>
    <row r="70" spans="1:159" s="305" customFormat="1">
      <c r="A70" s="305" t="str">
        <f t="shared" si="157"/>
        <v>2212현대해상</v>
      </c>
      <c r="B70" s="305">
        <v>2212</v>
      </c>
      <c r="C70" s="305" t="s">
        <v>8</v>
      </c>
      <c r="D70" s="306"/>
      <c r="E70" s="306"/>
      <c r="F70" s="306"/>
      <c r="G70" s="306"/>
      <c r="H70" s="306"/>
      <c r="I70" s="307"/>
      <c r="J70" s="307"/>
      <c r="K70" s="307"/>
      <c r="L70" s="306"/>
      <c r="M70" s="306"/>
      <c r="N70" s="308">
        <f t="shared" si="320"/>
        <v>5970249.4962729998</v>
      </c>
      <c r="O70" s="308">
        <v>6470249.4962729998</v>
      </c>
      <c r="P70" s="308">
        <v>500000</v>
      </c>
      <c r="Q70" s="308">
        <v>-36500.5970870003</v>
      </c>
      <c r="R70" s="308">
        <v>5918296.8422210002</v>
      </c>
      <c r="S70" s="308"/>
      <c r="T70" s="308"/>
      <c r="U70" s="316"/>
      <c r="V70" s="316"/>
      <c r="W70" s="316"/>
      <c r="X70" s="308"/>
      <c r="Y70" s="308"/>
      <c r="Z70" s="308"/>
      <c r="AA70" s="308"/>
      <c r="AB70" s="308"/>
      <c r="AC70" s="308"/>
      <c r="AD70" s="308"/>
      <c r="AE70" s="308"/>
      <c r="AF70" s="306"/>
      <c r="AG70" s="306"/>
      <c r="AH70" s="306"/>
      <c r="AI70" s="306"/>
      <c r="AJ70" s="306"/>
      <c r="AK70" s="306"/>
      <c r="AL70" s="306"/>
      <c r="AM70" s="306"/>
      <c r="AN70" s="306"/>
      <c r="AO70" s="306"/>
      <c r="AP70" s="306"/>
      <c r="AQ70" s="308"/>
      <c r="AR70" s="308"/>
      <c r="AS70" s="308">
        <f t="shared" ref="AS70:AS100" si="341">+AO70+AP70-AQ70</f>
        <v>0</v>
      </c>
      <c r="AT70" s="308">
        <f t="shared" ref="AT70:AT95" si="342">+AJ70+AK70+AL70-AM70+AN70-AI70</f>
        <v>0</v>
      </c>
      <c r="AU70" s="308">
        <f t="shared" ref="AU70:AU100" si="343">+AF70+AI70-AO70</f>
        <v>0</v>
      </c>
      <c r="AV70" s="308">
        <f t="shared" si="321"/>
        <v>0</v>
      </c>
      <c r="AW70" s="308">
        <f t="shared" si="322"/>
        <v>0</v>
      </c>
      <c r="AX70" s="308">
        <f t="shared" si="323"/>
        <v>0</v>
      </c>
      <c r="AY70" s="308">
        <f t="shared" si="324"/>
        <v>0</v>
      </c>
      <c r="AZ70" s="306"/>
      <c r="BA70" s="306"/>
      <c r="BB70" s="307"/>
      <c r="BC70" s="306"/>
      <c r="BD70" s="306"/>
      <c r="BE70" s="306"/>
      <c r="BF70" s="306"/>
      <c r="BG70" s="306"/>
      <c r="BH70" s="306"/>
      <c r="BI70" s="306"/>
      <c r="BJ70" s="306"/>
      <c r="BK70" s="306"/>
      <c r="BL70" s="308">
        <f t="shared" ref="BL70:BL81" si="344">+BK70-BC70-SUM(BD70:BJ70)</f>
        <v>0</v>
      </c>
      <c r="BM70" s="306"/>
      <c r="BN70" s="306"/>
      <c r="BO70" s="306"/>
      <c r="BP70" s="306"/>
      <c r="BQ70" s="306"/>
      <c r="BR70" s="306"/>
      <c r="BS70" s="306"/>
      <c r="BT70" s="308">
        <v>4180591.1323469998</v>
      </c>
      <c r="BU70" s="308">
        <v>13105381.578</v>
      </c>
      <c r="BV70" s="308">
        <v>1530851.071</v>
      </c>
      <c r="BW70" s="308">
        <v>8351537.2630000003</v>
      </c>
      <c r="BX70" s="308"/>
      <c r="BY70" s="308"/>
      <c r="BZ70" s="308"/>
      <c r="CA70" s="308"/>
      <c r="CB70" s="308"/>
      <c r="CC70" s="306"/>
      <c r="CD70" s="306"/>
      <c r="CE70" s="306"/>
      <c r="CF70" s="306"/>
      <c r="CG70" s="306"/>
      <c r="CH70" s="306"/>
      <c r="CI70" s="306"/>
      <c r="CJ70" s="306"/>
      <c r="CK70" s="306"/>
      <c r="CL70" s="306"/>
      <c r="CM70" s="306"/>
      <c r="CN70" s="307"/>
      <c r="CO70" s="306"/>
      <c r="CP70" s="306"/>
      <c r="CQ70" s="322"/>
      <c r="CR70" s="323"/>
      <c r="CS70" s="323"/>
      <c r="CT70" s="306"/>
      <c r="CU70" s="306"/>
      <c r="CV70" s="306"/>
      <c r="CW70" s="306"/>
      <c r="CX70" s="306"/>
      <c r="CY70" s="306"/>
      <c r="CZ70" s="306"/>
      <c r="DA70" s="306"/>
      <c r="DB70" s="306"/>
      <c r="DC70" s="307"/>
      <c r="DD70" s="306"/>
      <c r="DE70" s="306"/>
      <c r="DF70" s="306"/>
      <c r="DG70" s="306"/>
      <c r="DH70" s="306"/>
      <c r="DI70" s="306"/>
      <c r="DJ70" s="306"/>
      <c r="DK70" s="306"/>
      <c r="DL70" s="306"/>
      <c r="DM70" s="306"/>
      <c r="DN70" s="306"/>
      <c r="DO70" s="306"/>
      <c r="DP70" s="306"/>
      <c r="DQ70" s="306"/>
      <c r="DR70" s="306"/>
      <c r="DS70" s="306"/>
      <c r="DT70" s="306"/>
      <c r="DU70" s="306"/>
      <c r="DV70" s="306"/>
      <c r="DW70" s="306"/>
      <c r="DX70" s="306"/>
      <c r="DY70" s="306"/>
      <c r="DZ70" s="306"/>
      <c r="EA70" s="306"/>
      <c r="EB70" s="306"/>
      <c r="EC70" s="306"/>
      <c r="ED70" s="306"/>
      <c r="EE70" s="306"/>
      <c r="EP70" s="306"/>
      <c r="EQ70" s="306"/>
      <c r="ER70" s="306"/>
      <c r="ES70" s="306"/>
      <c r="ET70" s="306"/>
      <c r="EU70" s="306"/>
      <c r="EV70" s="306"/>
      <c r="EW70" s="306"/>
      <c r="EX70" s="306"/>
      <c r="EY70" s="306"/>
      <c r="EZ70" s="306"/>
      <c r="FA70" s="306"/>
      <c r="FB70" s="306"/>
    </row>
    <row r="71" spans="1:159" s="305" customFormat="1">
      <c r="A71" s="305" t="str">
        <f t="shared" si="157"/>
        <v>2312현대해상</v>
      </c>
      <c r="B71" s="305">
        <v>2312</v>
      </c>
      <c r="C71" s="305" t="s">
        <v>8</v>
      </c>
      <c r="D71" s="306">
        <v>43758462.213117003</v>
      </c>
      <c r="E71" s="306">
        <v>9003311.6098170001</v>
      </c>
      <c r="F71" s="306">
        <v>19514780.694499999</v>
      </c>
      <c r="G71" s="306">
        <v>11145329.106317</v>
      </c>
      <c r="H71" s="306">
        <v>247538.411616</v>
      </c>
      <c r="I71" s="307">
        <f t="shared" ref="I71:K76" si="345">+E71/$D71</f>
        <v>0.2057501830381547</v>
      </c>
      <c r="J71" s="307">
        <f t="shared" si="345"/>
        <v>0.44596587054309839</v>
      </c>
      <c r="K71" s="307">
        <f t="shared" si="345"/>
        <v>0.25470111477034685</v>
      </c>
      <c r="L71" s="306">
        <v>37641367.677281</v>
      </c>
      <c r="M71" s="306">
        <v>31526752.742860999</v>
      </c>
      <c r="N71" s="308">
        <f t="shared" si="320"/>
        <v>6117094.5339740003</v>
      </c>
      <c r="O71" s="308">
        <v>6117094.5339740003</v>
      </c>
      <c r="P71" s="308">
        <v>0</v>
      </c>
      <c r="Q71" s="308">
        <v>-497831.48400900001</v>
      </c>
      <c r="R71" s="308">
        <v>6526472.7668439997</v>
      </c>
      <c r="S71" s="308">
        <v>6470249.4962729998</v>
      </c>
      <c r="T71" s="308">
        <f t="shared" ref="T71:T97" si="346">N70</f>
        <v>5970249.4962729998</v>
      </c>
      <c r="U71" s="316">
        <v>43758462</v>
      </c>
      <c r="V71" s="316">
        <v>41499525</v>
      </c>
      <c r="W71" s="320">
        <v>0.94799999999999995</v>
      </c>
      <c r="X71" s="308">
        <v>-497831.484</v>
      </c>
      <c r="Y71" s="308">
        <f>-2868797.449+1945.999</f>
        <v>-2866851.45</v>
      </c>
      <c r="Z71" s="308">
        <v>2119807.497</v>
      </c>
      <c r="AA71" s="308">
        <v>-673.44</v>
      </c>
      <c r="AB71" s="308">
        <f>3040.322+5558.562</f>
        <v>8598.884</v>
      </c>
      <c r="AC71" s="308">
        <v>267774.03100000002</v>
      </c>
      <c r="AD71" s="308">
        <v>-26487.006000000001</v>
      </c>
      <c r="AE71" s="308">
        <f t="shared" si="330"/>
        <v>0</v>
      </c>
      <c r="AF71" s="306">
        <v>526589.62012400001</v>
      </c>
      <c r="AG71" s="306">
        <v>13438295.453027001</v>
      </c>
      <c r="AH71" s="306">
        <v>12911705.832903</v>
      </c>
      <c r="AI71" s="306">
        <v>455046.12193700002</v>
      </c>
      <c r="AJ71" s="306">
        <f>57623.227782-915641.804466</f>
        <v>-858018.57668399997</v>
      </c>
      <c r="AK71" s="306">
        <f>105160.848812-75432.536766</f>
        <v>29728.312045999992</v>
      </c>
      <c r="AL71" s="306">
        <f>+AI71-AJ71-AK71+AM71-AN71</f>
        <v>1329488.7819379999</v>
      </c>
      <c r="AM71" s="306">
        <v>8645.7770359999995</v>
      </c>
      <c r="AN71" s="306">
        <f>31362.651023-68869.26935</f>
        <v>-37506.618327000004</v>
      </c>
      <c r="AO71" s="306">
        <v>981635.74206099997</v>
      </c>
      <c r="AP71" s="306">
        <v>-28698.156488000001</v>
      </c>
      <c r="AQ71" s="308">
        <v>952937.58557300002</v>
      </c>
      <c r="AR71" s="308">
        <v>772338.01647000003</v>
      </c>
      <c r="AS71" s="308">
        <f t="shared" si="341"/>
        <v>0</v>
      </c>
      <c r="AT71" s="308">
        <f t="shared" si="342"/>
        <v>0</v>
      </c>
      <c r="AU71" s="308">
        <f t="shared" si="343"/>
        <v>0</v>
      </c>
      <c r="AV71" s="308">
        <f t="shared" si="321"/>
        <v>526589.62012400001</v>
      </c>
      <c r="AW71" s="308">
        <f t="shared" si="322"/>
        <v>455046.12193700002</v>
      </c>
      <c r="AX71" s="308">
        <f t="shared" si="323"/>
        <v>-28698.156488000001</v>
      </c>
      <c r="AY71" s="308">
        <f t="shared" si="324"/>
        <v>952937.58557300013</v>
      </c>
      <c r="AZ71" s="306"/>
      <c r="BA71" s="306"/>
      <c r="BB71" s="307"/>
      <c r="BC71" s="306">
        <f>2934853.870101-2971354.467188</f>
        <v>-36500.597087000031</v>
      </c>
      <c r="BD71" s="306">
        <f>1966.315454+1038658.945156-256.487652</f>
        <v>1040368.772958</v>
      </c>
      <c r="BE71" s="306"/>
      <c r="BF71" s="306">
        <f>-1511896.424558+2886.25182</f>
        <v>-1509010.1727380001</v>
      </c>
      <c r="BG71" s="306">
        <v>28504.772714999999</v>
      </c>
      <c r="BH71" s="306">
        <v>108.475888</v>
      </c>
      <c r="BI71" s="306">
        <v>-21182.689549999999</v>
      </c>
      <c r="BJ71" s="306">
        <v>-120.076195</v>
      </c>
      <c r="BK71" s="306">
        <v>-497831.48400900001</v>
      </c>
      <c r="BL71" s="308">
        <f t="shared" si="344"/>
        <v>3.0000000144354999E-2</v>
      </c>
      <c r="BM71" s="306">
        <f>5834341.185403+83955.656818</f>
        <v>5918296.8422209993</v>
      </c>
      <c r="BN71" s="306">
        <v>-154084.49249999999</v>
      </c>
      <c r="BO71" s="306"/>
      <c r="BP71" s="306">
        <v>772338.01647000003</v>
      </c>
      <c r="BQ71" s="306">
        <v>-2246.6433470000002</v>
      </c>
      <c r="BR71" s="306">
        <v>-7830.9560000000001</v>
      </c>
      <c r="BS71" s="306">
        <v>6526472.7668439997</v>
      </c>
      <c r="BT71" s="308">
        <f t="shared" si="335"/>
        <v>0</v>
      </c>
      <c r="BU71" s="308">
        <v>15183567.515000001</v>
      </c>
      <c r="BV71" s="308">
        <v>1628121.3559999999</v>
      </c>
      <c r="BW71" s="308">
        <v>9142271.1410000008</v>
      </c>
      <c r="BX71" s="308">
        <v>1679236.885</v>
      </c>
      <c r="BY71" s="308">
        <v>880544.84199999995</v>
      </c>
      <c r="BZ71" s="308">
        <v>-271590.45500000002</v>
      </c>
      <c r="CA71" s="308">
        <v>263632.28999999998</v>
      </c>
      <c r="CB71" s="308">
        <v>8351537.2300000004</v>
      </c>
      <c r="CC71" s="306"/>
      <c r="CD71" s="306">
        <f t="shared" si="325"/>
        <v>-3.3000001683831215E-2</v>
      </c>
      <c r="CE71" s="306">
        <v>630066.35600000003</v>
      </c>
      <c r="CF71" s="306">
        <f>537545.721+464211.733</f>
        <v>1001757.454</v>
      </c>
      <c r="CG71" s="306">
        <f>418627.458+380996.594</f>
        <v>799624.05199999991</v>
      </c>
      <c r="CH71" s="306">
        <v>1594807.8910000001</v>
      </c>
      <c r="CI71" s="306">
        <v>5116015.3880000003</v>
      </c>
      <c r="CJ71" s="306">
        <v>9142271.1410000008</v>
      </c>
      <c r="CK71" s="306"/>
      <c r="CL71" s="306">
        <f t="shared" si="327"/>
        <v>0</v>
      </c>
      <c r="CM71" s="306"/>
      <c r="CN71" s="307">
        <v>1.732</v>
      </c>
      <c r="CO71" s="306">
        <v>12072782</v>
      </c>
      <c r="CP71" s="306">
        <v>6971677</v>
      </c>
      <c r="CQ71" s="322">
        <v>1.732</v>
      </c>
      <c r="CR71" s="323">
        <v>12072782</v>
      </c>
      <c r="CS71" s="323">
        <v>6971677</v>
      </c>
      <c r="CT71" s="306"/>
      <c r="CU71" s="306">
        <v>3422425</v>
      </c>
      <c r="CV71" s="306"/>
      <c r="CW71" s="306"/>
      <c r="CX71" s="306"/>
      <c r="CY71" s="306"/>
      <c r="CZ71" s="306"/>
      <c r="DA71" s="306"/>
      <c r="DB71" s="306"/>
      <c r="DC71" s="307"/>
      <c r="DD71" s="306"/>
      <c r="DE71" s="306"/>
      <c r="DF71" s="306"/>
      <c r="DG71" s="306">
        <f>+DH71+DK71</f>
        <v>-205703.17186199999</v>
      </c>
      <c r="DH71" s="306">
        <v>-194573.76489499997</v>
      </c>
      <c r="DI71" s="306">
        <v>4676952.3375129998</v>
      </c>
      <c r="DJ71" s="306">
        <f>+DI71-DH71</f>
        <v>4871526.1024079993</v>
      </c>
      <c r="DK71" s="306">
        <v>-11129.406967000028</v>
      </c>
      <c r="DL71" s="306">
        <v>625649.04553300003</v>
      </c>
      <c r="DM71" s="306">
        <f>+DL71-DK71</f>
        <v>636778.45250000001</v>
      </c>
      <c r="DN71" s="306"/>
      <c r="DO71" s="306"/>
      <c r="DP71" s="306"/>
      <c r="DQ71" s="306"/>
      <c r="DR71" s="2" t="s">
        <v>82</v>
      </c>
      <c r="DS71" s="306"/>
      <c r="DT71" s="306"/>
      <c r="DU71" s="306"/>
      <c r="DV71" s="306"/>
      <c r="DW71" s="306"/>
      <c r="DX71" s="306"/>
      <c r="DY71" s="306"/>
      <c r="DZ71" s="306"/>
      <c r="EA71" s="306"/>
      <c r="EB71" s="306"/>
      <c r="EC71" s="306"/>
      <c r="ED71" s="306"/>
      <c r="EE71" s="306"/>
      <c r="EP71" s="306"/>
      <c r="EQ71" s="306"/>
      <c r="ER71" s="306"/>
      <c r="ES71" s="306"/>
      <c r="ET71" s="306"/>
      <c r="EU71" s="306"/>
      <c r="EV71" s="306"/>
      <c r="EW71" s="306"/>
      <c r="EX71" s="306"/>
      <c r="EY71" s="306"/>
      <c r="EZ71" s="306"/>
      <c r="FA71" s="306"/>
      <c r="FB71" s="306"/>
    </row>
    <row r="72" spans="1:159" s="305" customFormat="1">
      <c r="A72" s="305" t="str">
        <f t="shared" si="157"/>
        <v>2412현대해상</v>
      </c>
      <c r="B72" s="305">
        <v>2412</v>
      </c>
      <c r="C72" s="305" t="s">
        <v>8</v>
      </c>
      <c r="D72" s="306">
        <v>47977678.781769</v>
      </c>
      <c r="E72" s="306">
        <v>9338046.1747459993</v>
      </c>
      <c r="F72" s="306">
        <v>22671404.879625</v>
      </c>
      <c r="G72" s="306">
        <v>11544378.935448</v>
      </c>
      <c r="H72" s="306">
        <v>291443.44913800003</v>
      </c>
      <c r="I72" s="307">
        <f t="shared" si="345"/>
        <v>0.1946331379894593</v>
      </c>
      <c r="J72" s="307">
        <f t="shared" si="345"/>
        <v>0.47254067840063763</v>
      </c>
      <c r="K72" s="307">
        <f t="shared" si="345"/>
        <v>0.24061978879717583</v>
      </c>
      <c r="L72" s="306">
        <v>43050529.728358999</v>
      </c>
      <c r="M72" s="306">
        <v>34801941.698072001</v>
      </c>
      <c r="N72" s="308">
        <f t="shared" si="320"/>
        <v>4927149.0534100002</v>
      </c>
      <c r="O72" s="308">
        <v>4927149.0534100002</v>
      </c>
      <c r="P72" s="308">
        <v>0</v>
      </c>
      <c r="Q72" s="308">
        <v>-2554393.4873210001</v>
      </c>
      <c r="R72" s="308">
        <v>7391376.9267330002</v>
      </c>
      <c r="S72" s="308">
        <v>6117094.5339740003</v>
      </c>
      <c r="T72" s="308">
        <f t="shared" si="346"/>
        <v>6117094.5339740003</v>
      </c>
      <c r="U72" s="316">
        <v>47977679</v>
      </c>
      <c r="V72" s="316">
        <v>45787121</v>
      </c>
      <c r="W72" s="320">
        <v>0.95399999999999996</v>
      </c>
      <c r="X72" s="308">
        <v>-2554393.4870000002</v>
      </c>
      <c r="Y72" s="308">
        <f>-2744429.672+2243.746</f>
        <v>-2742185.926</v>
      </c>
      <c r="Z72" s="308">
        <v>-135943.42800000001</v>
      </c>
      <c r="AA72" s="308">
        <v>780.13800000000003</v>
      </c>
      <c r="AB72" s="308">
        <f>16200.188+51272.234</f>
        <v>67472.421999999991</v>
      </c>
      <c r="AC72" s="308">
        <v>342353.80499999999</v>
      </c>
      <c r="AD72" s="308">
        <v>-86870.498000000007</v>
      </c>
      <c r="AE72" s="308">
        <f t="shared" si="330"/>
        <v>0</v>
      </c>
      <c r="AF72" s="306">
        <v>1043102.677049</v>
      </c>
      <c r="AG72" s="306">
        <v>14073844.024080999</v>
      </c>
      <c r="AH72" s="306">
        <v>13030741.347031999</v>
      </c>
      <c r="AI72" s="306">
        <v>358768.63807699998</v>
      </c>
      <c r="AJ72" s="306">
        <f>32223.710705-926091.855263</f>
        <v>-893868.14455800003</v>
      </c>
      <c r="AK72" s="306">
        <f>86245.156805-48752.324624</f>
        <v>37492.832181000005</v>
      </c>
      <c r="AL72" s="306">
        <f>+AI72-AJ72-AK72+AM72-AN72</f>
        <v>1253769.8500080002</v>
      </c>
      <c r="AM72" s="306">
        <v>8387.2489580000001</v>
      </c>
      <c r="AN72" s="306">
        <f>39242.723508-69481.374104</f>
        <v>-30238.650595999999</v>
      </c>
      <c r="AO72" s="306">
        <v>1401871.315126</v>
      </c>
      <c r="AP72" s="306">
        <v>-35435.700261999998</v>
      </c>
      <c r="AQ72" s="308">
        <v>1366435.6148639999</v>
      </c>
      <c r="AR72" s="308">
        <v>1030684.310373</v>
      </c>
      <c r="AS72" s="308">
        <f t="shared" si="341"/>
        <v>0</v>
      </c>
      <c r="AT72" s="308">
        <f t="shared" si="342"/>
        <v>0</v>
      </c>
      <c r="AU72" s="308">
        <f t="shared" si="343"/>
        <v>0</v>
      </c>
      <c r="AV72" s="308">
        <f t="shared" si="321"/>
        <v>1043102.677049</v>
      </c>
      <c r="AW72" s="308">
        <f t="shared" si="322"/>
        <v>358768.63807699998</v>
      </c>
      <c r="AX72" s="308">
        <f t="shared" si="323"/>
        <v>-35435.700261999998</v>
      </c>
      <c r="AY72" s="308">
        <f t="shared" si="324"/>
        <v>1366435.6148639999</v>
      </c>
      <c r="AZ72" s="306"/>
      <c r="BA72" s="306"/>
      <c r="BB72" s="307">
        <f t="shared" ref="BB72:BB96" si="347">+BF72/(BU72+BV72+BW72)</f>
        <v>-7.7302447714749298E-2</v>
      </c>
      <c r="BC72" s="306">
        <v>-497831.48400900001</v>
      </c>
      <c r="BD72" s="306">
        <f>1207.522512+123160.254155+297.746562</f>
        <v>124665.523229</v>
      </c>
      <c r="BE72" s="306"/>
      <c r="BF72" s="306">
        <f>-2255750.924153+1453.577915</f>
        <v>-2254297.3462380003</v>
      </c>
      <c r="BG72" s="306">
        <v>45713.672208999997</v>
      </c>
      <c r="BH72" s="306">
        <v>74579.773927999995</v>
      </c>
      <c r="BI72" s="306">
        <v>-60383.491757000003</v>
      </c>
      <c r="BJ72" s="306">
        <v>13159.865317</v>
      </c>
      <c r="BK72" s="306">
        <v>-2554393.4873210001</v>
      </c>
      <c r="BL72" s="308">
        <f t="shared" si="344"/>
        <v>0</v>
      </c>
      <c r="BM72" s="306">
        <f>+BS71</f>
        <v>6526472.7668439997</v>
      </c>
      <c r="BN72" s="306">
        <v>-161769.11350000001</v>
      </c>
      <c r="BO72" s="306"/>
      <c r="BP72" s="306">
        <v>1030684.310373</v>
      </c>
      <c r="BQ72" s="306">
        <v>-1712.3628590000001</v>
      </c>
      <c r="BR72" s="306">
        <v>-2298.674125</v>
      </c>
      <c r="BS72" s="306">
        <v>7391376.9267330002</v>
      </c>
      <c r="BT72" s="308">
        <f t="shared" si="335"/>
        <v>0</v>
      </c>
      <c r="BU72" s="426">
        <v>18899618.328000002</v>
      </c>
      <c r="BV72" s="426">
        <v>1956937.953</v>
      </c>
      <c r="BW72" s="426">
        <v>8305487.2620000001</v>
      </c>
      <c r="BX72" s="426">
        <v>1827879.3529999999</v>
      </c>
      <c r="BY72" s="426">
        <v>951101.76</v>
      </c>
      <c r="BZ72" s="426">
        <v>-2035023.311</v>
      </c>
      <c r="CA72" s="426">
        <v>321461.83899999998</v>
      </c>
      <c r="CB72" s="426">
        <v>9142271.1410000008</v>
      </c>
      <c r="CC72" s="717">
        <f>+BU72/BU71</f>
        <v>1.2447416135456226</v>
      </c>
      <c r="CD72" s="306">
        <f t="shared" si="325"/>
        <v>0</v>
      </c>
      <c r="CE72" s="306">
        <v>560401.75199999998</v>
      </c>
      <c r="CF72" s="306">
        <f>485105.232+423139.211</f>
        <v>908244.44299999997</v>
      </c>
      <c r="CG72" s="306">
        <f>375362.314+341619.499</f>
        <v>716981.81300000008</v>
      </c>
      <c r="CH72" s="306">
        <v>1398487.706</v>
      </c>
      <c r="CI72" s="306">
        <v>4721371.5480000004</v>
      </c>
      <c r="CJ72" s="306">
        <v>8305487.2620000001</v>
      </c>
      <c r="CK72" s="306">
        <f t="shared" si="326"/>
        <v>0</v>
      </c>
      <c r="CL72" s="306">
        <f t="shared" si="327"/>
        <v>0</v>
      </c>
      <c r="CM72" s="306"/>
      <c r="CN72" s="307"/>
      <c r="CO72" s="306"/>
      <c r="CP72" s="306"/>
      <c r="CQ72" s="322">
        <v>1.57</v>
      </c>
      <c r="CR72" s="323">
        <v>12403025</v>
      </c>
      <c r="CS72" s="323">
        <v>7900030</v>
      </c>
      <c r="CT72" s="306"/>
      <c r="CU72" s="306">
        <v>4018337</v>
      </c>
      <c r="CV72" s="306"/>
      <c r="CW72" s="324">
        <v>0.97899999999999998</v>
      </c>
      <c r="CX72" s="324">
        <v>1.0149999999999999</v>
      </c>
      <c r="CY72" s="324">
        <v>-3.5999999999999997E-2</v>
      </c>
      <c r="CZ72" s="307">
        <f>+CX72/CW72</f>
        <v>1.0367722165474973</v>
      </c>
      <c r="DA72" s="306"/>
      <c r="DB72" s="306"/>
      <c r="DC72" s="307"/>
      <c r="DD72" s="306"/>
      <c r="DE72" s="306"/>
      <c r="DF72" s="306"/>
      <c r="DG72" s="306">
        <f>+DH72+DK72</f>
        <v>-212362.8601989999</v>
      </c>
      <c r="DH72" s="306">
        <v>-188292.37199499991</v>
      </c>
      <c r="DI72" s="306">
        <v>5088501.6801380003</v>
      </c>
      <c r="DJ72" s="306">
        <f>+DI72-DH72</f>
        <v>5276794.0521330005</v>
      </c>
      <c r="DK72" s="306">
        <v>-24070.488203999987</v>
      </c>
      <c r="DL72" s="306">
        <v>642598.25157600001</v>
      </c>
      <c r="DM72" s="306">
        <f>+DL72-DK72</f>
        <v>666668.73977999995</v>
      </c>
      <c r="DN72" s="306"/>
      <c r="DO72" s="306"/>
      <c r="DP72" s="306"/>
      <c r="DQ72" s="306"/>
      <c r="DR72" s="306"/>
      <c r="DS72" s="306"/>
      <c r="DT72" s="306"/>
      <c r="DU72" s="306"/>
      <c r="DV72" s="306"/>
      <c r="DW72" s="306"/>
      <c r="DX72" s="306"/>
      <c r="DY72" s="306"/>
      <c r="DZ72" s="306"/>
      <c r="EA72" s="306"/>
      <c r="EB72" s="306"/>
      <c r="EC72" s="306"/>
      <c r="ED72" s="306"/>
      <c r="EE72" s="306"/>
      <c r="EP72" s="306"/>
      <c r="EQ72" s="306"/>
      <c r="ER72" s="306"/>
      <c r="ES72" s="306"/>
      <c r="ET72" s="306"/>
      <c r="EU72" s="306"/>
      <c r="EV72" s="306"/>
      <c r="EW72" s="306"/>
      <c r="EX72" s="306"/>
      <c r="EY72" s="306"/>
      <c r="EZ72" s="306"/>
      <c r="FA72" s="306"/>
      <c r="FB72" s="306"/>
    </row>
    <row r="73" spans="1:159" s="305" customFormat="1">
      <c r="A73" s="305" t="str">
        <f t="shared" si="157"/>
        <v>2503현대해상</v>
      </c>
      <c r="B73" s="305">
        <v>2503</v>
      </c>
      <c r="C73" s="305" t="str">
        <f>C72</f>
        <v>현대해상</v>
      </c>
      <c r="D73" s="306">
        <v>49568315.070657</v>
      </c>
      <c r="E73" s="306">
        <v>9926400.7002029996</v>
      </c>
      <c r="F73" s="306">
        <v>24326805.158966001</v>
      </c>
      <c r="G73" s="306">
        <v>11238304.33217</v>
      </c>
      <c r="H73" s="306">
        <v>289287.607938</v>
      </c>
      <c r="I73" s="307">
        <f t="shared" si="345"/>
        <v>0.20025697234318823</v>
      </c>
      <c r="J73" s="307">
        <f t="shared" si="345"/>
        <v>0.49077329185568308</v>
      </c>
      <c r="K73" s="307">
        <f t="shared" si="345"/>
        <v>0.22672354943173667</v>
      </c>
      <c r="L73" s="306">
        <v>45355476.20741</v>
      </c>
      <c r="M73" s="306">
        <v>36730148.738467999</v>
      </c>
      <c r="N73" s="308">
        <f t="shared" si="320"/>
        <v>4212838.8632469997</v>
      </c>
      <c r="O73" s="308">
        <v>4212838.8632469997</v>
      </c>
      <c r="P73" s="308">
        <v>0</v>
      </c>
      <c r="Q73" s="308">
        <v>-3471898.9225460002</v>
      </c>
      <c r="R73" s="308">
        <v>7594572.1717950003</v>
      </c>
      <c r="S73" s="308">
        <v>4927149.0534100002</v>
      </c>
      <c r="T73" s="308">
        <f t="shared" si="346"/>
        <v>4927149.0534100002</v>
      </c>
      <c r="U73" s="316">
        <v>49568315</v>
      </c>
      <c r="V73" s="316">
        <v>47352888</v>
      </c>
      <c r="W73" s="320">
        <v>0.95499999999999996</v>
      </c>
      <c r="X73" s="308">
        <v>-3471898.923</v>
      </c>
      <c r="Y73" s="308">
        <f>-2335766.665+2187.404</f>
        <v>-2333579.2609999999</v>
      </c>
      <c r="Z73" s="308">
        <v>-1466284.375</v>
      </c>
      <c r="AA73" s="308">
        <v>1438.116</v>
      </c>
      <c r="AB73" s="308">
        <f>18113.883+58674.731</f>
        <v>76788.614000000001</v>
      </c>
      <c r="AC73" s="308">
        <v>342526.56300000002</v>
      </c>
      <c r="AD73" s="308">
        <v>-92788.58</v>
      </c>
      <c r="AE73" s="308">
        <f t="shared" si="330"/>
        <v>0</v>
      </c>
      <c r="AF73" s="306">
        <v>175913.949482</v>
      </c>
      <c r="AG73" s="306">
        <v>3526542.728226</v>
      </c>
      <c r="AH73" s="306">
        <v>3350628.778744</v>
      </c>
      <c r="AI73" s="306">
        <v>109143.516292</v>
      </c>
      <c r="AJ73" s="306">
        <f>12814.352221-223175.659464</f>
        <v>-210361.30724299999</v>
      </c>
      <c r="AK73" s="306">
        <f>14698.076316-14371.509128</f>
        <v>326.5671880000009</v>
      </c>
      <c r="AL73" s="306">
        <f>+AI73-AJ73-AK73+AM73-AN73</f>
        <v>329228.13655299996</v>
      </c>
      <c r="AM73" s="306">
        <v>2139.7958789999998</v>
      </c>
      <c r="AN73" s="306">
        <f>11585.959138-19496.043465</f>
        <v>-7910.0843269999987</v>
      </c>
      <c r="AO73" s="306">
        <v>285057.46577399998</v>
      </c>
      <c r="AP73" s="306">
        <v>-12780.105645</v>
      </c>
      <c r="AQ73" s="308">
        <v>272277.36012899998</v>
      </c>
      <c r="AR73" s="308">
        <v>203195.245062</v>
      </c>
      <c r="AS73" s="308">
        <f t="shared" si="341"/>
        <v>0</v>
      </c>
      <c r="AT73" s="308">
        <f t="shared" si="342"/>
        <v>0</v>
      </c>
      <c r="AU73" s="308">
        <f t="shared" si="343"/>
        <v>0</v>
      </c>
      <c r="AV73" s="308">
        <f t="shared" si="321"/>
        <v>175913.949482</v>
      </c>
      <c r="AW73" s="308">
        <f t="shared" si="322"/>
        <v>109143.516292</v>
      </c>
      <c r="AX73" s="308">
        <f t="shared" si="323"/>
        <v>-12780.105645</v>
      </c>
      <c r="AY73" s="308">
        <f t="shared" si="324"/>
        <v>272277.36012899998</v>
      </c>
      <c r="AZ73" s="306"/>
      <c r="BA73" s="306"/>
      <c r="BB73" s="307"/>
      <c r="BC73" s="306">
        <v>-2554393.4873210001</v>
      </c>
      <c r="BD73" s="306">
        <f>2578.132657+406084.874248-56.341352</f>
        <v>408606.66555299994</v>
      </c>
      <c r="BE73" s="306"/>
      <c r="BF73" s="306">
        <f>-1330340.946838+657.977877</f>
        <v>-1329682.968961</v>
      </c>
      <c r="BG73" s="306">
        <f>7402.497308</f>
        <v>7402.497308</v>
      </c>
      <c r="BH73" s="306">
        <v>172.757755</v>
      </c>
      <c r="BI73" s="306">
        <v>-5918.0824599999996</v>
      </c>
      <c r="BJ73" s="306">
        <v>1913.6955359999999</v>
      </c>
      <c r="BK73" s="306">
        <v>-3471898.9225460002</v>
      </c>
      <c r="BL73" s="308">
        <f t="shared" si="344"/>
        <v>4.3999869376420975E-5</v>
      </c>
      <c r="BM73" s="306">
        <v>7391376.9267330002</v>
      </c>
      <c r="BN73" s="306"/>
      <c r="BO73" s="306"/>
      <c r="BP73" s="306">
        <v>203195.245062</v>
      </c>
      <c r="BQ73" s="306"/>
      <c r="BR73" s="306"/>
      <c r="BS73" s="306">
        <v>7594572.1717950003</v>
      </c>
      <c r="BT73" s="308">
        <f t="shared" si="335"/>
        <v>0</v>
      </c>
      <c r="BU73" s="426">
        <v>19952613.478999998</v>
      </c>
      <c r="BV73" s="426">
        <v>1987452.794</v>
      </c>
      <c r="BW73" s="426">
        <v>9164825.9169999994</v>
      </c>
      <c r="BX73" s="426">
        <v>479247.84100000001</v>
      </c>
      <c r="BY73" s="426">
        <v>238359.416</v>
      </c>
      <c r="BZ73" s="426">
        <v>545046.57999999996</v>
      </c>
      <c r="CA73" s="426">
        <v>73403.650999999998</v>
      </c>
      <c r="CB73" s="426">
        <v>8305487.2609999999</v>
      </c>
      <c r="CC73" s="717">
        <f>+BU73/BU72</f>
        <v>1.0557151542811831</v>
      </c>
      <c r="CD73" s="306">
        <f t="shared" si="325"/>
        <v>0</v>
      </c>
      <c r="CE73" s="306">
        <v>609347.16599999997</v>
      </c>
      <c r="CF73" s="306">
        <f>530066.312+465360.706</f>
        <v>995427.01800000004</v>
      </c>
      <c r="CG73" s="306">
        <f>411132.175+376555.612</f>
        <v>787687.78700000001</v>
      </c>
      <c r="CH73" s="306">
        <v>1537567.3</v>
      </c>
      <c r="CI73" s="306">
        <v>5234796.6459999997</v>
      </c>
      <c r="CJ73" s="306">
        <v>9164825.9169999994</v>
      </c>
      <c r="CK73" s="306">
        <f t="shared" ref="CK73" si="348">CJ73-SUM(CE73:CI73)</f>
        <v>0</v>
      </c>
      <c r="CL73" s="306">
        <f t="shared" si="327"/>
        <v>0</v>
      </c>
      <c r="CM73" s="306"/>
      <c r="CN73" s="307"/>
      <c r="CO73" s="306"/>
      <c r="CP73" s="306"/>
      <c r="CQ73" s="322">
        <v>1.5940000000000001</v>
      </c>
      <c r="CR73" s="323">
        <v>13102744</v>
      </c>
      <c r="CS73" s="323">
        <v>8218311</v>
      </c>
      <c r="CT73" s="306"/>
      <c r="CU73" s="306">
        <f>+CU72+142688.462425</f>
        <v>4161025.462425</v>
      </c>
      <c r="CV73" s="306"/>
      <c r="CW73" s="324"/>
      <c r="CX73" s="324"/>
      <c r="CY73" s="324"/>
      <c r="CZ73" s="307"/>
      <c r="DA73" s="306"/>
      <c r="DB73" s="306"/>
      <c r="DC73" s="307"/>
      <c r="DD73" s="306"/>
      <c r="DE73" s="306"/>
      <c r="DF73" s="306"/>
      <c r="DG73" s="306">
        <f>+DH73+DK73</f>
        <v>-103304.16420799991</v>
      </c>
      <c r="DH73" s="306">
        <v>-104813.47445199991</v>
      </c>
      <c r="DI73" s="306">
        <v>1292131.2139030001</v>
      </c>
      <c r="DJ73" s="306">
        <f>+DI73-DH73</f>
        <v>1396944.688355</v>
      </c>
      <c r="DK73" s="306">
        <v>1509.3102439999921</v>
      </c>
      <c r="DL73" s="306">
        <v>163813.32667899999</v>
      </c>
      <c r="DM73" s="306">
        <f>+DL73-DK73</f>
        <v>162304.016435</v>
      </c>
      <c r="DN73" s="306"/>
      <c r="DO73" s="306"/>
      <c r="DP73" s="306"/>
      <c r="DQ73" s="306"/>
      <c r="DR73" s="306"/>
      <c r="DS73" s="306"/>
      <c r="DT73" s="306"/>
      <c r="DU73" s="306"/>
      <c r="DV73" s="306"/>
      <c r="DW73" s="306"/>
      <c r="DX73" s="306"/>
      <c r="DY73" s="306"/>
      <c r="DZ73" s="306"/>
      <c r="EA73" s="306"/>
      <c r="EB73" s="306"/>
      <c r="EC73" s="306"/>
      <c r="ED73" s="306"/>
      <c r="EE73" s="306"/>
      <c r="EP73" s="306"/>
      <c r="EQ73" s="306"/>
      <c r="ER73" s="306"/>
      <c r="ES73" s="306"/>
      <c r="ET73" s="306"/>
      <c r="EU73" s="306"/>
      <c r="EV73" s="306"/>
      <c r="EW73" s="306"/>
      <c r="EX73" s="306"/>
      <c r="EY73" s="306"/>
      <c r="EZ73" s="306"/>
      <c r="FA73" s="306"/>
      <c r="FB73" s="306"/>
    </row>
    <row r="74" spans="1:159" s="305" customFormat="1">
      <c r="A74" s="305" t="str">
        <f t="shared" si="157"/>
        <v>2506현대해상</v>
      </c>
      <c r="B74" s="305">
        <v>2506</v>
      </c>
      <c r="C74" s="305" t="str">
        <f>C73</f>
        <v>현대해상</v>
      </c>
      <c r="D74" s="306">
        <v>49624610.984537996</v>
      </c>
      <c r="E74" s="306">
        <v>9402100.7604639996</v>
      </c>
      <c r="F74" s="306">
        <v>24976528.089198001</v>
      </c>
      <c r="G74" s="306">
        <v>10831914.061045</v>
      </c>
      <c r="H74" s="306">
        <v>288287.03670200001</v>
      </c>
      <c r="I74" s="307">
        <f t="shared" si="345"/>
        <v>0.18946447284782747</v>
      </c>
      <c r="J74" s="307">
        <f t="shared" si="345"/>
        <v>0.5033092974165615</v>
      </c>
      <c r="K74" s="307">
        <f t="shared" si="345"/>
        <v>0.21827705741451559</v>
      </c>
      <c r="L74" s="306">
        <v>44887744.609788999</v>
      </c>
      <c r="M74" s="306">
        <v>36335172.151422001</v>
      </c>
      <c r="N74" s="308">
        <v>4736866.3747490002</v>
      </c>
      <c r="O74" s="308">
        <v>4736866.3747490002</v>
      </c>
      <c r="P74" s="308">
        <v>0</v>
      </c>
      <c r="Q74" s="308">
        <v>-3195641.5814419999</v>
      </c>
      <c r="R74" s="308">
        <v>7842342.342193</v>
      </c>
      <c r="S74" s="308">
        <v>4927149.0534100002</v>
      </c>
      <c r="T74" s="308">
        <f>T73</f>
        <v>4927149.0534100002</v>
      </c>
      <c r="U74" s="316">
        <v>49624611</v>
      </c>
      <c r="V74" s="316">
        <v>47164303</v>
      </c>
      <c r="W74" s="320">
        <v>0.95</v>
      </c>
      <c r="X74" s="308">
        <v>-3195641.5814419999</v>
      </c>
      <c r="Y74" s="308">
        <f>-2549953.107349+2156.284685</f>
        <v>-2547796.8226640001</v>
      </c>
      <c r="Z74" s="308">
        <v>-922332.21797600004</v>
      </c>
      <c r="AA74" s="308">
        <v>970.91931199999999</v>
      </c>
      <c r="AB74" s="308">
        <f>14069.256384+8174.141453</f>
        <v>22243.397837</v>
      </c>
      <c r="AC74" s="308">
        <v>342302.63412800001</v>
      </c>
      <c r="AD74" s="308">
        <v>-91029.492079000003</v>
      </c>
      <c r="AE74" s="308">
        <f t="shared" si="330"/>
        <v>0</v>
      </c>
      <c r="AF74" s="306">
        <v>388576.17067199998</v>
      </c>
      <c r="AG74" s="306">
        <v>7348626.0592400003</v>
      </c>
      <c r="AH74" s="306">
        <v>6960049.8885679999</v>
      </c>
      <c r="AI74" s="306">
        <v>240232.63451999999</v>
      </c>
      <c r="AJ74" s="306">
        <v>0</v>
      </c>
      <c r="AK74" s="306">
        <v>0</v>
      </c>
      <c r="AL74" s="306">
        <v>0</v>
      </c>
      <c r="AM74" s="306">
        <v>0</v>
      </c>
      <c r="AN74" s="306">
        <v>0</v>
      </c>
      <c r="AO74" s="306">
        <v>628808.805192</v>
      </c>
      <c r="AP74" s="306">
        <v>-23936.058687000001</v>
      </c>
      <c r="AQ74" s="308">
        <v>604872.74650500005</v>
      </c>
      <c r="AR74" s="308">
        <v>450965.41545999999</v>
      </c>
      <c r="AS74" s="308">
        <f t="shared" si="341"/>
        <v>0</v>
      </c>
      <c r="AT74" s="308">
        <f t="shared" si="342"/>
        <v>-240232.63451999999</v>
      </c>
      <c r="AU74" s="308">
        <f t="shared" si="343"/>
        <v>0</v>
      </c>
      <c r="AV74" s="308">
        <f t="shared" si="321"/>
        <v>388576.17067199998</v>
      </c>
      <c r="AW74" s="308">
        <f t="shared" si="322"/>
        <v>240232.63451999999</v>
      </c>
      <c r="AX74" s="308">
        <f t="shared" si="323"/>
        <v>-23936.058687000001</v>
      </c>
      <c r="AY74" s="308">
        <f t="shared" si="324"/>
        <v>604872.74650500005</v>
      </c>
      <c r="AZ74" s="306"/>
      <c r="BA74" s="306"/>
      <c r="BB74" s="307"/>
      <c r="BC74" s="306">
        <v>-2554393.4873210001</v>
      </c>
      <c r="BD74" s="306">
        <v>194476.56491700001</v>
      </c>
      <c r="BE74" s="306">
        <v>-87.460864999999998</v>
      </c>
      <c r="BF74" s="306">
        <v>-786198.00846499996</v>
      </c>
      <c r="BG74" s="306">
        <v>-37202.977627</v>
      </c>
      <c r="BH74" s="306">
        <v>-51.171294000000003</v>
      </c>
      <c r="BI74" s="306">
        <v>-4158.9944759999998</v>
      </c>
      <c r="BJ74" s="306">
        <v>-8026.0463110000001</v>
      </c>
      <c r="BK74" s="306">
        <v>-3195641.5814419999</v>
      </c>
      <c r="BL74" s="308">
        <v>0</v>
      </c>
      <c r="BM74" s="306">
        <v>7391376.9267330002</v>
      </c>
      <c r="BN74" s="306">
        <v>0</v>
      </c>
      <c r="BO74" s="306">
        <v>0</v>
      </c>
      <c r="BP74" s="306">
        <v>450965.41545999999</v>
      </c>
      <c r="BQ74" s="306">
        <v>0</v>
      </c>
      <c r="BR74" s="306">
        <v>0</v>
      </c>
      <c r="BS74" s="306">
        <v>7842342.342193</v>
      </c>
      <c r="BT74" s="308">
        <v>0</v>
      </c>
      <c r="BU74" s="308">
        <v>16662151.185244</v>
      </c>
      <c r="BV74" s="308">
        <v>1941007.94392</v>
      </c>
      <c r="BW74" s="308">
        <v>9422748.3366139997</v>
      </c>
      <c r="BX74" s="308">
        <v>1004910.06089</v>
      </c>
      <c r="BY74" s="308">
        <f>129676.784589+107609.049784+244544.706001</f>
        <v>481830.54037400003</v>
      </c>
      <c r="BZ74" s="308">
        <f>332414.546946+7811.130541+100162.545652</f>
        <v>440388.22313900001</v>
      </c>
      <c r="CA74" s="308">
        <f>37209.148435+31405.765917+85178.41681</f>
        <v>153793.33116200002</v>
      </c>
      <c r="CB74" s="308">
        <f>2562521.809349+2183752.839138+3559212.613259</f>
        <v>8305487.2617459996</v>
      </c>
      <c r="CC74" s="306"/>
      <c r="CD74" s="306">
        <f t="shared" si="325"/>
        <v>-5.1001086831092834E-5</v>
      </c>
      <c r="CE74" s="306">
        <v>621464.61568799999</v>
      </c>
      <c r="CF74" s="306">
        <f>540310.913613+472309.443788</f>
        <v>1012620.3574009999</v>
      </c>
      <c r="CG74" s="306">
        <f>419467.630732+383272.810537</f>
        <v>802740.44126900006</v>
      </c>
      <c r="CH74" s="306">
        <v>1571670.5553979999</v>
      </c>
      <c r="CI74" s="306">
        <v>5414252.3685799995</v>
      </c>
      <c r="CJ74" s="306">
        <v>9422748.3366139997</v>
      </c>
      <c r="CK74" s="306">
        <f t="shared" ref="CK74" si="349">CJ74-SUM(CE74:CI74)</f>
        <v>-1.7219986766576767E-3</v>
      </c>
      <c r="CL74" s="306">
        <f t="shared" si="327"/>
        <v>0</v>
      </c>
      <c r="CM74" s="306"/>
      <c r="CN74" s="307"/>
      <c r="CO74" s="306"/>
      <c r="CP74" s="306"/>
      <c r="CQ74" s="322">
        <v>1.7</v>
      </c>
      <c r="CR74" s="323">
        <v>13837328</v>
      </c>
      <c r="CS74" s="323">
        <v>8139432</v>
      </c>
      <c r="CT74" s="306"/>
      <c r="CU74" s="306">
        <v>4326457</v>
      </c>
      <c r="CV74" s="306"/>
      <c r="CW74" s="324"/>
      <c r="CX74" s="324"/>
      <c r="CY74" s="324"/>
      <c r="CZ74" s="307"/>
      <c r="DA74" s="306"/>
      <c r="DB74" s="306"/>
      <c r="DC74" s="307"/>
      <c r="DD74" s="306"/>
      <c r="DE74" s="306"/>
      <c r="DF74" s="306"/>
      <c r="DG74" s="306"/>
      <c r="DH74" s="306"/>
      <c r="DI74" s="306"/>
      <c r="DJ74" s="306"/>
      <c r="DK74" s="306"/>
      <c r="DL74" s="306"/>
      <c r="DM74" s="306"/>
      <c r="DN74" s="306"/>
      <c r="DO74" s="306"/>
      <c r="DP74" s="306"/>
      <c r="DQ74" s="306"/>
      <c r="DR74" s="306"/>
      <c r="DS74" s="306"/>
      <c r="DT74" s="306"/>
      <c r="DU74" s="306"/>
      <c r="DV74" s="306"/>
      <c r="DW74" s="306"/>
      <c r="DX74" s="306"/>
      <c r="DY74" s="306"/>
      <c r="DZ74" s="306"/>
      <c r="EA74" s="306"/>
      <c r="EB74" s="306"/>
      <c r="EC74" s="306"/>
      <c r="ED74" s="306"/>
      <c r="EE74" s="306"/>
      <c r="EP74" s="306"/>
      <c r="EQ74" s="306"/>
      <c r="ER74" s="306"/>
      <c r="ES74" s="306"/>
      <c r="ET74" s="306"/>
      <c r="EU74" s="306"/>
      <c r="EV74" s="306"/>
      <c r="EW74" s="306"/>
      <c r="EX74" s="306"/>
      <c r="EY74" s="306"/>
      <c r="EZ74" s="306"/>
      <c r="FA74" s="306"/>
      <c r="FB74" s="306"/>
    </row>
    <row r="75" spans="1:159" s="305" customFormat="1">
      <c r="A75" s="305" t="str">
        <f t="shared" si="157"/>
        <v>2509현대해상</v>
      </c>
      <c r="B75" s="305">
        <v>2509</v>
      </c>
      <c r="C75" s="305" t="s">
        <v>1118</v>
      </c>
      <c r="D75" s="306">
        <v>49960383.289635003</v>
      </c>
      <c r="E75" s="306">
        <v>9713012.0247620009</v>
      </c>
      <c r="F75" s="306">
        <v>25577228.319045</v>
      </c>
      <c r="G75" s="306">
        <v>10210981.927532</v>
      </c>
      <c r="H75" s="306">
        <v>331922.04007599998</v>
      </c>
      <c r="I75" s="307">
        <f t="shared" si="345"/>
        <v>0.19441428158092422</v>
      </c>
      <c r="J75" s="307">
        <f t="shared" si="345"/>
        <v>0.51195020203840913</v>
      </c>
      <c r="K75" s="307">
        <f t="shared" si="345"/>
        <v>0.2043815770654909</v>
      </c>
      <c r="L75" s="306">
        <v>45155449.405808002</v>
      </c>
      <c r="M75" s="306">
        <v>36290879.870655999</v>
      </c>
      <c r="N75" s="308">
        <f>+O75-P75</f>
        <v>4804933.8838269999</v>
      </c>
      <c r="O75" s="308">
        <v>4804933.8838269999</v>
      </c>
      <c r="P75" s="308">
        <v>0</v>
      </c>
      <c r="Q75" s="308">
        <v>-3310923.7624039999</v>
      </c>
      <c r="R75" s="308">
        <v>8025692.0322329998</v>
      </c>
      <c r="S75" s="308">
        <v>4927149.0534100002</v>
      </c>
      <c r="T75" s="308">
        <f>T74</f>
        <v>4927149.0534100002</v>
      </c>
      <c r="U75" s="316">
        <v>49960383</v>
      </c>
      <c r="V75" s="316">
        <v>47382280</v>
      </c>
      <c r="W75" s="320">
        <v>0.94799999999999995</v>
      </c>
      <c r="X75" s="308">
        <v>-3310923.7624039999</v>
      </c>
      <c r="Y75" s="308">
        <f>+-2730842.096048+2161.969421</f>
        <v>-2728680.1266269996</v>
      </c>
      <c r="Z75" s="308">
        <v>-820131.76629199996</v>
      </c>
      <c r="AA75" s="308">
        <v>-1828.922824</v>
      </c>
      <c r="AB75" s="308">
        <f>11730.191113+-25528.703475</f>
        <v>-13798.512361999998</v>
      </c>
      <c r="AC75" s="308">
        <v>341888.814159</v>
      </c>
      <c r="AD75" s="308">
        <v>-88373.248458000002</v>
      </c>
      <c r="AE75" s="308">
        <f t="shared" si="330"/>
        <v>0</v>
      </c>
      <c r="AF75" s="306">
        <v>550006.16777199996</v>
      </c>
      <c r="AG75" s="306">
        <v>11028130.524204001</v>
      </c>
      <c r="AH75" s="306">
        <v>10478124.356432</v>
      </c>
      <c r="AI75" s="306">
        <v>324249.03328799998</v>
      </c>
      <c r="AJ75" s="306">
        <f>49093.639846-649348.650783</f>
        <v>-600255.01093700004</v>
      </c>
      <c r="AK75" s="306">
        <f>43263.992726-42093.381029</f>
        <v>1170.6116970000003</v>
      </c>
      <c r="AL75" s="306">
        <f>+AI75-AJ75-AK75+AM75-AN75</f>
        <v>955875.71434000006</v>
      </c>
      <c r="AM75" s="306">
        <v>7507.0513559999999</v>
      </c>
      <c r="AN75" s="306">
        <f>36603.807866-61639.038322</f>
        <v>-25035.230455999998</v>
      </c>
      <c r="AO75" s="306">
        <v>874255.20105999999</v>
      </c>
      <c r="AP75" s="306">
        <v>-24602.004599</v>
      </c>
      <c r="AQ75" s="308">
        <v>849653.19646100001</v>
      </c>
      <c r="AR75" s="308">
        <v>634146.58435899997</v>
      </c>
      <c r="AS75" s="308">
        <f t="shared" si="341"/>
        <v>0</v>
      </c>
      <c r="AT75" s="308">
        <f t="shared" si="342"/>
        <v>0</v>
      </c>
      <c r="AU75" s="308">
        <f t="shared" si="343"/>
        <v>0</v>
      </c>
      <c r="AV75" s="308">
        <f t="shared" si="321"/>
        <v>550006.16777199996</v>
      </c>
      <c r="AW75" s="308">
        <f t="shared" si="322"/>
        <v>324249.03328799998</v>
      </c>
      <c r="AX75" s="308">
        <f t="shared" si="323"/>
        <v>-24602.004599</v>
      </c>
      <c r="AY75" s="308">
        <f t="shared" si="324"/>
        <v>849653.1964609999</v>
      </c>
      <c r="AZ75" s="306"/>
      <c r="BA75" s="306"/>
      <c r="BB75" s="307"/>
      <c r="BC75" s="306">
        <v>-2554393.4873210001</v>
      </c>
      <c r="BD75" s="306">
        <f>9694.381848+3893.19437+-81.776129</f>
        <v>13505.800089000002</v>
      </c>
      <c r="BE75" s="306"/>
      <c r="BF75" s="306">
        <f>+-684188.338193+-2609.060724</f>
        <v>-686797.39891699993</v>
      </c>
      <c r="BG75" s="306">
        <v>-76800.937485999995</v>
      </c>
      <c r="BH75" s="306">
        <f>+-296.470122+-168.521141</f>
        <v>-464.991263</v>
      </c>
      <c r="BI75" s="306">
        <v>-1502.750855</v>
      </c>
      <c r="BJ75" s="306">
        <v>-4469.9966510000004</v>
      </c>
      <c r="BK75" s="306">
        <v>-3310923.7624039999</v>
      </c>
      <c r="BL75" s="308">
        <f>+BK75-BC75-SUM(BD75:BJ75)</f>
        <v>0</v>
      </c>
      <c r="BM75" s="306">
        <v>7391376.9267330002</v>
      </c>
      <c r="BN75" s="306"/>
      <c r="BO75" s="306"/>
      <c r="BP75" s="306">
        <v>634146.58435899997</v>
      </c>
      <c r="BQ75" s="306">
        <v>168.521141</v>
      </c>
      <c r="BR75" s="306"/>
      <c r="BS75" s="306">
        <v>8025692.0322329998</v>
      </c>
      <c r="BT75" s="308">
        <f t="shared" si="335"/>
        <v>0</v>
      </c>
      <c r="BU75" s="308">
        <v>18913218.525680002</v>
      </c>
      <c r="BV75" s="308">
        <v>1975457.235379</v>
      </c>
      <c r="BW75" s="308">
        <v>9670290.3809089996</v>
      </c>
      <c r="BX75" s="308">
        <v>1516547.1720670001</v>
      </c>
      <c r="BY75" s="308">
        <v>730614.66671000002</v>
      </c>
      <c r="BZ75" s="308">
        <v>344027.108381</v>
      </c>
      <c r="CA75" s="308">
        <v>234843.50542500001</v>
      </c>
      <c r="CB75" s="308">
        <f>2562521.809349+2183752.839138+3559212.613259</f>
        <v>8305487.2617459996</v>
      </c>
      <c r="CC75" s="306"/>
      <c r="CD75" s="306">
        <f t="shared" si="325"/>
        <v>0</v>
      </c>
      <c r="CE75" s="306">
        <v>634505.65354099998</v>
      </c>
      <c r="CF75" s="306">
        <f>550945.479327+478691.874706</f>
        <v>1029637.354033</v>
      </c>
      <c r="CG75" s="306">
        <f>428606.564939+388723.543099</f>
        <v>817330.10803800006</v>
      </c>
      <c r="CH75" s="306">
        <v>1604941.4014729999</v>
      </c>
      <c r="CI75" s="306">
        <v>5583875.8638220001</v>
      </c>
      <c r="CJ75" s="306">
        <v>9670290.3809089996</v>
      </c>
      <c r="CK75" s="306">
        <f t="shared" ref="CK75:CK76" si="350">CJ75-SUM(CE75:CI75)</f>
        <v>2.0004808902740479E-6</v>
      </c>
      <c r="CL75" s="306">
        <f t="shared" si="327"/>
        <v>0</v>
      </c>
      <c r="CM75" s="306"/>
      <c r="CN75" s="307"/>
      <c r="CO75" s="306"/>
      <c r="CP75" s="306"/>
      <c r="CQ75" s="322">
        <v>1.798</v>
      </c>
      <c r="CR75" s="323">
        <v>14228760</v>
      </c>
      <c r="CS75" s="323">
        <v>7911971</v>
      </c>
      <c r="CT75" s="306"/>
      <c r="CU75" s="306">
        <f>+CU72+31146.216704</f>
        <v>4049483.2167039998</v>
      </c>
      <c r="CV75" s="306"/>
      <c r="CW75" s="324"/>
      <c r="CX75" s="324"/>
      <c r="CY75" s="324"/>
      <c r="CZ75" s="307"/>
      <c r="DA75" s="306"/>
      <c r="DB75" s="306"/>
      <c r="DC75" s="307"/>
      <c r="DD75" s="306"/>
      <c r="DE75" s="306"/>
      <c r="DF75" s="306"/>
      <c r="DG75" s="306">
        <f>+DH75+DK75</f>
        <v>-212393.70304499968</v>
      </c>
      <c r="DH75" s="306">
        <v>-234649.96778799966</v>
      </c>
      <c r="DI75" s="306">
        <v>4085613.4397499999</v>
      </c>
      <c r="DJ75" s="306">
        <f>+DI75-DH75</f>
        <v>4320263.4075379996</v>
      </c>
      <c r="DK75" s="306">
        <v>22256.264742999985</v>
      </c>
      <c r="DL75" s="306">
        <v>504307.29802699998</v>
      </c>
      <c r="DM75" s="306">
        <f>+DL75-DK75</f>
        <v>482051.033284</v>
      </c>
      <c r="DN75" s="306"/>
      <c r="DO75" s="306"/>
      <c r="DP75" s="306"/>
      <c r="DQ75" s="306"/>
      <c r="DR75" s="306"/>
      <c r="DS75" s="306"/>
      <c r="DT75" s="306"/>
      <c r="DU75" s="306"/>
      <c r="DV75" s="306"/>
      <c r="DW75" s="306"/>
      <c r="DX75" s="306"/>
      <c r="DY75" s="306"/>
      <c r="DZ75" s="306"/>
      <c r="EA75" s="306"/>
      <c r="EB75" s="306"/>
      <c r="EC75" s="306"/>
      <c r="ED75" s="306"/>
      <c r="EE75" s="306"/>
      <c r="EP75" s="306"/>
      <c r="EQ75" s="306"/>
      <c r="ER75" s="306"/>
      <c r="ES75" s="306"/>
      <c r="ET75" s="306"/>
      <c r="EU75" s="306"/>
      <c r="EV75" s="306"/>
      <c r="EW75" s="306"/>
      <c r="EX75" s="306"/>
      <c r="EY75" s="306"/>
      <c r="EZ75" s="306"/>
      <c r="FA75" s="306"/>
      <c r="FB75" s="306"/>
    </row>
    <row r="76" spans="1:159" s="305" customFormat="1">
      <c r="A76" s="305" t="str">
        <f t="shared" si="157"/>
        <v>2512현대해상</v>
      </c>
      <c r="B76" s="305">
        <v>2512</v>
      </c>
      <c r="C76" s="305" t="s">
        <v>1133</v>
      </c>
      <c r="D76" s="306">
        <v>49645874.619980998</v>
      </c>
      <c r="E76" s="306">
        <v>9040657.7652540002</v>
      </c>
      <c r="F76" s="306">
        <v>25341092.240272</v>
      </c>
      <c r="G76" s="306">
        <v>10401582.761755999</v>
      </c>
      <c r="H76" s="306">
        <v>337372.02114600001</v>
      </c>
      <c r="I76" s="307">
        <f t="shared" si="345"/>
        <v>0.18210290048179356</v>
      </c>
      <c r="J76" s="307">
        <f t="shared" si="345"/>
        <v>0.51043701887110993</v>
      </c>
      <c r="K76" s="307">
        <f t="shared" si="345"/>
        <v>0.20951555071546005</v>
      </c>
      <c r="L76" s="306">
        <v>44762387.153458998</v>
      </c>
      <c r="M76" s="306">
        <v>34852924.404988997</v>
      </c>
      <c r="N76" s="308">
        <f>+O76-P76</f>
        <v>4883487.4665219998</v>
      </c>
      <c r="O76" s="308">
        <v>4883487.4665219998</v>
      </c>
      <c r="P76" s="308"/>
      <c r="Q76" s="308">
        <v>-3159330.0028570001</v>
      </c>
      <c r="R76" s="308">
        <v>7952651.8553809999</v>
      </c>
      <c r="S76" s="308">
        <v>4927149.0534100002</v>
      </c>
      <c r="T76" s="308">
        <f>+N72</f>
        <v>4927149.0534100002</v>
      </c>
      <c r="U76" s="316">
        <v>49645875</v>
      </c>
      <c r="V76" s="316">
        <v>47015757</v>
      </c>
      <c r="W76" s="320">
        <v>0.94699999999999995</v>
      </c>
      <c r="X76" s="308">
        <v>-3159330.0028570001</v>
      </c>
      <c r="Y76" s="308">
        <f>+-3805091.972358+2282.976153</f>
        <v>-3802808.9962050002</v>
      </c>
      <c r="Z76" s="308">
        <v>619502.23276200006</v>
      </c>
      <c r="AA76" s="308">
        <v>-16314.455676</v>
      </c>
      <c r="AB76" s="308">
        <f>+-228163.810994+12710.707919</f>
        <v>-215453.10307499999</v>
      </c>
      <c r="AC76" s="308">
        <v>341912.14905200002</v>
      </c>
      <c r="AD76" s="308">
        <v>-86167.829715</v>
      </c>
      <c r="AE76" s="308">
        <f t="shared" si="330"/>
        <v>0</v>
      </c>
      <c r="AF76" s="306">
        <v>396111.30419400003</v>
      </c>
      <c r="AG76" s="306">
        <v>14728779.445394</v>
      </c>
      <c r="AH76" s="306">
        <v>14332668.1412</v>
      </c>
      <c r="AI76" s="306">
        <v>330751.28531800001</v>
      </c>
      <c r="AJ76" s="306">
        <f>59120.413143-960104.484086</f>
        <v>-900984.07094300003</v>
      </c>
      <c r="AK76" s="306">
        <f>63125.333548-50244.531044</f>
        <v>12880.802503999999</v>
      </c>
      <c r="AL76" s="306">
        <f>+AI76-AJ76-AK76+AM76-AN76</f>
        <v>1262589.2140599999</v>
      </c>
      <c r="AM76" s="306">
        <v>10222.374417000001</v>
      </c>
      <c r="AN76" s="306">
        <f>48099.04082-81611.326706</f>
        <v>-33512.285886000005</v>
      </c>
      <c r="AO76" s="306">
        <v>726862.58951199998</v>
      </c>
      <c r="AP76" s="306">
        <v>-32584.869919000001</v>
      </c>
      <c r="AQ76" s="308">
        <v>694277.71959300002</v>
      </c>
      <c r="AR76" s="308">
        <v>561106.40750700003</v>
      </c>
      <c r="AS76" s="308">
        <f t="shared" si="341"/>
        <v>0</v>
      </c>
      <c r="AT76" s="308">
        <f t="shared" si="342"/>
        <v>0</v>
      </c>
      <c r="AU76" s="308">
        <f t="shared" si="343"/>
        <v>0</v>
      </c>
      <c r="AV76" s="308">
        <f t="shared" si="321"/>
        <v>396111.30419400003</v>
      </c>
      <c r="AW76" s="308">
        <f t="shared" si="322"/>
        <v>330751.28531800001</v>
      </c>
      <c r="AX76" s="308">
        <f t="shared" si="323"/>
        <v>-32584.869919000001</v>
      </c>
      <c r="AY76" s="308">
        <f t="shared" si="324"/>
        <v>694277.71959300013</v>
      </c>
      <c r="AZ76" s="306"/>
      <c r="BA76" s="306"/>
      <c r="BB76" s="307"/>
      <c r="BC76" s="306">
        <v>-2554393.4873210001</v>
      </c>
      <c r="BD76" s="306">
        <f>10039.28063+-1070701.580722+39.230603</f>
        <v>-1060623.0694890001</v>
      </c>
      <c r="BE76" s="306"/>
      <c r="BF76" s="306">
        <f>755445.660861+-17094.593576</f>
        <v>738351.067285</v>
      </c>
      <c r="BG76" s="306">
        <f>-279436.045005</f>
        <v>-279436.04500500002</v>
      </c>
      <c r="BH76" s="306">
        <f>+-273.135229+-168.521141</f>
        <v>-441.65636999999998</v>
      </c>
      <c r="BI76" s="306">
        <v>702.66788799999995</v>
      </c>
      <c r="BJ76" s="306">
        <v>-3489.4798449999998</v>
      </c>
      <c r="BK76" s="306">
        <v>-3159330.0028570001</v>
      </c>
      <c r="BL76" s="308">
        <f>+BK76-BC76-SUM(BD76:BJ76)</f>
        <v>0</v>
      </c>
      <c r="BM76" s="306">
        <v>7391376.9297329998</v>
      </c>
      <c r="BN76" s="306"/>
      <c r="BO76" s="306"/>
      <c r="BP76" s="306">
        <v>561106.40750700003</v>
      </c>
      <c r="BQ76" s="306"/>
      <c r="BR76" s="306">
        <v>168.521141</v>
      </c>
      <c r="BS76" s="306">
        <v>7952651.8553809999</v>
      </c>
      <c r="BT76" s="308">
        <f t="shared" si="335"/>
        <v>2.9999995604157448E-3</v>
      </c>
      <c r="BU76" s="308">
        <f>5718375.86743+12496071.53608</f>
        <v>18214447.403510001</v>
      </c>
      <c r="BV76" s="308">
        <f>5744.735039+1928803.58041</f>
        <v>1934548.3154489999</v>
      </c>
      <c r="BW76" s="308">
        <f>108930.990435+8868911.078887</f>
        <v>8977842.0693220012</v>
      </c>
      <c r="BX76" s="308">
        <f>1385.665631+2036175.606349</f>
        <v>2037561.27198</v>
      </c>
      <c r="BY76" s="308">
        <f>11395.088171+952506.267793</f>
        <v>963901.35596399999</v>
      </c>
      <c r="BZ76" s="308">
        <f>+-26035.634887+-692995.01317</f>
        <v>-719030.64805700001</v>
      </c>
      <c r="CA76" s="308">
        <f>4005.567962+313719.971613</f>
        <v>317725.53957499994</v>
      </c>
      <c r="CB76" s="308">
        <f>140970.4799+8164516.781888</f>
        <v>8305487.2617879994</v>
      </c>
      <c r="CC76" s="306"/>
      <c r="CD76" s="306">
        <f t="shared" si="325"/>
        <v>0</v>
      </c>
      <c r="CE76" s="306">
        <f>622716.861134</f>
        <v>622716.86113400001</v>
      </c>
      <c r="CF76" s="306">
        <f>536611.722028</f>
        <v>536611.72202800005</v>
      </c>
      <c r="CG76" s="306">
        <f>460599.517876+410371.897902+368871.068876</f>
        <v>1239842.484654</v>
      </c>
      <c r="CH76" s="306">
        <f>1523288.857716</f>
        <v>1523288.8577159999</v>
      </c>
      <c r="CI76" s="306">
        <f>5055382.143791</f>
        <v>5055382.1437910004</v>
      </c>
      <c r="CJ76" s="306">
        <f>8977842.069322</f>
        <v>8977842.0693219993</v>
      </c>
      <c r="CK76" s="306">
        <f t="shared" si="350"/>
        <v>-1.0002404451370239E-6</v>
      </c>
      <c r="CL76" s="306">
        <f>BW76-CJ76</f>
        <v>0</v>
      </c>
      <c r="CM76" s="306"/>
      <c r="CN76" s="307">
        <v>1.901</v>
      </c>
      <c r="CO76" s="306">
        <v>13958476</v>
      </c>
      <c r="CP76" s="306">
        <v>7340818</v>
      </c>
      <c r="CQ76" s="459">
        <v>1.901</v>
      </c>
      <c r="CR76" s="308">
        <v>13958476</v>
      </c>
      <c r="CS76" s="308">
        <v>7340818</v>
      </c>
      <c r="CT76" s="306"/>
      <c r="CU76" s="306">
        <f>4018336.788737+-101722.199827</f>
        <v>3916614.5889099999</v>
      </c>
      <c r="CV76" s="306"/>
      <c r="CW76" s="324">
        <v>0.97299999999999998</v>
      </c>
      <c r="CX76" s="324">
        <v>1.0389999999999999</v>
      </c>
      <c r="CY76" s="324">
        <v>-6.6000000000000003E-2</v>
      </c>
      <c r="CZ76" s="307">
        <f>+CX76/CW76</f>
        <v>1.0678314491264131</v>
      </c>
      <c r="DA76" s="306"/>
      <c r="DB76" s="306"/>
      <c r="DC76" s="307"/>
      <c r="DD76" s="306"/>
      <c r="DE76" s="306"/>
      <c r="DF76" s="306"/>
      <c r="DG76" s="306">
        <f>+DH76+DK76</f>
        <v>-306114.09923999931</v>
      </c>
      <c r="DH76" s="306">
        <v>-349811.0289159994</v>
      </c>
      <c r="DI76" s="306">
        <v>5478673.8742070002</v>
      </c>
      <c r="DJ76" s="306">
        <f>+DI76-DH76</f>
        <v>5828484.9031229997</v>
      </c>
      <c r="DK76" s="425">
        <v>43696.92967600008</v>
      </c>
      <c r="DL76" s="425">
        <v>677337.30651000002</v>
      </c>
      <c r="DM76" s="425">
        <f>+DL76-DK76</f>
        <v>633640.376834</v>
      </c>
      <c r="DN76" s="306"/>
      <c r="DO76" s="306"/>
      <c r="DP76" s="306"/>
      <c r="DQ76" s="306"/>
      <c r="DR76" s="306"/>
      <c r="DS76" s="306"/>
      <c r="DT76" s="306"/>
      <c r="DU76" s="306"/>
      <c r="DV76" s="306"/>
      <c r="DW76" s="306"/>
      <c r="DX76" s="306"/>
      <c r="DY76" s="306"/>
      <c r="DZ76" s="306"/>
      <c r="EA76" s="306"/>
      <c r="EB76" s="306"/>
      <c r="EC76" s="306"/>
      <c r="ED76" s="306"/>
      <c r="EE76" s="306"/>
      <c r="EP76" s="306">
        <v>299613.522329</v>
      </c>
      <c r="EQ76" s="306">
        <v>1298617.542534</v>
      </c>
      <c r="ER76" s="306">
        <v>-400726.96171200002</v>
      </c>
      <c r="ES76" s="306">
        <v>-31793.662579</v>
      </c>
      <c r="ET76" s="306">
        <f>-38402.825147-114906.005461</f>
        <v>-153308.83060799999</v>
      </c>
      <c r="EU76" s="306"/>
      <c r="EV76" s="306"/>
      <c r="EW76" s="306">
        <f>-EP76</f>
        <v>-299613.522329</v>
      </c>
      <c r="EX76" s="306">
        <f t="shared" ref="EX76:FA76" si="351">-EQ76</f>
        <v>-1298617.542534</v>
      </c>
      <c r="EY76" s="306">
        <f t="shared" si="351"/>
        <v>400726.96171200002</v>
      </c>
      <c r="EZ76" s="306">
        <f t="shared" si="351"/>
        <v>31793.662579</v>
      </c>
      <c r="FA76" s="306">
        <f t="shared" si="351"/>
        <v>153308.83060799999</v>
      </c>
      <c r="FB76" s="306">
        <v>293370.96194900002</v>
      </c>
      <c r="FC76" s="452">
        <f>SUM(EW76:FB76)-BZ76</f>
        <v>4.1999970562756062E-5</v>
      </c>
    </row>
    <row r="77" spans="1:159" s="305" customFormat="1">
      <c r="A77" s="305" t="str">
        <f t="shared" si="157"/>
        <v/>
      </c>
      <c r="D77" s="306"/>
      <c r="E77" s="306"/>
      <c r="F77" s="306"/>
      <c r="G77" s="306"/>
      <c r="H77" s="306"/>
      <c r="I77" s="307"/>
      <c r="J77" s="307"/>
      <c r="K77" s="307"/>
      <c r="L77" s="306"/>
      <c r="M77" s="306"/>
      <c r="N77" s="308"/>
      <c r="O77" s="308"/>
      <c r="P77" s="308"/>
      <c r="Q77" s="308"/>
      <c r="R77" s="308"/>
      <c r="S77" s="308"/>
      <c r="T77" s="308"/>
      <c r="U77" s="316"/>
      <c r="V77" s="316"/>
      <c r="W77" s="320"/>
      <c r="X77" s="308"/>
      <c r="Y77" s="308"/>
      <c r="Z77" s="308"/>
      <c r="AA77" s="308"/>
      <c r="AB77" s="308"/>
      <c r="AC77" s="308"/>
      <c r="AD77" s="308"/>
      <c r="AE77" s="308"/>
      <c r="AF77" s="306"/>
      <c r="AG77" s="306"/>
      <c r="AH77" s="306"/>
      <c r="AI77" s="306"/>
      <c r="AJ77" s="306"/>
      <c r="AK77" s="306"/>
      <c r="AL77" s="306"/>
      <c r="AM77" s="306"/>
      <c r="AN77" s="306"/>
      <c r="AO77" s="306"/>
      <c r="AP77" s="306"/>
      <c r="AQ77" s="308"/>
      <c r="AR77" s="308"/>
      <c r="AS77" s="308"/>
      <c r="AT77" s="308"/>
      <c r="AU77" s="308"/>
      <c r="AV77" s="308">
        <f t="shared" si="321"/>
        <v>0</v>
      </c>
      <c r="AW77" s="308">
        <f t="shared" si="322"/>
        <v>0</v>
      </c>
      <c r="AX77" s="308">
        <f t="shared" si="323"/>
        <v>0</v>
      </c>
      <c r="AY77" s="308">
        <f t="shared" si="324"/>
        <v>0</v>
      </c>
      <c r="AZ77" s="306"/>
      <c r="BA77" s="306"/>
      <c r="BB77" s="307"/>
      <c r="BC77" s="306"/>
      <c r="BD77" s="306"/>
      <c r="BE77" s="306"/>
      <c r="BF77" s="306"/>
      <c r="BG77" s="306"/>
      <c r="BH77" s="306"/>
      <c r="BI77" s="306"/>
      <c r="BJ77" s="306"/>
      <c r="BK77" s="306"/>
      <c r="BL77" s="308"/>
      <c r="BM77" s="306"/>
      <c r="BN77" s="306"/>
      <c r="BO77" s="306"/>
      <c r="BP77" s="306"/>
      <c r="BQ77" s="306"/>
      <c r="BR77" s="306"/>
      <c r="BS77" s="306"/>
      <c r="BT77" s="308"/>
      <c r="BU77" s="308"/>
      <c r="BV77" s="308"/>
      <c r="BW77" s="308"/>
      <c r="BX77" s="308"/>
      <c r="BY77" s="308"/>
      <c r="BZ77" s="308"/>
      <c r="CA77" s="308"/>
      <c r="CB77" s="308"/>
      <c r="CC77" s="306"/>
      <c r="CD77" s="306"/>
      <c r="CE77" s="306"/>
      <c r="CF77" s="306"/>
      <c r="CG77" s="306"/>
      <c r="CH77" s="306"/>
      <c r="CI77" s="306"/>
      <c r="CJ77" s="306"/>
      <c r="CK77" s="306"/>
      <c r="CL77" s="306"/>
      <c r="CM77" s="306"/>
      <c r="CN77" s="307"/>
      <c r="CO77" s="306"/>
      <c r="CP77" s="306"/>
      <c r="CQ77" s="459"/>
      <c r="CR77" s="308"/>
      <c r="CS77" s="308"/>
      <c r="CT77" s="306"/>
      <c r="CU77" s="306"/>
      <c r="CV77" s="306"/>
      <c r="CW77" s="324"/>
      <c r="CX77" s="324"/>
      <c r="CY77" s="324"/>
      <c r="CZ77" s="307"/>
      <c r="DA77" s="306"/>
      <c r="DB77" s="306"/>
      <c r="DC77" s="307"/>
      <c r="DD77" s="306"/>
      <c r="DE77" s="306"/>
      <c r="DF77" s="306"/>
      <c r="DG77" s="306"/>
      <c r="DH77" s="306"/>
      <c r="DI77" s="306"/>
      <c r="DJ77" s="307">
        <f>+DJ76/DI76</f>
        <v>1.0638495805641712</v>
      </c>
      <c r="DK77" s="306"/>
      <c r="DL77" s="306"/>
      <c r="DM77" s="306"/>
      <c r="DN77" s="306"/>
      <c r="DO77" s="306"/>
      <c r="DP77" s="306"/>
      <c r="DQ77" s="306"/>
      <c r="DR77" s="306"/>
      <c r="DS77" s="306"/>
      <c r="DT77" s="306"/>
      <c r="DU77" s="306"/>
      <c r="DV77" s="306"/>
      <c r="DW77" s="306"/>
      <c r="DX77" s="306"/>
      <c r="DY77" s="306"/>
      <c r="DZ77" s="306"/>
      <c r="EA77" s="306"/>
      <c r="EB77" s="306"/>
      <c r="EC77" s="306"/>
      <c r="ED77" s="306"/>
      <c r="EE77" s="306"/>
      <c r="EP77" s="306"/>
      <c r="EQ77" s="306"/>
      <c r="ER77" s="306"/>
      <c r="ES77" s="306"/>
      <c r="ET77" s="306"/>
      <c r="EU77" s="306"/>
      <c r="EV77" s="306"/>
      <c r="EW77" s="306"/>
      <c r="EX77" s="306"/>
      <c r="EY77" s="306"/>
      <c r="EZ77" s="306"/>
      <c r="FA77" s="306"/>
      <c r="FB77" s="306"/>
    </row>
    <row r="78" spans="1:159" s="301" customFormat="1">
      <c r="A78" s="301" t="str">
        <f t="shared" si="157"/>
        <v>2212메리츠화재</v>
      </c>
      <c r="B78" s="301">
        <v>2212</v>
      </c>
      <c r="C78" s="301" t="s">
        <v>9</v>
      </c>
      <c r="D78" s="2"/>
      <c r="E78" s="2"/>
      <c r="F78" s="2"/>
      <c r="G78" s="2"/>
      <c r="H78" s="2"/>
      <c r="I78" s="302"/>
      <c r="J78" s="302"/>
      <c r="K78" s="302"/>
      <c r="L78" s="2"/>
      <c r="M78" s="2"/>
      <c r="N78" s="4">
        <f t="shared" si="320"/>
        <v>3378093.2193169999</v>
      </c>
      <c r="O78" s="4">
        <v>3661822.8993170001</v>
      </c>
      <c r="P78" s="4">
        <v>283729.68</v>
      </c>
      <c r="Q78" s="4">
        <v>226645.251192</v>
      </c>
      <c r="R78" s="4">
        <v>3169582.4866999998</v>
      </c>
      <c r="S78" s="4"/>
      <c r="T78" s="4"/>
      <c r="U78" s="327"/>
      <c r="V78" s="327"/>
      <c r="W78" s="327"/>
      <c r="X78" s="4"/>
      <c r="Y78" s="4"/>
      <c r="Z78" s="4"/>
      <c r="AA78" s="4"/>
      <c r="AB78" s="4"/>
      <c r="AC78" s="4"/>
      <c r="AD78" s="4"/>
      <c r="AE78" s="4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4"/>
      <c r="AR78" s="4"/>
      <c r="AS78" s="4"/>
      <c r="AT78" s="4"/>
      <c r="AU78" s="4"/>
      <c r="AV78" s="4">
        <f t="shared" si="321"/>
        <v>0</v>
      </c>
      <c r="AW78" s="4">
        <f t="shared" si="322"/>
        <v>0</v>
      </c>
      <c r="AX78" s="4">
        <f t="shared" si="323"/>
        <v>0</v>
      </c>
      <c r="AY78" s="4">
        <f t="shared" si="324"/>
        <v>0</v>
      </c>
      <c r="AZ78" s="2"/>
      <c r="BA78" s="2"/>
      <c r="BB78" s="302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>
        <v>3299567.1903300001</v>
      </c>
      <c r="BU78" s="4">
        <v>5901268</v>
      </c>
      <c r="BV78" s="4">
        <v>1971716</v>
      </c>
      <c r="BW78" s="4">
        <f>5585511+2410974+1641154</f>
        <v>9637639</v>
      </c>
      <c r="BX78" s="4"/>
      <c r="BY78" s="4"/>
      <c r="BZ78" s="4"/>
      <c r="CA78" s="4"/>
      <c r="CB78" s="4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302"/>
      <c r="CO78" s="2"/>
      <c r="CP78" s="2"/>
      <c r="CQ78" s="303"/>
      <c r="CR78" s="304"/>
      <c r="CS78" s="304"/>
      <c r="CT78" s="2"/>
      <c r="CU78" s="2"/>
      <c r="CV78" s="2"/>
      <c r="CW78" s="2"/>
      <c r="CX78" s="2"/>
      <c r="CY78" s="2"/>
      <c r="CZ78" s="2"/>
      <c r="DA78" s="2"/>
      <c r="DB78" s="2"/>
      <c r="DC78" s="30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</row>
    <row r="79" spans="1:159" s="301" customFormat="1">
      <c r="A79" s="301" t="str">
        <f t="shared" si="157"/>
        <v>2312메리츠화재</v>
      </c>
      <c r="B79" s="301">
        <v>2312</v>
      </c>
      <c r="C79" s="301" t="s">
        <v>9</v>
      </c>
      <c r="D79" s="2">
        <v>39403862.443763003</v>
      </c>
      <c r="E79" s="2">
        <v>8052071.7346240003</v>
      </c>
      <c r="F79" s="2">
        <v>26102575.035675999</v>
      </c>
      <c r="G79" s="2">
        <f>836352.512865+376745.911001</f>
        <v>1213098.423866</v>
      </c>
      <c r="H79" s="2">
        <v>119097.7484</v>
      </c>
      <c r="I79" s="302">
        <f t="shared" ref="I79:K84" si="352">+E79/$D79</f>
        <v>0.20434727042598622</v>
      </c>
      <c r="J79" s="302">
        <f t="shared" si="352"/>
        <v>0.66243696472470093</v>
      </c>
      <c r="K79" s="302">
        <f t="shared" si="352"/>
        <v>3.0786282070630212E-2</v>
      </c>
      <c r="L79" s="2">
        <v>33931288.79078</v>
      </c>
      <c r="M79" s="2">
        <v>21549324.737068001</v>
      </c>
      <c r="N79" s="4">
        <f t="shared" si="320"/>
        <v>5188843.9729829999</v>
      </c>
      <c r="O79" s="4">
        <v>5472573.6529829996</v>
      </c>
      <c r="P79" s="4">
        <v>283729.68</v>
      </c>
      <c r="Q79" s="4">
        <v>479733.85621300002</v>
      </c>
      <c r="R79" s="4">
        <v>4547708.9983639996</v>
      </c>
      <c r="S79" s="4">
        <v>3661822.8993170001</v>
      </c>
      <c r="T79" s="308">
        <f t="shared" si="346"/>
        <v>3378093.2193169999</v>
      </c>
      <c r="U79" s="327">
        <v>39403862</v>
      </c>
      <c r="V79" s="327">
        <v>37673227</v>
      </c>
      <c r="W79" s="328">
        <v>0.95599999999999996</v>
      </c>
      <c r="X79" s="4">
        <v>479734</v>
      </c>
      <c r="Y79" s="4">
        <v>-1781322</v>
      </c>
      <c r="Z79" s="4">
        <v>1816540</v>
      </c>
      <c r="AA79" s="4">
        <v>-55658</v>
      </c>
      <c r="AB79" s="4">
        <v>130303</v>
      </c>
      <c r="AC79" s="4">
        <v>381318</v>
      </c>
      <c r="AD79" s="4">
        <v>-11447</v>
      </c>
      <c r="AE79" s="4">
        <f t="shared" si="330"/>
        <v>0</v>
      </c>
      <c r="AF79" s="2">
        <v>1497057.260733</v>
      </c>
      <c r="AG79" s="2">
        <v>8672579.7327650003</v>
      </c>
      <c r="AH79" s="2">
        <v>7175522.4720320003</v>
      </c>
      <c r="AI79" s="2">
        <v>609451.77871800005</v>
      </c>
      <c r="AJ79" s="2">
        <v>-673995.36342199997</v>
      </c>
      <c r="AK79" s="2">
        <v>25932.864124</v>
      </c>
      <c r="AL79" s="2">
        <f>+AI79-AJ79-AK79+AM79-AN79</f>
        <v>875418.61868200009</v>
      </c>
      <c r="AM79" s="2">
        <v>31226.255660999999</v>
      </c>
      <c r="AN79" s="2">
        <f>529830.01587-116508.100875</f>
        <v>413321.914995</v>
      </c>
      <c r="AO79" s="2">
        <v>2106509.0394509998</v>
      </c>
      <c r="AP79" s="2">
        <v>12978.156515000001</v>
      </c>
      <c r="AQ79" s="4">
        <v>2119487.1959660002</v>
      </c>
      <c r="AR79" s="4">
        <v>1566982.6325300001</v>
      </c>
      <c r="AS79" s="4">
        <f t="shared" si="341"/>
        <v>0</v>
      </c>
      <c r="AT79" s="4">
        <f t="shared" si="342"/>
        <v>0</v>
      </c>
      <c r="AU79" s="4">
        <f t="shared" si="343"/>
        <v>0</v>
      </c>
      <c r="AV79" s="4">
        <f t="shared" si="321"/>
        <v>1497057.260733</v>
      </c>
      <c r="AW79" s="4">
        <f t="shared" si="322"/>
        <v>609451.77871800005</v>
      </c>
      <c r="AX79" s="4">
        <f t="shared" si="323"/>
        <v>12978.156515000001</v>
      </c>
      <c r="AY79" s="4">
        <f t="shared" si="324"/>
        <v>2119487.1959660002</v>
      </c>
      <c r="AZ79" s="2"/>
      <c r="BA79" s="2"/>
      <c r="BB79" s="302">
        <f t="shared" si="347"/>
        <v>-5.8721897301084618E-2</v>
      </c>
      <c r="BC79" s="2">
        <v>226645.251192</v>
      </c>
      <c r="BD79" s="2">
        <v>1143248.785961</v>
      </c>
      <c r="BE79" s="2"/>
      <c r="BF79" s="2">
        <f>-1263324.51472+85457.738393</f>
        <v>-1177866.776327</v>
      </c>
      <c r="BG79" s="2">
        <v>297002.75847499998</v>
      </c>
      <c r="BH79" s="2">
        <v>0</v>
      </c>
      <c r="BI79" s="2">
        <v>-9296.1630879999993</v>
      </c>
      <c r="BJ79" s="2"/>
      <c r="BK79" s="2">
        <v>479733.85621300002</v>
      </c>
      <c r="BL79" s="4">
        <f t="shared" si="344"/>
        <v>0</v>
      </c>
      <c r="BM79" s="2">
        <v>3169582.4767999998</v>
      </c>
      <c r="BN79" s="2">
        <v>-9641.8864250000006</v>
      </c>
      <c r="BO79" s="2">
        <v>-179236.08702499999</v>
      </c>
      <c r="BP79" s="2">
        <v>1566982.6325300001</v>
      </c>
      <c r="BQ79" s="2">
        <v>21.852584</v>
      </c>
      <c r="BR79" s="2"/>
      <c r="BS79" s="2">
        <v>4547708.9983639996</v>
      </c>
      <c r="BT79" s="4">
        <f t="shared" si="335"/>
        <v>-9.8999999463558197E-3</v>
      </c>
      <c r="BU79" s="4">
        <v>7791064</v>
      </c>
      <c r="BV79" s="4">
        <v>1798601</v>
      </c>
      <c r="BW79" s="4">
        <f>4618144+3222461+2628121</f>
        <v>10468726</v>
      </c>
      <c r="BX79" s="4">
        <v>1600648</v>
      </c>
      <c r="BY79" s="4">
        <f>490522+263335+315903</f>
        <v>1069760</v>
      </c>
      <c r="BZ79" s="4">
        <f>-607406+1011779-402209</f>
        <v>2164</v>
      </c>
      <c r="CA79" s="4">
        <f>130561+63043+104431</f>
        <v>298035</v>
      </c>
      <c r="CB79" s="4">
        <v>9637639</v>
      </c>
      <c r="CC79" s="2"/>
      <c r="CD79" s="2">
        <f t="shared" si="325"/>
        <v>0</v>
      </c>
      <c r="CE79" s="2">
        <v>1051871</v>
      </c>
      <c r="CF79" s="2">
        <v>1707046</v>
      </c>
      <c r="CG79" s="2">
        <v>1349788</v>
      </c>
      <c r="CH79" s="2">
        <v>2356730</v>
      </c>
      <c r="CI79" s="2">
        <v>4003291</v>
      </c>
      <c r="CJ79" s="2">
        <v>10468726</v>
      </c>
      <c r="CK79" s="2">
        <f t="shared" si="326"/>
        <v>0</v>
      </c>
      <c r="CL79" s="2">
        <f t="shared" si="327"/>
        <v>0</v>
      </c>
      <c r="CM79" s="2"/>
      <c r="CN79" s="302">
        <v>2.4060000000000001</v>
      </c>
      <c r="CO79" s="2">
        <v>12918337</v>
      </c>
      <c r="CP79" s="2">
        <v>5370330</v>
      </c>
      <c r="CQ79" s="303">
        <v>2.4220000000000002</v>
      </c>
      <c r="CR79" s="304">
        <v>12949761</v>
      </c>
      <c r="CS79" s="304">
        <v>5346299</v>
      </c>
      <c r="CT79" s="2"/>
      <c r="CU79" s="2">
        <v>1031254.904425</v>
      </c>
      <c r="CV79" s="2"/>
      <c r="CW79" s="2"/>
      <c r="CX79" s="2"/>
      <c r="CY79" s="2"/>
      <c r="CZ79" s="2"/>
      <c r="DA79" s="2"/>
      <c r="DB79" s="2"/>
      <c r="DC79" s="302">
        <v>0.90800000000000003</v>
      </c>
      <c r="DD79" s="2"/>
      <c r="DE79" s="2"/>
      <c r="DF79" s="2"/>
      <c r="DG79" s="2">
        <v>863362.35230199993</v>
      </c>
      <c r="DH79" s="2">
        <f t="shared" ref="DH79:DH84" si="353">+DI79-DJ79</f>
        <v>909846.31750999996</v>
      </c>
      <c r="DI79" s="2">
        <v>4624945.266946</v>
      </c>
      <c r="DJ79" s="2">
        <v>3715098.9494360001</v>
      </c>
      <c r="DK79" s="2">
        <v>-46483.96520799998</v>
      </c>
      <c r="DL79" s="2">
        <v>396779.43363400002</v>
      </c>
      <c r="DM79" s="2">
        <v>443263.398842</v>
      </c>
      <c r="DN79" s="2">
        <v>678427.03429400001</v>
      </c>
      <c r="DO79" s="2">
        <v>678427.03429400001</v>
      </c>
      <c r="DP79" s="2">
        <v>-37503.611944999997</v>
      </c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</row>
    <row r="80" spans="1:159" s="301" customFormat="1">
      <c r="A80" s="301" t="str">
        <f t="shared" ref="A80:A126" si="354">B80&amp;C80</f>
        <v>2412메리츠화재</v>
      </c>
      <c r="B80" s="301">
        <v>2412</v>
      </c>
      <c r="C80" s="301" t="s">
        <v>9</v>
      </c>
      <c r="D80" s="2">
        <v>43358482.458819002</v>
      </c>
      <c r="E80" s="2">
        <v>7043831.9649240002</v>
      </c>
      <c r="F80" s="2">
        <v>31071033.527892001</v>
      </c>
      <c r="G80" s="2">
        <f>1066670.381695+456092.138113</f>
        <v>1522762.519808</v>
      </c>
      <c r="H80" s="2">
        <v>143704.78547999999</v>
      </c>
      <c r="I80" s="302">
        <f t="shared" si="352"/>
        <v>0.16245568491964837</v>
      </c>
      <c r="J80" s="302">
        <f t="shared" si="352"/>
        <v>0.71660795687216761</v>
      </c>
      <c r="K80" s="302">
        <f t="shared" si="352"/>
        <v>3.5120290966232239E-2</v>
      </c>
      <c r="L80" s="2">
        <v>37618396.153771996</v>
      </c>
      <c r="M80" s="2">
        <v>24357752.492164999</v>
      </c>
      <c r="N80" s="4">
        <f t="shared" si="320"/>
        <v>5456356.6250470001</v>
      </c>
      <c r="O80" s="4">
        <v>5740086.3050469998</v>
      </c>
      <c r="P80" s="4">
        <v>283729.68</v>
      </c>
      <c r="Q80" s="4">
        <v>-171377.79680499999</v>
      </c>
      <c r="R80" s="4">
        <v>5466333.3034460004</v>
      </c>
      <c r="S80" s="4">
        <v>5472573.6529829996</v>
      </c>
      <c r="T80" s="308">
        <f t="shared" si="346"/>
        <v>5188843.9729829999</v>
      </c>
      <c r="U80" s="327">
        <v>43358482</v>
      </c>
      <c r="V80" s="327">
        <v>41344387</v>
      </c>
      <c r="W80" s="328">
        <v>0.95399999999999996</v>
      </c>
      <c r="X80" s="4">
        <v>-171378</v>
      </c>
      <c r="Y80" s="4">
        <v>-1039512</v>
      </c>
      <c r="Z80" s="4">
        <v>125600</v>
      </c>
      <c r="AA80" s="4">
        <v>-10498</v>
      </c>
      <c r="AB80" s="4">
        <v>305807</v>
      </c>
      <c r="AC80" s="4">
        <v>468466</v>
      </c>
      <c r="AD80" s="4">
        <v>-21241</v>
      </c>
      <c r="AE80" s="4">
        <f t="shared" si="330"/>
        <v>0</v>
      </c>
      <c r="AF80" s="2">
        <v>1533644.053333</v>
      </c>
      <c r="AG80" s="2">
        <v>8977073.1285079997</v>
      </c>
      <c r="AH80" s="2">
        <v>7443429.0751750004</v>
      </c>
      <c r="AI80" s="2">
        <v>761580.94249299995</v>
      </c>
      <c r="AJ80" s="2">
        <v>-719221.84399900003</v>
      </c>
      <c r="AK80" s="2">
        <v>27919.351787</v>
      </c>
      <c r="AL80" s="2">
        <f>+AI80-AJ80-AK80+AM80-AN80</f>
        <v>923263.91272999987</v>
      </c>
      <c r="AM80" s="2">
        <v>16289.049374</v>
      </c>
      <c r="AN80" s="2">
        <f>640551.37367-94642.802321</f>
        <v>545908.57134899998</v>
      </c>
      <c r="AO80" s="2">
        <v>2295224.9958259999</v>
      </c>
      <c r="AP80" s="2">
        <v>3182.4189889999998</v>
      </c>
      <c r="AQ80" s="4">
        <v>2298407.4148149998</v>
      </c>
      <c r="AR80" s="4">
        <v>1710549.883383</v>
      </c>
      <c r="AS80" s="4">
        <f t="shared" si="341"/>
        <v>0</v>
      </c>
      <c r="AT80" s="4">
        <f t="shared" si="342"/>
        <v>0</v>
      </c>
      <c r="AU80" s="4">
        <f t="shared" si="343"/>
        <v>0</v>
      </c>
      <c r="AV80" s="4">
        <f t="shared" si="321"/>
        <v>1533644.053333</v>
      </c>
      <c r="AW80" s="4">
        <f t="shared" si="322"/>
        <v>761580.94249299995</v>
      </c>
      <c r="AX80" s="4">
        <f t="shared" si="323"/>
        <v>3182.4189889999998</v>
      </c>
      <c r="AY80" s="4">
        <f t="shared" si="324"/>
        <v>2298407.4148149998</v>
      </c>
      <c r="AZ80" s="2"/>
      <c r="BA80" s="2"/>
      <c r="BB80" s="302">
        <f t="shared" si="347"/>
        <v>-7.189456639070492E-2</v>
      </c>
      <c r="BC80" s="4">
        <v>479733.85623099998</v>
      </c>
      <c r="BD80" s="4">
        <v>741810.31333000003</v>
      </c>
      <c r="BE80" s="4"/>
      <c r="BF80" s="4">
        <f>-1690940.215782+45160.141473</f>
        <v>-1645780.074309</v>
      </c>
      <c r="BG80" s="4">
        <v>175504.28852599999</v>
      </c>
      <c r="BH80" s="4">
        <v>87148.058846</v>
      </c>
      <c r="BI80" s="4">
        <v>-9794.2394110000005</v>
      </c>
      <c r="BJ80" s="4"/>
      <c r="BK80" s="4">
        <v>-171377.79680499999</v>
      </c>
      <c r="BL80" s="4">
        <f t="shared" si="344"/>
        <v>-1.7999904230237007E-5</v>
      </c>
      <c r="BM80" s="4">
        <v>4547708.9983639996</v>
      </c>
      <c r="BN80" s="4">
        <f>-148860-634630</f>
        <v>-783490</v>
      </c>
      <c r="BO80" s="4"/>
      <c r="BP80" s="4">
        <v>1710549.883383</v>
      </c>
      <c r="BQ80" s="4">
        <v>1239.141699</v>
      </c>
      <c r="BR80" s="4">
        <v>-9674.7199999999993</v>
      </c>
      <c r="BS80" s="4">
        <v>5466333.3034460004</v>
      </c>
      <c r="BT80" s="4">
        <f t="shared" si="335"/>
        <v>0</v>
      </c>
      <c r="BU80" s="4">
        <v>10230975</v>
      </c>
      <c r="BV80" s="4">
        <v>1472714</v>
      </c>
      <c r="BW80" s="4">
        <f>4457098+3708292+3022499</f>
        <v>11187889</v>
      </c>
      <c r="BX80" s="4">
        <v>1379571</v>
      </c>
      <c r="BY80" s="4">
        <f>425463+335177+389528</f>
        <v>1150168</v>
      </c>
      <c r="BZ80" s="4">
        <f>142787+733137-724003</f>
        <v>151921</v>
      </c>
      <c r="CA80" s="4">
        <f>121630+87871+128338</f>
        <v>337839</v>
      </c>
      <c r="CB80" s="4">
        <f>4618144+3222461+2628121</f>
        <v>10468726</v>
      </c>
      <c r="CC80" s="2"/>
      <c r="CD80" s="2">
        <f t="shared" si="325"/>
        <v>0</v>
      </c>
      <c r="CE80" s="2">
        <v>1078110</v>
      </c>
      <c r="CF80" s="2">
        <f>940805+831511</f>
        <v>1772316</v>
      </c>
      <c r="CG80" s="2">
        <f>741679+662999</f>
        <v>1404678</v>
      </c>
      <c r="CH80" s="2">
        <v>2458195</v>
      </c>
      <c r="CI80" s="2">
        <f>2617219+1117499+739873</f>
        <v>4474591</v>
      </c>
      <c r="CJ80" s="2">
        <v>11187890</v>
      </c>
      <c r="CK80" s="2">
        <f t="shared" si="326"/>
        <v>0</v>
      </c>
      <c r="CL80" s="2">
        <f t="shared" si="327"/>
        <v>-1</v>
      </c>
      <c r="CM80" s="2"/>
      <c r="CN80" s="302"/>
      <c r="CO80" s="2"/>
      <c r="CP80" s="2"/>
      <c r="CQ80" s="303">
        <v>2.4820000000000002</v>
      </c>
      <c r="CR80" s="304">
        <v>13516510</v>
      </c>
      <c r="CS80" s="304">
        <v>5444926</v>
      </c>
      <c r="CT80" s="2"/>
      <c r="CU80" s="2">
        <f>+CU79+761834.444678</f>
        <v>1793089.349103</v>
      </c>
      <c r="CV80" s="2"/>
      <c r="CW80" s="312">
        <v>0.99490000000000001</v>
      </c>
      <c r="CX80" s="312">
        <v>0.90180000000000005</v>
      </c>
      <c r="CY80" s="312">
        <v>9.3100000000000002E-2</v>
      </c>
      <c r="CZ80" s="302">
        <f>+CX80/CW80</f>
        <v>0.90642275605588507</v>
      </c>
      <c r="DA80" s="2"/>
      <c r="DB80" s="2"/>
      <c r="DC80" s="302">
        <v>0.89300000000000002</v>
      </c>
      <c r="DD80" s="2"/>
      <c r="DE80" s="2"/>
      <c r="DF80" s="2"/>
      <c r="DG80" s="2">
        <f>+DH80+DK80</f>
        <v>434648.0544799997</v>
      </c>
      <c r="DH80" s="2">
        <f t="shared" si="353"/>
        <v>428158.79160599969</v>
      </c>
      <c r="DI80" s="2">
        <v>4573218.6205179999</v>
      </c>
      <c r="DJ80" s="2">
        <v>4145059.8289120002</v>
      </c>
      <c r="DK80" s="2">
        <f>+DL80-DM80</f>
        <v>6489.2628740000073</v>
      </c>
      <c r="DL80" s="2">
        <v>474265.628807</v>
      </c>
      <c r="DM80" s="2">
        <v>467776.36593299999</v>
      </c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</row>
    <row r="81" spans="1:159" s="301" customFormat="1">
      <c r="A81" s="301" t="str">
        <f t="shared" si="354"/>
        <v>2503메리츠화재</v>
      </c>
      <c r="B81" s="301">
        <v>2503</v>
      </c>
      <c r="C81" s="301" t="str">
        <f>C80</f>
        <v>메리츠화재</v>
      </c>
      <c r="D81" s="2">
        <v>44426134.909557998</v>
      </c>
      <c r="E81" s="2">
        <v>8243793.4229450002</v>
      </c>
      <c r="F81" s="2">
        <v>30918911.814647</v>
      </c>
      <c r="G81" s="2">
        <f>1060581.17563+389762.668127</f>
        <v>1450343.8437569998</v>
      </c>
      <c r="H81" s="2">
        <v>145318.69439700001</v>
      </c>
      <c r="I81" s="302">
        <f t="shared" si="352"/>
        <v>0.18556179689562419</v>
      </c>
      <c r="J81" s="302">
        <f t="shared" si="352"/>
        <v>0.69596222758498383</v>
      </c>
      <c r="K81" s="302">
        <f t="shared" si="352"/>
        <v>3.2646185555182464E-2</v>
      </c>
      <c r="L81" s="2">
        <v>39173541.920855999</v>
      </c>
      <c r="M81" s="2">
        <v>25971651.582766999</v>
      </c>
      <c r="N81" s="4">
        <f t="shared" si="320"/>
        <v>4968863.3087020004</v>
      </c>
      <c r="O81" s="4">
        <v>5252592.9887020001</v>
      </c>
      <c r="P81" s="4">
        <v>283729.68</v>
      </c>
      <c r="Q81" s="4">
        <v>-605835.30599300005</v>
      </c>
      <c r="R81" s="4">
        <v>5413297.4962889999</v>
      </c>
      <c r="S81" s="4">
        <v>5740086.3050469998</v>
      </c>
      <c r="T81" s="308">
        <f t="shared" si="346"/>
        <v>5456356.6250470001</v>
      </c>
      <c r="U81" s="327">
        <v>44426135</v>
      </c>
      <c r="V81" s="327">
        <v>42265580</v>
      </c>
      <c r="W81" s="328">
        <v>0.95099999999999996</v>
      </c>
      <c r="X81" s="4">
        <v>-605835.30599300005</v>
      </c>
      <c r="Y81" s="4">
        <f>-785425.75994+191278.987612</f>
        <v>-594146.77232800005</v>
      </c>
      <c r="Z81" s="4">
        <f>-944371.302973</f>
        <v>-944371.30297299998</v>
      </c>
      <c r="AA81" s="4">
        <v>12387.199235</v>
      </c>
      <c r="AB81" s="4">
        <v>473340.41421800002</v>
      </c>
      <c r="AC81" s="4">
        <v>468466.19236699998</v>
      </c>
      <c r="AD81" s="4">
        <v>-21511.036511999999</v>
      </c>
      <c r="AE81" s="4">
        <f t="shared" si="330"/>
        <v>0</v>
      </c>
      <c r="AF81" s="2">
        <v>359840.07562600001</v>
      </c>
      <c r="AG81" s="2">
        <v>235025.93637899999</v>
      </c>
      <c r="AH81" s="2">
        <v>1996185.860753</v>
      </c>
      <c r="AI81" s="2">
        <v>262066.99839299999</v>
      </c>
      <c r="AJ81" s="2">
        <v>-168056.83014999999</v>
      </c>
      <c r="AK81" s="2">
        <v>6245.6078630000002</v>
      </c>
      <c r="AL81" s="2">
        <f>+AI81-AJ81-AK81+AM81-AN81</f>
        <v>335937.97706599999</v>
      </c>
      <c r="AM81" s="2">
        <v>2400.919476</v>
      </c>
      <c r="AN81" s="2">
        <f>119486.936373-29145.773283</f>
        <v>90341.163090000002</v>
      </c>
      <c r="AO81" s="2">
        <v>621907.07401900005</v>
      </c>
      <c r="AP81" s="2">
        <v>2109.6886</v>
      </c>
      <c r="AQ81" s="4">
        <v>624016.76261900004</v>
      </c>
      <c r="AR81" s="4">
        <v>462513.37234900001</v>
      </c>
      <c r="AS81" s="4">
        <f t="shared" si="341"/>
        <v>0</v>
      </c>
      <c r="AT81" s="4">
        <f t="shared" si="342"/>
        <v>0</v>
      </c>
      <c r="AU81" s="4">
        <f t="shared" si="343"/>
        <v>0</v>
      </c>
      <c r="AV81" s="4">
        <f t="shared" si="321"/>
        <v>359840.07562600001</v>
      </c>
      <c r="AW81" s="4">
        <f t="shared" si="322"/>
        <v>262066.99839299999</v>
      </c>
      <c r="AX81" s="4">
        <f t="shared" si="323"/>
        <v>2109.6886</v>
      </c>
      <c r="AY81" s="4">
        <f t="shared" si="324"/>
        <v>624016.76261899993</v>
      </c>
      <c r="AZ81" s="2"/>
      <c r="BA81" s="2"/>
      <c r="BB81" s="302"/>
      <c r="BC81" s="4">
        <v>-171377.79680499999</v>
      </c>
      <c r="BD81" s="4">
        <v>445365.38244800002</v>
      </c>
      <c r="BE81" s="4"/>
      <c r="BF81" s="4">
        <f>-1069970.911448+22884.680311</f>
        <v>-1047086.231137</v>
      </c>
      <c r="BG81" s="4">
        <v>167532.899966</v>
      </c>
      <c r="BH81" s="4"/>
      <c r="BI81" s="4">
        <v>-269.56046500000002</v>
      </c>
      <c r="BJ81" s="4"/>
      <c r="BK81" s="4">
        <v>-605835.30599300005</v>
      </c>
      <c r="BL81" s="4">
        <f t="shared" si="344"/>
        <v>0</v>
      </c>
      <c r="BM81" s="4">
        <v>5466333.3034460004</v>
      </c>
      <c r="BN81" s="4">
        <v>-513160</v>
      </c>
      <c r="BO81" s="4"/>
      <c r="BP81" s="4">
        <v>462513.37234900001</v>
      </c>
      <c r="BQ81" s="4"/>
      <c r="BR81" s="4">
        <v>-2389.1795059999999</v>
      </c>
      <c r="BS81" s="4">
        <v>5413297.4962889999</v>
      </c>
      <c r="BT81" s="4">
        <f t="shared" si="335"/>
        <v>0</v>
      </c>
      <c r="BU81" s="4">
        <v>11797631</v>
      </c>
      <c r="BV81" s="4">
        <v>1501172</v>
      </c>
      <c r="BW81" s="4">
        <f>4312074+3653407+3201601</f>
        <v>11167082</v>
      </c>
      <c r="BX81" s="4">
        <v>356791</v>
      </c>
      <c r="BY81" s="4">
        <f>99187+87535+100922</f>
        <v>287644</v>
      </c>
      <c r="BZ81" s="4">
        <f>-76051+6395-109864</f>
        <v>-179520</v>
      </c>
      <c r="CA81" s="4">
        <f>30214+26255+33097</f>
        <v>89566</v>
      </c>
      <c r="CB81" s="4">
        <f>4457098+3708292+3022499</f>
        <v>11187889</v>
      </c>
      <c r="CC81" s="2"/>
      <c r="CD81" s="2">
        <f t="shared" si="325"/>
        <v>0</v>
      </c>
      <c r="CE81" s="2">
        <v>1072688</v>
      </c>
      <c r="CF81" s="2">
        <f>937016+828494</f>
        <v>1765510</v>
      </c>
      <c r="CG81" s="2">
        <f>738493+659484</f>
        <v>1397977</v>
      </c>
      <c r="CH81" s="2">
        <v>2448518</v>
      </c>
      <c r="CI81" s="2">
        <f>2448+518+2618416+1120898+743073</f>
        <v>4485353</v>
      </c>
      <c r="CJ81" s="2">
        <v>11167080</v>
      </c>
      <c r="CK81" s="2">
        <f t="shared" ref="CK81" si="355">CJ81-SUM(CE81:CI81)</f>
        <v>-2966</v>
      </c>
      <c r="CL81" s="2">
        <f t="shared" si="327"/>
        <v>2</v>
      </c>
      <c r="CM81" s="2"/>
      <c r="CN81" s="302"/>
      <c r="CO81" s="2"/>
      <c r="CP81" s="2"/>
      <c r="CQ81" s="303">
        <v>2.3889999999999998</v>
      </c>
      <c r="CR81" s="304">
        <v>13244082</v>
      </c>
      <c r="CS81" s="304">
        <v>5543397</v>
      </c>
      <c r="CT81" s="2"/>
      <c r="CU81" s="2">
        <v>2019071</v>
      </c>
      <c r="CV81" s="2"/>
      <c r="CW81" s="312"/>
      <c r="CX81" s="312"/>
      <c r="CY81" s="312"/>
      <c r="CZ81" s="302"/>
      <c r="DA81" s="2"/>
      <c r="DB81" s="2"/>
      <c r="DC81" s="302">
        <v>0.93300000000000005</v>
      </c>
      <c r="DD81" s="2"/>
      <c r="DE81" s="2"/>
      <c r="DF81" s="2"/>
      <c r="DG81" s="2">
        <f>+DH81+DK81</f>
        <v>57764.395159000022</v>
      </c>
      <c r="DH81" s="2">
        <f t="shared" si="353"/>
        <v>20984.153869000031</v>
      </c>
      <c r="DI81" s="2">
        <v>1159790.8456379999</v>
      </c>
      <c r="DJ81" s="2">
        <v>1138806.6917689999</v>
      </c>
      <c r="DK81" s="2">
        <f>+DL81-DM81</f>
        <v>36780.241289999991</v>
      </c>
      <c r="DL81" s="2">
        <v>123070.903356</v>
      </c>
      <c r="DM81" s="2">
        <v>86290.662066000004</v>
      </c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</row>
    <row r="82" spans="1:159" s="301" customFormat="1">
      <c r="A82" s="301" t="str">
        <f t="shared" si="354"/>
        <v>2506메리츠화재</v>
      </c>
      <c r="B82" s="301">
        <v>2506</v>
      </c>
      <c r="C82" s="301" t="str">
        <f>C81</f>
        <v>메리츠화재</v>
      </c>
      <c r="D82" s="2">
        <v>44466739.671614997</v>
      </c>
      <c r="E82" s="2">
        <v>8911786.2376049999</v>
      </c>
      <c r="F82" s="2">
        <v>30307679.529424001</v>
      </c>
      <c r="G82" s="2">
        <v>1392337.446824</v>
      </c>
      <c r="H82" s="2">
        <v>146196.72837299999</v>
      </c>
      <c r="I82" s="302">
        <f t="shared" si="352"/>
        <v>0.20041465381582205</v>
      </c>
      <c r="J82" s="302">
        <f t="shared" si="352"/>
        <v>0.68158087939986023</v>
      </c>
      <c r="K82" s="302">
        <f t="shared" si="352"/>
        <v>3.1311885177693566E-2</v>
      </c>
      <c r="L82" s="2">
        <v>38752729.105953999</v>
      </c>
      <c r="M82" s="2">
        <v>25472225.285432</v>
      </c>
      <c r="N82" s="4">
        <v>5430280.8856610004</v>
      </c>
      <c r="O82" s="4">
        <v>5714010.5656610001</v>
      </c>
      <c r="P82" s="4">
        <v>283729.68</v>
      </c>
      <c r="Q82" s="4">
        <v>-666728.79623900005</v>
      </c>
      <c r="R82" s="4">
        <v>5935608.5634939997</v>
      </c>
      <c r="S82" s="4">
        <v>5740086.3050469998</v>
      </c>
      <c r="T82" s="308">
        <f>T81</f>
        <v>5456356.6250470001</v>
      </c>
      <c r="U82" s="327">
        <v>44466740</v>
      </c>
      <c r="V82" s="327">
        <v>42411399</v>
      </c>
      <c r="W82" s="328">
        <v>0.95399999999999996</v>
      </c>
      <c r="X82" s="426">
        <v>-666728.79623900005</v>
      </c>
      <c r="Y82" s="426">
        <f>+-1170046.790016+196111.083258</f>
        <v>-973935.70675799996</v>
      </c>
      <c r="Z82" s="426">
        <v>-452287.83021400002</v>
      </c>
      <c r="AA82" s="426">
        <v>4660.3508309999997</v>
      </c>
      <c r="AB82" s="426">
        <v>308238.31037399999</v>
      </c>
      <c r="AC82" s="426">
        <v>468466.19236599997</v>
      </c>
      <c r="AD82" s="426">
        <v>-21870.112838000001</v>
      </c>
      <c r="AE82" s="4">
        <f t="shared" si="330"/>
        <v>0</v>
      </c>
      <c r="AF82" s="2">
        <v>724191.94596699998</v>
      </c>
      <c r="AG82" s="2">
        <v>4744667.8826700002</v>
      </c>
      <c r="AH82" s="2">
        <v>4020475.9367030002</v>
      </c>
      <c r="AI82" s="2">
        <v>604758.35268799996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1328950.298655</v>
      </c>
      <c r="AP82" s="2">
        <v>2524.142953</v>
      </c>
      <c r="AQ82" s="4">
        <v>1331474.4416080001</v>
      </c>
      <c r="AR82" s="4">
        <v>987254.37128099997</v>
      </c>
      <c r="AS82" s="4">
        <f t="shared" si="341"/>
        <v>0</v>
      </c>
      <c r="AT82" s="4">
        <f t="shared" si="342"/>
        <v>-604758.35268799996</v>
      </c>
      <c r="AU82" s="4">
        <f t="shared" si="343"/>
        <v>0</v>
      </c>
      <c r="AV82" s="4">
        <f t="shared" si="321"/>
        <v>724191.94596699998</v>
      </c>
      <c r="AW82" s="4">
        <f t="shared" si="322"/>
        <v>604758.35268799996</v>
      </c>
      <c r="AX82" s="4">
        <f t="shared" si="323"/>
        <v>2524.142953</v>
      </c>
      <c r="AY82" s="4">
        <f t="shared" si="324"/>
        <v>1331474.4416080001</v>
      </c>
      <c r="AZ82" s="2"/>
      <c r="BA82" s="2"/>
      <c r="BB82" s="302"/>
      <c r="BC82" s="4">
        <v>-171377.79680499999</v>
      </c>
      <c r="BD82" s="4">
        <v>65576.448019000003</v>
      </c>
      <c r="BE82" s="4">
        <v>0</v>
      </c>
      <c r="BF82" s="4">
        <v>-562729.60678499995</v>
      </c>
      <c r="BG82" s="4">
        <v>2430.7961220000002</v>
      </c>
      <c r="BH82" s="4">
        <v>0</v>
      </c>
      <c r="BI82" s="4">
        <v>-628.63679000000002</v>
      </c>
      <c r="BJ82" s="4">
        <v>0</v>
      </c>
      <c r="BK82" s="4">
        <v>-666728.79623900005</v>
      </c>
      <c r="BL82" s="4">
        <v>0</v>
      </c>
      <c r="BM82" s="4">
        <v>5466333.3034460004</v>
      </c>
      <c r="BN82" s="4">
        <v>-513160</v>
      </c>
      <c r="BO82" s="4">
        <v>0</v>
      </c>
      <c r="BP82" s="4">
        <v>987254.37128099997</v>
      </c>
      <c r="BQ82" s="4">
        <v>0</v>
      </c>
      <c r="BR82" s="4">
        <v>-4819.1112329999996</v>
      </c>
      <c r="BS82" s="4">
        <v>5935608.5634939997</v>
      </c>
      <c r="BT82" s="4">
        <f t="shared" si="335"/>
        <v>0</v>
      </c>
      <c r="BU82" s="4">
        <v>11199536</v>
      </c>
      <c r="BV82" s="4">
        <v>1513955</v>
      </c>
      <c r="BW82" s="4">
        <f>4196517+3612770+3438920</f>
        <v>11248207</v>
      </c>
      <c r="BX82" s="4">
        <v>729941</v>
      </c>
      <c r="BY82" s="4">
        <f>206032+194112+174301</f>
        <v>574445</v>
      </c>
      <c r="BZ82" s="4">
        <f>-174808+25675-125875</f>
        <v>-275008</v>
      </c>
      <c r="CA82" s="4">
        <f>67320+53104+59406</f>
        <v>179830</v>
      </c>
      <c r="CB82" s="4">
        <f>4457098+3708292+3022499</f>
        <v>11187889</v>
      </c>
      <c r="CC82" s="2"/>
      <c r="CD82" s="2">
        <f t="shared" si="325"/>
        <v>0</v>
      </c>
      <c r="CE82" s="2">
        <v>1073362</v>
      </c>
      <c r="CF82" s="2">
        <f>938676+830310</f>
        <v>1768986</v>
      </c>
      <c r="CG82" s="2">
        <f>739299+659908</f>
        <v>1399207</v>
      </c>
      <c r="CH82" s="2">
        <v>2458472</v>
      </c>
      <c r="CI82" s="2">
        <f>2647182+1140451+760547</f>
        <v>4548180</v>
      </c>
      <c r="CJ82" s="2">
        <v>11248207</v>
      </c>
      <c r="CK82" s="2">
        <f t="shared" ref="CK82:CK83" si="356">CJ82-SUM(CE82:CI82)</f>
        <v>0</v>
      </c>
      <c r="CL82" s="2">
        <f t="shared" si="327"/>
        <v>0</v>
      </c>
      <c r="CM82" s="2"/>
      <c r="CN82" s="302"/>
      <c r="CO82" s="2"/>
      <c r="CP82" s="2"/>
      <c r="CQ82" s="303">
        <v>2.3980000000000001</v>
      </c>
      <c r="CR82" s="304">
        <v>13395855</v>
      </c>
      <c r="CS82" s="304">
        <v>5585237</v>
      </c>
      <c r="CT82" s="2"/>
      <c r="CU82" s="2">
        <v>2234057</v>
      </c>
      <c r="CV82" s="2"/>
      <c r="CW82" s="312"/>
      <c r="CX82" s="312"/>
      <c r="CY82" s="312"/>
      <c r="CZ82" s="302"/>
      <c r="DA82" s="2"/>
      <c r="DB82" s="2"/>
      <c r="DC82" s="302">
        <v>0.91800000000000004</v>
      </c>
      <c r="DD82" s="2"/>
      <c r="DE82" s="2"/>
      <c r="DF82" s="2"/>
      <c r="DG82" s="2">
        <f>+DH82+DK82</f>
        <v>78934.79833499997</v>
      </c>
      <c r="DH82" s="2">
        <f t="shared" si="353"/>
        <v>60905.515223999973</v>
      </c>
      <c r="DI82" s="2">
        <f>+[13]Insurance_PL!$O$8/10^6</f>
        <v>2334158.0753259999</v>
      </c>
      <c r="DJ82" s="2">
        <f>(+[13]Insurance_PL!$O$20+[13]Insurance_PL!$O$25)/10^6</f>
        <v>2273252.5601019999</v>
      </c>
      <c r="DK82" s="2">
        <f>+DL82-DM82</f>
        <v>18029.283110999997</v>
      </c>
      <c r="DL82" s="2">
        <f>SUM([13]Insurance_PL!$O$9:$O$11)/10^6</f>
        <v>247644.76395699999</v>
      </c>
      <c r="DM82" s="2">
        <f>SUM([13]Insurance_PL!$O$21:$O$23)/10^6</f>
        <v>229615.48084599999</v>
      </c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</row>
    <row r="83" spans="1:159" s="301" customFormat="1">
      <c r="A83" s="301" t="str">
        <f t="shared" si="354"/>
        <v>2509메리츠화재</v>
      </c>
      <c r="B83" s="301">
        <v>2509</v>
      </c>
      <c r="C83" s="301" t="s">
        <v>1119</v>
      </c>
      <c r="D83" s="2">
        <v>44532796.285194002</v>
      </c>
      <c r="E83" s="2">
        <v>8567141.4433249999</v>
      </c>
      <c r="F83" s="2">
        <v>31228382.891970001</v>
      </c>
      <c r="G83" s="2">
        <f>587884.112636+381092.057156</f>
        <v>968976.16979199997</v>
      </c>
      <c r="H83" s="2">
        <v>214225.01</v>
      </c>
      <c r="I83" s="302">
        <f t="shared" si="352"/>
        <v>0.19237825059221247</v>
      </c>
      <c r="J83" s="302">
        <f t="shared" si="352"/>
        <v>0.70124459941790418</v>
      </c>
      <c r="K83" s="302">
        <f t="shared" si="352"/>
        <v>2.1758709324843348E-2</v>
      </c>
      <c r="L83" s="2">
        <v>38937420.158408999</v>
      </c>
      <c r="M83" s="2">
        <v>25520745.511828002</v>
      </c>
      <c r="N83" s="4">
        <f>+O83-P83</f>
        <v>5311646.4467850002</v>
      </c>
      <c r="O83" s="4">
        <v>5595376.1267849999</v>
      </c>
      <c r="P83" s="4">
        <v>283729.68</v>
      </c>
      <c r="Q83" s="4">
        <v>-904649.53187299997</v>
      </c>
      <c r="R83" s="4">
        <v>6054894.8602520004</v>
      </c>
      <c r="S83" s="4">
        <v>5740086.3050469998</v>
      </c>
      <c r="T83" s="308">
        <f>T82</f>
        <v>5456356.6250470001</v>
      </c>
      <c r="U83" s="327">
        <v>44532796</v>
      </c>
      <c r="V83" s="327">
        <v>42594540</v>
      </c>
      <c r="W83" s="328">
        <v>0.95599999999999996</v>
      </c>
      <c r="X83" s="4">
        <v>-904649.53187299997</v>
      </c>
      <c r="Y83" s="4">
        <f>+Y80-175950.26217</f>
        <v>-1215462.26217</v>
      </c>
      <c r="Z83" s="4">
        <f>+Z80-472943.223763</f>
        <v>-347343.22376299999</v>
      </c>
      <c r="AA83" s="4">
        <f>+AA80+5132.771532</f>
        <v>-5365.2284680000002</v>
      </c>
      <c r="AB83" s="4">
        <f>+AB80-88676.678014</f>
        <v>217130.321986</v>
      </c>
      <c r="AC83" s="4">
        <f>+AC80</f>
        <v>468466</v>
      </c>
      <c r="AD83" s="4">
        <f>+AD80-834.372406</f>
        <v>-22075.372405999999</v>
      </c>
      <c r="AE83" s="4">
        <f t="shared" si="330"/>
        <v>0.23294799996074289</v>
      </c>
      <c r="AF83" s="2">
        <v>1024249.485878</v>
      </c>
      <c r="AG83" s="2">
        <v>7185156.3553750003</v>
      </c>
      <c r="AH83" s="2">
        <v>6160906.8694970002</v>
      </c>
      <c r="AI83" s="2">
        <v>929749.13280599995</v>
      </c>
      <c r="AJ83" s="2">
        <v>-498519.44111700001</v>
      </c>
      <c r="AK83" s="2">
        <v>18403.740851999999</v>
      </c>
      <c r="AL83" s="2">
        <f>+AI83-AJ83-AK83+AM83-AN83</f>
        <v>1277629.691359</v>
      </c>
      <c r="AM83" s="2">
        <v>7958.308712</v>
      </c>
      <c r="AN83" s="2">
        <f>267692.712444-127499.26202</f>
        <v>140193.45042400001</v>
      </c>
      <c r="AO83" s="2">
        <v>1953998.6186840001</v>
      </c>
      <c r="AP83" s="2">
        <v>4545.6966839999995</v>
      </c>
      <c r="AQ83" s="4">
        <v>1958544.315368</v>
      </c>
      <c r="AR83" s="4">
        <v>1451075.840971</v>
      </c>
      <c r="AS83" s="4">
        <f t="shared" si="341"/>
        <v>0</v>
      </c>
      <c r="AT83" s="4">
        <f t="shared" si="342"/>
        <v>0</v>
      </c>
      <c r="AU83" s="4">
        <f t="shared" si="343"/>
        <v>0</v>
      </c>
      <c r="AV83" s="4">
        <f t="shared" si="321"/>
        <v>1024249.485878</v>
      </c>
      <c r="AW83" s="4">
        <f t="shared" si="322"/>
        <v>929749.13280599995</v>
      </c>
      <c r="AX83" s="4">
        <f t="shared" si="323"/>
        <v>4545.6966839999995</v>
      </c>
      <c r="AY83" s="4">
        <f t="shared" si="324"/>
        <v>1958544.315368</v>
      </c>
      <c r="AZ83" s="2"/>
      <c r="BA83" s="2"/>
      <c r="BB83" s="302"/>
      <c r="BC83" s="4">
        <v>-171377.79680499999</v>
      </c>
      <c r="BD83" s="4">
        <v>-175950.26241699999</v>
      </c>
      <c r="BE83" s="4"/>
      <c r="BF83" s="4">
        <f>+-472943.223763+5132.771532</f>
        <v>-467810.452231</v>
      </c>
      <c r="BG83" s="4">
        <v>-88676.648014000006</v>
      </c>
      <c r="BH83" s="4"/>
      <c r="BI83" s="4">
        <v>-834.37240599999996</v>
      </c>
      <c r="BJ83" s="4"/>
      <c r="BK83" s="4">
        <v>-904649.53187299997</v>
      </c>
      <c r="BL83" s="4">
        <f>+BK83-BC83-SUM(BD83:BJ83)</f>
        <v>0</v>
      </c>
      <c r="BM83" s="4">
        <v>5466333.3034460004</v>
      </c>
      <c r="BN83" s="4">
        <f>-513160-342110</f>
        <v>-855270</v>
      </c>
      <c r="BO83" s="4"/>
      <c r="BP83" s="4">
        <v>1451075.840971</v>
      </c>
      <c r="BQ83" s="4"/>
      <c r="BR83" s="4">
        <v>-7244.284165</v>
      </c>
      <c r="BS83" s="4">
        <v>6054894.8602520004</v>
      </c>
      <c r="BT83" s="4">
        <f t="shared" si="335"/>
        <v>0</v>
      </c>
      <c r="BU83" s="4">
        <v>10956871</v>
      </c>
      <c r="BV83" s="4">
        <v>1522091</v>
      </c>
      <c r="BW83" s="4">
        <f>4141704+3599346+3730096</f>
        <v>11471146</v>
      </c>
      <c r="BX83" s="4">
        <v>1153008</v>
      </c>
      <c r="BY83" s="4">
        <f>287949+262255+318899</f>
        <v>869103</v>
      </c>
      <c r="BZ83" s="4">
        <f>-115245+73214-228657</f>
        <v>-270688</v>
      </c>
      <c r="CA83" s="4">
        <f>87800+80095+102145</f>
        <v>270040</v>
      </c>
      <c r="CB83" s="4">
        <f>4457098+3708292+3022499</f>
        <v>11187889</v>
      </c>
      <c r="CC83" s="2"/>
      <c r="CD83" s="2">
        <f t="shared" si="325"/>
        <v>0</v>
      </c>
      <c r="CE83" s="2">
        <v>1090555</v>
      </c>
      <c r="CF83" s="2">
        <f>954028+843722</f>
        <v>1797750</v>
      </c>
      <c r="CG83" s="2">
        <f>749710+669175</f>
        <v>1418885</v>
      </c>
      <c r="CH83" s="2">
        <v>2501442</v>
      </c>
      <c r="CI83" s="2">
        <f>2707188+1172356+782971</f>
        <v>4662515</v>
      </c>
      <c r="CJ83" s="2">
        <v>11471147</v>
      </c>
      <c r="CK83" s="2">
        <f t="shared" si="356"/>
        <v>0</v>
      </c>
      <c r="CL83" s="2">
        <f t="shared" si="327"/>
        <v>-1</v>
      </c>
      <c r="CM83" s="2"/>
      <c r="CN83" s="302"/>
      <c r="CO83" s="2"/>
      <c r="CP83" s="2"/>
      <c r="CQ83" s="303">
        <v>2.4369999999999998</v>
      </c>
      <c r="CR83" s="304">
        <v>13790071</v>
      </c>
      <c r="CS83" s="304">
        <v>5658695</v>
      </c>
      <c r="CT83" s="2"/>
      <c r="CU83" s="2">
        <f>+CU80+696917.946829</f>
        <v>2490007.295932</v>
      </c>
      <c r="CV83" s="2"/>
      <c r="CW83" s="312"/>
      <c r="CX83" s="312"/>
      <c r="CY83" s="312"/>
      <c r="CZ83" s="302"/>
      <c r="DA83" s="2"/>
      <c r="DB83" s="2"/>
      <c r="DC83" s="302">
        <v>0.93</v>
      </c>
      <c r="DD83" s="2"/>
      <c r="DE83" s="2"/>
      <c r="DF83" s="2"/>
      <c r="DG83" s="2">
        <f>+DH83+DK83</f>
        <v>54445.160370999656</v>
      </c>
      <c r="DH83" s="2">
        <f t="shared" si="353"/>
        <v>27969.307718999684</v>
      </c>
      <c r="DI83" s="2">
        <f>[14]Insurance_PL!$P$8/10^6</f>
        <v>3530135.4589459999</v>
      </c>
      <c r="DJ83" s="2">
        <f>([14]Insurance_PL!$P$20+[14]Insurance_PL!$P$25)/10^6</f>
        <v>3502166.1512270002</v>
      </c>
      <c r="DK83" s="2">
        <f>+DL83-DM83</f>
        <v>26475.852651999972</v>
      </c>
      <c r="DL83" s="2">
        <f>SUM([14]Insurance_PL!$P$9:$P$11)/10^6</f>
        <v>375035.67598599999</v>
      </c>
      <c r="DM83" s="2">
        <f>SUM([14]Insurance_PL!$P$21:$P$23)/10^6</f>
        <v>348559.82333400002</v>
      </c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</row>
    <row r="84" spans="1:159" s="301" customFormat="1">
      <c r="A84" s="301" t="str">
        <f t="shared" si="354"/>
        <v>2512메리츠화재</v>
      </c>
      <c r="B84" s="301">
        <v>2512</v>
      </c>
      <c r="C84" s="301" t="s">
        <v>1134</v>
      </c>
      <c r="D84" s="2">
        <v>44242792.244562998</v>
      </c>
      <c r="E84" s="2">
        <v>7569926.1375270002</v>
      </c>
      <c r="F84" s="2">
        <v>31560738.837675001</v>
      </c>
      <c r="G84" s="2">
        <f>530913.802201+441189.847754</f>
        <v>972103.64995500003</v>
      </c>
      <c r="H84" s="2">
        <v>219756.806124</v>
      </c>
      <c r="I84" s="302">
        <f t="shared" si="352"/>
        <v>0.17109964704945288</v>
      </c>
      <c r="J84" s="302">
        <f t="shared" si="352"/>
        <v>0.71335323193923195</v>
      </c>
      <c r="K84" s="302">
        <f t="shared" si="352"/>
        <v>2.1972023026518222E-2</v>
      </c>
      <c r="L84" s="2">
        <v>38388473.445767999</v>
      </c>
      <c r="M84" s="2">
        <v>23715710.921184</v>
      </c>
      <c r="N84" s="4">
        <f>+O84-P84</f>
        <v>5675123.4787949994</v>
      </c>
      <c r="O84" s="4">
        <f>+'[15]Insurance_Condensed BS'!$AH$30*100</f>
        <v>5854318.7987949997</v>
      </c>
      <c r="P84" s="4">
        <f>+'[15]Insurance_Condensed BS'!$AH$23*100</f>
        <v>179195.32</v>
      </c>
      <c r="Q84" s="4">
        <f>+'[15]Insurance_Condensed BS'!$AH$29*100</f>
        <v>-759257.61068799999</v>
      </c>
      <c r="R84" s="4">
        <f>+'[15]Insurance_Condensed BS'!$AH$24*100</f>
        <v>6272973.4703700002</v>
      </c>
      <c r="S84" s="4">
        <v>5740086.3050469998</v>
      </c>
      <c r="T84" s="308">
        <f>T83</f>
        <v>5456356.6250470001</v>
      </c>
      <c r="U84" s="327">
        <v>44242792</v>
      </c>
      <c r="V84" s="327">
        <v>42515095</v>
      </c>
      <c r="W84" s="328">
        <v>0.96099999999999997</v>
      </c>
      <c r="X84" s="4">
        <v>-759258</v>
      </c>
      <c r="Y84" s="4">
        <v>-1916018</v>
      </c>
      <c r="Z84" s="4">
        <v>862204</v>
      </c>
      <c r="AA84" s="4">
        <v>-63454</v>
      </c>
      <c r="AB84" s="4">
        <v>-82981</v>
      </c>
      <c r="AC84" s="4">
        <v>462769</v>
      </c>
      <c r="AD84" s="4">
        <v>-21778</v>
      </c>
      <c r="AE84" s="4">
        <f t="shared" si="330"/>
        <v>0</v>
      </c>
      <c r="AF84" s="2">
        <v>1425411.27889</v>
      </c>
      <c r="AG84" s="2">
        <v>9542054.9471070003</v>
      </c>
      <c r="AH84" s="2">
        <v>8116643.6682169996</v>
      </c>
      <c r="AI84" s="2">
        <v>862351.69854799996</v>
      </c>
      <c r="AJ84" s="2">
        <v>-675238.21787599998</v>
      </c>
      <c r="AK84" s="2">
        <v>33663.079260999999</v>
      </c>
      <c r="AL84" s="2">
        <f>+AI84-AJ84-AK84+AM84-AN84</f>
        <v>1162966.4094529999</v>
      </c>
      <c r="AM84" s="2">
        <v>23955.774512</v>
      </c>
      <c r="AN84" s="2">
        <f>511258.181375-146341.979153</f>
        <v>364916.20222199999</v>
      </c>
      <c r="AO84" s="2">
        <v>2287762.977438</v>
      </c>
      <c r="AP84" s="2">
        <v>6264.4791839999998</v>
      </c>
      <c r="AQ84" s="4">
        <v>2294027.4566219999</v>
      </c>
      <c r="AR84" s="4">
        <v>1681024.330229</v>
      </c>
      <c r="AS84" s="4">
        <f t="shared" si="341"/>
        <v>0</v>
      </c>
      <c r="AT84" s="4">
        <f t="shared" si="342"/>
        <v>0</v>
      </c>
      <c r="AU84" s="4">
        <f t="shared" si="343"/>
        <v>0</v>
      </c>
      <c r="AV84" s="4">
        <f t="shared" si="321"/>
        <v>1425411.27889</v>
      </c>
      <c r="AW84" s="4">
        <f t="shared" si="322"/>
        <v>862351.69854799996</v>
      </c>
      <c r="AX84" s="4">
        <f t="shared" si="323"/>
        <v>6264.4791839999998</v>
      </c>
      <c r="AY84" s="4">
        <f t="shared" si="324"/>
        <v>2294027.4566219999</v>
      </c>
      <c r="AZ84" s="2"/>
      <c r="BA84" s="2"/>
      <c r="BB84" s="302"/>
      <c r="BC84" s="4">
        <v>-171377.79680499999</v>
      </c>
      <c r="BD84" s="4">
        <v>-876505.89321000001</v>
      </c>
      <c r="BE84" s="4"/>
      <c r="BF84" s="4">
        <f>736604.164917-52956.074027</f>
        <v>683648.09088999999</v>
      </c>
      <c r="BG84" s="4">
        <v>-388787.54191899998</v>
      </c>
      <c r="BH84" s="4">
        <v>-5697.5617990000001</v>
      </c>
      <c r="BI84" s="4">
        <v>-536.90784499999995</v>
      </c>
      <c r="BJ84" s="4"/>
      <c r="BK84" s="4">
        <v>-759257.61068799999</v>
      </c>
      <c r="BL84" s="4">
        <f>+BK84-BC84-SUM(BD84:BJ84)</f>
        <v>0</v>
      </c>
      <c r="BM84" s="4">
        <v>5457050.1611390002</v>
      </c>
      <c r="BN84" s="4">
        <f>+BN83</f>
        <v>-855270</v>
      </c>
      <c r="BO84" s="4"/>
      <c r="BP84" s="4">
        <v>1681024.330229</v>
      </c>
      <c r="BQ84" s="4">
        <v>12.075659999999999</v>
      </c>
      <c r="BR84" s="4">
        <f>-465.64-9377.456658</f>
        <v>-9843.0966579999986</v>
      </c>
      <c r="BS84" s="4">
        <v>6272973.4703700002</v>
      </c>
      <c r="BT84" s="4">
        <f t="shared" si="335"/>
        <v>0</v>
      </c>
      <c r="BU84" s="4">
        <f>1490420+8083301</f>
        <v>9573721</v>
      </c>
      <c r="BV84" s="4">
        <f>651+1467351</f>
        <v>1468002</v>
      </c>
      <c r="BW84" s="4">
        <f>48468+186+4006616+3237126+3811300</f>
        <v>11103696</v>
      </c>
      <c r="BX84" s="4">
        <v>1588172</v>
      </c>
      <c r="BY84" s="4">
        <f>6301+3+384009+338755+438196</f>
        <v>1167264</v>
      </c>
      <c r="BZ84" s="4">
        <f>1+6324+81-182370-190854-499827</f>
        <v>-866645</v>
      </c>
      <c r="CA84" s="4">
        <f>1355+6+115896+105533+138754</f>
        <v>361544</v>
      </c>
      <c r="CB84" s="4">
        <f>-1+47090+102+4457099+3661202+3022397</f>
        <v>11187889</v>
      </c>
      <c r="CC84" s="2"/>
      <c r="CD84" s="2">
        <f>CB84+BX84-BY84+BZ84+CA84-BW84</f>
        <v>0</v>
      </c>
      <c r="CE84" s="2">
        <v>786848</v>
      </c>
      <c r="CF84" s="2">
        <f>685786+603953</f>
        <v>1289739</v>
      </c>
      <c r="CG84" s="2">
        <f>551290+500323</f>
        <v>1051613</v>
      </c>
      <c r="CH84" s="2">
        <f>462799+429147+395239+374941+357246</f>
        <v>2019372</v>
      </c>
      <c r="CI84" s="2">
        <f>1502122+1093445+811560+610301+1938699</f>
        <v>5956127</v>
      </c>
      <c r="CJ84" s="2">
        <v>11103699</v>
      </c>
      <c r="CK84" s="2">
        <f t="shared" ref="CK84" si="357">CJ84-SUM(CE84:CI84)</f>
        <v>0</v>
      </c>
      <c r="CL84" s="2">
        <f t="shared" ref="CL84" si="358">BW84-CJ84</f>
        <v>-3</v>
      </c>
      <c r="CM84" s="2"/>
      <c r="CN84" s="302">
        <v>2.3740000000000001</v>
      </c>
      <c r="CO84" s="2">
        <v>13346600</v>
      </c>
      <c r="CP84" s="2">
        <v>5621800</v>
      </c>
      <c r="CQ84" s="461">
        <v>2.4129999999999998</v>
      </c>
      <c r="CR84" s="4">
        <v>13350622</v>
      </c>
      <c r="CS84" s="4">
        <v>5532186</v>
      </c>
      <c r="CT84" s="2"/>
      <c r="CU84" s="2">
        <v>2976566</v>
      </c>
      <c r="CV84" s="2"/>
      <c r="CW84" s="312">
        <v>0.96609999999999996</v>
      </c>
      <c r="CX84" s="312">
        <v>0.96589999999999998</v>
      </c>
      <c r="CY84" s="312">
        <v>2.0000000000000001E-4</v>
      </c>
      <c r="CZ84" s="302">
        <f>+CX84/CW84</f>
        <v>0.99979298209295109</v>
      </c>
      <c r="DA84" s="2"/>
      <c r="DB84" s="2"/>
      <c r="DC84" s="302">
        <v>0.93</v>
      </c>
      <c r="DD84" s="2"/>
      <c r="DE84" s="2"/>
      <c r="DF84" s="2"/>
      <c r="DG84" s="425">
        <f>+DH84+DK84</f>
        <v>-15332.555686999636</v>
      </c>
      <c r="DH84" s="425">
        <f t="shared" si="353"/>
        <v>717.14914000034332</v>
      </c>
      <c r="DI84" s="425">
        <f>[15]Insurance_PL!$Q$8/10^6</f>
        <v>4747836.2808870003</v>
      </c>
      <c r="DJ84" s="425">
        <f>([15]Insurance_PL!$Q$20+[15]Insurance_PL!$Q$25)/10^6</f>
        <v>4747119.1317469999</v>
      </c>
      <c r="DK84" s="425">
        <f>+DL84-DM84</f>
        <v>-16049.70482699998</v>
      </c>
      <c r="DL84" s="425">
        <f>SUM([15]Insurance_PL!$Q$9:$Q$11)/10^6</f>
        <v>502216.443516</v>
      </c>
      <c r="DM84" s="425">
        <f>SUM([15]Insurance_PL!$Q$21:$Q$23)/10^6</f>
        <v>518266.14834299998</v>
      </c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P84" s="306">
        <v>557076</v>
      </c>
      <c r="EQ84" s="306">
        <v>-1112338</v>
      </c>
      <c r="ER84" s="306">
        <v>417097</v>
      </c>
      <c r="ES84" s="306">
        <v>2356</v>
      </c>
      <c r="ET84" s="306">
        <f>707501-52600</f>
        <v>654901</v>
      </c>
      <c r="EU84" s="306"/>
      <c r="EV84" s="306"/>
      <c r="EW84" s="306">
        <v>-557076</v>
      </c>
      <c r="EX84" s="306">
        <v>1112338</v>
      </c>
      <c r="EY84" s="306">
        <v>-417097</v>
      </c>
      <c r="EZ84" s="306">
        <v>-2356</v>
      </c>
      <c r="FA84" s="306">
        <v>-654901</v>
      </c>
      <c r="FB84" s="306">
        <v>-347553</v>
      </c>
      <c r="FC84" s="2">
        <f>SUM(EW84:FB84)-BZ84</f>
        <v>0</v>
      </c>
    </row>
    <row r="85" spans="1:159" s="301" customFormat="1">
      <c r="A85" s="301" t="str">
        <f t="shared" si="354"/>
        <v/>
      </c>
      <c r="D85" s="2"/>
      <c r="E85" s="2"/>
      <c r="F85" s="2"/>
      <c r="G85" s="2"/>
      <c r="H85" s="2"/>
      <c r="I85" s="302"/>
      <c r="J85" s="302"/>
      <c r="K85" s="302"/>
      <c r="L85" s="2"/>
      <c r="M85" s="2"/>
      <c r="N85" s="4"/>
      <c r="O85" s="4"/>
      <c r="P85" s="4"/>
      <c r="Q85" s="4"/>
      <c r="R85" s="4"/>
      <c r="S85" s="4"/>
      <c r="T85" s="308"/>
      <c r="U85" s="327"/>
      <c r="V85" s="327"/>
      <c r="W85" s="328"/>
      <c r="X85" s="4"/>
      <c r="Y85" s="4"/>
      <c r="Z85" s="4"/>
      <c r="AA85" s="4"/>
      <c r="AB85" s="4"/>
      <c r="AC85" s="4"/>
      <c r="AD85" s="4"/>
      <c r="AE85" s="4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4"/>
      <c r="AR85" s="4"/>
      <c r="AS85" s="4"/>
      <c r="AT85" s="4"/>
      <c r="AU85" s="4"/>
      <c r="AV85" s="4">
        <f t="shared" si="321"/>
        <v>0</v>
      </c>
      <c r="AW85" s="4">
        <f t="shared" si="322"/>
        <v>0</v>
      </c>
      <c r="AX85" s="4">
        <f t="shared" si="323"/>
        <v>0</v>
      </c>
      <c r="AY85" s="4">
        <f t="shared" si="324"/>
        <v>0</v>
      </c>
      <c r="AZ85" s="2"/>
      <c r="BA85" s="2"/>
      <c r="BB85" s="302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302"/>
      <c r="CO85" s="2"/>
      <c r="CP85" s="2"/>
      <c r="CQ85" s="461"/>
      <c r="CR85" s="4"/>
      <c r="CS85" s="4"/>
      <c r="CT85" s="2"/>
      <c r="CU85" s="2"/>
      <c r="CV85" s="2"/>
      <c r="CW85" s="312"/>
      <c r="CX85" s="312"/>
      <c r="CY85" s="312"/>
      <c r="CZ85" s="302"/>
      <c r="DA85" s="2"/>
      <c r="DB85" s="2"/>
      <c r="DC85" s="302"/>
      <c r="DD85" s="2"/>
      <c r="DE85" s="2"/>
      <c r="DF85" s="2"/>
      <c r="DG85" s="2"/>
      <c r="DH85" s="2"/>
      <c r="DI85" s="2"/>
      <c r="DJ85" s="307">
        <f>+DJ84/DI84</f>
        <v>0.99984895242852256</v>
      </c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</row>
    <row r="86" spans="1:159" s="305" customFormat="1">
      <c r="A86" s="305" t="str">
        <f t="shared" si="354"/>
        <v>2212KB손보</v>
      </c>
      <c r="B86" s="305">
        <v>2212</v>
      </c>
      <c r="C86" s="305" t="s">
        <v>10</v>
      </c>
      <c r="D86" s="306"/>
      <c r="E86" s="306"/>
      <c r="F86" s="306"/>
      <c r="G86" s="306"/>
      <c r="H86" s="306"/>
      <c r="I86" s="307"/>
      <c r="J86" s="307"/>
      <c r="K86" s="307"/>
      <c r="L86" s="306"/>
      <c r="M86" s="306"/>
      <c r="N86" s="308">
        <f t="shared" si="320"/>
        <v>5760365</v>
      </c>
      <c r="O86" s="308">
        <v>5760365</v>
      </c>
      <c r="P86" s="308"/>
      <c r="Q86" s="308">
        <v>213441</v>
      </c>
      <c r="R86" s="308">
        <v>5165220</v>
      </c>
      <c r="S86" s="308"/>
      <c r="T86" s="308"/>
      <c r="U86" s="316"/>
      <c r="V86" s="316"/>
      <c r="W86" s="316"/>
      <c r="X86" s="308"/>
      <c r="Y86" s="308"/>
      <c r="Z86" s="308"/>
      <c r="AA86" s="308"/>
      <c r="AB86" s="308"/>
      <c r="AC86" s="308"/>
      <c r="AD86" s="308"/>
      <c r="AE86" s="308"/>
      <c r="AF86" s="306"/>
      <c r="AG86" s="306"/>
      <c r="AH86" s="306"/>
      <c r="AI86" s="306"/>
      <c r="AJ86" s="306"/>
      <c r="AK86" s="306"/>
      <c r="AL86" s="306"/>
      <c r="AM86" s="306"/>
      <c r="AN86" s="306"/>
      <c r="AO86" s="306"/>
      <c r="AP86" s="306"/>
      <c r="AQ86" s="308"/>
      <c r="AR86" s="308"/>
      <c r="AS86" s="308"/>
      <c r="AT86" s="308"/>
      <c r="AU86" s="308"/>
      <c r="AV86" s="308">
        <f t="shared" si="321"/>
        <v>0</v>
      </c>
      <c r="AW86" s="308">
        <f t="shared" si="322"/>
        <v>0</v>
      </c>
      <c r="AX86" s="308">
        <f t="shared" si="323"/>
        <v>0</v>
      </c>
      <c r="AY86" s="308">
        <f t="shared" si="324"/>
        <v>0</v>
      </c>
      <c r="AZ86" s="306"/>
      <c r="BA86" s="306"/>
      <c r="BB86" s="307"/>
      <c r="BC86" s="306"/>
      <c r="BD86" s="306"/>
      <c r="BE86" s="306"/>
      <c r="BF86" s="306"/>
      <c r="BG86" s="306"/>
      <c r="BH86" s="306"/>
      <c r="BI86" s="306"/>
      <c r="BJ86" s="306"/>
      <c r="BK86" s="306"/>
      <c r="BL86" s="308"/>
      <c r="BM86" s="306"/>
      <c r="BN86" s="306"/>
      <c r="BO86" s="306"/>
      <c r="BP86" s="306"/>
      <c r="BQ86" s="306"/>
      <c r="BR86" s="306"/>
      <c r="BS86" s="306"/>
      <c r="BT86" s="308">
        <v>3503882</v>
      </c>
      <c r="BU86" s="308">
        <v>9130703</v>
      </c>
      <c r="BV86" s="308">
        <v>1044584</v>
      </c>
      <c r="BW86" s="308">
        <v>7945182</v>
      </c>
      <c r="BX86" s="308"/>
      <c r="BY86" s="308"/>
      <c r="BZ86" s="308"/>
      <c r="CA86" s="308"/>
      <c r="CB86" s="308"/>
      <c r="CC86" s="306"/>
      <c r="CD86" s="306"/>
      <c r="CE86" s="306"/>
      <c r="CF86" s="306"/>
      <c r="CG86" s="306"/>
      <c r="CH86" s="306"/>
      <c r="CI86" s="306"/>
      <c r="CJ86" s="306"/>
      <c r="CK86" s="306"/>
      <c r="CL86" s="306"/>
      <c r="CM86" s="306"/>
      <c r="CN86" s="307"/>
      <c r="CO86" s="306"/>
      <c r="CP86" s="306"/>
      <c r="CQ86" s="322"/>
      <c r="CR86" s="323"/>
      <c r="CS86" s="323"/>
      <c r="CT86" s="306"/>
      <c r="CU86" s="306"/>
      <c r="CV86" s="306"/>
      <c r="CW86" s="306"/>
      <c r="CX86" s="306"/>
      <c r="CY86" s="306"/>
      <c r="CZ86" s="306"/>
      <c r="DA86" s="306"/>
      <c r="DB86" s="306"/>
      <c r="DC86" s="307"/>
      <c r="DD86" s="306"/>
      <c r="DE86" s="306"/>
      <c r="DF86" s="306"/>
      <c r="DG86" s="306"/>
      <c r="DH86" s="306"/>
      <c r="DI86" s="306"/>
      <c r="DJ86" s="306"/>
      <c r="DK86" s="306"/>
      <c r="DL86" s="306"/>
      <c r="DM86" s="306"/>
      <c r="DN86" s="306"/>
      <c r="DO86" s="306"/>
      <c r="DP86" s="306"/>
      <c r="DQ86" s="306"/>
      <c r="DR86" s="306"/>
      <c r="DS86" s="306"/>
      <c r="DT86" s="306"/>
      <c r="DU86" s="306"/>
      <c r="DV86" s="306"/>
      <c r="DW86" s="306"/>
      <c r="DX86" s="306"/>
      <c r="DY86" s="306"/>
      <c r="DZ86" s="306"/>
      <c r="EA86" s="306"/>
      <c r="EB86" s="306"/>
      <c r="EC86" s="306"/>
      <c r="ED86" s="306"/>
      <c r="EE86" s="306"/>
      <c r="EP86" s="306"/>
      <c r="EQ86" s="306"/>
      <c r="ER86" s="306"/>
      <c r="ES86" s="306"/>
      <c r="ET86" s="306"/>
      <c r="EU86" s="306"/>
      <c r="EV86" s="306"/>
      <c r="EW86" s="306"/>
      <c r="EX86" s="306"/>
      <c r="EY86" s="306"/>
      <c r="EZ86" s="306"/>
      <c r="FA86" s="306"/>
      <c r="FB86" s="306"/>
    </row>
    <row r="87" spans="1:159" s="305" customFormat="1">
      <c r="A87" s="305" t="str">
        <f t="shared" si="354"/>
        <v>2312KB손보</v>
      </c>
      <c r="B87" s="305">
        <v>2312</v>
      </c>
      <c r="C87" s="305" t="s">
        <v>10</v>
      </c>
      <c r="D87" s="306">
        <v>37648092</v>
      </c>
      <c r="E87" s="306">
        <v>9142251</v>
      </c>
      <c r="F87" s="306">
        <v>18035012</v>
      </c>
      <c r="G87" s="306">
        <f>20000+5778963+489706</f>
        <v>6288669</v>
      </c>
      <c r="H87" s="306">
        <v>421387</v>
      </c>
      <c r="I87" s="307">
        <f t="shared" ref="I87:K89" si="359">+E87/$D87</f>
        <v>0.24283437790154147</v>
      </c>
      <c r="J87" s="307">
        <f t="shared" si="359"/>
        <v>0.47904185954496709</v>
      </c>
      <c r="K87" s="307">
        <f t="shared" si="359"/>
        <v>0.16703818615827862</v>
      </c>
      <c r="L87" s="306">
        <v>31350276</v>
      </c>
      <c r="M87" s="306">
        <v>24338726</v>
      </c>
      <c r="N87" s="308">
        <f t="shared" si="320"/>
        <v>6297816</v>
      </c>
      <c r="O87" s="308">
        <v>6297816</v>
      </c>
      <c r="P87" s="308">
        <v>0</v>
      </c>
      <c r="Q87" s="308">
        <v>364126</v>
      </c>
      <c r="R87" s="308">
        <v>5551986</v>
      </c>
      <c r="S87" s="308">
        <v>5760365</v>
      </c>
      <c r="T87" s="308">
        <f t="shared" si="346"/>
        <v>5760365</v>
      </c>
      <c r="U87" s="316">
        <v>37648100</v>
      </c>
      <c r="V87" s="316">
        <v>34949500</v>
      </c>
      <c r="W87" s="320">
        <v>0.92800000000000005</v>
      </c>
      <c r="X87" s="308">
        <v>364126</v>
      </c>
      <c r="Y87" s="308">
        <f>-1616540+4748</f>
        <v>-1611792</v>
      </c>
      <c r="Z87" s="308">
        <v>1895442</v>
      </c>
      <c r="AA87" s="308">
        <v>-30589</v>
      </c>
      <c r="AB87" s="308">
        <f>77139-2003</f>
        <v>75136</v>
      </c>
      <c r="AC87" s="308">
        <v>50988</v>
      </c>
      <c r="AD87" s="308">
        <v>-15059</v>
      </c>
      <c r="AE87" s="308">
        <f t="shared" si="330"/>
        <v>0</v>
      </c>
      <c r="AF87" s="306">
        <v>831979</v>
      </c>
      <c r="AG87" s="306">
        <v>9964496</v>
      </c>
      <c r="AH87" s="306">
        <v>9132517</v>
      </c>
      <c r="AI87" s="306">
        <v>157718</v>
      </c>
      <c r="AJ87" s="306">
        <f>29821-814099</f>
        <v>-784278</v>
      </c>
      <c r="AK87" s="306">
        <f>45627-54554</f>
        <v>-8927</v>
      </c>
      <c r="AL87" s="306">
        <f>+AI87-AJ87-AK87+AM87-AN87</f>
        <v>651797</v>
      </c>
      <c r="AM87" s="306">
        <v>38780</v>
      </c>
      <c r="AN87" s="306">
        <f>356473-18567</f>
        <v>337906</v>
      </c>
      <c r="AO87" s="306">
        <v>989697</v>
      </c>
      <c r="AP87" s="306">
        <v>-1067</v>
      </c>
      <c r="AQ87" s="308">
        <v>988630</v>
      </c>
      <c r="AR87" s="308">
        <v>736766</v>
      </c>
      <c r="AS87" s="308">
        <f t="shared" ref="AS87" si="360">+AO87+AP87-AQ87</f>
        <v>0</v>
      </c>
      <c r="AT87" s="308">
        <f t="shared" ref="AT87" si="361">+AJ87+AK87+AL87-AM87+AN87-AI87</f>
        <v>0</v>
      </c>
      <c r="AU87" s="308">
        <f t="shared" ref="AU87" si="362">+AF87+AI87-AO87</f>
        <v>0</v>
      </c>
      <c r="AV87" s="308">
        <f t="shared" si="321"/>
        <v>831979</v>
      </c>
      <c r="AW87" s="308">
        <f t="shared" si="322"/>
        <v>157718</v>
      </c>
      <c r="AX87" s="308">
        <f t="shared" si="323"/>
        <v>-1067</v>
      </c>
      <c r="AY87" s="308">
        <f t="shared" si="324"/>
        <v>988630</v>
      </c>
      <c r="AZ87" s="306"/>
      <c r="BA87" s="306"/>
      <c r="BB87" s="307"/>
      <c r="BC87" s="306">
        <v>213441</v>
      </c>
      <c r="BD87" s="306">
        <f>1176289+3268</f>
        <v>1179557</v>
      </c>
      <c r="BE87" s="306"/>
      <c r="BF87" s="306">
        <f>-1197707+30194</f>
        <v>-1167513</v>
      </c>
      <c r="BG87" s="306">
        <v>138904</v>
      </c>
      <c r="BH87" s="306">
        <v>69</v>
      </c>
      <c r="BI87" s="306">
        <v>-2403</v>
      </c>
      <c r="BJ87" s="306">
        <v>2071</v>
      </c>
      <c r="BK87" s="306">
        <v>364126</v>
      </c>
      <c r="BL87" s="308">
        <f t="shared" ref="BL87:BL100" si="363">+BK87-BC87-SUM(BD87:BJ87)</f>
        <v>0</v>
      </c>
      <c r="BM87" s="306">
        <v>5165220</v>
      </c>
      <c r="BN87" s="306">
        <v>-350000</v>
      </c>
      <c r="BO87" s="306"/>
      <c r="BP87" s="306">
        <v>736766</v>
      </c>
      <c r="BQ87" s="306"/>
      <c r="BR87" s="306"/>
      <c r="BS87" s="306">
        <v>5551986</v>
      </c>
      <c r="BT87" s="308">
        <f t="shared" si="335"/>
        <v>0</v>
      </c>
      <c r="BU87" s="308">
        <v>10470733</v>
      </c>
      <c r="BV87" s="308">
        <v>1225165</v>
      </c>
      <c r="BW87" s="308">
        <v>8517921</v>
      </c>
      <c r="BX87" s="308">
        <v>1836968</v>
      </c>
      <c r="BY87" s="308">
        <v>812094</v>
      </c>
      <c r="BZ87" s="308">
        <v>-743100</v>
      </c>
      <c r="CA87" s="308">
        <v>290965</v>
      </c>
      <c r="CB87" s="308">
        <v>7945182</v>
      </c>
      <c r="CC87" s="306"/>
      <c r="CD87" s="306">
        <f t="shared" si="325"/>
        <v>0</v>
      </c>
      <c r="CE87" s="306">
        <v>491522</v>
      </c>
      <c r="CF87" s="306">
        <f>443310+394891</f>
        <v>838201</v>
      </c>
      <c r="CG87" s="306">
        <f>357703+327251</f>
        <v>684954</v>
      </c>
      <c r="CH87" s="306">
        <f>304153+286546+273528+260881+247815</f>
        <v>1372923</v>
      </c>
      <c r="CI87" s="306">
        <f>1123596+877870+698172+576894+1853789</f>
        <v>5130321</v>
      </c>
      <c r="CJ87" s="306">
        <v>8517921</v>
      </c>
      <c r="CK87" s="306">
        <f t="shared" ref="CK87" si="364">CJ87-SUM(CE87:CI87)</f>
        <v>0</v>
      </c>
      <c r="CL87" s="306">
        <f t="shared" ref="CL87" si="365">BW87-CJ87</f>
        <v>0</v>
      </c>
      <c r="CM87" s="306"/>
      <c r="CN87" s="307">
        <v>2.1604000000000001</v>
      </c>
      <c r="CO87" s="306">
        <v>11657680</v>
      </c>
      <c r="CP87" s="306">
        <v>5396114</v>
      </c>
      <c r="CQ87" s="322">
        <v>2.1594000000000002</v>
      </c>
      <c r="CR87" s="323">
        <v>11668880</v>
      </c>
      <c r="CS87" s="323">
        <v>5403656</v>
      </c>
      <c r="CT87" s="306"/>
      <c r="CU87" s="306">
        <v>2792853</v>
      </c>
      <c r="CV87" s="306"/>
      <c r="CW87" s="306"/>
      <c r="CX87" s="306"/>
      <c r="CY87" s="306"/>
      <c r="CZ87" s="306"/>
      <c r="DA87" s="306"/>
      <c r="DB87" s="306"/>
      <c r="DC87" s="307">
        <v>0.82199999999999995</v>
      </c>
      <c r="DD87" s="306">
        <v>11340366.117323</v>
      </c>
      <c r="DE87" s="306">
        <v>9316113.7595930006</v>
      </c>
      <c r="DF87" s="306"/>
      <c r="DG87" s="306"/>
      <c r="DH87" s="306"/>
      <c r="DI87" s="306"/>
      <c r="DJ87" s="306"/>
      <c r="DK87" s="306"/>
      <c r="DL87" s="306"/>
      <c r="DM87" s="306"/>
      <c r="DN87" s="306"/>
      <c r="DO87" s="306"/>
      <c r="DP87" s="306"/>
      <c r="DQ87" s="306"/>
      <c r="DR87" s="306"/>
      <c r="DS87" s="306"/>
      <c r="DT87" s="306"/>
      <c r="DU87" s="306"/>
      <c r="DV87" s="306"/>
      <c r="DW87" s="306"/>
      <c r="DX87" s="306"/>
      <c r="DY87" s="306"/>
      <c r="DZ87" s="306"/>
      <c r="EA87" s="306"/>
      <c r="EB87" s="306"/>
      <c r="EC87" s="306"/>
      <c r="ED87" s="306"/>
      <c r="EE87" s="306"/>
      <c r="EP87" s="306"/>
      <c r="EQ87" s="306"/>
      <c r="ER87" s="306"/>
      <c r="ES87" s="306"/>
      <c r="ET87" s="306"/>
      <c r="EU87" s="306"/>
      <c r="EV87" s="306"/>
      <c r="EW87" s="306"/>
      <c r="EX87" s="306"/>
      <c r="EY87" s="306"/>
      <c r="EZ87" s="306"/>
      <c r="FA87" s="306"/>
      <c r="FB87" s="306"/>
    </row>
    <row r="88" spans="1:159" s="305" customFormat="1">
      <c r="A88" s="305" t="str">
        <f t="shared" si="354"/>
        <v>2412KB손보</v>
      </c>
      <c r="B88" s="305">
        <v>2412</v>
      </c>
      <c r="C88" s="305" t="s">
        <v>10</v>
      </c>
      <c r="D88" s="306">
        <v>40710844</v>
      </c>
      <c r="E88" s="306">
        <v>9431766</v>
      </c>
      <c r="F88" s="306">
        <v>20523003</v>
      </c>
      <c r="G88" s="306">
        <f>20000+5921247+969596</f>
        <v>6910843</v>
      </c>
      <c r="H88" s="306">
        <v>448957</v>
      </c>
      <c r="I88" s="307">
        <f t="shared" si="359"/>
        <v>0.23167699495495597</v>
      </c>
      <c r="J88" s="307">
        <f t="shared" si="359"/>
        <v>0.50411637253209485</v>
      </c>
      <c r="K88" s="307">
        <f t="shared" si="359"/>
        <v>0.16975435341011352</v>
      </c>
      <c r="L88" s="306">
        <v>34854403</v>
      </c>
      <c r="M88" s="306">
        <v>26451376</v>
      </c>
      <c r="N88" s="308">
        <f t="shared" si="320"/>
        <v>5856441</v>
      </c>
      <c r="O88" s="308">
        <v>5856441</v>
      </c>
      <c r="P88" s="308">
        <v>0</v>
      </c>
      <c r="Q88" s="308">
        <v>-684025</v>
      </c>
      <c r="R88" s="308">
        <v>6158762</v>
      </c>
      <c r="S88" s="308">
        <v>6297816</v>
      </c>
      <c r="T88" s="308">
        <f t="shared" si="346"/>
        <v>6297816</v>
      </c>
      <c r="U88" s="316">
        <v>40710800</v>
      </c>
      <c r="V88" s="316">
        <v>38051200</v>
      </c>
      <c r="W88" s="320">
        <v>0.93500000000000005</v>
      </c>
      <c r="X88" s="308">
        <v>-684025</v>
      </c>
      <c r="Y88" s="308">
        <f>-1080448+5171</f>
        <v>-1075277</v>
      </c>
      <c r="Z88" s="308">
        <v>236172</v>
      </c>
      <c r="AA88" s="308">
        <v>-5578</v>
      </c>
      <c r="AB88" s="308">
        <f>144113+5917</f>
        <v>150030</v>
      </c>
      <c r="AC88" s="308">
        <v>50988</v>
      </c>
      <c r="AD88" s="308">
        <v>-40360</v>
      </c>
      <c r="AE88" s="308">
        <f t="shared" ref="AE88:AE100" si="366">X88-SUM(Y88:AD88)</f>
        <v>0</v>
      </c>
      <c r="AF88" s="306">
        <v>977999</v>
      </c>
      <c r="AG88" s="306">
        <v>10406503</v>
      </c>
      <c r="AH88" s="306">
        <v>9428504</v>
      </c>
      <c r="AI88" s="306">
        <v>177571</v>
      </c>
      <c r="AJ88" s="306">
        <f>44096-808401</f>
        <v>-764305</v>
      </c>
      <c r="AK88" s="306">
        <f>120187-115426</f>
        <v>4761</v>
      </c>
      <c r="AL88" s="306">
        <f>+AI88-AJ88-AK88+AM88-AN88</f>
        <v>610479</v>
      </c>
      <c r="AM88" s="306">
        <v>27369</v>
      </c>
      <c r="AN88" s="306">
        <f>382312-28307</f>
        <v>354005</v>
      </c>
      <c r="AO88" s="306">
        <v>1155570</v>
      </c>
      <c r="AP88" s="306">
        <v>-17615</v>
      </c>
      <c r="AQ88" s="308">
        <v>1137955</v>
      </c>
      <c r="AR88" s="308">
        <v>856749</v>
      </c>
      <c r="AS88" s="308">
        <f t="shared" si="341"/>
        <v>0</v>
      </c>
      <c r="AT88" s="308">
        <f t="shared" si="342"/>
        <v>0</v>
      </c>
      <c r="AU88" s="308">
        <f t="shared" si="343"/>
        <v>0</v>
      </c>
      <c r="AV88" s="308">
        <f t="shared" si="321"/>
        <v>977999</v>
      </c>
      <c r="AW88" s="308">
        <f t="shared" si="322"/>
        <v>177571</v>
      </c>
      <c r="AX88" s="308">
        <f t="shared" si="323"/>
        <v>-17615</v>
      </c>
      <c r="AY88" s="308">
        <f t="shared" si="324"/>
        <v>1137955</v>
      </c>
      <c r="AZ88" s="306"/>
      <c r="BA88" s="306"/>
      <c r="BB88" s="307">
        <f t="shared" si="347"/>
        <v>-7.2385826355231941E-2</v>
      </c>
      <c r="BC88" s="306">
        <v>364126</v>
      </c>
      <c r="BD88" s="306">
        <f>536093+423</f>
        <v>536516</v>
      </c>
      <c r="BE88" s="306"/>
      <c r="BF88" s="306">
        <f>-1659269+25010</f>
        <v>-1634259</v>
      </c>
      <c r="BG88" s="306">
        <v>66974</v>
      </c>
      <c r="BH88" s="306"/>
      <c r="BI88" s="306">
        <v>-25301</v>
      </c>
      <c r="BJ88" s="306">
        <v>7920</v>
      </c>
      <c r="BK88" s="306">
        <v>-684024</v>
      </c>
      <c r="BL88" s="308">
        <f t="shared" si="363"/>
        <v>0</v>
      </c>
      <c r="BM88" s="306">
        <v>5551986</v>
      </c>
      <c r="BN88" s="306">
        <v>-249974</v>
      </c>
      <c r="BO88" s="306"/>
      <c r="BP88" s="306">
        <v>856749</v>
      </c>
      <c r="BQ88" s="306"/>
      <c r="BR88" s="306"/>
      <c r="BS88" s="306">
        <v>6158761</v>
      </c>
      <c r="BT88" s="308">
        <f>+BM88+SUM(BN88:BR88)-BS88</f>
        <v>0</v>
      </c>
      <c r="BU88" s="308">
        <v>12299434</v>
      </c>
      <c r="BV88" s="308">
        <v>1457142</v>
      </c>
      <c r="BW88" s="308">
        <v>8820482</v>
      </c>
      <c r="BX88" s="308">
        <v>1932321</v>
      </c>
      <c r="BY88" s="308">
        <v>837664</v>
      </c>
      <c r="BZ88" s="308">
        <v>-1122075</v>
      </c>
      <c r="CA88" s="308">
        <v>329979</v>
      </c>
      <c r="CB88" s="308">
        <v>8517921</v>
      </c>
      <c r="CC88" s="306"/>
      <c r="CD88" s="306">
        <f t="shared" si="325"/>
        <v>0</v>
      </c>
      <c r="CE88" s="306">
        <v>484975</v>
      </c>
      <c r="CF88" s="306">
        <f>433328+381336</f>
        <v>814664</v>
      </c>
      <c r="CG88" s="306">
        <f>339983+309393</f>
        <v>649376</v>
      </c>
      <c r="CH88" s="306">
        <f>283856+266515+252884+240733+230054</f>
        <v>1274042</v>
      </c>
      <c r="CI88" s="306">
        <f>1051135+857453+718674+614783+2355380</f>
        <v>5597425</v>
      </c>
      <c r="CJ88" s="306">
        <v>8820482</v>
      </c>
      <c r="CK88" s="306">
        <f t="shared" si="326"/>
        <v>0</v>
      </c>
      <c r="CL88" s="306">
        <f t="shared" si="327"/>
        <v>0</v>
      </c>
      <c r="CM88" s="306"/>
      <c r="CN88" s="307"/>
      <c r="CO88" s="306"/>
      <c r="CP88" s="306"/>
      <c r="CQ88" s="322">
        <v>1.8642000000000001</v>
      </c>
      <c r="CR88" s="323">
        <v>11318549</v>
      </c>
      <c r="CS88" s="323">
        <v>6071606</v>
      </c>
      <c r="CT88" s="306"/>
      <c r="CU88" s="306">
        <v>2838012</v>
      </c>
      <c r="CV88" s="306"/>
      <c r="CW88" s="324">
        <v>0.94599999999999995</v>
      </c>
      <c r="CX88" s="324">
        <v>0.88300000000000001</v>
      </c>
      <c r="CY88" s="324">
        <v>6.3E-2</v>
      </c>
      <c r="CZ88" s="307">
        <f>+CX88/CW88</f>
        <v>0.93340380549682878</v>
      </c>
      <c r="DA88" s="306"/>
      <c r="DB88" s="306"/>
      <c r="DC88" s="307">
        <v>0.80600000000000005</v>
      </c>
      <c r="DD88" s="306">
        <v>12148992.223828999</v>
      </c>
      <c r="DE88" s="306">
        <v>9786293.4366330002</v>
      </c>
      <c r="DF88" s="306"/>
      <c r="DG88" s="306"/>
      <c r="DH88" s="306"/>
      <c r="DI88" s="306"/>
      <c r="DJ88" s="306"/>
      <c r="DK88" s="306"/>
      <c r="DL88" s="306"/>
      <c r="DM88" s="306"/>
      <c r="DN88" s="306"/>
      <c r="DO88" s="306"/>
      <c r="DP88" s="306"/>
      <c r="DQ88" s="306"/>
      <c r="DR88" s="306"/>
      <c r="DS88" s="306"/>
      <c r="DT88" s="306"/>
      <c r="DU88" s="306"/>
      <c r="DV88" s="306"/>
      <c r="DW88" s="306"/>
      <c r="DX88" s="306"/>
      <c r="DY88" s="306"/>
      <c r="DZ88" s="306"/>
      <c r="EA88" s="306"/>
      <c r="EB88" s="306"/>
      <c r="EC88" s="306"/>
      <c r="ED88" s="306"/>
      <c r="EE88" s="306"/>
      <c r="EP88" s="306">
        <v>1224470</v>
      </c>
      <c r="EQ88" s="306">
        <v>-129764</v>
      </c>
      <c r="ER88" s="306">
        <v>36821</v>
      </c>
      <c r="ES88" s="306">
        <v>-10483</v>
      </c>
      <c r="ET88" s="306">
        <f>59319+53562</f>
        <v>112881</v>
      </c>
      <c r="EU88" s="306"/>
      <c r="EV88" s="306"/>
      <c r="EW88" s="306">
        <v>-1224470</v>
      </c>
      <c r="EX88" s="306">
        <v>129764</v>
      </c>
      <c r="EY88" s="306">
        <v>-36821</v>
      </c>
      <c r="EZ88" s="306">
        <v>10483</v>
      </c>
      <c r="FA88" s="306">
        <v>-112881</v>
      </c>
      <c r="FB88" s="306">
        <v>111850</v>
      </c>
      <c r="FC88" s="452">
        <f>SUM(EW88:FB88)-BZ88</f>
        <v>0</v>
      </c>
    </row>
    <row r="89" spans="1:159" s="305" customFormat="1">
      <c r="A89" s="305" t="str">
        <f t="shared" si="354"/>
        <v>2503KB손보</v>
      </c>
      <c r="B89" s="305">
        <v>2503</v>
      </c>
      <c r="C89" s="305" t="str">
        <f>C88</f>
        <v>KB손보</v>
      </c>
      <c r="D89" s="306">
        <v>41967068</v>
      </c>
      <c r="E89" s="306">
        <v>9863694</v>
      </c>
      <c r="F89" s="306">
        <v>21527844</v>
      </c>
      <c r="G89" s="306">
        <f>20000+6340679+398936</f>
        <v>6759615</v>
      </c>
      <c r="H89" s="306">
        <v>443792</v>
      </c>
      <c r="I89" s="307">
        <f t="shared" si="359"/>
        <v>0.23503414629775898</v>
      </c>
      <c r="J89" s="307">
        <f t="shared" si="359"/>
        <v>0.51296993156634152</v>
      </c>
      <c r="K89" s="307">
        <f t="shared" si="359"/>
        <v>0.16106950812003354</v>
      </c>
      <c r="L89" s="306">
        <v>36714834</v>
      </c>
      <c r="M89" s="306">
        <v>28154589</v>
      </c>
      <c r="N89" s="308">
        <f t="shared" si="320"/>
        <v>5252234</v>
      </c>
      <c r="O89" s="308">
        <v>5252234</v>
      </c>
      <c r="P89" s="308"/>
      <c r="Q89" s="308">
        <v>-1308069</v>
      </c>
      <c r="R89" s="308">
        <v>6178599</v>
      </c>
      <c r="S89" s="308">
        <v>5856441</v>
      </c>
      <c r="T89" s="308">
        <f t="shared" si="346"/>
        <v>5856441</v>
      </c>
      <c r="U89" s="316">
        <v>41967100</v>
      </c>
      <c r="V89" s="316">
        <v>39115600</v>
      </c>
      <c r="W89" s="320">
        <v>0.93200000000000005</v>
      </c>
      <c r="X89" s="308">
        <v>-1308069</v>
      </c>
      <c r="Y89" s="308">
        <f>-669781+5230</f>
        <v>-664551</v>
      </c>
      <c r="Z89" s="308">
        <v>-868717</v>
      </c>
      <c r="AA89" s="308">
        <v>5716</v>
      </c>
      <c r="AB89" s="308">
        <f>203465+5756</f>
        <v>209221</v>
      </c>
      <c r="AC89" s="308">
        <v>50988</v>
      </c>
      <c r="AD89" s="308">
        <v>-40726</v>
      </c>
      <c r="AE89" s="308">
        <f t="shared" si="366"/>
        <v>0</v>
      </c>
      <c r="AF89" s="306">
        <v>263066</v>
      </c>
      <c r="AG89" s="306">
        <v>2846282</v>
      </c>
      <c r="AH89" s="306">
        <v>2583216</v>
      </c>
      <c r="AI89" s="306">
        <v>165751</v>
      </c>
      <c r="AJ89" s="306">
        <f>5823-197424</f>
        <v>-191601</v>
      </c>
      <c r="AK89" s="306">
        <f>23488-9482</f>
        <v>14006</v>
      </c>
      <c r="AL89" s="306">
        <f>+AI89-AJ89-AK89+AM89-AN89</f>
        <v>265900</v>
      </c>
      <c r="AM89" s="306">
        <v>7098</v>
      </c>
      <c r="AN89" s="306">
        <f>92858-8314</f>
        <v>84544</v>
      </c>
      <c r="AO89" s="306">
        <v>428817</v>
      </c>
      <c r="AP89" s="306">
        <v>1227</v>
      </c>
      <c r="AQ89" s="308">
        <v>430044</v>
      </c>
      <c r="AR89" s="308">
        <v>319819</v>
      </c>
      <c r="AS89" s="308">
        <f t="shared" si="341"/>
        <v>0</v>
      </c>
      <c r="AT89" s="308">
        <f t="shared" si="342"/>
        <v>0</v>
      </c>
      <c r="AU89" s="308">
        <f t="shared" si="343"/>
        <v>0</v>
      </c>
      <c r="AV89" s="308">
        <f t="shared" si="321"/>
        <v>263066</v>
      </c>
      <c r="AW89" s="308">
        <f t="shared" si="322"/>
        <v>165751</v>
      </c>
      <c r="AX89" s="308">
        <f t="shared" si="323"/>
        <v>1227</v>
      </c>
      <c r="AY89" s="308">
        <f t="shared" si="324"/>
        <v>430044</v>
      </c>
      <c r="AZ89" s="306"/>
      <c r="BA89" s="306"/>
      <c r="BB89" s="307"/>
      <c r="BC89" s="306">
        <v>-684024</v>
      </c>
      <c r="BD89" s="306">
        <f>410666+59</f>
        <v>410725</v>
      </c>
      <c r="BE89" s="306"/>
      <c r="BF89" s="306">
        <f>-1104889+11294</f>
        <v>-1093595</v>
      </c>
      <c r="BG89" s="306">
        <v>59353</v>
      </c>
      <c r="BH89" s="306"/>
      <c r="BI89" s="306">
        <v>-366</v>
      </c>
      <c r="BJ89" s="306">
        <v>-162</v>
      </c>
      <c r="BK89" s="306">
        <v>-1308069</v>
      </c>
      <c r="BL89" s="308">
        <f t="shared" si="363"/>
        <v>0</v>
      </c>
      <c r="BM89" s="306">
        <v>6158761</v>
      </c>
      <c r="BN89" s="306">
        <v>-299981</v>
      </c>
      <c r="BO89" s="306"/>
      <c r="BP89" s="306">
        <v>319819</v>
      </c>
      <c r="BQ89" s="306"/>
      <c r="BR89" s="306"/>
      <c r="BS89" s="306">
        <v>6178599</v>
      </c>
      <c r="BT89" s="308">
        <f>+BM89+SUM(BN89:BR89)-BS89</f>
        <v>0</v>
      </c>
      <c r="BU89" s="308">
        <v>13650753</v>
      </c>
      <c r="BV89" s="308">
        <v>1522269</v>
      </c>
      <c r="BW89" s="308">
        <v>8925593</v>
      </c>
      <c r="BX89" s="308">
        <v>387971</v>
      </c>
      <c r="BY89" s="308">
        <v>213214</v>
      </c>
      <c r="BZ89" s="308">
        <v>-150199</v>
      </c>
      <c r="CA89" s="308">
        <v>80553</v>
      </c>
      <c r="CB89" s="308">
        <v>8820482</v>
      </c>
      <c r="CC89" s="306"/>
      <c r="CD89" s="306">
        <f t="shared" si="325"/>
        <v>0</v>
      </c>
      <c r="CE89" s="306">
        <v>492777</v>
      </c>
      <c r="CF89" s="306">
        <f>438527+386275</f>
        <v>824802</v>
      </c>
      <c r="CG89" s="306">
        <f>343303+312954</f>
        <v>656257</v>
      </c>
      <c r="CH89" s="306">
        <f>286225+269158+256406+244704+234152</f>
        <v>1290645</v>
      </c>
      <c r="CI89" s="306">
        <f>1067103+875303+735425+629079+2354202</f>
        <v>5661112</v>
      </c>
      <c r="CJ89" s="306">
        <v>8925593</v>
      </c>
      <c r="CK89" s="306">
        <f t="shared" ref="CK89" si="367">CJ89-SUM(CE89:CI89)</f>
        <v>0</v>
      </c>
      <c r="CL89" s="306">
        <f t="shared" si="327"/>
        <v>0</v>
      </c>
      <c r="CM89" s="306"/>
      <c r="CN89" s="307"/>
      <c r="CO89" s="306"/>
      <c r="CP89" s="306"/>
      <c r="CQ89" s="322">
        <v>1.8216000000000001</v>
      </c>
      <c r="CR89" s="323">
        <v>11570134</v>
      </c>
      <c r="CS89" s="323">
        <v>6351544</v>
      </c>
      <c r="CT89" s="306"/>
      <c r="CU89" s="306">
        <f>+CU88+615694</f>
        <v>3453706</v>
      </c>
      <c r="CV89" s="306"/>
      <c r="CW89" s="324"/>
      <c r="CX89" s="324"/>
      <c r="CY89" s="324"/>
      <c r="CZ89" s="307"/>
      <c r="DA89" s="306"/>
      <c r="DB89" s="306"/>
      <c r="DC89" s="307">
        <v>0.80700000000000005</v>
      </c>
      <c r="DD89" s="306">
        <v>3135934.25208</v>
      </c>
      <c r="DE89" s="306">
        <v>2529804.0035980004</v>
      </c>
      <c r="DF89" s="306"/>
      <c r="DG89" s="306"/>
      <c r="DH89" s="306"/>
      <c r="DI89" s="306"/>
      <c r="DJ89" s="306"/>
      <c r="DK89" s="306"/>
      <c r="DL89" s="306"/>
      <c r="DM89" s="306"/>
      <c r="DN89" s="306"/>
      <c r="DO89" s="306"/>
      <c r="DP89" s="306"/>
      <c r="DQ89" s="306"/>
      <c r="DR89" s="306"/>
      <c r="DS89" s="306"/>
      <c r="DT89" s="306"/>
      <c r="DU89" s="306"/>
      <c r="DV89" s="306"/>
      <c r="DW89" s="306"/>
      <c r="DX89" s="306"/>
      <c r="DY89" s="306"/>
      <c r="DZ89" s="306"/>
      <c r="EA89" s="306"/>
      <c r="EB89" s="306"/>
      <c r="EC89" s="306"/>
      <c r="ED89" s="306"/>
      <c r="EE89" s="306"/>
      <c r="EP89" s="306"/>
      <c r="EQ89" s="306"/>
      <c r="ER89" s="306"/>
      <c r="ES89" s="306"/>
      <c r="ET89" s="306"/>
      <c r="EU89" s="306"/>
      <c r="EV89" s="306"/>
      <c r="EW89" s="306"/>
      <c r="EX89" s="306"/>
      <c r="EY89" s="306"/>
      <c r="EZ89" s="306"/>
      <c r="FA89" s="306"/>
      <c r="FB89" s="306"/>
    </row>
    <row r="90" spans="1:159" s="305" customFormat="1">
      <c r="A90" s="305" t="str">
        <f t="shared" si="354"/>
        <v>2506KB손보</v>
      </c>
      <c r="B90" s="305">
        <v>2506</v>
      </c>
      <c r="C90" s="305" t="str">
        <f>C89</f>
        <v>KB손보</v>
      </c>
      <c r="D90" s="306">
        <v>42685362</v>
      </c>
      <c r="E90" s="306">
        <v>9555695</v>
      </c>
      <c r="F90" s="306">
        <v>21729635</v>
      </c>
      <c r="G90" s="306">
        <v>7308087</v>
      </c>
      <c r="H90" s="306">
        <v>414647</v>
      </c>
      <c r="I90" s="307">
        <v>0.22386351086819881</v>
      </c>
      <c r="J90" s="307">
        <v>0.5090652622320504</v>
      </c>
      <c r="K90" s="307">
        <v>0.17120827041363734</v>
      </c>
      <c r="L90" s="306">
        <v>37105191</v>
      </c>
      <c r="M90" s="306">
        <v>27656502</v>
      </c>
      <c r="N90" s="308">
        <v>5580171</v>
      </c>
      <c r="O90" s="308">
        <v>5580171</v>
      </c>
      <c r="P90" s="308">
        <v>0</v>
      </c>
      <c r="Q90" s="308">
        <v>-1226399</v>
      </c>
      <c r="R90" s="308">
        <v>6424866</v>
      </c>
      <c r="S90" s="308">
        <v>5856441</v>
      </c>
      <c r="T90" s="308">
        <f>+T89</f>
        <v>5856441</v>
      </c>
      <c r="U90" s="316">
        <v>42685400</v>
      </c>
      <c r="V90" s="316">
        <v>39784600</v>
      </c>
      <c r="W90" s="320">
        <v>0.93200000000000005</v>
      </c>
      <c r="X90" s="308">
        <v>-1226400</v>
      </c>
      <c r="Y90" s="308">
        <f>-954283+5085</f>
        <v>-949198</v>
      </c>
      <c r="Z90" s="308">
        <v>-395303</v>
      </c>
      <c r="AA90" s="308">
        <v>-1040</v>
      </c>
      <c r="AB90" s="308">
        <f>107196+1189</f>
        <v>108385</v>
      </c>
      <c r="AC90" s="308">
        <v>50988</v>
      </c>
      <c r="AD90" s="308">
        <v>-40232</v>
      </c>
      <c r="AE90" s="308">
        <f t="shared" si="366"/>
        <v>0</v>
      </c>
      <c r="AF90" s="306">
        <v>500996</v>
      </c>
      <c r="AG90" s="306">
        <v>5627212</v>
      </c>
      <c r="AH90" s="306">
        <v>5126216</v>
      </c>
      <c r="AI90" s="306">
        <v>262261</v>
      </c>
      <c r="AJ90" s="306">
        <v>0</v>
      </c>
      <c r="AK90" s="306">
        <v>0</v>
      </c>
      <c r="AL90" s="306">
        <v>0</v>
      </c>
      <c r="AM90" s="306">
        <v>0</v>
      </c>
      <c r="AN90" s="306">
        <v>0</v>
      </c>
      <c r="AO90" s="306">
        <v>763257</v>
      </c>
      <c r="AP90" s="306">
        <v>1008</v>
      </c>
      <c r="AQ90" s="308">
        <v>764265</v>
      </c>
      <c r="AR90" s="308">
        <v>566086</v>
      </c>
      <c r="AS90" s="308">
        <f t="shared" si="341"/>
        <v>0</v>
      </c>
      <c r="AT90" s="308">
        <f t="shared" si="342"/>
        <v>-262261</v>
      </c>
      <c r="AU90" s="308">
        <f t="shared" si="343"/>
        <v>0</v>
      </c>
      <c r="AV90" s="308">
        <f t="shared" si="321"/>
        <v>500996</v>
      </c>
      <c r="AW90" s="308">
        <f t="shared" si="322"/>
        <v>262261</v>
      </c>
      <c r="AX90" s="308">
        <f t="shared" si="323"/>
        <v>1008</v>
      </c>
      <c r="AY90" s="308">
        <f t="shared" si="324"/>
        <v>764265</v>
      </c>
      <c r="AZ90" s="306"/>
      <c r="BA90" s="306"/>
      <c r="BB90" s="307"/>
      <c r="BC90" s="306">
        <v>-684024</v>
      </c>
      <c r="BD90" s="306">
        <v>126165</v>
      </c>
      <c r="BE90" s="306">
        <v>-86</v>
      </c>
      <c r="BF90" s="306">
        <v>-626937</v>
      </c>
      <c r="BG90" s="306">
        <v>-36916</v>
      </c>
      <c r="BH90" s="306"/>
      <c r="BI90" s="306">
        <v>128</v>
      </c>
      <c r="BJ90" s="306">
        <v>-4729</v>
      </c>
      <c r="BK90" s="306">
        <v>-1226399</v>
      </c>
      <c r="BL90" s="308">
        <v>0</v>
      </c>
      <c r="BM90" s="306">
        <v>6158761</v>
      </c>
      <c r="BN90" s="306">
        <v>-299981</v>
      </c>
      <c r="BO90" s="306">
        <v>0</v>
      </c>
      <c r="BP90" s="306">
        <v>566086</v>
      </c>
      <c r="BQ90" s="306">
        <v>0</v>
      </c>
      <c r="BR90" s="306">
        <v>0</v>
      </c>
      <c r="BS90" s="306">
        <v>6424866</v>
      </c>
      <c r="BT90" s="308">
        <f>+BM90+SUM(BN90:BR90)-BS90</f>
        <v>0</v>
      </c>
      <c r="BU90" s="308">
        <v>12766186</v>
      </c>
      <c r="BV90" s="308">
        <v>1536654</v>
      </c>
      <c r="BW90" s="308">
        <v>9217614</v>
      </c>
      <c r="BX90" s="308">
        <v>814226</v>
      </c>
      <c r="BY90" s="308">
        <v>423962</v>
      </c>
      <c r="BZ90" s="308">
        <v>-155484</v>
      </c>
      <c r="CA90" s="308">
        <v>162352</v>
      </c>
      <c r="CB90" s="308">
        <v>8820482</v>
      </c>
      <c r="CC90" s="306"/>
      <c r="CD90" s="306">
        <f t="shared" si="325"/>
        <v>0</v>
      </c>
      <c r="CE90" s="306">
        <f>506704</f>
        <v>506704</v>
      </c>
      <c r="CF90" s="306">
        <f>451246+396260</f>
        <v>847506</v>
      </c>
      <c r="CG90" s="306">
        <f>352816+320601</f>
        <v>673417</v>
      </c>
      <c r="CH90" s="306">
        <f>293122+276069+263186+251350+240602</f>
        <v>1324329</v>
      </c>
      <c r="CI90" s="306">
        <f>1096545+903109+760622+651959+2453423</f>
        <v>5865658</v>
      </c>
      <c r="CJ90" s="306">
        <v>9217614</v>
      </c>
      <c r="CK90" s="306">
        <f t="shared" ref="CK90:CK91" si="368">CJ90-SUM(CE90:CI90)</f>
        <v>0</v>
      </c>
      <c r="CL90" s="306">
        <f t="shared" si="327"/>
        <v>0</v>
      </c>
      <c r="CM90" s="306"/>
      <c r="CN90" s="307"/>
      <c r="CO90" s="306"/>
      <c r="CP90" s="306"/>
      <c r="CQ90" s="322">
        <v>1.915</v>
      </c>
      <c r="CR90" s="323">
        <v>12153094</v>
      </c>
      <c r="CS90" s="323">
        <v>6346294</v>
      </c>
      <c r="CT90" s="306"/>
      <c r="CU90" s="306">
        <v>3281748</v>
      </c>
      <c r="CV90" s="306"/>
      <c r="CW90" s="324"/>
      <c r="CX90" s="324"/>
      <c r="CY90" s="324"/>
      <c r="CZ90" s="307"/>
      <c r="DA90" s="306"/>
      <c r="DB90" s="306"/>
      <c r="DC90" s="307">
        <f>DE90/DD90</f>
        <v>0.80272852754375301</v>
      </c>
      <c r="DD90" s="306">
        <v>6361668.3407650003</v>
      </c>
      <c r="DE90" s="306">
        <v>5106692.6599039994</v>
      </c>
      <c r="DF90" s="306"/>
      <c r="DG90" s="306"/>
      <c r="DH90" s="306"/>
      <c r="DI90" s="306"/>
      <c r="DJ90" s="306"/>
      <c r="DK90" s="306"/>
      <c r="DL90" s="306"/>
      <c r="DM90" s="306"/>
      <c r="DN90" s="306"/>
      <c r="DO90" s="306"/>
      <c r="DP90" s="306"/>
      <c r="DQ90" s="306"/>
      <c r="DR90" s="306"/>
      <c r="DS90" s="306"/>
      <c r="DT90" s="306"/>
      <c r="DU90" s="306"/>
      <c r="DV90" s="306"/>
      <c r="DW90" s="306"/>
      <c r="DX90" s="306"/>
      <c r="DY90" s="306"/>
      <c r="DZ90" s="306"/>
      <c r="EA90" s="306"/>
      <c r="EB90" s="306"/>
      <c r="EC90" s="306"/>
      <c r="ED90" s="306"/>
      <c r="EE90" s="306"/>
      <c r="EP90" s="306"/>
      <c r="EQ90" s="306"/>
      <c r="ER90" s="306"/>
      <c r="ES90" s="306"/>
      <c r="ET90" s="306"/>
      <c r="EU90" s="306"/>
      <c r="EV90" s="306"/>
      <c r="EW90" s="306"/>
      <c r="EX90" s="306"/>
      <c r="EY90" s="306"/>
      <c r="EZ90" s="306"/>
      <c r="FA90" s="306"/>
      <c r="FB90" s="306"/>
    </row>
    <row r="91" spans="1:159" s="305" customFormat="1">
      <c r="A91" s="305" t="str">
        <f t="shared" si="354"/>
        <v>2509KB손보</v>
      </c>
      <c r="B91" s="305">
        <v>2509</v>
      </c>
      <c r="C91" s="305" t="str">
        <f>C90</f>
        <v>KB손보</v>
      </c>
      <c r="D91" s="306">
        <v>43453891</v>
      </c>
      <c r="E91" s="306">
        <v>9882040</v>
      </c>
      <c r="F91" s="306">
        <v>21970334</v>
      </c>
      <c r="G91" s="306">
        <f>20000+6977092+472205</f>
        <v>7469297</v>
      </c>
      <c r="H91" s="306">
        <v>496364</v>
      </c>
      <c r="I91" s="307">
        <v>0.22386351086819881</v>
      </c>
      <c r="J91" s="307">
        <v>0.5090652622320504</v>
      </c>
      <c r="K91" s="307">
        <v>0.17120827041363734</v>
      </c>
      <c r="L91" s="306">
        <v>37760138</v>
      </c>
      <c r="M91" s="306">
        <v>27621275</v>
      </c>
      <c r="N91" s="308">
        <f>+O91-P91</f>
        <v>5693753</v>
      </c>
      <c r="O91" s="308">
        <v>5693753</v>
      </c>
      <c r="P91" s="308">
        <v>0</v>
      </c>
      <c r="Q91" s="308">
        <v>-1322961</v>
      </c>
      <c r="R91" s="308">
        <v>6635010</v>
      </c>
      <c r="S91" s="308">
        <v>5856441</v>
      </c>
      <c r="T91" s="308">
        <f>+T90</f>
        <v>5856441</v>
      </c>
      <c r="U91" s="316">
        <v>43453900</v>
      </c>
      <c r="V91" s="316">
        <v>40467200</v>
      </c>
      <c r="W91" s="320">
        <v>0.93100000000000005</v>
      </c>
      <c r="X91" s="308">
        <v>-1322960</v>
      </c>
      <c r="Y91" s="308">
        <f>+-1103775+4972</f>
        <v>-1098803</v>
      </c>
      <c r="Z91" s="308">
        <v>-300819</v>
      </c>
      <c r="AA91" s="308">
        <v>-1212</v>
      </c>
      <c r="AB91" s="308">
        <f>62716+3029</f>
        <v>65745</v>
      </c>
      <c r="AC91" s="308">
        <v>50988</v>
      </c>
      <c r="AD91" s="308">
        <v>-38859</v>
      </c>
      <c r="AE91" s="308">
        <f t="shared" si="366"/>
        <v>0</v>
      </c>
      <c r="AF91" s="306">
        <v>655912</v>
      </c>
      <c r="AG91" s="306">
        <v>8510422</v>
      </c>
      <c r="AH91" s="306">
        <v>7854530</v>
      </c>
      <c r="AI91" s="306">
        <v>394123</v>
      </c>
      <c r="AJ91" s="306">
        <f>49766-586621</f>
        <v>-536855</v>
      </c>
      <c r="AK91" s="306">
        <f>65326-56720</f>
        <v>8606</v>
      </c>
      <c r="AL91" s="306">
        <f>+AI91-AJ91-AK91+AM91-AN91</f>
        <v>692361</v>
      </c>
      <c r="AM91" s="306">
        <v>16868</v>
      </c>
      <c r="AN91" s="306">
        <f>274663-2753-25031</f>
        <v>246879</v>
      </c>
      <c r="AO91" s="306">
        <v>1050035</v>
      </c>
      <c r="AP91" s="306">
        <v>788</v>
      </c>
      <c r="AQ91" s="308">
        <v>1050823</v>
      </c>
      <c r="AR91" s="308">
        <v>776230</v>
      </c>
      <c r="AS91" s="308">
        <f t="shared" si="341"/>
        <v>0</v>
      </c>
      <c r="AT91" s="308">
        <f t="shared" si="342"/>
        <v>0</v>
      </c>
      <c r="AU91" s="308">
        <f t="shared" si="343"/>
        <v>0</v>
      </c>
      <c r="AV91" s="308">
        <f t="shared" si="321"/>
        <v>655912</v>
      </c>
      <c r="AW91" s="308">
        <f t="shared" si="322"/>
        <v>394123</v>
      </c>
      <c r="AX91" s="308">
        <f t="shared" si="323"/>
        <v>788</v>
      </c>
      <c r="AY91" s="308">
        <f t="shared" si="324"/>
        <v>1050823</v>
      </c>
      <c r="AZ91" s="306"/>
      <c r="BA91" s="306"/>
      <c r="BB91" s="307"/>
      <c r="BC91" s="306">
        <v>-684024</v>
      </c>
      <c r="BD91" s="306">
        <f>+-23329+-199</f>
        <v>-23528</v>
      </c>
      <c r="BE91" s="306"/>
      <c r="BF91" s="306">
        <f>+-536992+4366</f>
        <v>-532626</v>
      </c>
      <c r="BG91" s="306">
        <v>-81396</v>
      </c>
      <c r="BH91" s="306"/>
      <c r="BI91" s="306">
        <v>1501</v>
      </c>
      <c r="BJ91" s="306">
        <v>-2888</v>
      </c>
      <c r="BK91" s="306">
        <v>-1322961</v>
      </c>
      <c r="BL91" s="308">
        <f t="shared" si="363"/>
        <v>0</v>
      </c>
      <c r="BM91" s="306">
        <v>6158761</v>
      </c>
      <c r="BN91" s="306">
        <v>-299981</v>
      </c>
      <c r="BO91" s="306"/>
      <c r="BP91" s="306">
        <v>776230</v>
      </c>
      <c r="BQ91" s="306"/>
      <c r="BR91" s="306"/>
      <c r="BS91" s="306">
        <v>6635010</v>
      </c>
      <c r="BT91" s="308">
        <f>+BM91+SUM(BN91:BR91)-BS91</f>
        <v>0</v>
      </c>
      <c r="BU91" s="308">
        <v>12558143</v>
      </c>
      <c r="BV91" s="308">
        <v>1543025</v>
      </c>
      <c r="BW91" s="308">
        <v>9393858</v>
      </c>
      <c r="BX91" s="308">
        <v>1280934</v>
      </c>
      <c r="BY91" s="308">
        <v>641231</v>
      </c>
      <c r="BZ91" s="308">
        <v>-312836</v>
      </c>
      <c r="CA91" s="308">
        <v>246509</v>
      </c>
      <c r="CB91" s="308">
        <v>8820482</v>
      </c>
      <c r="CC91" s="306"/>
      <c r="CD91" s="306">
        <f t="shared" si="325"/>
        <v>0</v>
      </c>
      <c r="CE91" s="306">
        <v>513822</v>
      </c>
      <c r="CF91" s="306">
        <f>457400+399974</f>
        <v>857374</v>
      </c>
      <c r="CG91" s="306">
        <f>357594+323509</f>
        <v>681103</v>
      </c>
      <c r="CH91" s="306">
        <f>296584+279759+266678+254986+243962</f>
        <v>1341969</v>
      </c>
      <c r="CI91" s="306">
        <f>1111727+920767+776607+667462+2523027</f>
        <v>5999590</v>
      </c>
      <c r="CJ91" s="306">
        <v>9393858</v>
      </c>
      <c r="CK91" s="306">
        <f t="shared" si="368"/>
        <v>0</v>
      </c>
      <c r="CL91" s="306">
        <f t="shared" si="327"/>
        <v>0</v>
      </c>
      <c r="CM91" s="306"/>
      <c r="CN91" s="307"/>
      <c r="CO91" s="306"/>
      <c r="CP91" s="306"/>
      <c r="CQ91" s="322">
        <v>1.9118999999999999</v>
      </c>
      <c r="CR91" s="323">
        <v>12377040</v>
      </c>
      <c r="CS91" s="323">
        <v>6473686</v>
      </c>
      <c r="CT91" s="306"/>
      <c r="CU91" s="306">
        <f>+CU88+649830</f>
        <v>3487842</v>
      </c>
      <c r="CV91" s="306"/>
      <c r="CW91" s="324"/>
      <c r="CX91" s="324"/>
      <c r="CY91" s="324"/>
      <c r="CZ91" s="307"/>
      <c r="DA91" s="306"/>
      <c r="DB91" s="306"/>
      <c r="DC91" s="307">
        <f>DE91/DD91</f>
        <v>0.81555569127648153</v>
      </c>
      <c r="DD91" s="306">
        <v>9635031.2616579998</v>
      </c>
      <c r="DE91" s="306">
        <v>7857904.5810719999</v>
      </c>
      <c r="DF91" s="306"/>
      <c r="DG91" s="306"/>
      <c r="DH91" s="306"/>
      <c r="DI91" s="306"/>
      <c r="DJ91" s="306"/>
      <c r="DK91" s="306"/>
      <c r="DL91" s="306"/>
      <c r="DM91" s="306"/>
      <c r="DN91" s="306"/>
      <c r="DO91" s="306"/>
      <c r="DP91" s="306"/>
      <c r="DQ91" s="306"/>
      <c r="DR91" s="306"/>
      <c r="DS91" s="306"/>
      <c r="DT91" s="306"/>
      <c r="DU91" s="306"/>
      <c r="DV91" s="306"/>
      <c r="DW91" s="306"/>
      <c r="DX91" s="306"/>
      <c r="DY91" s="306"/>
      <c r="DZ91" s="306"/>
      <c r="EA91" s="306"/>
      <c r="EB91" s="306"/>
      <c r="EC91" s="306"/>
      <c r="ED91" s="306"/>
      <c r="EE91" s="306"/>
      <c r="EP91" s="306"/>
      <c r="EQ91" s="306"/>
      <c r="ER91" s="306"/>
      <c r="ES91" s="306"/>
      <c r="ET91" s="306"/>
      <c r="EU91" s="306"/>
      <c r="EV91" s="306"/>
      <c r="EW91" s="306"/>
      <c r="EX91" s="306"/>
      <c r="EY91" s="306"/>
      <c r="EZ91" s="306"/>
      <c r="FA91" s="306"/>
      <c r="FB91" s="306"/>
    </row>
    <row r="92" spans="1:159" s="305" customFormat="1">
      <c r="A92" s="305" t="str">
        <f t="shared" si="354"/>
        <v>2512KB손보</v>
      </c>
      <c r="B92" s="305">
        <v>2512</v>
      </c>
      <c r="C92" s="305" t="str">
        <f>C91</f>
        <v>KB손보</v>
      </c>
      <c r="D92" s="306">
        <v>44891997</v>
      </c>
      <c r="E92" s="306">
        <v>9444743</v>
      </c>
      <c r="F92" s="306">
        <v>21906885</v>
      </c>
      <c r="G92" s="306">
        <f>20000+7460572+758966</f>
        <v>8239538</v>
      </c>
      <c r="H92" s="306">
        <v>1048552</v>
      </c>
      <c r="I92" s="307">
        <v>0.22386351086819881</v>
      </c>
      <c r="J92" s="307">
        <v>0.5090652622320504</v>
      </c>
      <c r="K92" s="307">
        <v>0.17120827041363734</v>
      </c>
      <c r="L92" s="306">
        <v>39174763</v>
      </c>
      <c r="M92" s="306">
        <v>26219701</v>
      </c>
      <c r="N92" s="308">
        <f>+O92-P92</f>
        <v>5717234</v>
      </c>
      <c r="O92" s="308">
        <v>5717234</v>
      </c>
      <c r="P92" s="308"/>
      <c r="Q92" s="308">
        <v>-1308222</v>
      </c>
      <c r="R92" s="308">
        <v>6958956</v>
      </c>
      <c r="S92" s="308">
        <v>5856441</v>
      </c>
      <c r="T92" s="308">
        <f>+N88</f>
        <v>5856441</v>
      </c>
      <c r="U92" s="316">
        <v>44892000</v>
      </c>
      <c r="V92" s="316">
        <v>42203900</v>
      </c>
      <c r="W92" s="320">
        <v>0.94</v>
      </c>
      <c r="X92" s="308">
        <v>-1308222</v>
      </c>
      <c r="Y92" s="308">
        <f>+-1908295+5428</f>
        <v>-1902867</v>
      </c>
      <c r="Z92" s="308">
        <v>773926</v>
      </c>
      <c r="AA92" s="308">
        <v>-12979</v>
      </c>
      <c r="AB92" s="308">
        <f>+-197292+4441</f>
        <v>-192851</v>
      </c>
      <c r="AC92" s="308">
        <v>50226</v>
      </c>
      <c r="AD92" s="308">
        <v>-23677</v>
      </c>
      <c r="AE92" s="308">
        <f t="shared" si="366"/>
        <v>0</v>
      </c>
      <c r="AF92" s="306">
        <v>626695</v>
      </c>
      <c r="AG92" s="306">
        <v>11334108</v>
      </c>
      <c r="AH92" s="306">
        <v>10707413</v>
      </c>
      <c r="AI92" s="306">
        <v>528281</v>
      </c>
      <c r="AJ92" s="306">
        <f>59360-778444</f>
        <v>-719084</v>
      </c>
      <c r="AK92" s="306">
        <f>116089-53102</f>
        <v>62987</v>
      </c>
      <c r="AL92" s="306">
        <f>+AI92-AJ92-AK92+AM92-AN92</f>
        <v>841515</v>
      </c>
      <c r="AM92" s="306">
        <v>21522</v>
      </c>
      <c r="AN92" s="306">
        <f>401869-3856-33628</f>
        <v>364385</v>
      </c>
      <c r="AO92" s="306">
        <v>1154976</v>
      </c>
      <c r="AP92" s="306">
        <v>-14217</v>
      </c>
      <c r="AQ92" s="308">
        <v>1140759</v>
      </c>
      <c r="AR92" s="308">
        <v>781077</v>
      </c>
      <c r="AS92" s="308">
        <f t="shared" si="341"/>
        <v>0</v>
      </c>
      <c r="AT92" s="308">
        <f t="shared" si="342"/>
        <v>0</v>
      </c>
      <c r="AU92" s="308">
        <f t="shared" si="343"/>
        <v>0</v>
      </c>
      <c r="AV92" s="308">
        <f t="shared" si="321"/>
        <v>626695</v>
      </c>
      <c r="AW92" s="308">
        <f t="shared" si="322"/>
        <v>528281</v>
      </c>
      <c r="AX92" s="308">
        <f t="shared" si="323"/>
        <v>-14217</v>
      </c>
      <c r="AY92" s="308">
        <f t="shared" si="324"/>
        <v>1140759</v>
      </c>
      <c r="AZ92" s="306"/>
      <c r="BA92" s="306"/>
      <c r="BB92" s="307"/>
      <c r="BC92" s="306">
        <v>-684024</v>
      </c>
      <c r="BD92" s="306">
        <f>+-827847+257</f>
        <v>-827590</v>
      </c>
      <c r="BE92" s="306"/>
      <c r="BF92" s="306">
        <f>537754+-7401</f>
        <v>530353</v>
      </c>
      <c r="BG92" s="306">
        <v>-341405</v>
      </c>
      <c r="BH92" s="306">
        <v>-762</v>
      </c>
      <c r="BI92" s="306">
        <v>16683</v>
      </c>
      <c r="BJ92" s="306">
        <v>-1477</v>
      </c>
      <c r="BK92" s="306">
        <v>-1308222</v>
      </c>
      <c r="BL92" s="308">
        <f t="shared" si="363"/>
        <v>0</v>
      </c>
      <c r="BM92" s="306">
        <v>6158761</v>
      </c>
      <c r="BN92" s="306">
        <v>-299981</v>
      </c>
      <c r="BO92" s="306"/>
      <c r="BP92" s="306">
        <v>781077</v>
      </c>
      <c r="BQ92" s="306">
        <f>3895+315204</f>
        <v>319099</v>
      </c>
      <c r="BR92" s="306"/>
      <c r="BS92" s="306">
        <v>6958956</v>
      </c>
      <c r="BT92" s="308">
        <f>+BM92+SUM(BN92:BR92)-BS92</f>
        <v>0</v>
      </c>
      <c r="BU92" s="308">
        <f>3492315+7926857</f>
        <v>11419172</v>
      </c>
      <c r="BV92" s="308">
        <f>1233+1487270</f>
        <v>1488503</v>
      </c>
      <c r="BW92" s="308">
        <f>7836+9277197</f>
        <v>9285033</v>
      </c>
      <c r="BX92" s="308">
        <f>79+1741777</f>
        <v>1741856</v>
      </c>
      <c r="BY92" s="308">
        <f>528+852908</f>
        <v>853436</v>
      </c>
      <c r="BZ92" s="308">
        <f>548+-756465</f>
        <v>-755917</v>
      </c>
      <c r="CA92" s="308">
        <f>197+331851</f>
        <v>332048</v>
      </c>
      <c r="CB92" s="308">
        <f>7540+8812942</f>
        <v>8820482</v>
      </c>
      <c r="CC92" s="306"/>
      <c r="CD92" s="306">
        <f t="shared" si="325"/>
        <v>0</v>
      </c>
      <c r="CE92" s="306">
        <v>501947</v>
      </c>
      <c r="CF92" s="306">
        <f>442544+383223</f>
        <v>825767</v>
      </c>
      <c r="CG92" s="306">
        <f>341588+305996</f>
        <v>647584</v>
      </c>
      <c r="CH92" s="306">
        <f>279694+262235+247987+235598+224396</f>
        <v>1249910</v>
      </c>
      <c r="CI92" s="306">
        <f>1014237+866700+755341+665209+2758338</f>
        <v>6059825</v>
      </c>
      <c r="CJ92" s="306">
        <v>9285033</v>
      </c>
      <c r="CK92" s="306">
        <f t="shared" ref="CK92" si="369">CJ92-SUM(CE92:CI92)</f>
        <v>0</v>
      </c>
      <c r="CL92" s="306">
        <f t="shared" si="327"/>
        <v>0</v>
      </c>
      <c r="CM92" s="306"/>
      <c r="CN92" s="307">
        <v>1.9241999999999999</v>
      </c>
      <c r="CO92" s="306">
        <v>12190838</v>
      </c>
      <c r="CP92" s="306">
        <v>6368633</v>
      </c>
      <c r="CQ92" s="459">
        <v>1.9154</v>
      </c>
      <c r="CR92" s="308">
        <v>12190866</v>
      </c>
      <c r="CS92" s="308">
        <v>6364632</v>
      </c>
      <c r="CT92" s="306"/>
      <c r="CU92" s="306">
        <f>2838012+808224</f>
        <v>3646236</v>
      </c>
      <c r="CV92" s="306"/>
      <c r="CW92" s="324">
        <v>0.94499999999999995</v>
      </c>
      <c r="CX92" s="324">
        <v>0.96899999999999997</v>
      </c>
      <c r="CY92" s="324">
        <v>-2.4E-2</v>
      </c>
      <c r="CZ92" s="307">
        <f>+CX92/CW92</f>
        <v>1.0253968253968255</v>
      </c>
      <c r="DA92" s="306"/>
      <c r="DB92" s="306"/>
      <c r="DC92" s="307"/>
      <c r="DD92" s="306"/>
      <c r="DE92" s="306"/>
      <c r="DF92" s="306"/>
      <c r="DG92" s="306"/>
      <c r="DH92" s="306"/>
      <c r="DI92" s="306"/>
      <c r="DJ92" s="306"/>
      <c r="DK92" s="306"/>
      <c r="DL92" s="306"/>
      <c r="DM92" s="306"/>
      <c r="DN92" s="306"/>
      <c r="DO92" s="306"/>
      <c r="DP92" s="306"/>
      <c r="DQ92" s="306"/>
      <c r="DR92" s="306"/>
      <c r="DS92" s="306"/>
      <c r="DT92" s="306"/>
      <c r="DU92" s="306"/>
      <c r="DV92" s="306"/>
      <c r="DW92" s="306"/>
      <c r="DX92" s="306"/>
      <c r="DY92" s="306"/>
      <c r="DZ92" s="306"/>
      <c r="EA92" s="306"/>
      <c r="EB92" s="306"/>
      <c r="EC92" s="306"/>
      <c r="ED92" s="306"/>
      <c r="EE92" s="306"/>
      <c r="EP92" s="306">
        <v>89276</v>
      </c>
      <c r="EQ92" s="306">
        <v>-439240</v>
      </c>
      <c r="ER92" s="306">
        <v>246988</v>
      </c>
      <c r="ES92" s="306">
        <v>-5048</v>
      </c>
      <c r="ET92" s="306">
        <f>889314-13657</f>
        <v>875657</v>
      </c>
      <c r="EU92" s="306"/>
      <c r="EV92" s="306"/>
      <c r="EW92" s="306">
        <v>-89276</v>
      </c>
      <c r="EX92" s="306">
        <v>439240</v>
      </c>
      <c r="EY92" s="306">
        <v>-246988</v>
      </c>
      <c r="EZ92" s="306">
        <v>5048</v>
      </c>
      <c r="FA92" s="306">
        <v>-875657</v>
      </c>
      <c r="FB92" s="306">
        <v>11716</v>
      </c>
      <c r="FC92" s="452">
        <f>SUM(EW92:FB92)-BZ92</f>
        <v>0</v>
      </c>
    </row>
    <row r="93" spans="1:159" s="305" customFormat="1">
      <c r="A93" s="305" t="str">
        <f t="shared" si="354"/>
        <v/>
      </c>
      <c r="D93" s="306"/>
      <c r="E93" s="306"/>
      <c r="F93" s="306"/>
      <c r="G93" s="306"/>
      <c r="H93" s="306"/>
      <c r="I93" s="307"/>
      <c r="J93" s="307"/>
      <c r="K93" s="307"/>
      <c r="L93" s="306"/>
      <c r="M93" s="306"/>
      <c r="N93" s="308"/>
      <c r="O93" s="308"/>
      <c r="P93" s="308"/>
      <c r="Q93" s="308"/>
      <c r="R93" s="308"/>
      <c r="S93" s="308"/>
      <c r="T93" s="308"/>
      <c r="U93" s="316"/>
      <c r="V93" s="316"/>
      <c r="W93" s="320"/>
      <c r="X93" s="308"/>
      <c r="Y93" s="308"/>
      <c r="Z93" s="308"/>
      <c r="AA93" s="308"/>
      <c r="AB93" s="308"/>
      <c r="AC93" s="308"/>
      <c r="AD93" s="308"/>
      <c r="AE93" s="308"/>
      <c r="AF93" s="306"/>
      <c r="AG93" s="306"/>
      <c r="AH93" s="306"/>
      <c r="AI93" s="306"/>
      <c r="AJ93" s="306"/>
      <c r="AK93" s="306"/>
      <c r="AL93" s="306"/>
      <c r="AM93" s="306"/>
      <c r="AN93" s="306"/>
      <c r="AO93" s="306"/>
      <c r="AP93" s="306"/>
      <c r="AQ93" s="308"/>
      <c r="AR93" s="308"/>
      <c r="AS93" s="308"/>
      <c r="AT93" s="308"/>
      <c r="AU93" s="308"/>
      <c r="AV93" s="308">
        <f t="shared" si="321"/>
        <v>0</v>
      </c>
      <c r="AW93" s="308">
        <f t="shared" si="322"/>
        <v>0</v>
      </c>
      <c r="AX93" s="308">
        <f t="shared" si="323"/>
        <v>0</v>
      </c>
      <c r="AY93" s="308">
        <f t="shared" si="324"/>
        <v>0</v>
      </c>
      <c r="AZ93" s="306"/>
      <c r="BA93" s="306"/>
      <c r="BB93" s="307"/>
      <c r="BC93" s="306"/>
      <c r="BD93" s="306"/>
      <c r="BE93" s="306"/>
      <c r="BF93" s="306"/>
      <c r="BG93" s="306"/>
      <c r="BH93" s="306"/>
      <c r="BI93" s="306"/>
      <c r="BJ93" s="306"/>
      <c r="BK93" s="306"/>
      <c r="BL93" s="308"/>
      <c r="BM93" s="306"/>
      <c r="BN93" s="306"/>
      <c r="BO93" s="306"/>
      <c r="BP93" s="306"/>
      <c r="BQ93" s="306"/>
      <c r="BR93" s="306"/>
      <c r="BS93" s="306"/>
      <c r="BT93" s="308"/>
      <c r="BU93" s="308"/>
      <c r="BV93" s="308"/>
      <c r="BW93" s="308"/>
      <c r="BX93" s="308"/>
      <c r="BY93" s="308"/>
      <c r="BZ93" s="308"/>
      <c r="CA93" s="308"/>
      <c r="CB93" s="308"/>
      <c r="CC93" s="306"/>
      <c r="CD93" s="306"/>
      <c r="CE93" s="306"/>
      <c r="CF93" s="306"/>
      <c r="CG93" s="306"/>
      <c r="CH93" s="306"/>
      <c r="CI93" s="306"/>
      <c r="CJ93" s="306"/>
      <c r="CK93" s="306"/>
      <c r="CL93" s="306"/>
      <c r="CM93" s="306"/>
      <c r="CN93" s="307"/>
      <c r="CO93" s="306"/>
      <c r="CP93" s="306"/>
      <c r="CQ93" s="459"/>
      <c r="CR93" s="308"/>
      <c r="CS93" s="308"/>
      <c r="CT93" s="306"/>
      <c r="CU93" s="306"/>
      <c r="CV93" s="306"/>
      <c r="CW93" s="324"/>
      <c r="CX93" s="324"/>
      <c r="CY93" s="324"/>
      <c r="CZ93" s="307"/>
      <c r="DA93" s="306"/>
      <c r="DB93" s="306"/>
      <c r="DC93" s="307"/>
      <c r="DD93" s="306"/>
      <c r="DE93" s="306"/>
      <c r="DF93" s="306"/>
      <c r="DG93" s="306"/>
      <c r="DH93" s="306"/>
      <c r="DI93" s="306"/>
      <c r="DJ93" s="306"/>
      <c r="DK93" s="306"/>
      <c r="DL93" s="306"/>
      <c r="DM93" s="306"/>
      <c r="DN93" s="306"/>
      <c r="DO93" s="306"/>
      <c r="DP93" s="306"/>
      <c r="DQ93" s="306"/>
      <c r="DR93" s="306"/>
      <c r="DS93" s="306"/>
      <c r="DT93" s="306"/>
      <c r="DU93" s="306"/>
      <c r="DV93" s="306"/>
      <c r="DW93" s="306"/>
      <c r="DX93" s="306"/>
      <c r="DY93" s="306"/>
      <c r="DZ93" s="306"/>
      <c r="EA93" s="306"/>
      <c r="EB93" s="306"/>
      <c r="EC93" s="306"/>
      <c r="ED93" s="306"/>
      <c r="EE93" s="306"/>
      <c r="EP93" s="306"/>
      <c r="EQ93" s="306"/>
      <c r="ER93" s="306"/>
      <c r="ES93" s="306"/>
      <c r="ET93" s="306"/>
      <c r="EU93" s="306"/>
      <c r="EV93" s="306"/>
      <c r="EW93" s="306"/>
      <c r="EX93" s="306"/>
      <c r="EY93" s="306"/>
      <c r="EZ93" s="306"/>
      <c r="FA93" s="306"/>
      <c r="FB93" s="306"/>
    </row>
    <row r="94" spans="1:159" s="301" customFormat="1">
      <c r="A94" s="301" t="str">
        <f t="shared" si="354"/>
        <v>2212DB손보</v>
      </c>
      <c r="B94" s="301">
        <v>2212</v>
      </c>
      <c r="C94" s="301" t="s">
        <v>1041</v>
      </c>
      <c r="D94" s="2"/>
      <c r="E94" s="2"/>
      <c r="F94" s="2"/>
      <c r="G94" s="2"/>
      <c r="H94" s="2"/>
      <c r="I94" s="302"/>
      <c r="J94" s="302"/>
      <c r="K94" s="302"/>
      <c r="L94" s="2"/>
      <c r="M94" s="2"/>
      <c r="N94" s="4">
        <f t="shared" si="320"/>
        <v>7451213.6927199997</v>
      </c>
      <c r="O94" s="4">
        <v>7451213.6927199997</v>
      </c>
      <c r="P94" s="4"/>
      <c r="Q94" s="4">
        <v>139841.33614500001</v>
      </c>
      <c r="R94" s="4">
        <v>7390551.5849169996</v>
      </c>
      <c r="S94" s="4"/>
      <c r="T94" s="4"/>
      <c r="U94" s="327"/>
      <c r="V94" s="327"/>
      <c r="W94" s="327"/>
      <c r="X94" s="4"/>
      <c r="Y94" s="4"/>
      <c r="Z94" s="4"/>
      <c r="AA94" s="4"/>
      <c r="AB94" s="4"/>
      <c r="AC94" s="4"/>
      <c r="AD94" s="4"/>
      <c r="AE94" s="4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4"/>
      <c r="AR94" s="4"/>
      <c r="AS94" s="4"/>
      <c r="AT94" s="4"/>
      <c r="AU94" s="4"/>
      <c r="AV94" s="4">
        <f t="shared" si="321"/>
        <v>0</v>
      </c>
      <c r="AW94" s="4">
        <f t="shared" si="322"/>
        <v>0</v>
      </c>
      <c r="AX94" s="4">
        <f t="shared" si="323"/>
        <v>0</v>
      </c>
      <c r="AY94" s="4">
        <f t="shared" si="324"/>
        <v>0</v>
      </c>
      <c r="AZ94" s="2"/>
      <c r="BA94" s="2"/>
      <c r="BB94" s="302"/>
      <c r="BC94" s="2"/>
      <c r="BD94" s="2"/>
      <c r="BE94" s="2"/>
      <c r="BF94" s="2"/>
      <c r="BG94" s="2"/>
      <c r="BH94" s="2"/>
      <c r="BI94" s="2"/>
      <c r="BJ94" s="2"/>
      <c r="BK94" s="2"/>
      <c r="BL94" s="4"/>
      <c r="BM94" s="2"/>
      <c r="BN94" s="2"/>
      <c r="BO94" s="2"/>
      <c r="BP94" s="2"/>
      <c r="BQ94" s="2"/>
      <c r="BR94" s="2"/>
      <c r="BS94" s="2"/>
      <c r="BT94" s="4">
        <v>6358179.0987160001</v>
      </c>
      <c r="BU94" s="4">
        <v>8448042</v>
      </c>
      <c r="BV94" s="4">
        <v>1492294</v>
      </c>
      <c r="BW94" s="4">
        <f>6379228+2812703+2451561</f>
        <v>11643492</v>
      </c>
      <c r="BX94" s="4"/>
      <c r="BY94" s="4"/>
      <c r="BZ94" s="4"/>
      <c r="CA94" s="4"/>
      <c r="CB94" s="4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302"/>
      <c r="CO94" s="2"/>
      <c r="CP94" s="2"/>
      <c r="CQ94" s="303"/>
      <c r="CR94" s="304"/>
      <c r="CS94" s="304"/>
      <c r="CT94" s="2"/>
      <c r="CU94" s="2"/>
      <c r="CV94" s="2"/>
      <c r="CW94" s="2"/>
      <c r="CX94" s="2"/>
      <c r="CY94" s="2"/>
      <c r="CZ94" s="2"/>
      <c r="DA94" s="2"/>
      <c r="DB94" s="2"/>
      <c r="DC94" s="30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</row>
    <row r="95" spans="1:159" s="301" customFormat="1">
      <c r="A95" s="301" t="str">
        <f t="shared" si="354"/>
        <v>2312DB손보</v>
      </c>
      <c r="B95" s="301">
        <v>2312</v>
      </c>
      <c r="C95" s="301" t="s">
        <v>11</v>
      </c>
      <c r="D95" s="2">
        <v>48513527.683124997</v>
      </c>
      <c r="E95" s="2">
        <v>11183349.499132</v>
      </c>
      <c r="F95" s="2">
        <v>19545190.388693999</v>
      </c>
      <c r="G95" s="2">
        <v>11813123.755884999</v>
      </c>
      <c r="H95" s="2">
        <v>860493.00811549998</v>
      </c>
      <c r="I95" s="302">
        <f t="shared" ref="I95:K97" si="370">+E95/$D95</f>
        <v>0.23052022875306241</v>
      </c>
      <c r="J95" s="302">
        <f t="shared" si="370"/>
        <v>0.40288124410075876</v>
      </c>
      <c r="K95" s="302">
        <f t="shared" si="370"/>
        <v>0.24350164418148654</v>
      </c>
      <c r="L95" s="2">
        <v>39837977.664305001</v>
      </c>
      <c r="M95" s="2">
        <v>29395049.529557001</v>
      </c>
      <c r="N95" s="4">
        <f t="shared" si="320"/>
        <v>8675550.0188200008</v>
      </c>
      <c r="O95" s="4">
        <v>8675550.0188200008</v>
      </c>
      <c r="P95" s="4"/>
      <c r="Q95" s="4">
        <v>104094.84552800001</v>
      </c>
      <c r="R95" s="4">
        <v>8650634.4016340002</v>
      </c>
      <c r="S95" s="4">
        <v>7451213.6927199997</v>
      </c>
      <c r="T95" s="308">
        <f t="shared" si="346"/>
        <v>7451213.6927199997</v>
      </c>
      <c r="U95" s="327">
        <v>48513528</v>
      </c>
      <c r="V95" s="327">
        <v>44942832</v>
      </c>
      <c r="W95" s="328">
        <v>0.9264</v>
      </c>
      <c r="X95" s="4">
        <v>104095</v>
      </c>
      <c r="Y95" s="4">
        <v>-2188262</v>
      </c>
      <c r="Z95" s="4">
        <v>2051497</v>
      </c>
      <c r="AA95" s="4">
        <v>-9451</v>
      </c>
      <c r="AB95" s="4">
        <f>-2354+21525</f>
        <v>19171</v>
      </c>
      <c r="AC95" s="4">
        <v>278934</v>
      </c>
      <c r="AD95" s="4">
        <v>-47794</v>
      </c>
      <c r="AE95" s="4">
        <f t="shared" si="366"/>
        <v>0</v>
      </c>
      <c r="AF95" s="2">
        <v>1550007.97701</v>
      </c>
      <c r="AG95" s="2">
        <v>14936307.512483999</v>
      </c>
      <c r="AH95" s="2">
        <v>13386299.535474</v>
      </c>
      <c r="AI95" s="2">
        <v>466754.71368400002</v>
      </c>
      <c r="AJ95" s="2">
        <f>104619.588457-893430.915188</f>
        <v>-788811.32673099998</v>
      </c>
      <c r="AK95" s="2"/>
      <c r="AL95" s="2">
        <f>+AI95-AJ95-AK95+AM95-AN95</f>
        <v>852693.02808700013</v>
      </c>
      <c r="AM95" s="2">
        <v>43002.037499999999</v>
      </c>
      <c r="AN95" s="2">
        <f>488295.237544-42420.187716</f>
        <v>445875.04982799996</v>
      </c>
      <c r="AO95" s="2">
        <v>2016762.6906940001</v>
      </c>
      <c r="AP95" s="2">
        <v>8523.7291530000002</v>
      </c>
      <c r="AQ95" s="4">
        <v>2025286.4198469999</v>
      </c>
      <c r="AR95" s="4">
        <v>1536745.9526879999</v>
      </c>
      <c r="AS95" s="4">
        <f t="shared" si="341"/>
        <v>0</v>
      </c>
      <c r="AT95" s="4">
        <f t="shared" si="342"/>
        <v>0</v>
      </c>
      <c r="AU95" s="4">
        <f t="shared" si="343"/>
        <v>0</v>
      </c>
      <c r="AV95" s="4">
        <f t="shared" si="321"/>
        <v>1550007.97701</v>
      </c>
      <c r="AW95" s="4">
        <f t="shared" si="322"/>
        <v>466754.71368400002</v>
      </c>
      <c r="AX95" s="4">
        <f t="shared" si="323"/>
        <v>8523.7291530000002</v>
      </c>
      <c r="AY95" s="4">
        <f t="shared" si="324"/>
        <v>2025286.4198470002</v>
      </c>
      <c r="AZ95" s="2"/>
      <c r="BA95" s="2"/>
      <c r="BB95" s="302">
        <f t="shared" si="347"/>
        <v>-4.5838678884575372E-2</v>
      </c>
      <c r="BC95" s="2">
        <v>139841.33614500001</v>
      </c>
      <c r="BD95" s="2">
        <v>957440.68825000001</v>
      </c>
      <c r="BE95" s="2"/>
      <c r="BF95" s="2">
        <f>-1067544.104178+20429.984948</f>
        <v>-1047114.11923</v>
      </c>
      <c r="BG95" s="2">
        <v>82037.412347000005</v>
      </c>
      <c r="BH95" s="2">
        <v>895.84507599999995</v>
      </c>
      <c r="BI95" s="2">
        <v>-28167.176780999998</v>
      </c>
      <c r="BJ95" s="2">
        <f>-1302.31885+463.178571</f>
        <v>-839.14027900000019</v>
      </c>
      <c r="BK95" s="2">
        <v>104094.84552800001</v>
      </c>
      <c r="BL95" s="4">
        <f t="shared" si="363"/>
        <v>-6.5483618527650833E-11</v>
      </c>
      <c r="BM95" s="2">
        <v>7390551.5849169996</v>
      </c>
      <c r="BN95" s="2">
        <v>-276199.95740000001</v>
      </c>
      <c r="BO95" s="2"/>
      <c r="BP95" s="2">
        <v>1536745.9526879999</v>
      </c>
      <c r="BQ95" s="2">
        <v>-463.17857099999998</v>
      </c>
      <c r="BR95" s="2"/>
      <c r="BS95" s="2">
        <v>8650634.4016340002</v>
      </c>
      <c r="BT95" s="4">
        <f t="shared" si="335"/>
        <v>0</v>
      </c>
      <c r="BU95" s="4">
        <v>9105453</v>
      </c>
      <c r="BV95" s="4">
        <v>1585600</v>
      </c>
      <c r="BW95" s="4">
        <f>4678808+2919895+4553706</f>
        <v>12152409</v>
      </c>
      <c r="BX95" s="4">
        <v>2826120</v>
      </c>
      <c r="BY95" s="4">
        <v>1261928</v>
      </c>
      <c r="BZ95" s="4">
        <f>-1276346+253310-396642</f>
        <v>-1419678</v>
      </c>
      <c r="CA95" s="4">
        <f>139897+68894+155612</f>
        <v>364403</v>
      </c>
      <c r="CB95" s="4">
        <f>6379228+2812703+2451561</f>
        <v>11643492</v>
      </c>
      <c r="CC95" s="2"/>
      <c r="CD95" s="2">
        <f t="shared" si="325"/>
        <v>0</v>
      </c>
      <c r="CE95" s="2"/>
      <c r="CF95" s="2"/>
      <c r="CG95" s="2"/>
      <c r="CH95" s="2"/>
      <c r="CI95" s="2"/>
      <c r="CJ95" s="2"/>
      <c r="CK95" s="2">
        <f t="shared" si="326"/>
        <v>0</v>
      </c>
      <c r="CL95" s="2">
        <f t="shared" si="327"/>
        <v>12152409</v>
      </c>
      <c r="CM95" s="2"/>
      <c r="CN95" s="302">
        <v>2.3109999999999999</v>
      </c>
      <c r="CO95" s="2">
        <v>19566651</v>
      </c>
      <c r="CP95" s="2">
        <v>8466706</v>
      </c>
      <c r="CQ95" s="303">
        <v>2.331</v>
      </c>
      <c r="CR95" s="304">
        <v>19575206</v>
      </c>
      <c r="CS95" s="304">
        <v>8396170</v>
      </c>
      <c r="CT95" s="2"/>
      <c r="CU95" s="2">
        <v>2645779.9903950002</v>
      </c>
      <c r="CV95" s="2"/>
      <c r="CW95" s="2"/>
      <c r="CX95" s="2"/>
      <c r="CY95" s="2"/>
      <c r="CZ95" s="2"/>
      <c r="DA95" s="2"/>
      <c r="DB95" s="2"/>
      <c r="DC95" s="302"/>
      <c r="DD95" s="2"/>
      <c r="DE95" s="2"/>
      <c r="DF95" s="2"/>
      <c r="DG95" s="2">
        <f t="shared" ref="DG95:DG100" si="371">+DH95+DK95</f>
        <v>215676.94482499998</v>
      </c>
      <c r="DH95" s="2">
        <v>231392.40264799999</v>
      </c>
      <c r="DI95" s="2"/>
      <c r="DJ95" s="2"/>
      <c r="DK95" s="2">
        <v>-15715.457823000001</v>
      </c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</row>
    <row r="96" spans="1:159" s="301" customFormat="1">
      <c r="A96" s="301" t="str">
        <f t="shared" si="354"/>
        <v>2412DB손보</v>
      </c>
      <c r="B96" s="301">
        <v>2412</v>
      </c>
      <c r="C96" s="301" t="s">
        <v>11</v>
      </c>
      <c r="D96" s="2">
        <v>52858940.874889001</v>
      </c>
      <c r="E96" s="2">
        <v>11418284.442054</v>
      </c>
      <c r="F96" s="2">
        <v>22226035.937252</v>
      </c>
      <c r="G96" s="2">
        <v>13714616.175914001</v>
      </c>
      <c r="H96" s="2">
        <v>1019190.633577</v>
      </c>
      <c r="I96" s="302">
        <f t="shared" si="370"/>
        <v>0.21601424949243228</v>
      </c>
      <c r="J96" s="302">
        <f t="shared" si="370"/>
        <v>0.42047826856498044</v>
      </c>
      <c r="K96" s="302">
        <f t="shared" si="370"/>
        <v>0.25945688560758173</v>
      </c>
      <c r="L96" s="2">
        <v>44442942.208589002</v>
      </c>
      <c r="M96" s="2">
        <v>31937300.553865999</v>
      </c>
      <c r="N96" s="4">
        <f t="shared" si="320"/>
        <v>8415998.6663000006</v>
      </c>
      <c r="O96" s="4">
        <v>8415998.6663000006</v>
      </c>
      <c r="P96" s="4"/>
      <c r="Q96" s="4">
        <v>-1609455.2665929999</v>
      </c>
      <c r="R96" s="4">
        <v>10104633.161234999</v>
      </c>
      <c r="S96" s="4">
        <v>8675550.0188200008</v>
      </c>
      <c r="T96" s="308">
        <f t="shared" si="346"/>
        <v>8675550.0188200008</v>
      </c>
      <c r="U96" s="327">
        <v>52858941</v>
      </c>
      <c r="V96" s="327">
        <v>49640310</v>
      </c>
      <c r="W96" s="328">
        <v>0.93910000000000005</v>
      </c>
      <c r="X96" s="4">
        <v>-1609455</v>
      </c>
      <c r="Y96" s="4">
        <v>-2117670</v>
      </c>
      <c r="Z96" s="4">
        <v>170831</v>
      </c>
      <c r="AA96" s="4">
        <v>2061</v>
      </c>
      <c r="AB96" s="4">
        <f>71424+52021</f>
        <v>123445</v>
      </c>
      <c r="AC96" s="4">
        <v>279287</v>
      </c>
      <c r="AD96" s="4">
        <v>-67409</v>
      </c>
      <c r="AE96" s="4">
        <f t="shared" si="366"/>
        <v>0</v>
      </c>
      <c r="AF96" s="2">
        <v>1619094.2899490001</v>
      </c>
      <c r="AG96" s="2">
        <v>15052383.574282</v>
      </c>
      <c r="AH96" s="2">
        <v>13433289.284333</v>
      </c>
      <c r="AI96" s="2">
        <v>743568.22472000006</v>
      </c>
      <c r="AJ96" s="2">
        <f>79783.605799-849967.826228</f>
        <v>-770184.22042899998</v>
      </c>
      <c r="AK96" s="2"/>
      <c r="AL96" s="2">
        <f>+AI96-AJ96-AK96+AM96-AN96</f>
        <v>1038055.8777770998</v>
      </c>
      <c r="AM96" s="2">
        <v>36144.763441000003</v>
      </c>
      <c r="AN96" s="2">
        <f>559217.3584029-47376.02759</f>
        <v>511841.33081290004</v>
      </c>
      <c r="AO96" s="2">
        <v>2362662.5146900001</v>
      </c>
      <c r="AP96" s="2">
        <v>3151.389897</v>
      </c>
      <c r="AQ96" s="4">
        <v>2365813.9045660002</v>
      </c>
      <c r="AR96" s="4">
        <v>1772229.2018210001</v>
      </c>
      <c r="AS96" s="4">
        <f t="shared" si="341"/>
        <v>2.0999927073717117E-5</v>
      </c>
      <c r="AT96" s="4"/>
      <c r="AU96" s="4">
        <f t="shared" si="343"/>
        <v>-2.0999927073717117E-5</v>
      </c>
      <c r="AV96" s="4">
        <f t="shared" si="321"/>
        <v>1619094.2899490001</v>
      </c>
      <c r="AW96" s="4">
        <f t="shared" si="322"/>
        <v>743568.22472000006</v>
      </c>
      <c r="AX96" s="4">
        <f t="shared" si="323"/>
        <v>3151.389897</v>
      </c>
      <c r="AY96" s="4">
        <f t="shared" si="324"/>
        <v>2365813.9045660002</v>
      </c>
      <c r="AZ96" s="2"/>
      <c r="BA96" s="2"/>
      <c r="BB96" s="302">
        <f t="shared" si="347"/>
        <v>-7.3716501241187338E-2</v>
      </c>
      <c r="BC96" s="2">
        <v>104094.84552800001</v>
      </c>
      <c r="BD96" s="2">
        <v>70591.998970999994</v>
      </c>
      <c r="BE96" s="2"/>
      <c r="BF96" s="2">
        <f>-1880664.875196+11511.997235</f>
        <v>-1869152.8779610002</v>
      </c>
      <c r="BG96" s="2">
        <v>73776.882152999999</v>
      </c>
      <c r="BH96" s="2">
        <v>352.99076400000001</v>
      </c>
      <c r="BI96" s="2">
        <v>-19614.623965999999</v>
      </c>
      <c r="BJ96" s="2">
        <v>30495.461397999999</v>
      </c>
      <c r="BK96" s="2">
        <v>-1609455.2665929999</v>
      </c>
      <c r="BL96" s="4">
        <f t="shared" si="363"/>
        <v>5.6520000332966447E-2</v>
      </c>
      <c r="BM96" s="2">
        <v>8650634.4016340002</v>
      </c>
      <c r="BN96" s="2">
        <v>-318230.38569999998</v>
      </c>
      <c r="BO96" s="2"/>
      <c r="BP96" s="2">
        <v>1772229.2018210001</v>
      </c>
      <c r="BQ96" s="2">
        <v>-5.6520000000000001E-2</v>
      </c>
      <c r="BR96" s="2"/>
      <c r="BS96" s="2">
        <v>10104633.161234999</v>
      </c>
      <c r="BT96" s="4">
        <f t="shared" si="335"/>
        <v>0</v>
      </c>
      <c r="BU96" s="4">
        <v>11192666</v>
      </c>
      <c r="BV96" s="4">
        <v>1931538</v>
      </c>
      <c r="BW96" s="4">
        <f>3281360+3463133+5487266</f>
        <v>12231759</v>
      </c>
      <c r="BX96" s="4">
        <v>3078038</v>
      </c>
      <c r="BY96" s="4">
        <f>372335+243988+681185</f>
        <v>1297508</v>
      </c>
      <c r="BZ96" s="4">
        <f>-1133946+706452-1714357</f>
        <v>-2141851</v>
      </c>
      <c r="CA96" s="4">
        <f>108833+80775+251063</f>
        <v>440671</v>
      </c>
      <c r="CB96" s="4">
        <f>4678808+2919895+4553706</f>
        <v>12152409</v>
      </c>
      <c r="CC96" s="2"/>
      <c r="CD96" s="434">
        <f>CB96+BX96-BY96+BZ96+CA96-BW96</f>
        <v>0</v>
      </c>
      <c r="CE96" s="2">
        <v>775719</v>
      </c>
      <c r="CF96" s="2">
        <f>665647+574965</f>
        <v>1240612</v>
      </c>
      <c r="CG96" s="2">
        <f>504300+458724</f>
        <v>963024</v>
      </c>
      <c r="CH96" s="2">
        <f>422439+399884+378923+359413+343766</f>
        <v>1904425</v>
      </c>
      <c r="CI96" s="2">
        <f>1558284+1258498+988327+808143+2734727</f>
        <v>7347979</v>
      </c>
      <c r="CJ96" s="2">
        <v>12231759</v>
      </c>
      <c r="CK96" s="2">
        <f t="shared" si="326"/>
        <v>0</v>
      </c>
      <c r="CL96" s="2">
        <f t="shared" si="327"/>
        <v>0</v>
      </c>
      <c r="CM96" s="2"/>
      <c r="CN96" s="2"/>
      <c r="CO96" s="2"/>
      <c r="CP96" s="2"/>
      <c r="CQ96" s="445">
        <v>2.0310000000000001</v>
      </c>
      <c r="CR96" s="304">
        <v>19097509</v>
      </c>
      <c r="CS96" s="304">
        <v>9408163</v>
      </c>
      <c r="CT96" s="2"/>
      <c r="CU96" s="2">
        <f>+CU95+593447.366657</f>
        <v>3239227.3570520002</v>
      </c>
      <c r="CV96" s="2"/>
      <c r="CW96" s="312">
        <v>0.94599999999999995</v>
      </c>
      <c r="CX96" s="312">
        <v>0.90300000000000002</v>
      </c>
      <c r="CY96" s="312">
        <v>4.2999999999999997E-2</v>
      </c>
      <c r="CZ96" s="302">
        <f>+CX96/CW96</f>
        <v>0.95454545454545459</v>
      </c>
      <c r="DA96" s="2"/>
      <c r="DB96" s="2"/>
      <c r="DC96" s="302"/>
      <c r="DD96" s="2"/>
      <c r="DE96" s="2"/>
      <c r="DF96" s="2"/>
      <c r="DG96" s="2">
        <f t="shared" si="371"/>
        <v>54727.925343000003</v>
      </c>
      <c r="DH96" s="2">
        <v>68607.415838000001</v>
      </c>
      <c r="DI96" s="2"/>
      <c r="DJ96" s="2"/>
      <c r="DK96" s="2">
        <v>-13879.490495</v>
      </c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</row>
    <row r="97" spans="1:159" s="301" customFormat="1">
      <c r="A97" s="301" t="str">
        <f t="shared" si="354"/>
        <v>2503DB손보</v>
      </c>
      <c r="B97" s="301">
        <v>2503</v>
      </c>
      <c r="C97" s="301" t="str">
        <f>C96</f>
        <v>DB손보</v>
      </c>
      <c r="D97" s="2">
        <v>55478145.040757999</v>
      </c>
      <c r="E97" s="2">
        <v>12079331.436025999</v>
      </c>
      <c r="F97" s="2">
        <v>23095516.511675999</v>
      </c>
      <c r="G97" s="2">
        <v>14886161.435428999</v>
      </c>
      <c r="H97" s="2">
        <v>1054193.1335769999</v>
      </c>
      <c r="I97" s="302">
        <f>+E97/$D97</f>
        <v>0.21773135037502975</v>
      </c>
      <c r="J97" s="302">
        <f t="shared" si="370"/>
        <v>0.41629936427594089</v>
      </c>
      <c r="K97" s="302">
        <f t="shared" si="370"/>
        <v>0.26832478671542853</v>
      </c>
      <c r="L97" s="2">
        <v>47984999.893045001</v>
      </c>
      <c r="M97" s="2">
        <v>33766163.701419003</v>
      </c>
      <c r="N97" s="4">
        <f t="shared" si="320"/>
        <v>7493145.147713</v>
      </c>
      <c r="O97" s="4">
        <v>7493145.147713</v>
      </c>
      <c r="P97" s="4"/>
      <c r="Q97" s="4">
        <v>-2570999.7881649998</v>
      </c>
      <c r="R97" s="4">
        <v>10143324.16422</v>
      </c>
      <c r="S97" s="4">
        <v>8415998.6663000006</v>
      </c>
      <c r="T97" s="308">
        <f t="shared" si="346"/>
        <v>8415998.6663000006</v>
      </c>
      <c r="U97" s="327">
        <v>55478145</v>
      </c>
      <c r="V97" s="327">
        <v>52126652</v>
      </c>
      <c r="W97" s="328">
        <v>0.93959999999999999</v>
      </c>
      <c r="X97" s="4">
        <v>-2571000</v>
      </c>
      <c r="Y97" s="4">
        <v>-1841367</v>
      </c>
      <c r="Z97" s="4">
        <v>-1129734</v>
      </c>
      <c r="AA97" s="4">
        <v>3025</v>
      </c>
      <c r="AB97" s="4">
        <f>135877+50961</f>
        <v>186838</v>
      </c>
      <c r="AC97" s="4">
        <v>277271</v>
      </c>
      <c r="AD97" s="4">
        <v>-67033</v>
      </c>
      <c r="AE97" s="4">
        <f t="shared" si="366"/>
        <v>0</v>
      </c>
      <c r="AF97" s="2">
        <v>402719.07206099998</v>
      </c>
      <c r="AG97" s="2">
        <v>3967475.5570200002</v>
      </c>
      <c r="AH97" s="2">
        <v>3564756.4849589998</v>
      </c>
      <c r="AI97" s="2">
        <v>243969.18683699999</v>
      </c>
      <c r="AJ97" s="2">
        <f>1446.625582-195023.973957</f>
        <v>-193577.348375</v>
      </c>
      <c r="AK97" s="2"/>
      <c r="AL97" s="2">
        <f>+AI97-AJ97-AK97+AM97-AN97</f>
        <v>311606.97977400001</v>
      </c>
      <c r="AM97" s="2">
        <v>9865.9213319999999</v>
      </c>
      <c r="AN97" s="2">
        <f>143419.980588-7614.503818</f>
        <v>135805.47677000001</v>
      </c>
      <c r="AO97" s="2">
        <v>646688.258898</v>
      </c>
      <c r="AP97" s="2">
        <v>-3377.0211340000001</v>
      </c>
      <c r="AQ97" s="4">
        <v>643311.23776399996</v>
      </c>
      <c r="AR97" s="4">
        <v>446986.59218500002</v>
      </c>
      <c r="AS97" s="4">
        <f t="shared" si="341"/>
        <v>0</v>
      </c>
      <c r="AT97" s="4"/>
      <c r="AU97" s="4">
        <f t="shared" si="343"/>
        <v>0</v>
      </c>
      <c r="AV97" s="4">
        <f t="shared" si="321"/>
        <v>402719.07206099998</v>
      </c>
      <c r="AW97" s="4">
        <f t="shared" si="322"/>
        <v>243969.18683699999</v>
      </c>
      <c r="AX97" s="4">
        <f t="shared" si="323"/>
        <v>-3377.0211340000001</v>
      </c>
      <c r="AY97" s="4">
        <f t="shared" si="324"/>
        <v>643311.23776399996</v>
      </c>
      <c r="AZ97" s="2"/>
      <c r="BA97" s="2"/>
      <c r="BB97" s="2"/>
      <c r="BC97" s="2">
        <v>-1609455.26593</v>
      </c>
      <c r="BD97" s="2">
        <v>276302.980904</v>
      </c>
      <c r="BE97" s="2"/>
      <c r="BF97" s="2">
        <f>-1300565.48225+964.354989</f>
        <v>-1299601.127261</v>
      </c>
      <c r="BG97" s="2">
        <v>64453.720890999997</v>
      </c>
      <c r="BH97" s="2">
        <v>-2015.925585</v>
      </c>
      <c r="BI97" s="2">
        <v>374.98369000000002</v>
      </c>
      <c r="BJ97" s="2">
        <v>-1059.1542119999999</v>
      </c>
      <c r="BK97" s="2">
        <v>-2570999.788166</v>
      </c>
      <c r="BL97" s="4">
        <f t="shared" si="363"/>
        <v>-6.6300015896558762E-4</v>
      </c>
      <c r="BM97" s="2">
        <v>10104633.161234999</v>
      </c>
      <c r="BN97" s="2">
        <v>-408295.58919999999</v>
      </c>
      <c r="BO97" s="2"/>
      <c r="BP97" s="2">
        <v>446986.59218500002</v>
      </c>
      <c r="BQ97" s="2"/>
      <c r="BR97" s="2"/>
      <c r="BS97" s="2">
        <v>10143324.16422</v>
      </c>
      <c r="BT97" s="4">
        <f t="shared" si="335"/>
        <v>0</v>
      </c>
      <c r="BU97" s="4">
        <v>12180259</v>
      </c>
      <c r="BV97" s="4">
        <v>2013796</v>
      </c>
      <c r="BW97" s="4">
        <f>5858654+3217514+3793153</f>
        <v>12869321</v>
      </c>
      <c r="BX97" s="4">
        <v>707022</v>
      </c>
      <c r="BY97" s="4">
        <f>75390+72679+174525</f>
        <v>322594</v>
      </c>
      <c r="BZ97" s="4">
        <f>-10413+378180-220456</f>
        <v>147311</v>
      </c>
      <c r="CA97" s="4">
        <f>21958+24518+59348</f>
        <v>105824</v>
      </c>
      <c r="CB97" s="4">
        <f>3281359+3463134+5487265</f>
        <v>12231758</v>
      </c>
      <c r="CC97" s="2"/>
      <c r="CD97" s="2">
        <f t="shared" si="325"/>
        <v>0</v>
      </c>
      <c r="CE97" s="2">
        <v>802728</v>
      </c>
      <c r="CF97" s="2">
        <f>692143+597488</f>
        <v>1289631</v>
      </c>
      <c r="CG97" s="2">
        <f>524483+480010</f>
        <v>1004493</v>
      </c>
      <c r="CH97" s="2">
        <v>1992452</v>
      </c>
      <c r="CI97" s="2">
        <f>2977420+1924852+2877745</f>
        <v>7780017</v>
      </c>
      <c r="CJ97" s="2">
        <v>12869321</v>
      </c>
      <c r="CK97" s="2">
        <f t="shared" ref="CK97" si="372">CJ97-SUM(CE97:CI97)</f>
        <v>0</v>
      </c>
      <c r="CL97" s="2">
        <f t="shared" si="327"/>
        <v>0</v>
      </c>
      <c r="CM97" s="2"/>
      <c r="CN97" s="2"/>
      <c r="CO97" s="2"/>
      <c r="CP97" s="2"/>
      <c r="CQ97" s="445">
        <v>2.0470000000000002</v>
      </c>
      <c r="CR97" s="304">
        <v>20032631</v>
      </c>
      <c r="CS97" s="304">
        <v>9788288</v>
      </c>
      <c r="CT97" s="2"/>
      <c r="CU97" s="2">
        <f>+CU96+284818</f>
        <v>3524045.3570520002</v>
      </c>
      <c r="CV97" s="2"/>
      <c r="CW97" s="2"/>
      <c r="CX97" s="2"/>
      <c r="CY97" s="2"/>
      <c r="CZ97" s="2"/>
      <c r="DA97" s="2"/>
      <c r="DB97" s="2"/>
      <c r="DC97" s="302"/>
      <c r="DD97" s="2"/>
      <c r="DE97" s="2"/>
      <c r="DF97" s="2"/>
      <c r="DG97" s="2">
        <f t="shared" si="371"/>
        <v>5276.3247489999994</v>
      </c>
      <c r="DH97" s="2">
        <v>4953.9605069999998</v>
      </c>
      <c r="DI97" s="2"/>
      <c r="DJ97" s="2"/>
      <c r="DK97" s="2">
        <v>322.36424199999999</v>
      </c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</row>
    <row r="98" spans="1:159">
      <c r="A98" s="5" t="str">
        <f t="shared" si="354"/>
        <v>2506DB손보</v>
      </c>
      <c r="B98" s="301">
        <v>2506</v>
      </c>
      <c r="C98" s="301" t="str">
        <f>C97</f>
        <v>DB손보</v>
      </c>
      <c r="D98" s="1">
        <v>55939891</v>
      </c>
      <c r="E98" s="1">
        <v>12879695</v>
      </c>
      <c r="F98" s="1">
        <v>21420872</v>
      </c>
      <c r="G98" s="1">
        <v>15696430</v>
      </c>
      <c r="H98" s="1">
        <v>1054193</v>
      </c>
      <c r="I98" s="302">
        <v>0</v>
      </c>
      <c r="J98" s="302">
        <v>0</v>
      </c>
      <c r="K98" s="302">
        <v>0</v>
      </c>
      <c r="L98" s="1">
        <v>47759049</v>
      </c>
      <c r="M98" s="1">
        <v>33393555</v>
      </c>
      <c r="N98" s="3">
        <v>8180842</v>
      </c>
      <c r="O98" s="3">
        <v>8180842</v>
      </c>
      <c r="P98" s="3">
        <v>0</v>
      </c>
      <c r="Q98" s="3">
        <v>-2343226</v>
      </c>
      <c r="R98" s="3">
        <v>10603247</v>
      </c>
      <c r="S98" s="3">
        <v>8415999</v>
      </c>
      <c r="T98" s="3">
        <f>T97</f>
        <v>8415998.6663000006</v>
      </c>
      <c r="U98" s="423">
        <v>55939891</v>
      </c>
      <c r="V98" s="423">
        <v>52145826</v>
      </c>
      <c r="W98" s="443">
        <v>0.93220000000000003</v>
      </c>
      <c r="X98" s="3">
        <v>-2343226</v>
      </c>
      <c r="Y98" s="3">
        <v>-1907899</v>
      </c>
      <c r="Z98" s="3">
        <v>-606304</v>
      </c>
      <c r="AA98" s="3">
        <v>3648</v>
      </c>
      <c r="AB98" s="3">
        <f>-61846+19517</f>
        <v>-42329</v>
      </c>
      <c r="AC98" s="3">
        <v>277271</v>
      </c>
      <c r="AD98" s="3">
        <v>-67613</v>
      </c>
      <c r="AE98" s="3">
        <f t="shared" si="366"/>
        <v>0</v>
      </c>
      <c r="AF98" s="1">
        <v>670411</v>
      </c>
      <c r="AG98" s="1">
        <v>8109891</v>
      </c>
      <c r="AH98" s="1">
        <v>-7439480</v>
      </c>
      <c r="AI98" s="1">
        <v>588618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1259029</v>
      </c>
      <c r="AP98" s="1">
        <v>58459</v>
      </c>
      <c r="AQ98" s="3">
        <v>1260162</v>
      </c>
      <c r="AR98" s="3">
        <v>906909</v>
      </c>
      <c r="AS98" s="4">
        <f t="shared" si="341"/>
        <v>57326</v>
      </c>
      <c r="AT98" s="4"/>
      <c r="AU98" s="4">
        <f t="shared" si="343"/>
        <v>0</v>
      </c>
      <c r="AV98" s="4">
        <f t="shared" si="321"/>
        <v>670411</v>
      </c>
      <c r="AW98" s="4">
        <f t="shared" si="322"/>
        <v>588618</v>
      </c>
      <c r="AX98" s="4">
        <f t="shared" si="323"/>
        <v>58459</v>
      </c>
      <c r="AY98" s="4">
        <f t="shared" ref="AY98:AY100" si="373">+SUM(AV98:AX98)</f>
        <v>1317488</v>
      </c>
      <c r="AZ98" s="2"/>
      <c r="BC98" s="1">
        <v>-1609455</v>
      </c>
      <c r="BD98" s="1">
        <v>209771</v>
      </c>
      <c r="BE98" s="1">
        <v>0</v>
      </c>
      <c r="BF98" s="1">
        <v>-775547</v>
      </c>
      <c r="BG98" s="1">
        <v>-133270</v>
      </c>
      <c r="BH98" s="1">
        <v>-2016</v>
      </c>
      <c r="BI98" s="1">
        <v>-205</v>
      </c>
      <c r="BJ98" s="1">
        <v>-32504</v>
      </c>
      <c r="BK98" s="1">
        <v>-2343226</v>
      </c>
      <c r="BL98" s="3">
        <v>0</v>
      </c>
      <c r="BM98" s="1">
        <v>10104633</v>
      </c>
      <c r="BN98" s="1">
        <v>-408295</v>
      </c>
      <c r="BO98" s="1">
        <v>0</v>
      </c>
      <c r="BP98" s="1">
        <v>906909</v>
      </c>
      <c r="BQ98" s="1">
        <v>0</v>
      </c>
      <c r="BR98" s="1">
        <v>0</v>
      </c>
      <c r="BS98" s="1">
        <v>10603247</v>
      </c>
      <c r="BT98" s="3">
        <v>0</v>
      </c>
      <c r="BU98" s="3">
        <v>11208889</v>
      </c>
      <c r="BV98" s="3">
        <v>2033743</v>
      </c>
      <c r="BW98" s="3">
        <f>3100815+3679828+6450726</f>
        <v>13231369</v>
      </c>
      <c r="BX98" s="3">
        <v>1499873</v>
      </c>
      <c r="BY98" s="3">
        <f>146039+140534+362363</f>
        <v>648936</v>
      </c>
      <c r="BZ98" s="3">
        <f>-78205+304834-295159</f>
        <v>-68530</v>
      </c>
      <c r="CA98" s="3">
        <f>43700+52394+121110</f>
        <v>217204</v>
      </c>
      <c r="CB98" s="3">
        <f>+CB97</f>
        <v>12231758</v>
      </c>
      <c r="CD98" s="2">
        <f t="shared" si="325"/>
        <v>0</v>
      </c>
      <c r="CE98" s="1">
        <v>818308</v>
      </c>
      <c r="CF98" s="1">
        <f>706243+608082</f>
        <v>1314325</v>
      </c>
      <c r="CG98" s="1">
        <f>536497+490421</f>
        <v>1026918</v>
      </c>
      <c r="CH98" s="1">
        <v>2034291</v>
      </c>
      <c r="CI98" s="1">
        <f>3064760+2003797+2968970</f>
        <v>8037527</v>
      </c>
      <c r="CJ98" s="1">
        <v>13231369</v>
      </c>
      <c r="CK98" s="2">
        <f t="shared" ref="CK98" si="374">CJ98-SUM(CE98:CI98)</f>
        <v>0</v>
      </c>
      <c r="CL98" s="2">
        <f t="shared" si="327"/>
        <v>0</v>
      </c>
      <c r="CQ98" s="446">
        <v>2.133</v>
      </c>
      <c r="CR98" s="153">
        <v>20919182</v>
      </c>
      <c r="CS98" s="153">
        <v>9807851</v>
      </c>
      <c r="CU98" s="1">
        <v>3841522</v>
      </c>
      <c r="DG98" s="1">
        <f t="shared" si="371"/>
        <v>-45345.985866999996</v>
      </c>
      <c r="DH98" s="1">
        <v>-57337.044827999998</v>
      </c>
      <c r="DK98" s="1">
        <v>11991.058961000001</v>
      </c>
    </row>
    <row r="99" spans="1:159">
      <c r="A99" s="5" t="str">
        <f t="shared" si="354"/>
        <v>2509DB손보</v>
      </c>
      <c r="B99" s="5">
        <v>2509</v>
      </c>
      <c r="C99" s="301" t="str">
        <f>C98</f>
        <v>DB손보</v>
      </c>
      <c r="D99" s="1">
        <v>57423593</v>
      </c>
      <c r="E99" s="1">
        <v>15785981</v>
      </c>
      <c r="F99" s="1">
        <v>20703906</v>
      </c>
      <c r="G99" s="1">
        <v>15409837</v>
      </c>
      <c r="H99" s="1">
        <v>1058977</v>
      </c>
      <c r="I99" s="302">
        <f>+E99/$D99</f>
        <v>0.27490409734549354</v>
      </c>
      <c r="J99" s="302">
        <f t="shared" ref="J99:K100" si="375">+F99/$D99</f>
        <v>0.36054703160075685</v>
      </c>
      <c r="K99" s="302">
        <f t="shared" si="375"/>
        <v>0.26835375835851999</v>
      </c>
      <c r="L99" s="1">
        <v>48184324</v>
      </c>
      <c r="M99" s="1">
        <v>33463246</v>
      </c>
      <c r="N99" s="3">
        <f>+O99-P99</f>
        <v>8374263</v>
      </c>
      <c r="O99" s="3">
        <v>9239269</v>
      </c>
      <c r="P99" s="3">
        <v>865006</v>
      </c>
      <c r="Q99" s="3">
        <v>-2440625</v>
      </c>
      <c r="R99" s="3">
        <v>10894067</v>
      </c>
      <c r="S99" s="3">
        <v>8415999</v>
      </c>
      <c r="T99" s="3">
        <f>T98</f>
        <v>8415998.6663000006</v>
      </c>
      <c r="U99" s="423">
        <v>57423593</v>
      </c>
      <c r="V99" s="423">
        <v>53995241</v>
      </c>
      <c r="W99" s="443">
        <v>0.94030000000000002</v>
      </c>
      <c r="X99" s="3">
        <v>-2440625</v>
      </c>
      <c r="Y99" s="3">
        <v>-1986996</v>
      </c>
      <c r="Z99" s="3">
        <v>-534493</v>
      </c>
      <c r="AA99" s="3">
        <v>2225</v>
      </c>
      <c r="AB99" s="3">
        <f>-164641+33842</f>
        <v>-130799</v>
      </c>
      <c r="AC99" s="3">
        <v>277271</v>
      </c>
      <c r="AD99" s="3">
        <v>-67833</v>
      </c>
      <c r="AE99" s="3">
        <f t="shared" si="366"/>
        <v>0</v>
      </c>
      <c r="AF99" s="1">
        <v>772533</v>
      </c>
      <c r="AG99" s="1">
        <v>12101508</v>
      </c>
      <c r="AH99" s="1">
        <v>11328975</v>
      </c>
      <c r="AI99" s="1">
        <v>889702</v>
      </c>
      <c r="AJ99" s="1">
        <f>59275-530753</f>
        <v>-471478</v>
      </c>
      <c r="AL99" s="2">
        <f>+AI99-AJ99-AK99+AM99-AN99</f>
        <v>979685</v>
      </c>
      <c r="AM99" s="1">
        <v>27098</v>
      </c>
      <c r="AN99" s="1">
        <f>448022-25811-13618</f>
        <v>408593</v>
      </c>
      <c r="AO99" s="1">
        <v>1662235</v>
      </c>
      <c r="AP99" s="1">
        <v>-4781</v>
      </c>
      <c r="AQ99" s="3">
        <v>1657454</v>
      </c>
      <c r="AR99" s="3">
        <v>1199909</v>
      </c>
      <c r="AS99" s="4">
        <f t="shared" si="341"/>
        <v>0</v>
      </c>
      <c r="AT99" s="4">
        <f t="shared" ref="AT99:AT100" si="376">+AJ99+AK99+AL99-AM99+AN99-AI99</f>
        <v>0</v>
      </c>
      <c r="AU99" s="4">
        <f t="shared" si="343"/>
        <v>0</v>
      </c>
      <c r="AV99" s="3">
        <f t="shared" si="321"/>
        <v>772533</v>
      </c>
      <c r="AW99" s="3">
        <f t="shared" si="322"/>
        <v>889702</v>
      </c>
      <c r="AX99" s="3">
        <f t="shared" si="323"/>
        <v>-4781</v>
      </c>
      <c r="AY99" s="3">
        <f t="shared" si="373"/>
        <v>1657454</v>
      </c>
      <c r="BC99" s="1">
        <v>-1609455</v>
      </c>
      <c r="BD99" s="1">
        <v>130812</v>
      </c>
      <c r="BF99" s="1">
        <f>+-705325+165</f>
        <v>-705160</v>
      </c>
      <c r="BG99" s="1">
        <v>-236065</v>
      </c>
      <c r="BH99" s="1">
        <f>+-2016+-137</f>
        <v>-2153</v>
      </c>
      <c r="BI99" s="1">
        <v>-425</v>
      </c>
      <c r="BJ99" s="1">
        <v>-18179</v>
      </c>
      <c r="BK99" s="1">
        <v>-2440625</v>
      </c>
      <c r="BL99" s="4">
        <f t="shared" si="363"/>
        <v>0</v>
      </c>
      <c r="BM99" s="1">
        <v>10104633</v>
      </c>
      <c r="BN99" s="1">
        <v>-408295</v>
      </c>
      <c r="BP99" s="1">
        <v>1199909</v>
      </c>
      <c r="BQ99" s="1">
        <v>137</v>
      </c>
      <c r="BR99" s="1">
        <v>-2317</v>
      </c>
      <c r="BS99" s="1">
        <v>10894067</v>
      </c>
      <c r="BT99" s="3">
        <f t="shared" si="335"/>
        <v>0</v>
      </c>
      <c r="BU99" s="3">
        <v>10997404</v>
      </c>
      <c r="BV99" s="3">
        <v>2043202</v>
      </c>
      <c r="BW99" s="3">
        <f>2976892+3566945+6919800</f>
        <v>13463637</v>
      </c>
      <c r="BX99" s="3">
        <v>2223635</v>
      </c>
      <c r="BY99" s="3">
        <f>212335+206459+560134</f>
        <v>978928</v>
      </c>
      <c r="BZ99" s="3">
        <f>-156891+230389-416126</f>
        <v>-342628</v>
      </c>
      <c r="CA99" s="3">
        <f>64759+79881+185160</f>
        <v>329800</v>
      </c>
      <c r="CB99" s="3">
        <f>+CB98</f>
        <v>12231758</v>
      </c>
      <c r="CD99" s="2">
        <f t="shared" si="325"/>
        <v>0</v>
      </c>
      <c r="CE99" s="1">
        <v>829772</v>
      </c>
      <c r="CF99" s="1">
        <f>713422+611692</f>
        <v>1325114</v>
      </c>
      <c r="CG99" s="1">
        <f>545074+494820</f>
        <v>1039894</v>
      </c>
      <c r="CH99" s="1">
        <v>2060685</v>
      </c>
      <c r="CI99" s="1">
        <f>3117103+2058552+3032517</f>
        <v>8208172</v>
      </c>
      <c r="CJ99" s="1">
        <v>13463637</v>
      </c>
      <c r="CK99" s="2">
        <f t="shared" ref="CK99:CK100" si="377">CJ99-SUM(CE99:CI99)</f>
        <v>0</v>
      </c>
      <c r="CL99" s="2">
        <f t="shared" si="327"/>
        <v>0</v>
      </c>
      <c r="CQ99" s="446">
        <v>2.2650000000000001</v>
      </c>
      <c r="CR99" s="153">
        <v>22154374</v>
      </c>
      <c r="CS99" s="153">
        <v>9783298</v>
      </c>
      <c r="CU99" s="1">
        <f>+CU96+866077</f>
        <v>4105304.3570520002</v>
      </c>
      <c r="DG99" s="1">
        <f t="shared" si="371"/>
        <v>-207459.13292800001</v>
      </c>
      <c r="DH99" s="1">
        <v>-207104.241477</v>
      </c>
      <c r="DK99" s="1">
        <v>-354.89145100000002</v>
      </c>
    </row>
    <row r="100" spans="1:159">
      <c r="A100" s="5" t="str">
        <f t="shared" si="354"/>
        <v>2512DB손보</v>
      </c>
      <c r="B100" s="5">
        <v>2512</v>
      </c>
      <c r="C100" s="301" t="str">
        <f>C99</f>
        <v>DB손보</v>
      </c>
      <c r="D100" s="1">
        <v>59408828</v>
      </c>
      <c r="E100" s="1">
        <v>17722466</v>
      </c>
      <c r="F100" s="1">
        <v>20121438</v>
      </c>
      <c r="G100" s="1">
        <v>15763373</v>
      </c>
      <c r="H100" s="1">
        <v>1087038</v>
      </c>
      <c r="I100" s="302">
        <f>+E100/$D100</f>
        <v>0.29831367822977423</v>
      </c>
      <c r="J100" s="302">
        <f t="shared" si="375"/>
        <v>0.33869441087105773</v>
      </c>
      <c r="K100" s="302">
        <f t="shared" si="375"/>
        <v>0.26533721553975109</v>
      </c>
      <c r="L100" s="1">
        <v>49553927</v>
      </c>
      <c r="M100" s="1">
        <v>31580104</v>
      </c>
      <c r="N100" s="3">
        <f>+O100-P100</f>
        <v>8989895</v>
      </c>
      <c r="O100" s="3">
        <v>9854901</v>
      </c>
      <c r="P100" s="3">
        <v>865006</v>
      </c>
      <c r="Q100" s="3">
        <v>-2229300</v>
      </c>
      <c r="R100" s="3">
        <v>11201139</v>
      </c>
      <c r="S100" s="3">
        <v>8415999</v>
      </c>
      <c r="T100" s="3">
        <f>+N96</f>
        <v>8415998.6663000006</v>
      </c>
      <c r="U100" s="423">
        <v>59408828</v>
      </c>
      <c r="V100" s="423">
        <v>56093565</v>
      </c>
      <c r="W100" s="443">
        <v>0.94420000000000004</v>
      </c>
      <c r="X100" s="3">
        <v>-2229300</v>
      </c>
      <c r="Y100" s="3">
        <v>-2507652</v>
      </c>
      <c r="Z100" s="3">
        <v>765024</v>
      </c>
      <c r="AA100" s="3">
        <v>-1403</v>
      </c>
      <c r="AB100" s="3">
        <f>+-737832+43624</f>
        <v>-694208</v>
      </c>
      <c r="AC100" s="3">
        <v>277271</v>
      </c>
      <c r="AD100" s="3">
        <v>-68332</v>
      </c>
      <c r="AE100" s="3">
        <f t="shared" si="366"/>
        <v>0</v>
      </c>
      <c r="AF100" s="1">
        <v>1035950</v>
      </c>
      <c r="AG100" s="1">
        <v>16048394</v>
      </c>
      <c r="AH100" s="1">
        <v>15012444</v>
      </c>
      <c r="AI100" s="1">
        <v>1051830</v>
      </c>
      <c r="AJ100" s="1">
        <f>71641-727544</f>
        <v>-655903</v>
      </c>
      <c r="AL100" s="2">
        <f>+AI100-AJ100-AK100+AM100-AN100</f>
        <v>1172499</v>
      </c>
      <c r="AM100" s="1">
        <v>35572</v>
      </c>
      <c r="AN100" s="1">
        <f>628728-22258-35664</f>
        <v>570806</v>
      </c>
      <c r="AO100" s="1">
        <v>2087780</v>
      </c>
      <c r="AP100" s="1">
        <v>20174</v>
      </c>
      <c r="AQ100" s="3">
        <v>2107954</v>
      </c>
      <c r="AR100" s="3">
        <v>1534880</v>
      </c>
      <c r="AS100" s="3">
        <f t="shared" si="341"/>
        <v>0</v>
      </c>
      <c r="AT100" s="4">
        <f t="shared" si="376"/>
        <v>0</v>
      </c>
      <c r="AU100" s="3">
        <f t="shared" si="343"/>
        <v>0</v>
      </c>
      <c r="AV100" s="3">
        <f t="shared" si="321"/>
        <v>1035950</v>
      </c>
      <c r="AW100" s="3">
        <f t="shared" si="322"/>
        <v>1051830</v>
      </c>
      <c r="AX100" s="3">
        <f t="shared" si="323"/>
        <v>20174</v>
      </c>
      <c r="AY100" s="3">
        <f t="shared" si="373"/>
        <v>2107954</v>
      </c>
      <c r="BC100" s="1">
        <v>-1609455</v>
      </c>
      <c r="BD100" s="1">
        <v>-389340</v>
      </c>
      <c r="BF100" s="1">
        <f>594193+-3464</f>
        <v>590729</v>
      </c>
      <c r="BG100" s="1">
        <v>-809256</v>
      </c>
      <c r="BH100" s="1">
        <f>+-2016+-642</f>
        <v>-2658</v>
      </c>
      <c r="BI100" s="1">
        <v>-923</v>
      </c>
      <c r="BJ100" s="1">
        <v>-8397</v>
      </c>
      <c r="BK100" s="1">
        <v>-2229300</v>
      </c>
      <c r="BL100" s="3">
        <f t="shared" si="363"/>
        <v>0</v>
      </c>
      <c r="BM100" s="1">
        <v>10104633</v>
      </c>
      <c r="BN100" s="1">
        <v>-408296</v>
      </c>
      <c r="BO100" s="1">
        <v>-20075</v>
      </c>
      <c r="BP100" s="1">
        <v>1534880</v>
      </c>
      <c r="BQ100" s="1">
        <v>642</v>
      </c>
      <c r="BR100" s="1">
        <v>-10645</v>
      </c>
      <c r="BS100" s="1">
        <v>11201139</v>
      </c>
      <c r="BT100" s="3">
        <f t="shared" si="335"/>
        <v>0</v>
      </c>
      <c r="BU100" s="3">
        <f>3753213+8342596</f>
        <v>12095809</v>
      </c>
      <c r="BV100" s="3">
        <f>3038+1833715</f>
        <v>1836753</v>
      </c>
      <c r="BW100" s="3">
        <f>15626+2831+2533282+3569353+6084251</f>
        <v>12205343</v>
      </c>
      <c r="BX100" s="3">
        <f>325+2932368</f>
        <v>2932693</v>
      </c>
      <c r="BY100" s="3">
        <f>1011+21+73+267366+272716+743891</f>
        <v>1285078</v>
      </c>
      <c r="BZ100" s="3">
        <f>+-4579+-451+-1842+-544517+272974+-1839055</f>
        <v>-2117470</v>
      </c>
      <c r="CA100" s="3">
        <f>570+11+166+84452+106423+251818</f>
        <v>443440</v>
      </c>
      <c r="CB100" s="3">
        <f>20646+461+4255+3260713+3462672+5483011</f>
        <v>12231758</v>
      </c>
      <c r="CD100" s="2">
        <f>CB100+BX100-BY100+BZ100+CA100-BW100</f>
        <v>0</v>
      </c>
      <c r="CE100" s="1">
        <f>68963+179025+240675+259385+27685+465+2162+16822</f>
        <v>795182</v>
      </c>
      <c r="CF100" s="1">
        <f>58507+45813+154557+130727+196844+162287+228328+205792+20796+14113+545+581+1368+696+15559+15028</f>
        <v>1251541</v>
      </c>
      <c r="CG100" s="1">
        <f>37086+31622+117369+103676+139076+121639+192635+181506+8916+4966+606+640+289+89+15409+15604</f>
        <v>971128</v>
      </c>
      <c r="CH100" s="1">
        <f>29212+28276+28766+29056+29216+93965+89587+88147+86240+84100+108104+97308+88388+80788+74408+171806+160561+151093+144595+139094+2806+2192+1590+1068+566+676+709+722+720+709+52+31+8+1+15411+14950+14520+14173+13864</f>
        <v>1887478</v>
      </c>
      <c r="CI100" s="1">
        <f>145111+133430+125273+119744+868920+403847+379685+338454+282626+622639+315548+223293+159148+131115+526730+619581+468662+352903+267701+619421+884+3248+2672+2121+1622+2419+63112+45736+32105+21513+20751</f>
        <v>7300014</v>
      </c>
      <c r="CJ100" s="1">
        <f>1778995+3154644+2665351+4163063+85582+18455+4696+334557</f>
        <v>12205343</v>
      </c>
      <c r="CK100" s="2">
        <f t="shared" si="377"/>
        <v>0</v>
      </c>
      <c r="CL100" s="1">
        <f t="shared" si="327"/>
        <v>0</v>
      </c>
      <c r="CN100" s="302">
        <v>2.1779999999999999</v>
      </c>
      <c r="CO100" s="2">
        <v>21555174</v>
      </c>
      <c r="CP100" s="2">
        <v>9895449</v>
      </c>
      <c r="CQ100" s="461">
        <v>2.1819999999999999</v>
      </c>
      <c r="CR100" s="4">
        <v>21552235</v>
      </c>
      <c r="CS100" s="4">
        <v>9876353</v>
      </c>
      <c r="CU100" s="1">
        <f>+CU96+1302060</f>
        <v>4541287.3570520002</v>
      </c>
      <c r="CW100" s="312">
        <v>0.91900000000000004</v>
      </c>
      <c r="CX100" s="312">
        <v>0.95599999999999996</v>
      </c>
      <c r="CY100" s="312">
        <v>-3.6999999999999998E-2</v>
      </c>
      <c r="CZ100" s="302">
        <f>+CX100/CW100</f>
        <v>1.0402611534276387</v>
      </c>
      <c r="DG100" s="1">
        <f t="shared" si="371"/>
        <v>-247453.95157</v>
      </c>
      <c r="DH100" s="1">
        <f>+[16]보험손익!$M$11</f>
        <v>-240803.31634399999</v>
      </c>
      <c r="DK100" s="1">
        <f>+[16]보험손익!$M$12</f>
        <v>-6650.6352260000003</v>
      </c>
      <c r="EP100" s="1">
        <v>442871</v>
      </c>
      <c r="EQ100" s="1">
        <v>-688879</v>
      </c>
      <c r="ER100" s="1">
        <v>1119294</v>
      </c>
      <c r="ES100" s="1">
        <v>-20214</v>
      </c>
      <c r="ET100" s="1">
        <f>1302762-71064</f>
        <v>1231698</v>
      </c>
      <c r="EW100" s="1">
        <f>-EP100</f>
        <v>-442871</v>
      </c>
      <c r="EX100" s="1">
        <f t="shared" ref="EX100:FA100" si="378">-EQ100</f>
        <v>688879</v>
      </c>
      <c r="EY100" s="1">
        <f t="shared" si="378"/>
        <v>-1119294</v>
      </c>
      <c r="EZ100" s="1">
        <f t="shared" si="378"/>
        <v>20214</v>
      </c>
      <c r="FA100" s="1">
        <f t="shared" si="378"/>
        <v>-1231698</v>
      </c>
      <c r="FB100" s="1">
        <v>-32700</v>
      </c>
      <c r="FC100" s="452">
        <f>SUM(EW100:FB100)-BZ100</f>
        <v>0</v>
      </c>
    </row>
    <row r="101" spans="1:159">
      <c r="A101" s="5" t="str">
        <f t="shared" si="354"/>
        <v/>
      </c>
      <c r="CQ101" s="153"/>
      <c r="CR101" s="153"/>
      <c r="CS101" s="153"/>
    </row>
    <row r="102" spans="1:159">
      <c r="A102" s="5" t="str">
        <f t="shared" si="354"/>
        <v/>
      </c>
      <c r="CQ102" s="153"/>
      <c r="CR102" s="153"/>
      <c r="CS102" s="153"/>
    </row>
    <row r="103" spans="1:159">
      <c r="A103" s="5" t="str">
        <f t="shared" si="354"/>
        <v/>
      </c>
      <c r="CQ103" s="153"/>
      <c r="CR103" s="153"/>
      <c r="CS103" s="153"/>
    </row>
    <row r="104" spans="1:159">
      <c r="A104" s="5" t="str">
        <f t="shared" si="354"/>
        <v/>
      </c>
      <c r="CQ104" s="153"/>
      <c r="CR104" s="153"/>
      <c r="CS104" s="153"/>
    </row>
    <row r="105" spans="1:159">
      <c r="A105" s="5" t="str">
        <f t="shared" si="354"/>
        <v/>
      </c>
    </row>
    <row r="106" spans="1:159">
      <c r="A106" s="5" t="str">
        <f t="shared" si="354"/>
        <v/>
      </c>
    </row>
    <row r="107" spans="1:159">
      <c r="A107" s="5" t="str">
        <f t="shared" si="354"/>
        <v/>
      </c>
    </row>
    <row r="108" spans="1:159">
      <c r="A108" s="5" t="str">
        <f t="shared" si="354"/>
        <v/>
      </c>
    </row>
    <row r="109" spans="1:159">
      <c r="A109" s="5" t="str">
        <f t="shared" si="354"/>
        <v/>
      </c>
    </row>
    <row r="110" spans="1:159">
      <c r="A110" s="5" t="str">
        <f t="shared" si="354"/>
        <v/>
      </c>
    </row>
    <row r="111" spans="1:159">
      <c r="A111" s="5" t="str">
        <f t="shared" si="354"/>
        <v/>
      </c>
    </row>
    <row r="112" spans="1:159">
      <c r="A112" s="5" t="str">
        <f t="shared" si="354"/>
        <v/>
      </c>
    </row>
    <row r="113" spans="1:1">
      <c r="A113" s="5" t="str">
        <f t="shared" si="354"/>
        <v/>
      </c>
    </row>
    <row r="114" spans="1:1">
      <c r="A114" s="5" t="str">
        <f t="shared" si="354"/>
        <v/>
      </c>
    </row>
    <row r="115" spans="1:1">
      <c r="A115" s="5" t="str">
        <f t="shared" si="354"/>
        <v/>
      </c>
    </row>
    <row r="116" spans="1:1">
      <c r="A116" s="5" t="str">
        <f t="shared" si="354"/>
        <v/>
      </c>
    </row>
    <row r="117" spans="1:1">
      <c r="A117" s="5" t="str">
        <f t="shared" si="354"/>
        <v/>
      </c>
    </row>
    <row r="118" spans="1:1">
      <c r="A118" s="5" t="str">
        <f t="shared" si="354"/>
        <v/>
      </c>
    </row>
    <row r="119" spans="1:1">
      <c r="A119" s="5" t="str">
        <f t="shared" si="354"/>
        <v/>
      </c>
    </row>
    <row r="120" spans="1:1">
      <c r="A120" s="5" t="str">
        <f t="shared" si="354"/>
        <v/>
      </c>
    </row>
    <row r="121" spans="1:1">
      <c r="A121" s="5" t="str">
        <f t="shared" si="354"/>
        <v/>
      </c>
    </row>
    <row r="122" spans="1:1">
      <c r="A122" s="5" t="str">
        <f t="shared" si="354"/>
        <v/>
      </c>
    </row>
    <row r="123" spans="1:1">
      <c r="A123" s="5" t="str">
        <f t="shared" si="354"/>
        <v/>
      </c>
    </row>
    <row r="124" spans="1:1">
      <c r="A124" s="5" t="str">
        <f t="shared" si="354"/>
        <v/>
      </c>
    </row>
    <row r="125" spans="1:1">
      <c r="A125" s="5" t="str">
        <f t="shared" si="354"/>
        <v/>
      </c>
    </row>
    <row r="126" spans="1:1">
      <c r="A126" s="5" t="str">
        <f t="shared" si="354"/>
        <v/>
      </c>
    </row>
  </sheetData>
  <mergeCells count="11">
    <mergeCell ref="CE3:CJ3"/>
    <mergeCell ref="CN3:CP3"/>
    <mergeCell ref="CQ3:CS3"/>
    <mergeCell ref="DC3:DE3"/>
    <mergeCell ref="DG3:DQ3"/>
    <mergeCell ref="CW3:CY3"/>
    <mergeCell ref="D3:T3"/>
    <mergeCell ref="AF3:AR3"/>
    <mergeCell ref="BC3:BK3"/>
    <mergeCell ref="BM3:BS3"/>
    <mergeCell ref="BU3:CC3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G108"/>
  <sheetViews>
    <sheetView workbookViewId="0">
      <selection activeCell="F21" sqref="F21"/>
    </sheetView>
  </sheetViews>
  <sheetFormatPr defaultRowHeight="16.5"/>
  <cols>
    <col min="2" max="2" width="7.375" customWidth="1"/>
    <col min="3" max="3" width="17.875" customWidth="1"/>
    <col min="4" max="15" width="9.375" customWidth="1"/>
    <col min="21" max="21" width="13.125" bestFit="1" customWidth="1"/>
    <col min="22" max="24" width="11.75" bestFit="1" customWidth="1"/>
    <col min="25" max="27" width="10.125" bestFit="1" customWidth="1"/>
    <col min="28" max="28" width="10.375" bestFit="1" customWidth="1"/>
    <col min="29" max="29" width="10.125" bestFit="1" customWidth="1"/>
    <col min="30" max="30" width="10.375" bestFit="1" customWidth="1"/>
    <col min="31" max="31" width="10.125" bestFit="1" customWidth="1"/>
    <col min="32" max="32" width="10.375" bestFit="1" customWidth="1"/>
  </cols>
  <sheetData>
    <row r="3" spans="2:32" ht="17.25" thickBot="1"/>
    <row r="4" spans="2:32">
      <c r="B4" s="814" t="s">
        <v>930</v>
      </c>
      <c r="C4" s="815"/>
      <c r="D4" s="818" t="s">
        <v>931</v>
      </c>
      <c r="E4" s="820" t="s">
        <v>932</v>
      </c>
      <c r="F4" s="821"/>
      <c r="G4" s="821"/>
      <c r="H4" s="821"/>
      <c r="I4" s="821"/>
      <c r="J4" s="857"/>
      <c r="K4" s="820" t="s">
        <v>933</v>
      </c>
      <c r="L4" s="821"/>
      <c r="M4" s="821"/>
      <c r="N4" s="821"/>
      <c r="O4" s="821"/>
      <c r="S4" s="814" t="s">
        <v>930</v>
      </c>
      <c r="T4" s="815"/>
      <c r="U4" s="818" t="s">
        <v>931</v>
      </c>
      <c r="V4" s="820" t="s">
        <v>932</v>
      </c>
      <c r="W4" s="821"/>
      <c r="X4" s="821"/>
      <c r="Y4" s="821"/>
      <c r="Z4" s="821"/>
      <c r="AA4" s="857"/>
      <c r="AB4" s="820" t="s">
        <v>933</v>
      </c>
      <c r="AC4" s="821"/>
      <c r="AD4" s="821"/>
      <c r="AE4" s="821"/>
      <c r="AF4" s="821"/>
    </row>
    <row r="5" spans="2:32" ht="17.25" thickBot="1">
      <c r="B5" s="859"/>
      <c r="C5" s="860"/>
      <c r="D5" s="856"/>
      <c r="E5" s="159" t="s">
        <v>1</v>
      </c>
      <c r="F5" s="159" t="s">
        <v>2</v>
      </c>
      <c r="G5" s="159" t="s">
        <v>3</v>
      </c>
      <c r="H5" s="159" t="s">
        <v>934</v>
      </c>
      <c r="I5" s="159" t="s">
        <v>5</v>
      </c>
      <c r="J5" s="160" t="s">
        <v>935</v>
      </c>
      <c r="K5" s="159" t="s">
        <v>1</v>
      </c>
      <c r="L5" s="159" t="s">
        <v>936</v>
      </c>
      <c r="M5" s="159" t="s">
        <v>937</v>
      </c>
      <c r="N5" s="159" t="s">
        <v>935</v>
      </c>
      <c r="O5" s="161" t="s">
        <v>938</v>
      </c>
      <c r="S5" s="859"/>
      <c r="T5" s="860"/>
      <c r="U5" s="856"/>
      <c r="V5" s="159" t="s">
        <v>1</v>
      </c>
      <c r="W5" s="159" t="s">
        <v>2</v>
      </c>
      <c r="X5" s="159" t="s">
        <v>3</v>
      </c>
      <c r="Y5" s="159" t="s">
        <v>934</v>
      </c>
      <c r="Z5" s="159" t="s">
        <v>5</v>
      </c>
      <c r="AA5" s="160" t="s">
        <v>935</v>
      </c>
      <c r="AB5" s="159" t="s">
        <v>1</v>
      </c>
      <c r="AC5" s="159" t="s">
        <v>936</v>
      </c>
      <c r="AD5" s="159" t="s">
        <v>937</v>
      </c>
      <c r="AE5" s="159" t="s">
        <v>935</v>
      </c>
      <c r="AF5" s="161" t="s">
        <v>938</v>
      </c>
    </row>
    <row r="6" spans="2:32">
      <c r="B6" s="825" t="s">
        <v>939</v>
      </c>
      <c r="C6" s="830"/>
      <c r="D6" s="474">
        <f>U6</f>
        <v>24365.015556689999</v>
      </c>
      <c r="E6" s="475">
        <f t="shared" ref="E6:O6" si="0">V6</f>
        <v>564168.15</v>
      </c>
      <c r="F6" s="475">
        <f t="shared" si="0"/>
        <v>54490.329597030002</v>
      </c>
      <c r="G6" s="475">
        <f t="shared" si="0"/>
        <v>94003.23</v>
      </c>
      <c r="H6" s="475">
        <f t="shared" si="0"/>
        <v>62392.94</v>
      </c>
      <c r="I6" s="475">
        <f t="shared" si="0"/>
        <v>15339.71</v>
      </c>
      <c r="J6" s="474">
        <f t="shared" si="0"/>
        <v>41687.879999999997</v>
      </c>
      <c r="K6" s="475">
        <f t="shared" si="0"/>
        <v>206277.77238042999</v>
      </c>
      <c r="L6" s="475">
        <f t="shared" si="0"/>
        <v>48834.874665219999</v>
      </c>
      <c r="M6" s="475">
        <f t="shared" si="0"/>
        <v>56751.234787949994</v>
      </c>
      <c r="N6" s="475">
        <f t="shared" si="0"/>
        <v>57172.34</v>
      </c>
      <c r="O6" s="476">
        <f t="shared" si="0"/>
        <v>89898.95</v>
      </c>
      <c r="S6" s="825" t="s">
        <v>939</v>
      </c>
      <c r="T6" s="830"/>
      <c r="U6" s="482">
        <f>작업!I19</f>
        <v>24365.015556689999</v>
      </c>
      <c r="V6" s="483">
        <f>작업!J19</f>
        <v>564168.15</v>
      </c>
      <c r="W6" s="483">
        <f>작업!K19</f>
        <v>54490.329597030002</v>
      </c>
      <c r="X6" s="483">
        <f>작업!L19</f>
        <v>94003.23</v>
      </c>
      <c r="Y6" s="483">
        <f>작업!M19</f>
        <v>62392.94</v>
      </c>
      <c r="Z6" s="483">
        <f>작업!N19</f>
        <v>15339.71</v>
      </c>
      <c r="AA6" s="482">
        <f>작업!O19</f>
        <v>41687.879999999997</v>
      </c>
      <c r="AB6" s="483">
        <f>작업!P19</f>
        <v>206277.77238042999</v>
      </c>
      <c r="AC6" s="483">
        <f>작업!Q19</f>
        <v>48834.874665219999</v>
      </c>
      <c r="AD6" s="483">
        <f>작업!R19</f>
        <v>56751.234787949994</v>
      </c>
      <c r="AE6" s="483">
        <f>작업!S19</f>
        <v>57172.34</v>
      </c>
      <c r="AF6" s="484">
        <f>작업!T19</f>
        <v>89898.95</v>
      </c>
    </row>
    <row r="7" spans="2:32">
      <c r="B7" s="174"/>
      <c r="C7" s="477" t="s">
        <v>1145</v>
      </c>
      <c r="D7" s="491">
        <f t="shared" ref="D7:O7" si="1">(+U6-U7)/U7</f>
        <v>-4.5720922372161646E-2</v>
      </c>
      <c r="E7" s="492">
        <f t="shared" si="1"/>
        <v>0.85042952428911167</v>
      </c>
      <c r="F7" s="492">
        <f t="shared" si="1"/>
        <v>6.8334245521492559E-2</v>
      </c>
      <c r="G7" s="492">
        <f t="shared" si="1"/>
        <v>1.6081971217764845E-2</v>
      </c>
      <c r="H7" s="492">
        <f t="shared" si="1"/>
        <v>-7.7416473823905568E-2</v>
      </c>
      <c r="I7" s="492">
        <f t="shared" si="1"/>
        <v>-8.0568444877624518E-2</v>
      </c>
      <c r="J7" s="491">
        <f t="shared" si="1"/>
        <v>-7.0992775704546068E-2</v>
      </c>
      <c r="K7" s="492">
        <f t="shared" si="1"/>
        <v>0.34858762549066724</v>
      </c>
      <c r="L7" s="492">
        <f t="shared" si="1"/>
        <v>-8.8614300916638848E-3</v>
      </c>
      <c r="M7" s="492">
        <f t="shared" si="1"/>
        <v>4.0093943409740901E-2</v>
      </c>
      <c r="N7" s="492">
        <f t="shared" si="1"/>
        <v>-2.3769897109865989E-2</v>
      </c>
      <c r="O7" s="493">
        <f t="shared" si="1"/>
        <v>6.8191115095828134E-2</v>
      </c>
      <c r="S7" s="174"/>
      <c r="T7" s="477" t="s">
        <v>1150</v>
      </c>
      <c r="U7" s="485">
        <f>'2412'!I19</f>
        <v>25532.379497679998</v>
      </c>
      <c r="V7" s="486">
        <f>'2412'!J19</f>
        <v>304884.96999999997</v>
      </c>
      <c r="W7" s="486">
        <f>'2412'!K19</f>
        <v>51004.94515218999</v>
      </c>
      <c r="X7" s="486">
        <f>'2412'!L19</f>
        <v>92515.4</v>
      </c>
      <c r="Y7" s="486">
        <f>'2412'!M19</f>
        <v>67628.5</v>
      </c>
      <c r="Z7" s="486">
        <f>'2412'!N19</f>
        <v>16683.90639253</v>
      </c>
      <c r="AA7" s="485">
        <f>'2412'!O19</f>
        <v>44873.58</v>
      </c>
      <c r="AB7" s="486">
        <f>'2412'!P19</f>
        <v>152958.37547477</v>
      </c>
      <c r="AC7" s="486">
        <f>'2412'!Q19</f>
        <v>49271.490534100005</v>
      </c>
      <c r="AD7" s="486">
        <f>'2412'!R19</f>
        <v>54563.566250470001</v>
      </c>
      <c r="AE7" s="486">
        <f>'2412'!S19</f>
        <v>58564.41</v>
      </c>
      <c r="AF7" s="487">
        <f>'2412'!T19</f>
        <v>84159.986663000003</v>
      </c>
    </row>
    <row r="8" spans="2:32" ht="17.25" thickBot="1">
      <c r="B8" s="207"/>
      <c r="C8" s="479" t="s">
        <v>1146</v>
      </c>
      <c r="D8" s="494">
        <f t="shared" ref="D8:O8" si="2">(+U6-U8)/U8</f>
        <v>-0.19295140308944003</v>
      </c>
      <c r="E8" s="495">
        <f t="shared" si="2"/>
        <v>0.50333693289428028</v>
      </c>
      <c r="F8" s="495">
        <f t="shared" si="2"/>
        <v>-0.34884943930545947</v>
      </c>
      <c r="G8" s="495">
        <f t="shared" si="2"/>
        <v>-0.13669592750808152</v>
      </c>
      <c r="H8" s="495">
        <f t="shared" si="2"/>
        <v>-0.23416966804249414</v>
      </c>
      <c r="I8" s="495">
        <f t="shared" si="2"/>
        <v>-0.41163582128065107</v>
      </c>
      <c r="J8" s="494">
        <f t="shared" si="2"/>
        <v>-0.21546506336632099</v>
      </c>
      <c r="K8" s="495">
        <f t="shared" si="2"/>
        <v>0.2969223307775215</v>
      </c>
      <c r="L8" s="495">
        <f t="shared" si="2"/>
        <v>-0.20166552283941594</v>
      </c>
      <c r="M8" s="495">
        <f t="shared" si="2"/>
        <v>9.3716347676656778E-2</v>
      </c>
      <c r="N8" s="495">
        <f t="shared" si="2"/>
        <v>-9.2187831464114009E-2</v>
      </c>
      <c r="O8" s="496">
        <f t="shared" si="2"/>
        <v>3.6233435401569439E-2</v>
      </c>
      <c r="S8" s="207"/>
      <c r="T8" s="479" t="s">
        <v>1149</v>
      </c>
      <c r="U8" s="488">
        <f>+'2412'!I36</f>
        <v>30190.270635449997</v>
      </c>
      <c r="V8" s="489">
        <f>+'2412'!J36</f>
        <v>375277.25</v>
      </c>
      <c r="W8" s="489">
        <f>+'2412'!K36</f>
        <v>83683.14931482001</v>
      </c>
      <c r="X8" s="489">
        <f>+'2412'!L36</f>
        <v>108887.74071070999</v>
      </c>
      <c r="Y8" s="489">
        <f>+'2412'!M36</f>
        <v>81470.97</v>
      </c>
      <c r="Z8" s="489">
        <f>+'2412'!N36</f>
        <v>26071.794570139995</v>
      </c>
      <c r="AA8" s="488">
        <f>+'2412'!O36</f>
        <v>53137.06</v>
      </c>
      <c r="AB8" s="489">
        <f>+'2412'!P36</f>
        <v>159051.75466966</v>
      </c>
      <c r="AC8" s="489">
        <f>+'2412'!Q36</f>
        <v>61170.945339739999</v>
      </c>
      <c r="AD8" s="489">
        <f>+'2412'!R36</f>
        <v>51888.439729829995</v>
      </c>
      <c r="AE8" s="489">
        <f>+'2412'!S36</f>
        <v>62978.16</v>
      </c>
      <c r="AF8" s="490">
        <f>+'2412'!T36</f>
        <v>86755.500188200007</v>
      </c>
    </row>
    <row r="9" spans="2:32" s="502" customFormat="1">
      <c r="B9" s="861" t="s">
        <v>1147</v>
      </c>
      <c r="C9" s="862"/>
      <c r="D9" s="522">
        <f>U9</f>
        <v>-4322.4669249600001</v>
      </c>
      <c r="E9" s="523">
        <f t="shared" ref="E9:O9" si="3">V9</f>
        <v>433581.09</v>
      </c>
      <c r="F9" s="523">
        <f t="shared" si="3"/>
        <v>-23979.810223659999</v>
      </c>
      <c r="G9" s="523">
        <f t="shared" si="3"/>
        <v>-14061.35</v>
      </c>
      <c r="H9" s="523">
        <f t="shared" si="3"/>
        <v>-21282.91</v>
      </c>
      <c r="I9" s="523">
        <f t="shared" si="3"/>
        <v>-12240.13</v>
      </c>
      <c r="J9" s="522">
        <f t="shared" si="3"/>
        <v>314.67</v>
      </c>
      <c r="K9" s="523">
        <f t="shared" si="3"/>
        <v>67876.289229889997</v>
      </c>
      <c r="L9" s="523">
        <f t="shared" si="3"/>
        <v>-31593.30002857</v>
      </c>
      <c r="M9" s="523">
        <f t="shared" si="3"/>
        <v>-7592.58</v>
      </c>
      <c r="N9" s="523">
        <f t="shared" si="3"/>
        <v>-13082.22</v>
      </c>
      <c r="O9" s="524">
        <f t="shared" si="3"/>
        <v>-22293</v>
      </c>
      <c r="S9" s="861" t="s">
        <v>1147</v>
      </c>
      <c r="T9" s="862"/>
      <c r="U9" s="503">
        <f>작업!I67</f>
        <v>-4322.4669249600001</v>
      </c>
      <c r="V9" s="504">
        <f>작업!J67</f>
        <v>433581.09</v>
      </c>
      <c r="W9" s="504">
        <f>작업!K67</f>
        <v>-23979.810223659999</v>
      </c>
      <c r="X9" s="504">
        <f>작업!L67</f>
        <v>-14061.35</v>
      </c>
      <c r="Y9" s="504">
        <f>작업!M67</f>
        <v>-21282.91</v>
      </c>
      <c r="Z9" s="504">
        <f>작업!N67</f>
        <v>-12240.13</v>
      </c>
      <c r="AA9" s="503">
        <f>작업!O67</f>
        <v>314.67</v>
      </c>
      <c r="AB9" s="504">
        <f>작업!P67</f>
        <v>67876.289229889997</v>
      </c>
      <c r="AC9" s="504">
        <f>작업!Q67</f>
        <v>-31593.30002857</v>
      </c>
      <c r="AD9" s="504">
        <f>작업!R67</f>
        <v>-7592.58</v>
      </c>
      <c r="AE9" s="504">
        <f>작업!S67</f>
        <v>-13082.22</v>
      </c>
      <c r="AF9" s="505">
        <f>작업!T67</f>
        <v>-22293</v>
      </c>
    </row>
    <row r="10" spans="2:32" s="502" customFormat="1">
      <c r="B10" s="719"/>
      <c r="C10" s="720" t="s">
        <v>1187</v>
      </c>
      <c r="D10" s="522">
        <f>+U9-U11</f>
        <v>-2416.3669249600002</v>
      </c>
      <c r="E10" s="523">
        <f t="shared" ref="E10:O10" si="4">+V9-V11</f>
        <v>248659.60000000003</v>
      </c>
      <c r="F10" s="523">
        <f t="shared" si="4"/>
        <v>-1934.5181768299954</v>
      </c>
      <c r="G10" s="523">
        <f t="shared" si="4"/>
        <v>-568.55999999999949</v>
      </c>
      <c r="H10" s="523">
        <f t="shared" si="4"/>
        <v>-6542.2899999999991</v>
      </c>
      <c r="I10" s="523">
        <f t="shared" si="4"/>
        <v>-1182.75</v>
      </c>
      <c r="J10" s="522">
        <f t="shared" si="4"/>
        <v>-3316.58</v>
      </c>
      <c r="K10" s="523">
        <f t="shared" si="4"/>
        <v>44191.649229889998</v>
      </c>
      <c r="L10" s="523">
        <f t="shared" si="4"/>
        <v>-6049.365158569999</v>
      </c>
      <c r="M10" s="523">
        <f t="shared" si="4"/>
        <v>-5878.8</v>
      </c>
      <c r="N10" s="523">
        <f t="shared" si="4"/>
        <v>-6241.9699999999993</v>
      </c>
      <c r="O10" s="524">
        <f t="shared" si="4"/>
        <v>-6198.4500000000007</v>
      </c>
      <c r="S10" s="719"/>
      <c r="T10" s="720"/>
      <c r="U10" s="503"/>
      <c r="V10" s="504"/>
      <c r="W10" s="504"/>
      <c r="X10" s="504"/>
      <c r="Y10" s="504"/>
      <c r="Z10" s="504"/>
      <c r="AA10" s="503"/>
      <c r="AB10" s="504"/>
      <c r="AC10" s="504"/>
      <c r="AD10" s="504"/>
      <c r="AE10" s="504"/>
      <c r="AF10" s="505"/>
    </row>
    <row r="11" spans="2:32" s="502" customFormat="1" ht="27">
      <c r="B11" s="506"/>
      <c r="C11" s="507" t="s">
        <v>1151</v>
      </c>
      <c r="D11" s="508">
        <f t="shared" ref="D11:O11" si="5">(U9-U11)/U7</f>
        <v>-9.4639315743351049E-2</v>
      </c>
      <c r="E11" s="509">
        <f t="shared" si="5"/>
        <v>0.81558497291617904</v>
      </c>
      <c r="F11" s="509">
        <f t="shared" si="5"/>
        <v>-3.7928051310666559E-2</v>
      </c>
      <c r="G11" s="509">
        <f t="shared" si="5"/>
        <v>-6.1455714399980925E-3</v>
      </c>
      <c r="H11" s="509">
        <f t="shared" si="5"/>
        <v>-9.6738653082650047E-2</v>
      </c>
      <c r="I11" s="509">
        <f t="shared" si="5"/>
        <v>-7.0891670821742372E-2</v>
      </c>
      <c r="J11" s="508">
        <f t="shared" si="5"/>
        <v>-7.390941395805728E-2</v>
      </c>
      <c r="K11" s="509">
        <f t="shared" si="5"/>
        <v>0.28891290910172662</v>
      </c>
      <c r="L11" s="509">
        <f t="shared" si="5"/>
        <v>-0.12277617528910215</v>
      </c>
      <c r="M11" s="509">
        <f t="shared" si="5"/>
        <v>-0.10774222441791662</v>
      </c>
      <c r="N11" s="509">
        <f t="shared" si="5"/>
        <v>-0.10658299127405192</v>
      </c>
      <c r="O11" s="510">
        <f t="shared" si="5"/>
        <v>-7.3650795892118176E-2</v>
      </c>
      <c r="S11" s="506"/>
      <c r="T11" s="507" t="s">
        <v>1150</v>
      </c>
      <c r="U11" s="511">
        <f>'2412'!I67</f>
        <v>-1906.1</v>
      </c>
      <c r="V11" s="512">
        <f>'2412'!J67</f>
        <v>184921.49</v>
      </c>
      <c r="W11" s="512">
        <f>'2412'!K67</f>
        <v>-22045.292046830004</v>
      </c>
      <c r="X11" s="512">
        <f>'2412'!L67</f>
        <v>-13492.79</v>
      </c>
      <c r="Y11" s="512">
        <f>'2412'!M67</f>
        <v>-14740.62</v>
      </c>
      <c r="Z11" s="512">
        <f>'2412'!N67</f>
        <v>-11057.38</v>
      </c>
      <c r="AA11" s="511">
        <f>'2412'!O67</f>
        <v>3631.25</v>
      </c>
      <c r="AB11" s="512">
        <f>'2412'!P67</f>
        <v>23684.639999999999</v>
      </c>
      <c r="AC11" s="512">
        <f>'2412'!Q67</f>
        <v>-25543.934870000001</v>
      </c>
      <c r="AD11" s="512">
        <f>'2412'!R67</f>
        <v>-1713.78</v>
      </c>
      <c r="AE11" s="512">
        <f>'2412'!S67</f>
        <v>-6840.25</v>
      </c>
      <c r="AF11" s="513">
        <f>'2412'!T67</f>
        <v>-16094.55</v>
      </c>
    </row>
    <row r="12" spans="2:32" s="502" customFormat="1" ht="27.75" thickBot="1">
      <c r="B12" s="514"/>
      <c r="C12" s="515" t="s">
        <v>1152</v>
      </c>
      <c r="D12" s="516">
        <f t="shared" ref="D12:O12" si="6">(U9-U12)/U8</f>
        <v>-0.2757397250750388</v>
      </c>
      <c r="E12" s="517">
        <f t="shared" si="6"/>
        <v>0.45310766906333916</v>
      </c>
      <c r="F12" s="517">
        <f t="shared" si="6"/>
        <v>-0.48613706052833072</v>
      </c>
      <c r="G12" s="517">
        <f t="shared" si="6"/>
        <v>-0.20930831929510602</v>
      </c>
      <c r="H12" s="517">
        <f t="shared" si="6"/>
        <v>-0.27564517766266933</v>
      </c>
      <c r="I12" s="517">
        <f t="shared" si="6"/>
        <v>-0.49111272204732032</v>
      </c>
      <c r="J12" s="516">
        <f t="shared" si="6"/>
        <v>-0.24560711488366124</v>
      </c>
      <c r="K12" s="517">
        <f t="shared" si="6"/>
        <v>0.15366953530725388</v>
      </c>
      <c r="L12" s="517">
        <f t="shared" si="6"/>
        <v>-0.43509193851348654</v>
      </c>
      <c r="M12" s="517">
        <f t="shared" si="6"/>
        <v>-0.23877996841900018</v>
      </c>
      <c r="N12" s="517">
        <f t="shared" si="6"/>
        <v>-0.26554411878657613</v>
      </c>
      <c r="O12" s="518">
        <f t="shared" si="6"/>
        <v>-0.26896219777859975</v>
      </c>
      <c r="S12" s="514"/>
      <c r="T12" s="515" t="s">
        <v>1149</v>
      </c>
      <c r="U12" s="519">
        <f>'2312'!I67</f>
        <v>4002.19</v>
      </c>
      <c r="V12" s="520">
        <f>'2312'!J67</f>
        <v>263540.09000000003</v>
      </c>
      <c r="W12" s="520">
        <f>'2312'!K67</f>
        <v>16701.669999999998</v>
      </c>
      <c r="X12" s="520">
        <f>'2312'!L67</f>
        <v>8729.76</v>
      </c>
      <c r="Y12" s="520">
        <f>'2312'!M67</f>
        <v>1174.17</v>
      </c>
      <c r="Z12" s="520">
        <f>'2312'!N67</f>
        <v>564.05999999999995</v>
      </c>
      <c r="AA12" s="519">
        <f>'2312'!O67</f>
        <v>13365.51</v>
      </c>
      <c r="AB12" s="520">
        <f>'2312'!P67</f>
        <v>43434.879999999997</v>
      </c>
      <c r="AC12" s="520">
        <f>'2312'!Q67</f>
        <v>-4978.31484</v>
      </c>
      <c r="AD12" s="520">
        <f>'2312'!R67</f>
        <v>4797.34</v>
      </c>
      <c r="AE12" s="520">
        <f>'2312'!S67</f>
        <v>3641.26</v>
      </c>
      <c r="AF12" s="521">
        <f>'2312'!T67</f>
        <v>1040.95</v>
      </c>
    </row>
    <row r="13" spans="2:32">
      <c r="B13" s="825" t="s">
        <v>1148</v>
      </c>
      <c r="C13" s="830"/>
      <c r="D13" s="531">
        <f>U13</f>
        <v>1.7669999999999999</v>
      </c>
      <c r="E13" s="532">
        <f t="shared" ref="E13:O13" si="7">V13</f>
        <v>1.98</v>
      </c>
      <c r="F13" s="532">
        <f t="shared" si="7"/>
        <v>1.6566000000000001</v>
      </c>
      <c r="G13" s="532">
        <f t="shared" si="7"/>
        <v>1.575</v>
      </c>
      <c r="H13" s="532">
        <f t="shared" si="7"/>
        <v>2.06</v>
      </c>
      <c r="I13" s="532">
        <f t="shared" si="7"/>
        <v>1.798</v>
      </c>
      <c r="J13" s="531">
        <f t="shared" si="7"/>
        <v>2.7219000000000002</v>
      </c>
      <c r="K13" s="532">
        <f t="shared" si="7"/>
        <v>2.6286999999999998</v>
      </c>
      <c r="L13" s="532">
        <f t="shared" si="7"/>
        <v>1.901</v>
      </c>
      <c r="M13" s="532">
        <f t="shared" si="7"/>
        <v>2.4129999999999998</v>
      </c>
      <c r="N13" s="532">
        <f t="shared" si="7"/>
        <v>1.9154</v>
      </c>
      <c r="O13" s="533">
        <f t="shared" si="7"/>
        <v>2.1819999999999999</v>
      </c>
      <c r="S13" s="825" t="s">
        <v>1148</v>
      </c>
      <c r="T13" s="830"/>
      <c r="U13" s="525">
        <f>작업!I100</f>
        <v>1.7669999999999999</v>
      </c>
      <c r="V13" s="526">
        <f>작업!J100</f>
        <v>1.98</v>
      </c>
      <c r="W13" s="526">
        <f>작업!K100</f>
        <v>1.6566000000000001</v>
      </c>
      <c r="X13" s="526">
        <f>작업!L100</f>
        <v>1.575</v>
      </c>
      <c r="Y13" s="526">
        <f>작업!M100</f>
        <v>2.06</v>
      </c>
      <c r="Z13" s="526">
        <f>작업!N100</f>
        <v>1.798</v>
      </c>
      <c r="AA13" s="525">
        <f>작업!O100</f>
        <v>2.7219000000000002</v>
      </c>
      <c r="AB13" s="526">
        <f>작업!P100</f>
        <v>2.6286999999999998</v>
      </c>
      <c r="AC13" s="526">
        <f>작업!Q100</f>
        <v>1.901</v>
      </c>
      <c r="AD13" s="526">
        <f>작업!R100</f>
        <v>2.4129999999999998</v>
      </c>
      <c r="AE13" s="526">
        <f>작업!S100</f>
        <v>1.9154</v>
      </c>
      <c r="AF13" s="527">
        <f>작업!T100</f>
        <v>2.1819999999999999</v>
      </c>
    </row>
    <row r="14" spans="2:32" ht="17.25" thickBot="1">
      <c r="B14" s="206"/>
      <c r="C14" s="480" t="s">
        <v>940</v>
      </c>
      <c r="D14" s="534">
        <f>U13-U14</f>
        <v>-0.15700000000000003</v>
      </c>
      <c r="E14" s="535">
        <f t="shared" ref="E14:O14" si="8">V13-V14</f>
        <v>0.13100000000000001</v>
      </c>
      <c r="F14" s="535">
        <f t="shared" si="8"/>
        <v>1.5000000000000124E-2</v>
      </c>
      <c r="G14" s="535">
        <f t="shared" si="8"/>
        <v>-6.2000000000000055E-2</v>
      </c>
      <c r="H14" s="535">
        <f t="shared" si="8"/>
        <v>3.0000000000001137E-3</v>
      </c>
      <c r="I14" s="535">
        <f t="shared" si="8"/>
        <v>0.2430000000000001</v>
      </c>
      <c r="J14" s="534">
        <f t="shared" si="8"/>
        <v>9.0500000000000025E-2</v>
      </c>
      <c r="K14" s="535">
        <f t="shared" si="8"/>
        <v>-1.5900000000000247E-2</v>
      </c>
      <c r="L14" s="535">
        <f t="shared" si="8"/>
        <v>0.33099999999999996</v>
      </c>
      <c r="M14" s="535">
        <f t="shared" si="8"/>
        <v>-6.9000000000000394E-2</v>
      </c>
      <c r="N14" s="535">
        <f t="shared" si="8"/>
        <v>5.1199999999999912E-2</v>
      </c>
      <c r="O14" s="536">
        <f t="shared" si="8"/>
        <v>0.1509999999999998</v>
      </c>
      <c r="S14" s="206"/>
      <c r="T14" s="480" t="s">
        <v>940</v>
      </c>
      <c r="U14" s="528">
        <f>'2412'!I100</f>
        <v>1.9239999999999999</v>
      </c>
      <c r="V14" s="529">
        <f>'2412'!J100</f>
        <v>1.849</v>
      </c>
      <c r="W14" s="529">
        <f>'2412'!K100</f>
        <v>1.6415999999999999</v>
      </c>
      <c r="X14" s="529">
        <f>'2412'!L100</f>
        <v>1.637</v>
      </c>
      <c r="Y14" s="529">
        <f>'2412'!M100</f>
        <v>2.0569999999999999</v>
      </c>
      <c r="Z14" s="529">
        <f>'2412'!N100</f>
        <v>1.5549999999999999</v>
      </c>
      <c r="AA14" s="528">
        <f>'2412'!O100</f>
        <v>2.6314000000000002</v>
      </c>
      <c r="AB14" s="529">
        <f>'2412'!P100</f>
        <v>2.6446000000000001</v>
      </c>
      <c r="AC14" s="529">
        <f>'2412'!Q100</f>
        <v>1.57</v>
      </c>
      <c r="AD14" s="529">
        <f>'2412'!R100</f>
        <v>2.4820000000000002</v>
      </c>
      <c r="AE14" s="529">
        <f>'2412'!S100</f>
        <v>1.8642000000000001</v>
      </c>
      <c r="AF14" s="530">
        <f>'2412'!T100</f>
        <v>2.0310000000000001</v>
      </c>
    </row>
    <row r="15" spans="2:32"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</row>
    <row r="21" spans="1:32" ht="17.25" thickBot="1"/>
    <row r="22" spans="1:32">
      <c r="B22" s="861" t="s">
        <v>1147</v>
      </c>
      <c r="C22" s="862"/>
      <c r="D22" s="497"/>
      <c r="E22" s="498"/>
      <c r="F22" s="499"/>
      <c r="G22" s="499"/>
      <c r="H22" s="499"/>
      <c r="I22" s="499"/>
      <c r="J22" s="500"/>
      <c r="K22" s="498"/>
      <c r="L22" s="499"/>
      <c r="M22" s="499"/>
      <c r="N22" s="499"/>
      <c r="O22" s="501"/>
      <c r="P22" s="502"/>
    </row>
    <row r="23" spans="1:32">
      <c r="B23" s="506"/>
      <c r="C23" s="507" t="s">
        <v>1145</v>
      </c>
      <c r="D23" s="508">
        <f t="shared" ref="D23:O23" si="9">(+U9-U11)/U11</f>
        <v>1.2677020748963854</v>
      </c>
      <c r="E23" s="509">
        <f t="shared" si="9"/>
        <v>1.3446765976198876</v>
      </c>
      <c r="F23" s="509">
        <f t="shared" si="9"/>
        <v>8.7751986806097623E-2</v>
      </c>
      <c r="G23" s="509">
        <f t="shared" si="9"/>
        <v>4.2138060401147537E-2</v>
      </c>
      <c r="H23" s="509">
        <f t="shared" si="9"/>
        <v>0.4438273288369145</v>
      </c>
      <c r="I23" s="509">
        <f t="shared" si="9"/>
        <v>0.10696476018731382</v>
      </c>
      <c r="J23" s="508">
        <f t="shared" si="9"/>
        <v>-0.91334388984509463</v>
      </c>
      <c r="K23" s="509">
        <f t="shared" si="9"/>
        <v>1.8658358003283984</v>
      </c>
      <c r="L23" s="509">
        <f t="shared" si="9"/>
        <v>0.23682197708993763</v>
      </c>
      <c r="M23" s="509">
        <f t="shared" si="9"/>
        <v>3.4303119420228971</v>
      </c>
      <c r="N23" s="509">
        <f t="shared" si="9"/>
        <v>0.91253536054968742</v>
      </c>
      <c r="O23" s="510">
        <f t="shared" si="9"/>
        <v>0.38512726357680088</v>
      </c>
      <c r="P23" s="502"/>
    </row>
    <row r="24" spans="1:32" ht="17.25" thickBot="1">
      <c r="B24" s="514"/>
      <c r="C24" s="515" t="s">
        <v>1146</v>
      </c>
      <c r="D24" s="516">
        <f t="shared" ref="D24:O24" si="10">(+U9-U12)/U12</f>
        <v>-2.0800254173240149</v>
      </c>
      <c r="E24" s="517">
        <f t="shared" si="10"/>
        <v>0.64521872175121431</v>
      </c>
      <c r="F24" s="517">
        <f t="shared" si="10"/>
        <v>-2.4357732025396261</v>
      </c>
      <c r="G24" s="517">
        <f t="shared" si="10"/>
        <v>-2.6107372940378659</v>
      </c>
      <c r="H24" s="517">
        <f t="shared" si="10"/>
        <v>-19.125918734084504</v>
      </c>
      <c r="I24" s="517">
        <f t="shared" si="10"/>
        <v>-22.700049640109206</v>
      </c>
      <c r="J24" s="516">
        <f t="shared" si="10"/>
        <v>-0.97645656619163801</v>
      </c>
      <c r="K24" s="517">
        <f t="shared" si="10"/>
        <v>0.56271386567408499</v>
      </c>
      <c r="L24" s="517">
        <f t="shared" si="10"/>
        <v>5.3461836070958499</v>
      </c>
      <c r="M24" s="517">
        <f t="shared" si="10"/>
        <v>-2.5826645599436353</v>
      </c>
      <c r="N24" s="517">
        <f t="shared" si="10"/>
        <v>-4.5927728313825433</v>
      </c>
      <c r="O24" s="518">
        <f t="shared" si="10"/>
        <v>-22.416014217781832</v>
      </c>
      <c r="P24" s="502"/>
    </row>
    <row r="29" spans="1:32" ht="17.25" thickBot="1"/>
    <row r="30" spans="1:32">
      <c r="A30" s="539" t="s">
        <v>930</v>
      </c>
      <c r="B30" s="539"/>
      <c r="C30" s="540"/>
      <c r="D30" s="818" t="s">
        <v>931</v>
      </c>
      <c r="E30" s="820" t="s">
        <v>932</v>
      </c>
      <c r="F30" s="821"/>
      <c r="G30" s="821"/>
      <c r="H30" s="821"/>
      <c r="I30" s="821"/>
      <c r="J30" s="857"/>
      <c r="K30" s="820" t="s">
        <v>932</v>
      </c>
      <c r="L30" s="821"/>
      <c r="M30" s="821"/>
      <c r="N30" s="821"/>
      <c r="O30" s="821"/>
      <c r="R30" s="539" t="s">
        <v>930</v>
      </c>
      <c r="S30" s="539"/>
      <c r="T30" s="540"/>
      <c r="U30" s="818" t="s">
        <v>931</v>
      </c>
      <c r="V30" s="820" t="s">
        <v>932</v>
      </c>
      <c r="W30" s="821"/>
      <c r="X30" s="821"/>
      <c r="Y30" s="821"/>
      <c r="Z30" s="821"/>
      <c r="AA30" s="857"/>
      <c r="AB30" s="820" t="s">
        <v>932</v>
      </c>
      <c r="AC30" s="821"/>
      <c r="AD30" s="821"/>
      <c r="AE30" s="821"/>
      <c r="AF30" s="821"/>
    </row>
    <row r="31" spans="1:32" ht="17.25" thickBot="1">
      <c r="A31" s="541"/>
      <c r="B31" s="541"/>
      <c r="C31" s="542"/>
      <c r="D31" s="856"/>
      <c r="E31" s="159" t="s">
        <v>1</v>
      </c>
      <c r="F31" s="537" t="s">
        <v>2</v>
      </c>
      <c r="G31" s="537" t="s">
        <v>3</v>
      </c>
      <c r="H31" s="537" t="s">
        <v>934</v>
      </c>
      <c r="I31" s="537" t="s">
        <v>5</v>
      </c>
      <c r="J31" s="538" t="s">
        <v>935</v>
      </c>
      <c r="K31" s="159" t="s">
        <v>1</v>
      </c>
      <c r="L31" s="159" t="s">
        <v>936</v>
      </c>
      <c r="M31" s="159" t="s">
        <v>937</v>
      </c>
      <c r="N31" s="159" t="s">
        <v>935</v>
      </c>
      <c r="O31" s="161" t="s">
        <v>938</v>
      </c>
      <c r="R31" s="541"/>
      <c r="S31" s="541"/>
      <c r="T31" s="542"/>
      <c r="U31" s="856"/>
      <c r="V31" s="159" t="s">
        <v>1</v>
      </c>
      <c r="W31" s="537" t="s">
        <v>2</v>
      </c>
      <c r="X31" s="537" t="s">
        <v>3</v>
      </c>
      <c r="Y31" s="537" t="s">
        <v>934</v>
      </c>
      <c r="Z31" s="537" t="s">
        <v>5</v>
      </c>
      <c r="AA31" s="538" t="s">
        <v>935</v>
      </c>
      <c r="AB31" s="159" t="s">
        <v>1</v>
      </c>
      <c r="AC31" s="159" t="s">
        <v>936</v>
      </c>
      <c r="AD31" s="159" t="s">
        <v>937</v>
      </c>
      <c r="AE31" s="159" t="s">
        <v>935</v>
      </c>
      <c r="AF31" s="161" t="s">
        <v>938</v>
      </c>
    </row>
    <row r="32" spans="1:32">
      <c r="A32" s="825" t="s">
        <v>1147</v>
      </c>
      <c r="B32" s="825"/>
      <c r="C32" s="830"/>
      <c r="D32" s="549">
        <f>U32</f>
        <v>-4322.4669249600001</v>
      </c>
      <c r="E32" s="550">
        <f t="shared" ref="E32:O32" si="11">V32</f>
        <v>433581.09</v>
      </c>
      <c r="F32" s="550">
        <f t="shared" si="11"/>
        <v>-23979.810223659999</v>
      </c>
      <c r="G32" s="550">
        <f t="shared" si="11"/>
        <v>-14061.35</v>
      </c>
      <c r="H32" s="550">
        <f t="shared" si="11"/>
        <v>-21282.91</v>
      </c>
      <c r="I32" s="550">
        <f t="shared" si="11"/>
        <v>-12240.13</v>
      </c>
      <c r="J32" s="549">
        <f t="shared" si="11"/>
        <v>314.67</v>
      </c>
      <c r="K32" s="550">
        <f t="shared" si="11"/>
        <v>67876.289229889997</v>
      </c>
      <c r="L32" s="550">
        <f t="shared" si="11"/>
        <v>-31593.30002857</v>
      </c>
      <c r="M32" s="550">
        <f t="shared" si="11"/>
        <v>-7592.58</v>
      </c>
      <c r="N32" s="550">
        <f t="shared" si="11"/>
        <v>-13082.22</v>
      </c>
      <c r="O32" s="551">
        <f t="shared" si="11"/>
        <v>-22293</v>
      </c>
      <c r="R32" s="825" t="s">
        <v>1147</v>
      </c>
      <c r="S32" s="825"/>
      <c r="T32" s="830"/>
      <c r="U32" s="482">
        <f>U9</f>
        <v>-4322.4669249600001</v>
      </c>
      <c r="V32" s="483">
        <f t="shared" ref="V32:AF32" si="12">V9</f>
        <v>433581.09</v>
      </c>
      <c r="W32" s="483">
        <f t="shared" si="12"/>
        <v>-23979.810223659999</v>
      </c>
      <c r="X32" s="483">
        <f t="shared" si="12"/>
        <v>-14061.35</v>
      </c>
      <c r="Y32" s="483">
        <f t="shared" si="12"/>
        <v>-21282.91</v>
      </c>
      <c r="Z32" s="483">
        <f t="shared" si="12"/>
        <v>-12240.13</v>
      </c>
      <c r="AA32" s="482">
        <f t="shared" si="12"/>
        <v>314.67</v>
      </c>
      <c r="AB32" s="483">
        <f t="shared" si="12"/>
        <v>67876.289229889997</v>
      </c>
      <c r="AC32" s="483">
        <f t="shared" si="12"/>
        <v>-31593.30002857</v>
      </c>
      <c r="AD32" s="483">
        <f t="shared" si="12"/>
        <v>-7592.58</v>
      </c>
      <c r="AE32" s="483">
        <f t="shared" si="12"/>
        <v>-13082.22</v>
      </c>
      <c r="AF32" s="484">
        <f t="shared" si="12"/>
        <v>-22293</v>
      </c>
    </row>
    <row r="33" spans="1:32">
      <c r="A33" s="174"/>
      <c r="B33" s="175"/>
      <c r="C33" s="477" t="s">
        <v>1145</v>
      </c>
      <c r="D33" s="561">
        <f>U50/ABS(U33)</f>
        <v>-1.2677020748963854</v>
      </c>
      <c r="E33" s="562">
        <f t="shared" ref="E33:O33" si="13">V50/ABS(V33)</f>
        <v>1.3446765976198876</v>
      </c>
      <c r="F33" s="562">
        <f t="shared" si="13"/>
        <v>-8.7751986806097623E-2</v>
      </c>
      <c r="G33" s="562">
        <f t="shared" si="13"/>
        <v>-4.2138060401147537E-2</v>
      </c>
      <c r="H33" s="562">
        <f t="shared" si="13"/>
        <v>-0.4438273288369145</v>
      </c>
      <c r="I33" s="562">
        <f t="shared" si="13"/>
        <v>-0.10696476018731382</v>
      </c>
      <c r="J33" s="561">
        <f t="shared" si="13"/>
        <v>-0.91334388984509463</v>
      </c>
      <c r="K33" s="562">
        <f t="shared" si="13"/>
        <v>1.8658358003283984</v>
      </c>
      <c r="L33" s="562">
        <f t="shared" si="13"/>
        <v>-0.23682197708993763</v>
      </c>
      <c r="M33" s="562">
        <f t="shared" si="13"/>
        <v>-3.4303119420228971</v>
      </c>
      <c r="N33" s="562">
        <f t="shared" si="13"/>
        <v>-0.91253536054968742</v>
      </c>
      <c r="O33" s="563">
        <f t="shared" si="13"/>
        <v>-0.38512726357680088</v>
      </c>
      <c r="P33" s="564"/>
      <c r="R33" s="174"/>
      <c r="S33" s="175"/>
      <c r="T33" s="477">
        <v>2024</v>
      </c>
      <c r="U33" s="485">
        <f t="shared" ref="U33:AF33" si="14">U11</f>
        <v>-1906.1</v>
      </c>
      <c r="V33" s="486">
        <f t="shared" si="14"/>
        <v>184921.49</v>
      </c>
      <c r="W33" s="486">
        <f t="shared" si="14"/>
        <v>-22045.292046830004</v>
      </c>
      <c r="X33" s="486">
        <f t="shared" si="14"/>
        <v>-13492.79</v>
      </c>
      <c r="Y33" s="486">
        <f t="shared" si="14"/>
        <v>-14740.62</v>
      </c>
      <c r="Z33" s="486">
        <f t="shared" si="14"/>
        <v>-11057.38</v>
      </c>
      <c r="AA33" s="485">
        <f t="shared" si="14"/>
        <v>3631.25</v>
      </c>
      <c r="AB33" s="486">
        <f t="shared" si="14"/>
        <v>23684.639999999999</v>
      </c>
      <c r="AC33" s="486">
        <f t="shared" si="14"/>
        <v>-25543.934870000001</v>
      </c>
      <c r="AD33" s="486">
        <f t="shared" si="14"/>
        <v>-1713.78</v>
      </c>
      <c r="AE33" s="486">
        <f t="shared" si="14"/>
        <v>-6840.25</v>
      </c>
      <c r="AF33" s="487">
        <f t="shared" si="14"/>
        <v>-16094.55</v>
      </c>
    </row>
    <row r="34" spans="1:32" ht="17.25" thickBot="1">
      <c r="A34" s="207"/>
      <c r="B34" s="478"/>
      <c r="C34" s="479" t="s">
        <v>1146</v>
      </c>
      <c r="D34" s="565">
        <f>+U51/ABS(U34)</f>
        <v>-2.0800254173240149</v>
      </c>
      <c r="E34" s="566">
        <f t="shared" ref="E34:O34" si="15">+V51/ABS(V34)</f>
        <v>0.64521872175121431</v>
      </c>
      <c r="F34" s="566">
        <f t="shared" si="15"/>
        <v>-2.4357732025396261</v>
      </c>
      <c r="G34" s="566">
        <f t="shared" si="15"/>
        <v>-2.6107372940378659</v>
      </c>
      <c r="H34" s="566">
        <f t="shared" si="15"/>
        <v>-19.125918734084504</v>
      </c>
      <c r="I34" s="566">
        <f t="shared" si="15"/>
        <v>-22.700049640109206</v>
      </c>
      <c r="J34" s="565">
        <f t="shared" si="15"/>
        <v>-0.97645656619163801</v>
      </c>
      <c r="K34" s="566">
        <f t="shared" si="15"/>
        <v>0.56271386567408499</v>
      </c>
      <c r="L34" s="566">
        <f t="shared" si="15"/>
        <v>-5.3461836070958499</v>
      </c>
      <c r="M34" s="566">
        <f t="shared" si="15"/>
        <v>-2.5826645599436353</v>
      </c>
      <c r="N34" s="566">
        <f t="shared" si="15"/>
        <v>-4.5927728313825433</v>
      </c>
      <c r="O34" s="567">
        <f t="shared" si="15"/>
        <v>-22.416014217781832</v>
      </c>
      <c r="P34" s="564"/>
      <c r="R34" s="207"/>
      <c r="S34" s="478"/>
      <c r="T34" s="479">
        <v>2023</v>
      </c>
      <c r="U34" s="488">
        <f t="shared" ref="U34:AF34" si="16">U12</f>
        <v>4002.19</v>
      </c>
      <c r="V34" s="489">
        <f t="shared" si="16"/>
        <v>263540.09000000003</v>
      </c>
      <c r="W34" s="489">
        <f t="shared" si="16"/>
        <v>16701.669999999998</v>
      </c>
      <c r="X34" s="489">
        <f t="shared" si="16"/>
        <v>8729.76</v>
      </c>
      <c r="Y34" s="489">
        <f t="shared" si="16"/>
        <v>1174.17</v>
      </c>
      <c r="Z34" s="489">
        <f t="shared" si="16"/>
        <v>564.05999999999995</v>
      </c>
      <c r="AA34" s="488">
        <f t="shared" si="16"/>
        <v>13365.51</v>
      </c>
      <c r="AB34" s="489">
        <f t="shared" si="16"/>
        <v>43434.879999999997</v>
      </c>
      <c r="AC34" s="489">
        <f t="shared" si="16"/>
        <v>-4978.31484</v>
      </c>
      <c r="AD34" s="489">
        <f t="shared" si="16"/>
        <v>4797.34</v>
      </c>
      <c r="AE34" s="489">
        <f t="shared" si="16"/>
        <v>3641.26</v>
      </c>
      <c r="AF34" s="490">
        <f t="shared" si="16"/>
        <v>1040.95</v>
      </c>
    </row>
    <row r="35" spans="1:32">
      <c r="A35" s="846" t="s">
        <v>1058</v>
      </c>
      <c r="B35" s="846"/>
      <c r="C35" s="858"/>
      <c r="D35" s="552">
        <f>U35</f>
        <v>-10667.856269989999</v>
      </c>
      <c r="E35" s="553">
        <f t="shared" ref="E35:O35" si="17">V35</f>
        <v>353864.95</v>
      </c>
      <c r="F35" s="553">
        <f t="shared" si="17"/>
        <v>-54687.86</v>
      </c>
      <c r="G35" s="553">
        <f t="shared" si="17"/>
        <v>-48833.68</v>
      </c>
      <c r="H35" s="553">
        <f t="shared" si="17"/>
        <v>-34536.83</v>
      </c>
      <c r="I35" s="553">
        <f t="shared" si="17"/>
        <v>-17978.560000000001</v>
      </c>
      <c r="J35" s="552">
        <f t="shared" si="17"/>
        <v>-11128.16</v>
      </c>
      <c r="K35" s="553">
        <f t="shared" si="17"/>
        <v>62437.88</v>
      </c>
      <c r="L35" s="553">
        <f t="shared" si="17"/>
        <v>-40182.620992799995</v>
      </c>
      <c r="M35" s="553">
        <f t="shared" si="17"/>
        <v>-19989.990000000002</v>
      </c>
      <c r="N35" s="553">
        <f t="shared" si="17"/>
        <v>-20957.179999999997</v>
      </c>
      <c r="O35" s="554">
        <f t="shared" si="17"/>
        <v>-32018.6</v>
      </c>
      <c r="R35" s="846" t="s">
        <v>1058</v>
      </c>
      <c r="S35" s="846"/>
      <c r="T35" s="858"/>
      <c r="U35" s="543">
        <f>작업!I68</f>
        <v>-10667.856269989999</v>
      </c>
      <c r="V35" s="544">
        <f>작업!J68</f>
        <v>353864.95</v>
      </c>
      <c r="W35" s="544">
        <f>작업!K68</f>
        <v>-54687.86</v>
      </c>
      <c r="X35" s="544">
        <f>작업!L68</f>
        <v>-48833.68</v>
      </c>
      <c r="Y35" s="544">
        <f>작업!M68</f>
        <v>-34536.83</v>
      </c>
      <c r="Z35" s="544">
        <f>작업!N68</f>
        <v>-17978.560000000001</v>
      </c>
      <c r="AA35" s="543">
        <f>작업!O68</f>
        <v>-11128.16</v>
      </c>
      <c r="AB35" s="544">
        <f>작업!P68</f>
        <v>62437.88</v>
      </c>
      <c r="AC35" s="544">
        <f>작업!Q68</f>
        <v>-40182.620992799995</v>
      </c>
      <c r="AD35" s="544">
        <f>작업!R68</f>
        <v>-19989.990000000002</v>
      </c>
      <c r="AE35" s="544">
        <f>작업!S68</f>
        <v>-20957.179999999997</v>
      </c>
      <c r="AF35" s="545">
        <f>작업!T68</f>
        <v>-32018.6</v>
      </c>
    </row>
    <row r="36" spans="1:32">
      <c r="A36" s="168"/>
      <c r="B36" s="168"/>
      <c r="C36" s="477" t="s">
        <v>1159</v>
      </c>
      <c r="D36" s="555">
        <f>U53/U41</f>
        <v>-3.2135147554055762E-2</v>
      </c>
      <c r="E36" s="556">
        <f t="shared" ref="E36:O36" si="18">V53/V41</f>
        <v>8.2151044356769704E-2</v>
      </c>
      <c r="F36" s="556">
        <f t="shared" si="18"/>
        <v>-2.2764626097108543E-2</v>
      </c>
      <c r="G36" s="556">
        <f t="shared" si="18"/>
        <v>-2.2977740570468159E-2</v>
      </c>
      <c r="H36" s="556">
        <f t="shared" si="18"/>
        <v>-3.3918570112232233E-2</v>
      </c>
      <c r="I36" s="556">
        <f t="shared" si="18"/>
        <v>-2.5395373481862913E-2</v>
      </c>
      <c r="J36" s="555">
        <f t="shared" si="18"/>
        <v>-3.8389897453151745E-2</v>
      </c>
      <c r="K36" s="556">
        <f t="shared" si="18"/>
        <v>4.541365127470165E-2</v>
      </c>
      <c r="L36" s="556">
        <f t="shared" si="18"/>
        <v>-2.9343373549955223E-2</v>
      </c>
      <c r="M36" s="556">
        <f t="shared" si="18"/>
        <v>-3.0603767326384597E-2</v>
      </c>
      <c r="N36" s="556">
        <f t="shared" si="18"/>
        <v>-3.0760422798755349E-2</v>
      </c>
      <c r="O36" s="557">
        <f t="shared" si="18"/>
        <v>-2.4327708670634812E-2</v>
      </c>
      <c r="P36" s="272"/>
      <c r="R36" s="168"/>
      <c r="S36" s="168"/>
      <c r="T36" s="477">
        <v>2024</v>
      </c>
      <c r="U36" s="485">
        <f>'2412'!I68</f>
        <v>-4481.43</v>
      </c>
      <c r="V36" s="486">
        <f>'2412'!J68</f>
        <v>153992.09</v>
      </c>
      <c r="W36" s="486">
        <f>'2412'!K68</f>
        <v>-30956.14</v>
      </c>
      <c r="X36" s="486">
        <f>'2412'!L68</f>
        <v>-21386.85</v>
      </c>
      <c r="Y36" s="486">
        <f>'2412'!M68</f>
        <v>-16757.359999999997</v>
      </c>
      <c r="Z36" s="486">
        <f>'2412'!N68</f>
        <v>-9772.25</v>
      </c>
      <c r="AA36" s="485">
        <f>'2412'!O68</f>
        <v>-630.9799999999999</v>
      </c>
      <c r="AB36" s="486">
        <f>'2412'!P68</f>
        <v>25225.489999999998</v>
      </c>
      <c r="AC36" s="486">
        <f>'2412'!Q68</f>
        <v>-26747.135040000001</v>
      </c>
      <c r="AD36" s="486">
        <f>'2412'!R68</f>
        <v>-7337.0500000000011</v>
      </c>
      <c r="AE36" s="486">
        <f>'2412'!S68</f>
        <v>-9252.4700000000012</v>
      </c>
      <c r="AF36" s="487">
        <f>'2412'!T68</f>
        <v>-19942.25</v>
      </c>
    </row>
    <row r="37" spans="1:32" ht="17.25" thickBot="1">
      <c r="A37" s="207"/>
      <c r="B37" s="478"/>
      <c r="C37" s="479" t="s">
        <v>1160</v>
      </c>
      <c r="D37" s="558">
        <f>+U57/U42</f>
        <v>-2.6305014092454254E-2</v>
      </c>
      <c r="E37" s="559">
        <f t="shared" ref="E37:O37" si="19">+V57/V42</f>
        <v>-1.674596272929894E-2</v>
      </c>
      <c r="F37" s="559">
        <f t="shared" si="19"/>
        <v>-2.0366565901262925E-2</v>
      </c>
      <c r="G37" s="559">
        <f t="shared" si="19"/>
        <v>-8.2382171882203776E-3</v>
      </c>
      <c r="H37" s="559">
        <f t="shared" si="19"/>
        <v>-2.4144907219247662E-2</v>
      </c>
      <c r="I37" s="559">
        <f t="shared" si="19"/>
        <v>-2.2958064438675329E-2</v>
      </c>
      <c r="J37" s="558">
        <f t="shared" si="19"/>
        <v>-3.0146906879802378E-2</v>
      </c>
      <c r="K37" s="559">
        <f t="shared" si="19"/>
        <v>-2.7259526950782651E-3</v>
      </c>
      <c r="L37" s="559">
        <f t="shared" si="19"/>
        <v>-3.6529244127830381E-2</v>
      </c>
      <c r="M37" s="559">
        <f t="shared" si="19"/>
        <v>-2.55388793744693E-2</v>
      </c>
      <c r="N37" s="559">
        <f t="shared" si="19"/>
        <v>-3.1585745146568617E-2</v>
      </c>
      <c r="O37" s="560">
        <f t="shared" si="19"/>
        <v>-2.8445581711450681E-2</v>
      </c>
      <c r="P37" s="272"/>
      <c r="R37" s="207"/>
      <c r="S37" s="478"/>
      <c r="T37" s="479">
        <v>2023</v>
      </c>
      <c r="U37" s="488">
        <f>'2312'!I68</f>
        <v>-7444.0999999999995</v>
      </c>
      <c r="V37" s="489">
        <f>'2312'!J68</f>
        <v>141920.47</v>
      </c>
      <c r="W37" s="489">
        <f>'2312'!K68</f>
        <v>-32856.51</v>
      </c>
      <c r="X37" s="489">
        <f>'2312'!L68</f>
        <v>-34874.870000000003</v>
      </c>
      <c r="Y37" s="489">
        <f>'2312'!M68</f>
        <v>-24517.98</v>
      </c>
      <c r="Z37" s="489">
        <f>'2312'!N68</f>
        <v>-12339.2</v>
      </c>
      <c r="AA37" s="488">
        <f>'2312'!O68</f>
        <v>-5697.33</v>
      </c>
      <c r="AB37" s="489">
        <f>'2312'!P68</f>
        <v>35295.880000000005</v>
      </c>
      <c r="AC37" s="489">
        <f>'2312'!Q68</f>
        <v>-28582.525659999999</v>
      </c>
      <c r="AD37" s="489">
        <f>'2312'!R68</f>
        <v>-16510.190000000002</v>
      </c>
      <c r="AE37" s="489">
        <f>'2312'!S68</f>
        <v>-15366.56</v>
      </c>
      <c r="AF37" s="490">
        <f>'2312'!T68</f>
        <v>-21690.91</v>
      </c>
    </row>
    <row r="38" spans="1:32">
      <c r="A38" s="846" t="s">
        <v>1153</v>
      </c>
      <c r="B38" s="846"/>
      <c r="C38" s="858"/>
      <c r="D38" s="552">
        <f>U38</f>
        <v>6300.6274040200005</v>
      </c>
      <c r="E38" s="553">
        <f t="shared" ref="E38:O38" si="20">V38</f>
        <v>81594.599999999991</v>
      </c>
      <c r="F38" s="553">
        <f t="shared" si="20"/>
        <v>24147.08</v>
      </c>
      <c r="G38" s="553">
        <f t="shared" si="20"/>
        <v>32318.18</v>
      </c>
      <c r="H38" s="553">
        <f t="shared" si="20"/>
        <v>13555.93</v>
      </c>
      <c r="I38" s="553">
        <f t="shared" si="20"/>
        <v>5711.96</v>
      </c>
      <c r="J38" s="552">
        <f t="shared" si="20"/>
        <v>11511.210000000001</v>
      </c>
      <c r="K38" s="553">
        <f t="shared" si="20"/>
        <v>6894.83</v>
      </c>
      <c r="L38" s="553">
        <f t="shared" si="20"/>
        <v>6031.8777708600001</v>
      </c>
      <c r="M38" s="553">
        <f t="shared" si="20"/>
        <v>7987.5000000000009</v>
      </c>
      <c r="N38" s="553">
        <f t="shared" si="20"/>
        <v>7609.47</v>
      </c>
      <c r="O38" s="554">
        <f t="shared" si="20"/>
        <v>7636.21</v>
      </c>
      <c r="R38" s="846" t="s">
        <v>1153</v>
      </c>
      <c r="S38" s="846"/>
      <c r="T38" s="858"/>
      <c r="U38" s="543">
        <f>작업!I71</f>
        <v>6300.6274040200005</v>
      </c>
      <c r="V38" s="544">
        <f>작업!J71</f>
        <v>81594.599999999991</v>
      </c>
      <c r="W38" s="544">
        <f>작업!K71</f>
        <v>24147.08</v>
      </c>
      <c r="X38" s="544">
        <f>작업!L71</f>
        <v>32318.18</v>
      </c>
      <c r="Y38" s="544">
        <f>작업!M71</f>
        <v>13555.93</v>
      </c>
      <c r="Z38" s="544">
        <f>작업!N71</f>
        <v>5711.96</v>
      </c>
      <c r="AA38" s="543">
        <f>작업!O71</f>
        <v>11511.210000000001</v>
      </c>
      <c r="AB38" s="544">
        <f>작업!P71</f>
        <v>6894.83</v>
      </c>
      <c r="AC38" s="544">
        <f>작업!Q71</f>
        <v>6031.8777708600001</v>
      </c>
      <c r="AD38" s="544">
        <f>작업!R71</f>
        <v>7987.5000000000009</v>
      </c>
      <c r="AE38" s="544">
        <f>작업!S71</f>
        <v>7609.47</v>
      </c>
      <c r="AF38" s="545">
        <f>작업!T71</f>
        <v>7636.21</v>
      </c>
    </row>
    <row r="39" spans="1:32">
      <c r="A39" s="174"/>
      <c r="B39" s="175"/>
      <c r="C39" s="477" t="s">
        <v>1161</v>
      </c>
      <c r="D39" s="555">
        <f>U56/U43</f>
        <v>1.4131740340282251E-2</v>
      </c>
      <c r="E39" s="556">
        <f t="shared" ref="E39:O39" si="21">V56/V43</f>
        <v>2.4232339396284053E-2</v>
      </c>
      <c r="F39" s="556">
        <f t="shared" si="21"/>
        <v>2.3085708988881518E-2</v>
      </c>
      <c r="G39" s="556">
        <f t="shared" si="21"/>
        <v>2.7712324906113448E-2</v>
      </c>
      <c r="H39" s="556">
        <f t="shared" si="21"/>
        <v>2.3238519898429667E-2</v>
      </c>
      <c r="I39" s="556">
        <f t="shared" si="21"/>
        <v>2.4595577427755307E-2</v>
      </c>
      <c r="J39" s="555">
        <f t="shared" si="21"/>
        <v>2.6286397906514207E-2</v>
      </c>
      <c r="K39" s="556">
        <f t="shared" si="21"/>
        <v>1.3835211104846205E-2</v>
      </c>
      <c r="L39" s="556">
        <f t="shared" si="21"/>
        <v>2.1215800931213676E-2</v>
      </c>
      <c r="M39" s="556">
        <f t="shared" si="21"/>
        <v>2.8066957336063941E-2</v>
      </c>
      <c r="N39" s="556">
        <f t="shared" si="21"/>
        <v>2.0050110058546674E-2</v>
      </c>
      <c r="O39" s="557">
        <f t="shared" si="21"/>
        <v>1.8496522553735132E-2</v>
      </c>
      <c r="R39" s="174"/>
      <c r="S39" s="175"/>
      <c r="T39" s="477">
        <v>2024</v>
      </c>
      <c r="U39" s="485">
        <f>'2412'!I71</f>
        <v>2591.27</v>
      </c>
      <c r="V39" s="486">
        <f>'2412'!J71</f>
        <v>32607.399999999998</v>
      </c>
      <c r="W39" s="486">
        <f>'2412'!K71</f>
        <v>2344.6400000000003</v>
      </c>
      <c r="X39" s="486">
        <f>'2412'!L71</f>
        <v>5395.0499999999993</v>
      </c>
      <c r="Y39" s="486">
        <f>'2412'!M71</f>
        <v>2303.92</v>
      </c>
      <c r="Z39" s="486">
        <f>'2412'!N71</f>
        <v>-1229.27</v>
      </c>
      <c r="AA39" s="485">
        <f>'2412'!O71</f>
        <v>4358.75</v>
      </c>
      <c r="AB39" s="486">
        <f>'2412'!P71</f>
        <v>-245.46</v>
      </c>
      <c r="AC39" s="486">
        <f>'2412'!Q71</f>
        <v>-1351.6329000000001</v>
      </c>
      <c r="AD39" s="486">
        <f>'2412'!R71</f>
        <v>1151.02</v>
      </c>
      <c r="AE39" s="486">
        <f>'2412'!S71</f>
        <v>2305.9399999999996</v>
      </c>
      <c r="AF39" s="487">
        <f>'2412'!T71</f>
        <v>1728.9199999999998</v>
      </c>
    </row>
    <row r="40" spans="1:32" ht="17.25" thickBot="1">
      <c r="A40" s="207"/>
      <c r="B40" s="478"/>
      <c r="C40" s="479" t="s">
        <v>1162</v>
      </c>
      <c r="D40" s="558">
        <f>+U57/U44</f>
        <v>-2.0130649859909092E-2</v>
      </c>
      <c r="E40" s="559">
        <f t="shared" ref="E40:O40" si="22">+V57/V44</f>
        <v>-2.1823389502196495E-2</v>
      </c>
      <c r="F40" s="559">
        <f t="shared" si="22"/>
        <v>-2.2704775815668713E-2</v>
      </c>
      <c r="G40" s="559">
        <f t="shared" si="22"/>
        <v>-1.0374792656133544E-2</v>
      </c>
      <c r="H40" s="559">
        <f t="shared" si="22"/>
        <v>-2.701017764814705E-2</v>
      </c>
      <c r="I40" s="559">
        <f t="shared" si="22"/>
        <v>-2.7073815771281821E-2</v>
      </c>
      <c r="J40" s="558">
        <f t="shared" si="22"/>
        <v>-3.1688594926241244E-2</v>
      </c>
      <c r="K40" s="559">
        <f t="shared" si="22"/>
        <v>-4.2514474896722353E-3</v>
      </c>
      <c r="L40" s="559">
        <f t="shared" si="22"/>
        <v>-4.8084440927944123E-2</v>
      </c>
      <c r="M40" s="559">
        <f t="shared" si="22"/>
        <v>-4.4647895548438774E-2</v>
      </c>
      <c r="N40" s="559">
        <f t="shared" si="22"/>
        <v>-4.5355948376262577E-2</v>
      </c>
      <c r="O40" s="560">
        <f t="shared" si="22"/>
        <v>-4.3491166725694134E-2</v>
      </c>
      <c r="R40" s="207"/>
      <c r="S40" s="478"/>
      <c r="T40" s="479">
        <v>2023</v>
      </c>
      <c r="U40" s="488">
        <f>'2312'!I71</f>
        <v>11463.24</v>
      </c>
      <c r="V40" s="489">
        <f>'2312'!J71</f>
        <v>122966.01</v>
      </c>
      <c r="W40" s="489">
        <f>'2312'!K71</f>
        <v>43955.38</v>
      </c>
      <c r="X40" s="489">
        <f>'2312'!L71</f>
        <v>41566.160000000003</v>
      </c>
      <c r="Y40" s="489">
        <f>'2312'!M71</f>
        <v>25853.39</v>
      </c>
      <c r="Z40" s="489">
        <f>'2312'!N71</f>
        <v>12864.050000000001</v>
      </c>
      <c r="AA40" s="488">
        <f>'2312'!O71</f>
        <v>19126.59</v>
      </c>
      <c r="AB40" s="489">
        <f>'2312'!P71</f>
        <v>9089.4500000000007</v>
      </c>
      <c r="AC40" s="489">
        <f>'2312'!Q71</f>
        <v>21191.34057</v>
      </c>
      <c r="AD40" s="489">
        <f>'2312'!R71</f>
        <v>17608.82</v>
      </c>
      <c r="AE40" s="489">
        <f>'2312'!S71</f>
        <v>18648.53</v>
      </c>
      <c r="AF40" s="490">
        <f>'2312'!T71</f>
        <v>20420.460000000003</v>
      </c>
    </row>
    <row r="41" spans="1:32"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S41" t="s">
        <v>1157</v>
      </c>
      <c r="T41" s="548">
        <v>2024</v>
      </c>
      <c r="U41" s="103">
        <f>'2412'!I74</f>
        <v>192512.77</v>
      </c>
      <c r="V41" s="103">
        <f>'2412'!J74</f>
        <v>2432992.3199999998</v>
      </c>
      <c r="W41" s="103">
        <f>'2412'!K74</f>
        <v>1042482.31</v>
      </c>
      <c r="X41" s="103">
        <f>'2412'!L74</f>
        <v>1194496.47</v>
      </c>
      <c r="Y41" s="103">
        <f>'2412'!M74</f>
        <v>524181</v>
      </c>
      <c r="Z41" s="103">
        <f>'2412'!N74</f>
        <v>323141.93</v>
      </c>
      <c r="AA41" s="103">
        <f>'2412'!O74</f>
        <v>273436</v>
      </c>
      <c r="AB41" s="103">
        <f>'2412'!P74</f>
        <v>819409.78</v>
      </c>
      <c r="AC41" s="103">
        <f>'2412'!Q74</f>
        <v>457871.21</v>
      </c>
      <c r="AD41" s="103">
        <f>'2412'!R74</f>
        <v>413443.87</v>
      </c>
      <c r="AE41" s="103">
        <f>'2412'!S74</f>
        <v>380512</v>
      </c>
      <c r="AF41" s="103">
        <f>'2412'!T74</f>
        <v>496403.1</v>
      </c>
    </row>
    <row r="42" spans="1:32">
      <c r="D42" s="552">
        <f>+U32-U33</f>
        <v>-2416.3669249600002</v>
      </c>
      <c r="E42" s="553">
        <f t="shared" ref="E42:O42" si="23">+V32-V33</f>
        <v>248659.60000000003</v>
      </c>
      <c r="F42" s="553">
        <f t="shared" si="23"/>
        <v>-1934.5181768299954</v>
      </c>
      <c r="G42" s="553">
        <f t="shared" si="23"/>
        <v>-568.55999999999949</v>
      </c>
      <c r="H42" s="553">
        <f t="shared" si="23"/>
        <v>-6542.2899999999991</v>
      </c>
      <c r="I42" s="553">
        <f t="shared" si="23"/>
        <v>-1182.75</v>
      </c>
      <c r="J42" s="552">
        <f t="shared" si="23"/>
        <v>-3316.58</v>
      </c>
      <c r="K42" s="553">
        <f t="shared" si="23"/>
        <v>44191.649229889998</v>
      </c>
      <c r="L42" s="553">
        <f t="shared" si="23"/>
        <v>-6049.365158569999</v>
      </c>
      <c r="M42" s="553">
        <f t="shared" si="23"/>
        <v>-5878.8</v>
      </c>
      <c r="N42" s="553">
        <f t="shared" si="23"/>
        <v>-6241.9699999999993</v>
      </c>
      <c r="O42" s="554">
        <f t="shared" si="23"/>
        <v>-6198.4500000000007</v>
      </c>
      <c r="T42" s="548">
        <v>2023</v>
      </c>
      <c r="U42" s="103">
        <f>'2312'!I74</f>
        <v>196259.64</v>
      </c>
      <c r="V42" s="103">
        <f>'2312'!J74</f>
        <v>2470530.4</v>
      </c>
      <c r="W42" s="103">
        <f>'2312'!K74</f>
        <v>972589.1</v>
      </c>
      <c r="X42" s="103">
        <f>'2312'!L74</f>
        <v>1122570.55</v>
      </c>
      <c r="Y42" s="103">
        <f>'2312'!M74</f>
        <v>509319</v>
      </c>
      <c r="Z42" s="103">
        <f>'2312'!N74</f>
        <v>311528.44</v>
      </c>
      <c r="AA42" s="103">
        <f>'2312'!O74</f>
        <v>252609</v>
      </c>
      <c r="AB42" s="103">
        <f>'2312'!P74</f>
        <v>805083.67</v>
      </c>
      <c r="AC42" s="103">
        <f>'2312'!Q74</f>
        <v>414995.25</v>
      </c>
      <c r="AD42" s="103">
        <f>'2312'!R74</f>
        <v>376732.27</v>
      </c>
      <c r="AE42" s="103">
        <f>'2312'!S74</f>
        <v>349495</v>
      </c>
      <c r="AF42" s="103">
        <f>'2312'!T74</f>
        <v>449428.32</v>
      </c>
    </row>
    <row r="43" spans="1:32">
      <c r="D43" s="552">
        <f>+U35-U36</f>
        <v>-6186.4262699899991</v>
      </c>
      <c r="E43" s="553">
        <f t="shared" ref="E43:O43" si="24">+V35-V36</f>
        <v>199872.86000000002</v>
      </c>
      <c r="F43" s="553">
        <f t="shared" si="24"/>
        <v>-23731.72</v>
      </c>
      <c r="G43" s="553">
        <f t="shared" si="24"/>
        <v>-27446.83</v>
      </c>
      <c r="H43" s="553">
        <f t="shared" si="24"/>
        <v>-17779.470000000005</v>
      </c>
      <c r="I43" s="553">
        <f t="shared" si="24"/>
        <v>-8206.3100000000013</v>
      </c>
      <c r="J43" s="552">
        <f t="shared" si="24"/>
        <v>-10497.18</v>
      </c>
      <c r="K43" s="553">
        <f t="shared" si="24"/>
        <v>37212.39</v>
      </c>
      <c r="L43" s="553">
        <f t="shared" si="24"/>
        <v>-13435.485952799994</v>
      </c>
      <c r="M43" s="553">
        <f t="shared" si="24"/>
        <v>-12652.94</v>
      </c>
      <c r="N43" s="553">
        <f t="shared" si="24"/>
        <v>-11704.709999999995</v>
      </c>
      <c r="O43" s="554">
        <f t="shared" si="24"/>
        <v>-12076.349999999999</v>
      </c>
      <c r="S43" t="s">
        <v>1158</v>
      </c>
      <c r="T43" s="548">
        <v>2024</v>
      </c>
      <c r="U43" s="103">
        <f>'2412'!I46</f>
        <v>262484.11835353001</v>
      </c>
      <c r="V43" s="103">
        <f>'2412'!J46</f>
        <v>2021562.97</v>
      </c>
      <c r="W43" s="103">
        <f>'2412'!K46</f>
        <v>944412.84045035997</v>
      </c>
      <c r="X43" s="103">
        <f>'2412'!L46</f>
        <v>971521.88029018999</v>
      </c>
      <c r="Y43" s="103">
        <f>'2412'!M46</f>
        <v>484196.5</v>
      </c>
      <c r="Z43" s="103">
        <f>'2412'!N46</f>
        <v>282214.55749060999</v>
      </c>
      <c r="AA43" s="103">
        <f>'2412'!O46</f>
        <v>272097.38</v>
      </c>
      <c r="AB43" s="103">
        <f>'2412'!P46</f>
        <v>516095.48606734996</v>
      </c>
      <c r="AC43" s="103">
        <f>'2412'!Q46</f>
        <v>348019.41698072001</v>
      </c>
      <c r="AD43" s="103">
        <f>'2412'!R46</f>
        <v>243577.52492164998</v>
      </c>
      <c r="AE43" s="103">
        <f>'2412'!S46</f>
        <v>264513.76</v>
      </c>
      <c r="AF43" s="103">
        <f>'2412'!T46</f>
        <v>319373.00553865999</v>
      </c>
    </row>
    <row r="44" spans="1:32">
      <c r="D44" s="552">
        <f>+U38-U39</f>
        <v>3709.3574040200006</v>
      </c>
      <c r="E44" s="553">
        <f t="shared" ref="E44:O44" si="25">+V38-V39</f>
        <v>48987.199999999997</v>
      </c>
      <c r="F44" s="553">
        <f t="shared" si="25"/>
        <v>21802.440000000002</v>
      </c>
      <c r="G44" s="553">
        <f t="shared" si="25"/>
        <v>26923.13</v>
      </c>
      <c r="H44" s="553">
        <f t="shared" si="25"/>
        <v>11252.01</v>
      </c>
      <c r="I44" s="553">
        <f t="shared" si="25"/>
        <v>6941.23</v>
      </c>
      <c r="J44" s="552">
        <f t="shared" si="25"/>
        <v>7152.4600000000009</v>
      </c>
      <c r="K44" s="553">
        <f t="shared" si="25"/>
        <v>7140.29</v>
      </c>
      <c r="L44" s="553">
        <f t="shared" si="25"/>
        <v>7383.5106708599997</v>
      </c>
      <c r="M44" s="553">
        <f t="shared" si="25"/>
        <v>6836.4800000000014</v>
      </c>
      <c r="N44" s="553">
        <f t="shared" si="25"/>
        <v>5303.5300000000007</v>
      </c>
      <c r="O44" s="554">
        <f t="shared" si="25"/>
        <v>5907.29</v>
      </c>
      <c r="T44" s="548">
        <v>2023</v>
      </c>
      <c r="U44" s="103">
        <f>'2312'!I46</f>
        <v>256455.33710570997</v>
      </c>
      <c r="V44" s="103">
        <f>'2312'!J46</f>
        <v>1895737.14</v>
      </c>
      <c r="W44" s="103">
        <f>'2312'!K46</f>
        <v>872428.78594423993</v>
      </c>
      <c r="X44" s="103">
        <f>'2312'!L46</f>
        <v>891389.38063814002</v>
      </c>
      <c r="Y44" s="103">
        <f>'2312'!M46</f>
        <v>455289.86</v>
      </c>
      <c r="Z44" s="103">
        <f>'2312'!N46</f>
        <v>264170.00323931</v>
      </c>
      <c r="AA44" s="103">
        <f>'2312'!O46</f>
        <v>240319.27</v>
      </c>
      <c r="AB44" s="103">
        <f>'2312'!P46</f>
        <v>516205.36425094004</v>
      </c>
      <c r="AC44" s="103">
        <f>'2312'!Q46</f>
        <v>315267.52742861002</v>
      </c>
      <c r="AD44" s="103">
        <f>'2312'!R46</f>
        <v>215493.24737068001</v>
      </c>
      <c r="AE44" s="103">
        <f>'2312'!S46</f>
        <v>243387.26</v>
      </c>
      <c r="AF44" s="103">
        <f>'2312'!T46</f>
        <v>293950.49529557</v>
      </c>
    </row>
    <row r="45" spans="1:32">
      <c r="R45" t="s">
        <v>1156</v>
      </c>
      <c r="S45" t="s">
        <v>1188</v>
      </c>
      <c r="U45" s="221">
        <f>SUM([17]BEL!$AR$27:$AR$29,[17]RA!$AR$27:$AR$29)+SUM([17]CSM!$AR$27:$AR$29)</f>
        <v>105276.23545504001</v>
      </c>
    </row>
    <row r="46" spans="1:32" ht="17.25" thickBot="1">
      <c r="D46" s="294">
        <f>+D44/(U43-U45)</f>
        <v>2.3595237946274952E-2</v>
      </c>
      <c r="S46" t="s">
        <v>1189</v>
      </c>
      <c r="U46" s="221">
        <f>SUM([17]BEL!$AE$27:$AE$29,[17]RA!$AE$27:$AE$29)+SUM([17]CSM!$AE$27:$AE$29)</f>
        <v>106895.66969382</v>
      </c>
    </row>
    <row r="47" spans="1:32">
      <c r="D47" s="294">
        <f>(U38-U40)/(U44-U46)</f>
        <v>-3.4518748839966813E-2</v>
      </c>
      <c r="R47" s="539" t="s">
        <v>930</v>
      </c>
      <c r="S47" s="539"/>
      <c r="T47" s="540"/>
      <c r="U47" s="818" t="s">
        <v>931</v>
      </c>
      <c r="V47" s="820" t="s">
        <v>932</v>
      </c>
      <c r="W47" s="821"/>
      <c r="X47" s="821"/>
      <c r="Y47" s="821"/>
      <c r="Z47" s="821"/>
      <c r="AA47" s="857"/>
      <c r="AB47" s="820" t="s">
        <v>932</v>
      </c>
      <c r="AC47" s="821"/>
      <c r="AD47" s="821"/>
      <c r="AE47" s="821"/>
      <c r="AF47" s="821"/>
    </row>
    <row r="48" spans="1:32" ht="17.25" thickBot="1">
      <c r="R48" s="541"/>
      <c r="S48" s="541"/>
      <c r="T48" s="542"/>
      <c r="U48" s="856"/>
      <c r="V48" s="159" t="s">
        <v>1</v>
      </c>
      <c r="W48" s="537" t="s">
        <v>2</v>
      </c>
      <c r="X48" s="537" t="s">
        <v>3</v>
      </c>
      <c r="Y48" s="537" t="s">
        <v>934</v>
      </c>
      <c r="Z48" s="537" t="s">
        <v>5</v>
      </c>
      <c r="AA48" s="538" t="s">
        <v>935</v>
      </c>
      <c r="AB48" s="159" t="s">
        <v>1</v>
      </c>
      <c r="AC48" s="159" t="s">
        <v>936</v>
      </c>
      <c r="AD48" s="159" t="s">
        <v>937</v>
      </c>
      <c r="AE48" s="159" t="s">
        <v>935</v>
      </c>
      <c r="AF48" s="161" t="s">
        <v>938</v>
      </c>
    </row>
    <row r="49" spans="1:32">
      <c r="P49" s="5"/>
      <c r="Q49" s="5"/>
      <c r="R49" s="825" t="s">
        <v>1147</v>
      </c>
      <c r="S49" s="825"/>
      <c r="T49" s="830"/>
      <c r="U49" s="482"/>
      <c r="V49" s="483"/>
      <c r="W49" s="483"/>
      <c r="X49" s="483"/>
      <c r="Y49" s="483"/>
      <c r="Z49" s="483"/>
      <c r="AA49" s="482"/>
      <c r="AB49" s="483"/>
      <c r="AC49" s="483"/>
      <c r="AD49" s="483"/>
      <c r="AE49" s="483"/>
      <c r="AF49" s="484"/>
    </row>
    <row r="50" spans="1:32">
      <c r="P50" s="5"/>
      <c r="Q50" s="5"/>
      <c r="R50" s="174"/>
      <c r="S50" s="546" t="s">
        <v>1154</v>
      </c>
      <c r="T50" s="477">
        <v>2025</v>
      </c>
      <c r="U50" s="485">
        <f>+U32-U33</f>
        <v>-2416.3669249600002</v>
      </c>
      <c r="V50" s="486">
        <f t="shared" ref="V50:AF50" si="26">+V32-V33</f>
        <v>248659.60000000003</v>
      </c>
      <c r="W50" s="486">
        <f t="shared" si="26"/>
        <v>-1934.5181768299954</v>
      </c>
      <c r="X50" s="486">
        <f t="shared" si="26"/>
        <v>-568.55999999999949</v>
      </c>
      <c r="Y50" s="486">
        <f t="shared" si="26"/>
        <v>-6542.2899999999991</v>
      </c>
      <c r="Z50" s="486">
        <f t="shared" si="26"/>
        <v>-1182.75</v>
      </c>
      <c r="AA50" s="485">
        <f t="shared" si="26"/>
        <v>-3316.58</v>
      </c>
      <c r="AB50" s="486">
        <f t="shared" si="26"/>
        <v>44191.649229889998</v>
      </c>
      <c r="AC50" s="486">
        <f t="shared" si="26"/>
        <v>-6049.365158569999</v>
      </c>
      <c r="AD50" s="486">
        <f t="shared" si="26"/>
        <v>-5878.8</v>
      </c>
      <c r="AE50" s="486">
        <f t="shared" si="26"/>
        <v>-6241.9699999999993</v>
      </c>
      <c r="AF50" s="487">
        <f t="shared" si="26"/>
        <v>-6198.4500000000007</v>
      </c>
    </row>
    <row r="51" spans="1:32" ht="17.25" thickBot="1">
      <c r="P51" s="5"/>
      <c r="Q51" s="5"/>
      <c r="R51" s="207"/>
      <c r="S51" s="547"/>
      <c r="T51" s="479" t="s">
        <v>1155</v>
      </c>
      <c r="U51" s="488">
        <f>+U32-U34</f>
        <v>-8324.6569249599997</v>
      </c>
      <c r="V51" s="489">
        <f t="shared" ref="V51:AF51" si="27">+V32-V34</f>
        <v>170041</v>
      </c>
      <c r="W51" s="489">
        <f t="shared" si="27"/>
        <v>-40681.480223659993</v>
      </c>
      <c r="X51" s="489">
        <f t="shared" si="27"/>
        <v>-22791.11</v>
      </c>
      <c r="Y51" s="489">
        <f t="shared" si="27"/>
        <v>-22457.08</v>
      </c>
      <c r="Z51" s="489">
        <f t="shared" si="27"/>
        <v>-12804.189999999999</v>
      </c>
      <c r="AA51" s="488">
        <f t="shared" si="27"/>
        <v>-13050.84</v>
      </c>
      <c r="AB51" s="489">
        <f t="shared" si="27"/>
        <v>24441.40922989</v>
      </c>
      <c r="AC51" s="489">
        <f t="shared" si="27"/>
        <v>-26614.985188570001</v>
      </c>
      <c r="AD51" s="489">
        <f t="shared" si="27"/>
        <v>-12389.92</v>
      </c>
      <c r="AE51" s="489">
        <f t="shared" si="27"/>
        <v>-16723.48</v>
      </c>
      <c r="AF51" s="490">
        <f t="shared" si="27"/>
        <v>-23333.95</v>
      </c>
    </row>
    <row r="52" spans="1:32">
      <c r="P52" s="5"/>
      <c r="Q52" s="5"/>
      <c r="R52" s="846" t="s">
        <v>1058</v>
      </c>
      <c r="S52" s="846"/>
      <c r="T52" s="858"/>
      <c r="U52" s="543"/>
      <c r="V52" s="544"/>
      <c r="W52" s="544"/>
      <c r="X52" s="544"/>
      <c r="Y52" s="544"/>
      <c r="Z52" s="544"/>
      <c r="AA52" s="543"/>
      <c r="AB52" s="544"/>
      <c r="AC52" s="544"/>
      <c r="AD52" s="544"/>
      <c r="AE52" s="544"/>
      <c r="AF52" s="545"/>
    </row>
    <row r="53" spans="1:32">
      <c r="P53" s="5"/>
      <c r="Q53" s="5"/>
      <c r="R53" s="546"/>
      <c r="S53" s="546" t="s">
        <v>1154</v>
      </c>
      <c r="T53" s="477">
        <v>2025</v>
      </c>
      <c r="U53" s="485">
        <f>+U35-U36</f>
        <v>-6186.4262699899991</v>
      </c>
      <c r="V53" s="486">
        <f t="shared" ref="V53:AF53" si="28">+V35-V36</f>
        <v>199872.86000000002</v>
      </c>
      <c r="W53" s="486">
        <f t="shared" si="28"/>
        <v>-23731.72</v>
      </c>
      <c r="X53" s="486">
        <f t="shared" si="28"/>
        <v>-27446.83</v>
      </c>
      <c r="Y53" s="486">
        <f t="shared" si="28"/>
        <v>-17779.470000000005</v>
      </c>
      <c r="Z53" s="486">
        <f t="shared" si="28"/>
        <v>-8206.3100000000013</v>
      </c>
      <c r="AA53" s="485">
        <f t="shared" si="28"/>
        <v>-10497.18</v>
      </c>
      <c r="AB53" s="486">
        <f t="shared" si="28"/>
        <v>37212.39</v>
      </c>
      <c r="AC53" s="486">
        <f t="shared" si="28"/>
        <v>-13435.485952799994</v>
      </c>
      <c r="AD53" s="486">
        <f t="shared" si="28"/>
        <v>-12652.94</v>
      </c>
      <c r="AE53" s="486">
        <f t="shared" si="28"/>
        <v>-11704.709999999995</v>
      </c>
      <c r="AF53" s="487">
        <f t="shared" si="28"/>
        <v>-12076.349999999999</v>
      </c>
    </row>
    <row r="54" spans="1:32" ht="17.25" thickBot="1">
      <c r="P54" s="5"/>
      <c r="Q54" s="5"/>
      <c r="R54" s="207"/>
      <c r="S54" s="547"/>
      <c r="T54" s="479" t="s">
        <v>1155</v>
      </c>
      <c r="U54" s="488">
        <f>+U35-U37</f>
        <v>-3223.75626999</v>
      </c>
      <c r="V54" s="489">
        <f t="shared" ref="V54:AF54" si="29">+V35-V37</f>
        <v>211944.48</v>
      </c>
      <c r="W54" s="489">
        <f t="shared" si="29"/>
        <v>-21831.35</v>
      </c>
      <c r="X54" s="489">
        <f t="shared" si="29"/>
        <v>-13958.809999999998</v>
      </c>
      <c r="Y54" s="489">
        <f t="shared" si="29"/>
        <v>-10018.850000000002</v>
      </c>
      <c r="Z54" s="489">
        <f t="shared" si="29"/>
        <v>-5639.3600000000006</v>
      </c>
      <c r="AA54" s="488">
        <f t="shared" si="29"/>
        <v>-5430.83</v>
      </c>
      <c r="AB54" s="489">
        <f t="shared" si="29"/>
        <v>27141.999999999993</v>
      </c>
      <c r="AC54" s="489">
        <f t="shared" si="29"/>
        <v>-11600.095332799996</v>
      </c>
      <c r="AD54" s="489">
        <f t="shared" si="29"/>
        <v>-3479.7999999999993</v>
      </c>
      <c r="AE54" s="489">
        <f t="shared" si="29"/>
        <v>-5590.6199999999972</v>
      </c>
      <c r="AF54" s="490">
        <f t="shared" si="29"/>
        <v>-10327.689999999999</v>
      </c>
    </row>
    <row r="55" spans="1:32">
      <c r="P55" s="5"/>
      <c r="Q55" s="5"/>
      <c r="R55" s="846" t="s">
        <v>1153</v>
      </c>
      <c r="S55" s="846"/>
      <c r="T55" s="858"/>
      <c r="U55" s="543"/>
      <c r="V55" s="544"/>
      <c r="W55" s="544"/>
      <c r="X55" s="544"/>
      <c r="Y55" s="544"/>
      <c r="Z55" s="544"/>
      <c r="AA55" s="543"/>
      <c r="AB55" s="544"/>
      <c r="AC55" s="544"/>
      <c r="AD55" s="544"/>
      <c r="AE55" s="544"/>
      <c r="AF55" s="545"/>
    </row>
    <row r="56" spans="1:32">
      <c r="P56" s="5"/>
      <c r="Q56" s="5"/>
      <c r="R56" s="174"/>
      <c r="S56" s="546" t="s">
        <v>1154</v>
      </c>
      <c r="T56" s="477">
        <v>2025</v>
      </c>
      <c r="U56" s="485">
        <f>+U38-U39</f>
        <v>3709.3574040200006</v>
      </c>
      <c r="V56" s="486">
        <f t="shared" ref="V56:AF56" si="30">+V38-V39</f>
        <v>48987.199999999997</v>
      </c>
      <c r="W56" s="486">
        <f t="shared" si="30"/>
        <v>21802.440000000002</v>
      </c>
      <c r="X56" s="486">
        <f t="shared" si="30"/>
        <v>26923.13</v>
      </c>
      <c r="Y56" s="486">
        <f t="shared" si="30"/>
        <v>11252.01</v>
      </c>
      <c r="Z56" s="486">
        <f t="shared" si="30"/>
        <v>6941.23</v>
      </c>
      <c r="AA56" s="485">
        <f t="shared" si="30"/>
        <v>7152.4600000000009</v>
      </c>
      <c r="AB56" s="486">
        <f t="shared" si="30"/>
        <v>7140.29</v>
      </c>
      <c r="AC56" s="486">
        <f t="shared" si="30"/>
        <v>7383.5106708599997</v>
      </c>
      <c r="AD56" s="486">
        <f t="shared" si="30"/>
        <v>6836.4800000000014</v>
      </c>
      <c r="AE56" s="486">
        <f t="shared" si="30"/>
        <v>5303.5300000000007</v>
      </c>
      <c r="AF56" s="487">
        <f t="shared" si="30"/>
        <v>5907.29</v>
      </c>
    </row>
    <row r="57" spans="1:32" ht="17.25" thickBot="1">
      <c r="P57" s="5"/>
      <c r="Q57" s="5"/>
      <c r="R57" s="207"/>
      <c r="S57" s="547"/>
      <c r="T57" s="479" t="s">
        <v>1155</v>
      </c>
      <c r="U57" s="488">
        <f>+U38-U40</f>
        <v>-5162.6125959799992</v>
      </c>
      <c r="V57" s="489">
        <f t="shared" ref="V57:AF57" si="31">+V38-V40</f>
        <v>-41371.410000000003</v>
      </c>
      <c r="W57" s="489">
        <f t="shared" si="31"/>
        <v>-19808.299999999996</v>
      </c>
      <c r="X57" s="489">
        <f t="shared" si="31"/>
        <v>-9247.9800000000032</v>
      </c>
      <c r="Y57" s="489">
        <f t="shared" si="31"/>
        <v>-12297.46</v>
      </c>
      <c r="Z57" s="489">
        <f t="shared" si="31"/>
        <v>-7152.0900000000011</v>
      </c>
      <c r="AA57" s="488">
        <f t="shared" si="31"/>
        <v>-7615.3799999999992</v>
      </c>
      <c r="AB57" s="489">
        <f t="shared" si="31"/>
        <v>-2194.6200000000008</v>
      </c>
      <c r="AC57" s="489">
        <f t="shared" si="31"/>
        <v>-15159.462799140001</v>
      </c>
      <c r="AD57" s="489">
        <f t="shared" si="31"/>
        <v>-9621.32</v>
      </c>
      <c r="AE57" s="489">
        <f t="shared" si="31"/>
        <v>-11039.059999999998</v>
      </c>
      <c r="AF57" s="490">
        <f t="shared" si="31"/>
        <v>-12784.250000000004</v>
      </c>
    </row>
    <row r="58" spans="1:32"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spans="1:32"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3" spans="1:32" ht="17.25" thickBot="1"/>
    <row r="64" spans="1:32">
      <c r="A64" s="870" t="s">
        <v>930</v>
      </c>
      <c r="B64" s="870"/>
      <c r="C64" s="871"/>
      <c r="D64" s="818" t="s">
        <v>931</v>
      </c>
      <c r="E64" s="820" t="s">
        <v>932</v>
      </c>
      <c r="F64" s="821"/>
      <c r="G64" s="821"/>
      <c r="H64" s="821"/>
      <c r="I64" s="821"/>
      <c r="J64" s="857"/>
      <c r="K64" s="820" t="s">
        <v>933</v>
      </c>
      <c r="L64" s="821"/>
      <c r="M64" s="821"/>
      <c r="N64" s="821"/>
      <c r="O64" s="863"/>
      <c r="R64" s="870" t="s">
        <v>930</v>
      </c>
      <c r="S64" s="870"/>
      <c r="T64" s="871"/>
      <c r="U64" s="818" t="s">
        <v>931</v>
      </c>
      <c r="V64" s="820" t="s">
        <v>932</v>
      </c>
      <c r="W64" s="821"/>
      <c r="X64" s="821"/>
      <c r="Y64" s="821"/>
      <c r="Z64" s="821"/>
      <c r="AA64" s="857"/>
      <c r="AB64" s="820" t="s">
        <v>933</v>
      </c>
      <c r="AC64" s="821"/>
      <c r="AD64" s="821"/>
      <c r="AE64" s="821"/>
      <c r="AF64" s="863"/>
    </row>
    <row r="65" spans="1:32" ht="17.25" thickBot="1">
      <c r="A65" s="872"/>
      <c r="B65" s="872"/>
      <c r="C65" s="873"/>
      <c r="D65" s="856"/>
      <c r="E65" s="159" t="s">
        <v>1</v>
      </c>
      <c r="F65" s="537" t="s">
        <v>2</v>
      </c>
      <c r="G65" s="537" t="s">
        <v>3</v>
      </c>
      <c r="H65" s="537" t="s">
        <v>934</v>
      </c>
      <c r="I65" s="537" t="s">
        <v>5</v>
      </c>
      <c r="J65" s="538" t="s">
        <v>935</v>
      </c>
      <c r="K65" s="159" t="s">
        <v>1</v>
      </c>
      <c r="L65" s="159" t="s">
        <v>936</v>
      </c>
      <c r="M65" s="159" t="s">
        <v>937</v>
      </c>
      <c r="N65" s="159" t="s">
        <v>935</v>
      </c>
      <c r="O65" s="481" t="s">
        <v>938</v>
      </c>
      <c r="R65" s="872"/>
      <c r="S65" s="872"/>
      <c r="T65" s="873"/>
      <c r="U65" s="856"/>
      <c r="V65" s="159" t="s">
        <v>1</v>
      </c>
      <c r="W65" s="537" t="s">
        <v>2</v>
      </c>
      <c r="X65" s="537" t="s">
        <v>3</v>
      </c>
      <c r="Y65" s="537" t="s">
        <v>934</v>
      </c>
      <c r="Z65" s="537" t="s">
        <v>5</v>
      </c>
      <c r="AA65" s="538" t="s">
        <v>935</v>
      </c>
      <c r="AB65" s="159" t="s">
        <v>1</v>
      </c>
      <c r="AC65" s="159" t="s">
        <v>936</v>
      </c>
      <c r="AD65" s="159" t="s">
        <v>937</v>
      </c>
      <c r="AE65" s="159" t="s">
        <v>935</v>
      </c>
      <c r="AF65" s="481" t="s">
        <v>938</v>
      </c>
    </row>
    <row r="66" spans="1:32">
      <c r="A66" s="825" t="s">
        <v>26</v>
      </c>
      <c r="B66" s="825"/>
      <c r="C66" s="830"/>
      <c r="D66" s="599">
        <f>U66</f>
        <v>1892.56776881</v>
      </c>
      <c r="E66" s="600">
        <f t="shared" ref="E66:O66" si="32">V66</f>
        <v>20070.060000000001</v>
      </c>
      <c r="F66" s="600">
        <f t="shared" si="32"/>
        <v>9620.9813541500007</v>
      </c>
      <c r="G66" s="600">
        <f t="shared" si="32"/>
        <v>4126.5</v>
      </c>
      <c r="H66" s="600">
        <f t="shared" si="32"/>
        <v>7965.38</v>
      </c>
      <c r="I66" s="600">
        <f t="shared" si="32"/>
        <v>1113.8800000000001</v>
      </c>
      <c r="J66" s="601">
        <f t="shared" si="32"/>
        <v>4181.92</v>
      </c>
      <c r="K66" s="600">
        <f t="shared" si="32"/>
        <v>23334.794053190002</v>
      </c>
      <c r="L66" s="600">
        <f t="shared" si="32"/>
        <v>6942.7771959300017</v>
      </c>
      <c r="M66" s="600">
        <f t="shared" si="32"/>
        <v>22940.27456622</v>
      </c>
      <c r="N66" s="600">
        <f t="shared" si="32"/>
        <v>11407.59</v>
      </c>
      <c r="O66" s="602">
        <f t="shared" si="32"/>
        <v>21079.54</v>
      </c>
      <c r="P66" s="603"/>
      <c r="R66" s="825" t="s">
        <v>26</v>
      </c>
      <c r="S66" s="825"/>
      <c r="T66" s="830"/>
      <c r="U66" s="578">
        <f>작업!I117</f>
        <v>1892.56776881</v>
      </c>
      <c r="V66" s="483">
        <f>작업!J117</f>
        <v>20070.060000000001</v>
      </c>
      <c r="W66" s="483">
        <f>작업!K117</f>
        <v>9620.9813541500007</v>
      </c>
      <c r="X66" s="483">
        <f>작업!L117</f>
        <v>4126.5</v>
      </c>
      <c r="Y66" s="483">
        <f>작업!M117</f>
        <v>7965.38</v>
      </c>
      <c r="Z66" s="483">
        <f>작업!N117</f>
        <v>1113.8800000000001</v>
      </c>
      <c r="AA66" s="482">
        <f>작업!O117</f>
        <v>4181.92</v>
      </c>
      <c r="AB66" s="483">
        <f>작업!P117</f>
        <v>23334.794053190002</v>
      </c>
      <c r="AC66" s="483">
        <f>작업!Q117</f>
        <v>6942.7771959300017</v>
      </c>
      <c r="AD66" s="483">
        <f>작업!R117</f>
        <v>22940.27456622</v>
      </c>
      <c r="AE66" s="483">
        <f>작업!S117</f>
        <v>11407.59</v>
      </c>
      <c r="AF66" s="484">
        <f>작업!T117</f>
        <v>21079.54</v>
      </c>
    </row>
    <row r="67" spans="1:32">
      <c r="A67" s="876" t="s">
        <v>1163</v>
      </c>
      <c r="B67" s="876"/>
      <c r="C67" s="867"/>
      <c r="D67" s="604">
        <f>+U66-U67</f>
        <v>734.33890111000005</v>
      </c>
      <c r="E67" s="605">
        <f t="shared" ref="E67:O67" si="33">+V66-V67</f>
        <v>1857.1599999999999</v>
      </c>
      <c r="F67" s="605">
        <f t="shared" si="33"/>
        <v>813.08252659000209</v>
      </c>
      <c r="G67" s="605">
        <f t="shared" si="33"/>
        <v>-4922.7137530599994</v>
      </c>
      <c r="H67" s="605">
        <f t="shared" si="33"/>
        <v>609.30000000000018</v>
      </c>
      <c r="I67" s="605">
        <f t="shared" si="33"/>
        <v>-2705.8496263500001</v>
      </c>
      <c r="J67" s="606">
        <f t="shared" si="33"/>
        <v>202.86999999999989</v>
      </c>
      <c r="K67" s="605">
        <f t="shared" si="33"/>
        <v>-3706.0496967600011</v>
      </c>
      <c r="L67" s="605">
        <f t="shared" si="33"/>
        <v>-6721.5789527099978</v>
      </c>
      <c r="M67" s="605">
        <f t="shared" si="33"/>
        <v>-43.799581929997657</v>
      </c>
      <c r="N67" s="605">
        <f t="shared" si="33"/>
        <v>28.040000000000873</v>
      </c>
      <c r="O67" s="607">
        <f t="shared" si="33"/>
        <v>-2578.5990456600011</v>
      </c>
      <c r="R67" s="876">
        <v>2024</v>
      </c>
      <c r="S67" s="876"/>
      <c r="T67" s="867"/>
      <c r="U67" s="579">
        <f>'2412'!I117</f>
        <v>1158.2288676999999</v>
      </c>
      <c r="V67" s="584">
        <f>'2412'!J117</f>
        <v>18212.900000000001</v>
      </c>
      <c r="W67" s="584">
        <f>'2412'!K117</f>
        <v>8807.8988275599986</v>
      </c>
      <c r="X67" s="584">
        <f>'2412'!L117</f>
        <v>9049.2137530599994</v>
      </c>
      <c r="Y67" s="584">
        <f>'2412'!M117</f>
        <v>7356.08</v>
      </c>
      <c r="Z67" s="584">
        <f>'2412'!N117</f>
        <v>3819.7296263500002</v>
      </c>
      <c r="AA67" s="585">
        <f>'2412'!O117</f>
        <v>3979.05</v>
      </c>
      <c r="AB67" s="584">
        <f>'2412'!P117</f>
        <v>27040.843749950003</v>
      </c>
      <c r="AC67" s="584">
        <f>'2412'!Q117</f>
        <v>13664.356148639999</v>
      </c>
      <c r="AD67" s="584">
        <f>'2412'!R117</f>
        <v>22984.074148149997</v>
      </c>
      <c r="AE67" s="584">
        <f>'2412'!S117</f>
        <v>11379.55</v>
      </c>
      <c r="AF67" s="586">
        <f>'2412'!T117</f>
        <v>23658.139045660002</v>
      </c>
    </row>
    <row r="68" spans="1:32">
      <c r="A68" s="876" t="s">
        <v>1164</v>
      </c>
      <c r="B68" s="876"/>
      <c r="C68" s="867"/>
      <c r="D68" s="604">
        <f>+U66-U68</f>
        <v>468.97327101999986</v>
      </c>
      <c r="E68" s="605">
        <f t="shared" ref="E68:O68" si="34">+V66-V68</f>
        <v>3258.2299999999996</v>
      </c>
      <c r="F68" s="605">
        <f t="shared" si="34"/>
        <v>1225.4441542500008</v>
      </c>
      <c r="G68" s="605">
        <f t="shared" si="34"/>
        <v>-3407.8736439300001</v>
      </c>
      <c r="H68" s="605">
        <f t="shared" si="34"/>
        <v>1541.6400000000003</v>
      </c>
      <c r="I68" s="605">
        <f t="shared" si="34"/>
        <v>-2213.6900552699994</v>
      </c>
      <c r="J68" s="606">
        <f t="shared" si="34"/>
        <v>981.57000000000016</v>
      </c>
      <c r="K68" s="605">
        <f t="shared" si="34"/>
        <v>-275.77013154999804</v>
      </c>
      <c r="L68" s="605">
        <f t="shared" si="34"/>
        <v>-2586.598659799999</v>
      </c>
      <c r="M68" s="605">
        <f t="shared" si="34"/>
        <v>1745.4026065599974</v>
      </c>
      <c r="N68" s="605">
        <f t="shared" si="34"/>
        <v>1521.2900000000009</v>
      </c>
      <c r="O68" s="607">
        <f t="shared" si="34"/>
        <v>826.67580153000017</v>
      </c>
      <c r="R68" s="876">
        <v>2023</v>
      </c>
      <c r="S68" s="876"/>
      <c r="T68" s="867"/>
      <c r="U68" s="579">
        <f>'2312'!I117</f>
        <v>1423.5944977900001</v>
      </c>
      <c r="V68" s="584">
        <f>'2312'!J117</f>
        <v>16811.830000000002</v>
      </c>
      <c r="W68" s="584">
        <f>'2312'!K117</f>
        <v>8395.5371998999999</v>
      </c>
      <c r="X68" s="584">
        <f>'2312'!L117</f>
        <v>7534.3736439300001</v>
      </c>
      <c r="Y68" s="584">
        <f>'2312'!M117</f>
        <v>6423.74</v>
      </c>
      <c r="Z68" s="584">
        <f>'2312'!N117</f>
        <v>3327.5700552699996</v>
      </c>
      <c r="AA68" s="585">
        <f>'2312'!O117</f>
        <v>3200.35</v>
      </c>
      <c r="AB68" s="584">
        <f>'2312'!P117</f>
        <v>23610.56418474</v>
      </c>
      <c r="AC68" s="584">
        <f>'2312'!Q117</f>
        <v>9529.3758557300007</v>
      </c>
      <c r="AD68" s="584">
        <f>'2312'!R117</f>
        <v>21194.871959660002</v>
      </c>
      <c r="AE68" s="584">
        <f>'2312'!S117</f>
        <v>9886.2999999999993</v>
      </c>
      <c r="AF68" s="586">
        <f>'2312'!T117</f>
        <v>20252.864198470001</v>
      </c>
    </row>
    <row r="69" spans="1:32">
      <c r="A69" s="168"/>
      <c r="B69" s="874" t="s">
        <v>1004</v>
      </c>
      <c r="C69" s="875"/>
      <c r="D69" s="608">
        <f>U69</f>
        <v>1119.9010958400002</v>
      </c>
      <c r="E69" s="609">
        <f t="shared" ref="E69:O69" si="35">V69</f>
        <v>9747.16</v>
      </c>
      <c r="F69" s="609">
        <f t="shared" si="35"/>
        <v>3915.9032983800003</v>
      </c>
      <c r="G69" s="609">
        <f t="shared" si="35"/>
        <v>3444.19</v>
      </c>
      <c r="H69" s="609">
        <f t="shared" si="35"/>
        <v>7041.53</v>
      </c>
      <c r="I69" s="609">
        <f t="shared" si="35"/>
        <v>1137.71</v>
      </c>
      <c r="J69" s="610">
        <f t="shared" si="35"/>
        <v>2618.85</v>
      </c>
      <c r="K69" s="609">
        <f t="shared" si="35"/>
        <v>14466.962512849999</v>
      </c>
      <c r="L69" s="609">
        <f t="shared" si="35"/>
        <v>3961.1130419400001</v>
      </c>
      <c r="M69" s="609">
        <f t="shared" si="35"/>
        <v>14254.1127889</v>
      </c>
      <c r="N69" s="609">
        <f t="shared" si="35"/>
        <v>6266.95</v>
      </c>
      <c r="O69" s="611">
        <f t="shared" si="35"/>
        <v>10359.5</v>
      </c>
      <c r="R69" s="168"/>
      <c r="S69" s="874" t="s">
        <v>1004</v>
      </c>
      <c r="T69" s="875"/>
      <c r="U69" s="580">
        <f>작업!I109</f>
        <v>1119.9010958400002</v>
      </c>
      <c r="V69" s="581">
        <f>작업!J109</f>
        <v>9747.16</v>
      </c>
      <c r="W69" s="581">
        <f>작업!K109</f>
        <v>3915.9032983800003</v>
      </c>
      <c r="X69" s="581">
        <f>작업!L109</f>
        <v>3444.19</v>
      </c>
      <c r="Y69" s="581">
        <f>작업!M109</f>
        <v>7041.53</v>
      </c>
      <c r="Z69" s="581">
        <f>작업!N109</f>
        <v>1137.71</v>
      </c>
      <c r="AA69" s="582">
        <f>작업!O109</f>
        <v>2618.85</v>
      </c>
      <c r="AB69" s="581">
        <f>작업!P109</f>
        <v>14466.962512849999</v>
      </c>
      <c r="AC69" s="581">
        <f>작업!Q109</f>
        <v>3961.1130419400001</v>
      </c>
      <c r="AD69" s="581">
        <f>작업!R109</f>
        <v>14254.1127889</v>
      </c>
      <c r="AE69" s="581">
        <f>작업!S109</f>
        <v>6266.95</v>
      </c>
      <c r="AF69" s="583">
        <f>작업!T109</f>
        <v>10359.5</v>
      </c>
    </row>
    <row r="70" spans="1:32">
      <c r="A70" s="174"/>
      <c r="B70" s="866" t="s">
        <v>1005</v>
      </c>
      <c r="C70" s="867"/>
      <c r="D70" s="624">
        <f>+D69/D66</f>
        <v>0.59173632474157922</v>
      </c>
      <c r="E70" s="625">
        <f t="shared" ref="E70:O70" si="36">+E69/E66</f>
        <v>0.48565674442428169</v>
      </c>
      <c r="F70" s="625">
        <f t="shared" si="36"/>
        <v>0.40701703435802622</v>
      </c>
      <c r="G70" s="625">
        <f t="shared" si="36"/>
        <v>0.83465164182721441</v>
      </c>
      <c r="H70" s="625">
        <f t="shared" si="36"/>
        <v>0.8840168328441329</v>
      </c>
      <c r="I70" s="625">
        <f t="shared" si="36"/>
        <v>1.0213936869321649</v>
      </c>
      <c r="J70" s="626">
        <f t="shared" si="36"/>
        <v>0.62623149175498327</v>
      </c>
      <c r="K70" s="625">
        <f t="shared" si="36"/>
        <v>0.61997386734477222</v>
      </c>
      <c r="L70" s="625">
        <f t="shared" si="36"/>
        <v>0.57053725478358797</v>
      </c>
      <c r="M70" s="625">
        <f t="shared" si="36"/>
        <v>0.62135754948153321</v>
      </c>
      <c r="N70" s="625">
        <f t="shared" si="36"/>
        <v>0.54936669357857359</v>
      </c>
      <c r="O70" s="627">
        <f t="shared" si="36"/>
        <v>0.49144810560382246</v>
      </c>
      <c r="P70" s="272"/>
      <c r="Q70" s="272"/>
      <c r="R70" s="174"/>
      <c r="S70" s="866" t="s">
        <v>1005</v>
      </c>
      <c r="T70" s="867"/>
      <c r="U70" s="579"/>
      <c r="V70" s="584"/>
      <c r="W70" s="584"/>
      <c r="X70" s="584"/>
      <c r="Y70" s="584"/>
      <c r="Z70" s="584"/>
      <c r="AA70" s="585"/>
      <c r="AB70" s="584"/>
      <c r="AC70" s="584"/>
      <c r="AD70" s="584"/>
      <c r="AE70" s="584"/>
      <c r="AF70" s="586"/>
    </row>
    <row r="71" spans="1:32">
      <c r="A71" s="168"/>
      <c r="B71" s="568"/>
      <c r="C71" s="569" t="s">
        <v>1165</v>
      </c>
      <c r="D71" s="612">
        <f>+U69-U71</f>
        <v>-72.854347629999893</v>
      </c>
      <c r="E71" s="613">
        <f t="shared" ref="E71:O71" si="37">+V69-V71</f>
        <v>4327.26</v>
      </c>
      <c r="F71" s="613">
        <f t="shared" si="37"/>
        <v>-820.33534565999935</v>
      </c>
      <c r="G71" s="613">
        <f t="shared" si="37"/>
        <v>-1618.8584630700002</v>
      </c>
      <c r="H71" s="613">
        <f t="shared" si="37"/>
        <v>457.71999999999935</v>
      </c>
      <c r="I71" s="613">
        <f t="shared" si="37"/>
        <v>-1606.3716082599999</v>
      </c>
      <c r="J71" s="614">
        <f t="shared" si="37"/>
        <v>-519.25</v>
      </c>
      <c r="K71" s="613">
        <f t="shared" si="37"/>
        <v>-3336.7414305000002</v>
      </c>
      <c r="L71" s="613">
        <f t="shared" si="37"/>
        <v>-6469.9137285500001</v>
      </c>
      <c r="M71" s="613">
        <f t="shared" si="37"/>
        <v>-1082.3277444300002</v>
      </c>
      <c r="N71" s="613">
        <f t="shared" si="37"/>
        <v>-3513.04</v>
      </c>
      <c r="O71" s="615">
        <f t="shared" si="37"/>
        <v>-5831.4428994900009</v>
      </c>
      <c r="R71" s="168"/>
      <c r="S71" s="568"/>
      <c r="T71" s="569">
        <v>2024</v>
      </c>
      <c r="U71" s="587">
        <f>'2412'!I109</f>
        <v>1192.75544347</v>
      </c>
      <c r="V71" s="588">
        <f>'2412'!J109</f>
        <v>5419.9</v>
      </c>
      <c r="W71" s="588">
        <f>'2412'!K109</f>
        <v>4736.2386440399996</v>
      </c>
      <c r="X71" s="588">
        <f>'2412'!L109</f>
        <v>5063.0484630700003</v>
      </c>
      <c r="Y71" s="588">
        <f>'2412'!M109</f>
        <v>6583.81</v>
      </c>
      <c r="Z71" s="588">
        <f>'2412'!N109</f>
        <v>2744.0816082599999</v>
      </c>
      <c r="AA71" s="589">
        <f>'2412'!O109</f>
        <v>3138.1</v>
      </c>
      <c r="AB71" s="588">
        <f>'2412'!P109</f>
        <v>17803.703943349999</v>
      </c>
      <c r="AC71" s="588">
        <f>'2412'!Q109</f>
        <v>10431.02677049</v>
      </c>
      <c r="AD71" s="588">
        <f>'2412'!R109</f>
        <v>15336.44053333</v>
      </c>
      <c r="AE71" s="588">
        <f>'2412'!S109</f>
        <v>9779.99</v>
      </c>
      <c r="AF71" s="590">
        <f>'2412'!T109</f>
        <v>16190.942899490001</v>
      </c>
    </row>
    <row r="72" spans="1:32">
      <c r="A72" s="174"/>
      <c r="B72" s="568"/>
      <c r="C72" s="570" t="s">
        <v>1166</v>
      </c>
      <c r="D72" s="616">
        <f>+U69-U72</f>
        <v>-570.10890415999984</v>
      </c>
      <c r="E72" s="617">
        <f t="shared" ref="E72:O72" si="38">+V69-V72</f>
        <v>-4738.2800000000007</v>
      </c>
      <c r="F72" s="617">
        <f t="shared" si="38"/>
        <v>1589.0867803200003</v>
      </c>
      <c r="G72" s="617">
        <f t="shared" si="38"/>
        <v>-3065.2214013899998</v>
      </c>
      <c r="H72" s="617">
        <f t="shared" si="38"/>
        <v>405.28999999999996</v>
      </c>
      <c r="I72" s="617">
        <f t="shared" si="38"/>
        <v>-1203.5726221099999</v>
      </c>
      <c r="J72" s="618">
        <f t="shared" si="38"/>
        <v>120.90999999999985</v>
      </c>
      <c r="K72" s="617">
        <f t="shared" si="38"/>
        <v>-4163.8250687500022</v>
      </c>
      <c r="L72" s="617">
        <f t="shared" si="38"/>
        <v>-1304.7831592999996</v>
      </c>
      <c r="M72" s="617">
        <f t="shared" si="38"/>
        <v>-716.45981842999936</v>
      </c>
      <c r="N72" s="617">
        <f t="shared" si="38"/>
        <v>-2052.8400000000011</v>
      </c>
      <c r="O72" s="619">
        <f t="shared" si="38"/>
        <v>-5140.579770100001</v>
      </c>
      <c r="R72" s="174"/>
      <c r="S72" s="568"/>
      <c r="T72" s="570">
        <v>2023</v>
      </c>
      <c r="U72" s="591">
        <f>'2312'!I109</f>
        <v>1690.01</v>
      </c>
      <c r="V72" s="592">
        <f>'2312'!J109</f>
        <v>14485.44</v>
      </c>
      <c r="W72" s="592">
        <f>'2312'!K109</f>
        <v>2326.8165180599999</v>
      </c>
      <c r="X72" s="592">
        <f>'2312'!L109</f>
        <v>6509.4114013899998</v>
      </c>
      <c r="Y72" s="592">
        <f>'2312'!M109</f>
        <v>6636.24</v>
      </c>
      <c r="Z72" s="592">
        <f>'2312'!N109</f>
        <v>2341.2826221099999</v>
      </c>
      <c r="AA72" s="593">
        <f>'2312'!O109</f>
        <v>2497.94</v>
      </c>
      <c r="AB72" s="592">
        <f>'2312'!P109</f>
        <v>18630.787581600001</v>
      </c>
      <c r="AC72" s="592">
        <f>'2312'!Q109</f>
        <v>5265.8962012399998</v>
      </c>
      <c r="AD72" s="592">
        <f>'2312'!R109</f>
        <v>14970.572607329999</v>
      </c>
      <c r="AE72" s="592">
        <f>'2312'!S109</f>
        <v>8319.7900000000009</v>
      </c>
      <c r="AF72" s="594">
        <f>'2312'!T109</f>
        <v>15500.079770100001</v>
      </c>
    </row>
    <row r="73" spans="1:32" ht="27">
      <c r="A73" s="168"/>
      <c r="B73" s="571"/>
      <c r="C73" s="572" t="s">
        <v>1006</v>
      </c>
      <c r="D73" s="599">
        <f>+U73</f>
        <v>2058.3148376500003</v>
      </c>
      <c r="E73" s="600">
        <f t="shared" ref="E73:O73" si="39">+V73</f>
        <v>14795.99</v>
      </c>
      <c r="F73" s="600">
        <f t="shared" si="39"/>
        <v>5879.96</v>
      </c>
      <c r="G73" s="600">
        <f t="shared" si="39"/>
        <v>7872.9</v>
      </c>
      <c r="H73" s="600">
        <f t="shared" si="39"/>
        <v>7352.29</v>
      </c>
      <c r="I73" s="600">
        <f t="shared" si="39"/>
        <v>2467.5100000000002</v>
      </c>
      <c r="J73" s="601">
        <f t="shared" si="39"/>
        <v>2976.06</v>
      </c>
      <c r="K73" s="600">
        <f t="shared" si="39"/>
        <v>16207.81</v>
      </c>
      <c r="L73" s="600">
        <f t="shared" si="39"/>
        <v>9639.0135596399996</v>
      </c>
      <c r="M73" s="600">
        <f t="shared" si="39"/>
        <v>11672.64</v>
      </c>
      <c r="N73" s="600">
        <f t="shared" si="39"/>
        <v>8534.36</v>
      </c>
      <c r="O73" s="602">
        <f t="shared" si="39"/>
        <v>12850.78</v>
      </c>
      <c r="P73" s="603"/>
      <c r="R73" s="168"/>
      <c r="S73" s="571"/>
      <c r="T73" s="572" t="s">
        <v>1006</v>
      </c>
      <c r="U73" s="578">
        <f>작업!I137</f>
        <v>2058.3148376500003</v>
      </c>
      <c r="V73" s="483">
        <f>작업!J137</f>
        <v>14795.99</v>
      </c>
      <c r="W73" s="483">
        <f>작업!K137</f>
        <v>5879.96</v>
      </c>
      <c r="X73" s="483">
        <f>작업!L137</f>
        <v>7872.9</v>
      </c>
      <c r="Y73" s="483">
        <f>작업!M137</f>
        <v>7352.29</v>
      </c>
      <c r="Z73" s="483">
        <f>작업!N137</f>
        <v>2467.5100000000002</v>
      </c>
      <c r="AA73" s="482">
        <f>작업!O137</f>
        <v>2976.06</v>
      </c>
      <c r="AB73" s="483">
        <f>작업!P137</f>
        <v>16207.81</v>
      </c>
      <c r="AC73" s="483">
        <f>작업!Q137</f>
        <v>9639.0135596399996</v>
      </c>
      <c r="AD73" s="483">
        <f>작업!R137</f>
        <v>11672.64</v>
      </c>
      <c r="AE73" s="483">
        <f>작업!S137</f>
        <v>8534.36</v>
      </c>
      <c r="AF73" s="484">
        <f>작업!T137</f>
        <v>12850.78</v>
      </c>
    </row>
    <row r="74" spans="1:32">
      <c r="A74" s="168"/>
      <c r="B74" s="571"/>
      <c r="C74" s="573" t="s">
        <v>1007</v>
      </c>
      <c r="D74" s="628">
        <f>+D73/D69</f>
        <v>1.8379434088383739</v>
      </c>
      <c r="E74" s="629">
        <f t="shared" ref="E74:O74" si="40">+E73/E69</f>
        <v>1.5179795961079945</v>
      </c>
      <c r="F74" s="629">
        <f t="shared" si="40"/>
        <v>1.5015590406516233</v>
      </c>
      <c r="G74" s="629">
        <f t="shared" si="40"/>
        <v>2.2858495030761947</v>
      </c>
      <c r="H74" s="629">
        <f t="shared" si="40"/>
        <v>1.0441324541683412</v>
      </c>
      <c r="I74" s="629">
        <f t="shared" si="40"/>
        <v>2.1688391593639857</v>
      </c>
      <c r="J74" s="630">
        <f t="shared" si="40"/>
        <v>1.1363995646944269</v>
      </c>
      <c r="K74" s="629">
        <f t="shared" si="40"/>
        <v>1.1203326189311493</v>
      </c>
      <c r="L74" s="629">
        <f t="shared" si="40"/>
        <v>2.4334103716765383</v>
      </c>
      <c r="M74" s="629">
        <f t="shared" si="40"/>
        <v>0.81889628438255013</v>
      </c>
      <c r="N74" s="629">
        <f t="shared" si="40"/>
        <v>1.3618043865038019</v>
      </c>
      <c r="O74" s="631">
        <f t="shared" si="40"/>
        <v>1.2404826487764855</v>
      </c>
      <c r="R74" s="168"/>
      <c r="S74" s="571"/>
      <c r="T74" s="573" t="s">
        <v>1007</v>
      </c>
      <c r="U74" s="591"/>
      <c r="V74" s="592"/>
      <c r="W74" s="592"/>
      <c r="X74" s="592"/>
      <c r="Y74" s="592"/>
      <c r="Z74" s="592"/>
      <c r="AA74" s="593"/>
      <c r="AB74" s="592"/>
      <c r="AC74" s="592"/>
      <c r="AD74" s="592"/>
      <c r="AE74" s="592"/>
      <c r="AF74" s="594"/>
    </row>
    <row r="75" spans="1:32">
      <c r="A75" s="168"/>
      <c r="B75" s="864" t="s">
        <v>23</v>
      </c>
      <c r="C75" s="865"/>
      <c r="D75" s="599">
        <f>+U75</f>
        <v>738.66156524000007</v>
      </c>
      <c r="E75" s="600">
        <f t="shared" ref="E75:O75" si="41">+V75</f>
        <v>6917.45</v>
      </c>
      <c r="F75" s="600">
        <f t="shared" si="41"/>
        <v>6700.35101553</v>
      </c>
      <c r="G75" s="600">
        <f t="shared" si="41"/>
        <v>570.17999999999995</v>
      </c>
      <c r="H75" s="600">
        <f t="shared" si="41"/>
        <v>925.33</v>
      </c>
      <c r="I75" s="600">
        <f t="shared" si="41"/>
        <v>911.64</v>
      </c>
      <c r="J75" s="601">
        <f t="shared" si="41"/>
        <v>1518.29</v>
      </c>
      <c r="K75" s="600">
        <f t="shared" si="41"/>
        <v>8839.8644576300012</v>
      </c>
      <c r="L75" s="600">
        <f t="shared" si="41"/>
        <v>3307.5128531800001</v>
      </c>
      <c r="M75" s="600">
        <f t="shared" si="41"/>
        <v>8623.5169854799988</v>
      </c>
      <c r="N75" s="600">
        <f t="shared" si="41"/>
        <v>5282.81</v>
      </c>
      <c r="O75" s="602">
        <f t="shared" si="41"/>
        <v>10518.3</v>
      </c>
      <c r="P75" s="603"/>
      <c r="R75" s="168"/>
      <c r="S75" s="864" t="s">
        <v>23</v>
      </c>
      <c r="T75" s="865"/>
      <c r="U75" s="578">
        <f>작업!I114</f>
        <v>738.66156524000007</v>
      </c>
      <c r="V75" s="483">
        <f>작업!J114</f>
        <v>6917.45</v>
      </c>
      <c r="W75" s="483">
        <f>작업!K114</f>
        <v>6700.35101553</v>
      </c>
      <c r="X75" s="483">
        <f>작업!L114</f>
        <v>570.17999999999995</v>
      </c>
      <c r="Y75" s="483">
        <f>작업!M114</f>
        <v>925.33</v>
      </c>
      <c r="Z75" s="483">
        <f>작업!N114</f>
        <v>911.64</v>
      </c>
      <c r="AA75" s="482">
        <f>작업!O114</f>
        <v>1518.29</v>
      </c>
      <c r="AB75" s="483">
        <f>작업!P114</f>
        <v>8839.8644576300012</v>
      </c>
      <c r="AC75" s="483">
        <f>작업!Q114</f>
        <v>3307.5128531800001</v>
      </c>
      <c r="AD75" s="483">
        <f>작업!R114</f>
        <v>8623.5169854799988</v>
      </c>
      <c r="AE75" s="483">
        <f>작업!S114</f>
        <v>5282.81</v>
      </c>
      <c r="AF75" s="484">
        <f>작업!T114</f>
        <v>10518.3</v>
      </c>
    </row>
    <row r="76" spans="1:32">
      <c r="A76" s="174"/>
      <c r="B76" s="866" t="s">
        <v>1005</v>
      </c>
      <c r="C76" s="867"/>
      <c r="D76" s="628">
        <f>+D75/D66</f>
        <v>0.39029596583717174</v>
      </c>
      <c r="E76" s="629">
        <f t="shared" ref="E76:O76" si="42">+E75/E66</f>
        <v>0.34466513802151061</v>
      </c>
      <c r="F76" s="629">
        <f t="shared" si="42"/>
        <v>0.69643114032642939</v>
      </c>
      <c r="G76" s="629">
        <f t="shared" si="42"/>
        <v>0.13817520901490365</v>
      </c>
      <c r="H76" s="629">
        <f t="shared" si="42"/>
        <v>0.11616897122296739</v>
      </c>
      <c r="I76" s="629">
        <f t="shared" si="42"/>
        <v>0.81843645635077378</v>
      </c>
      <c r="J76" s="630">
        <f t="shared" si="42"/>
        <v>0.36306050809197687</v>
      </c>
      <c r="K76" s="629">
        <f t="shared" si="42"/>
        <v>0.37882761842595053</v>
      </c>
      <c r="L76" s="629">
        <f t="shared" si="42"/>
        <v>0.47639622586750041</v>
      </c>
      <c r="M76" s="629">
        <f t="shared" si="42"/>
        <v>0.37591167274773141</v>
      </c>
      <c r="N76" s="629">
        <f t="shared" si="42"/>
        <v>0.46309606148187304</v>
      </c>
      <c r="O76" s="631">
        <f t="shared" si="42"/>
        <v>0.49898147682539556</v>
      </c>
      <c r="P76" s="603"/>
      <c r="R76" s="174"/>
      <c r="S76" s="866" t="s">
        <v>1005</v>
      </c>
      <c r="T76" s="867"/>
      <c r="U76" s="591"/>
      <c r="V76" s="592"/>
      <c r="W76" s="592"/>
      <c r="X76" s="592"/>
      <c r="Y76" s="592"/>
      <c r="Z76" s="592"/>
      <c r="AA76" s="593"/>
      <c r="AB76" s="592"/>
      <c r="AC76" s="592"/>
      <c r="AD76" s="592"/>
      <c r="AE76" s="592"/>
      <c r="AF76" s="594"/>
    </row>
    <row r="77" spans="1:32">
      <c r="A77" s="174"/>
      <c r="B77" s="568"/>
      <c r="C77" s="569" t="s">
        <v>1165</v>
      </c>
      <c r="D77" s="604">
        <f>+D75-U77</f>
        <v>782.02796553000007</v>
      </c>
      <c r="E77" s="605">
        <f t="shared" ref="E77:O77" si="43">+E75-V77</f>
        <v>-3091.9100000000008</v>
      </c>
      <c r="F77" s="605">
        <f t="shared" si="43"/>
        <v>-13.645261769999706</v>
      </c>
      <c r="G77" s="605">
        <f t="shared" si="43"/>
        <v>-191.36032935000003</v>
      </c>
      <c r="H77" s="605">
        <f t="shared" si="43"/>
        <v>123.45000000000005</v>
      </c>
      <c r="I77" s="605">
        <f t="shared" si="43"/>
        <v>-134.80860142000017</v>
      </c>
      <c r="J77" s="606">
        <f t="shared" si="43"/>
        <v>642.18999999999994</v>
      </c>
      <c r="K77" s="605">
        <f t="shared" si="43"/>
        <v>-351.8701834099993</v>
      </c>
      <c r="L77" s="605">
        <f t="shared" si="43"/>
        <v>-280.17352758999959</v>
      </c>
      <c r="M77" s="605">
        <f t="shared" si="43"/>
        <v>1007.7075605499995</v>
      </c>
      <c r="N77" s="605">
        <f t="shared" si="43"/>
        <v>3507.1000000000004</v>
      </c>
      <c r="O77" s="607">
        <f t="shared" si="43"/>
        <v>3082.6177527999989</v>
      </c>
      <c r="P77" s="603"/>
      <c r="R77" s="174"/>
      <c r="S77" s="568"/>
      <c r="T77" s="569">
        <v>2024</v>
      </c>
      <c r="U77" s="579">
        <f>'2412'!I114</f>
        <v>-43.366400290000001</v>
      </c>
      <c r="V77" s="584">
        <f>'2412'!J114</f>
        <v>10009.36</v>
      </c>
      <c r="W77" s="584">
        <f>'2412'!K114</f>
        <v>6713.9962772999997</v>
      </c>
      <c r="X77" s="584">
        <f>'2412'!L114</f>
        <v>761.54032934999998</v>
      </c>
      <c r="Y77" s="584">
        <f>'2412'!M114</f>
        <v>801.88</v>
      </c>
      <c r="Z77" s="584">
        <f>'2412'!N114</f>
        <v>1046.4486014200002</v>
      </c>
      <c r="AA77" s="585">
        <f>'2412'!O114</f>
        <v>876.1</v>
      </c>
      <c r="AB77" s="584">
        <f>'2412'!P114</f>
        <v>9191.7346410400005</v>
      </c>
      <c r="AC77" s="584">
        <f>'2412'!Q114</f>
        <v>3587.6863807699997</v>
      </c>
      <c r="AD77" s="584">
        <f>'2412'!R114</f>
        <v>7615.8094249299993</v>
      </c>
      <c r="AE77" s="584">
        <f>'2412'!S114</f>
        <v>1775.71</v>
      </c>
      <c r="AF77" s="586">
        <f>'2412'!T114</f>
        <v>7435.6822472000003</v>
      </c>
    </row>
    <row r="78" spans="1:32" ht="17.25" thickBot="1">
      <c r="A78" s="574"/>
      <c r="B78" s="575"/>
      <c r="C78" s="575" t="s">
        <v>1166</v>
      </c>
      <c r="D78" s="620">
        <f>+D75-U78</f>
        <v>964.90579908000007</v>
      </c>
      <c r="E78" s="621">
        <f t="shared" ref="E78:O78" si="44">+E75-V78</f>
        <v>7154.54</v>
      </c>
      <c r="F78" s="621">
        <f t="shared" si="44"/>
        <v>661.81642852000004</v>
      </c>
      <c r="G78" s="621">
        <f t="shared" si="44"/>
        <v>418.74066846999995</v>
      </c>
      <c r="H78" s="621">
        <f t="shared" si="44"/>
        <v>898.40000000000009</v>
      </c>
      <c r="I78" s="621">
        <f t="shared" si="44"/>
        <v>62.099566569999979</v>
      </c>
      <c r="J78" s="622">
        <f t="shared" si="44"/>
        <v>758.20999999999992</v>
      </c>
      <c r="K78" s="621">
        <f t="shared" si="44"/>
        <v>3708.4026653000019</v>
      </c>
      <c r="L78" s="621">
        <f t="shared" si="44"/>
        <v>-1242.9483661900003</v>
      </c>
      <c r="M78" s="621">
        <f t="shared" si="44"/>
        <v>2528.9991982999982</v>
      </c>
      <c r="N78" s="621">
        <f t="shared" si="44"/>
        <v>3705.63</v>
      </c>
      <c r="O78" s="623">
        <f t="shared" si="44"/>
        <v>5850.7528631599989</v>
      </c>
      <c r="P78" s="603"/>
      <c r="R78" s="574"/>
      <c r="S78" s="575"/>
      <c r="T78" s="575">
        <v>2023</v>
      </c>
      <c r="U78" s="595">
        <f>'2312'!I114</f>
        <v>-226.24423384000002</v>
      </c>
      <c r="V78" s="596">
        <f>'2312'!J114</f>
        <v>-237.09</v>
      </c>
      <c r="W78" s="596">
        <f>'2312'!K114</f>
        <v>6038.53458701</v>
      </c>
      <c r="X78" s="596">
        <f>'2312'!L114</f>
        <v>151.43933153</v>
      </c>
      <c r="Y78" s="596">
        <f>'2312'!M114</f>
        <v>26.93</v>
      </c>
      <c r="Z78" s="596">
        <f>'2312'!N114</f>
        <v>849.54043343000001</v>
      </c>
      <c r="AA78" s="597">
        <f>'2312'!O114</f>
        <v>760.08</v>
      </c>
      <c r="AB78" s="596">
        <f>'2312'!P114</f>
        <v>5131.4617923299993</v>
      </c>
      <c r="AC78" s="596">
        <f>'2312'!Q114</f>
        <v>4550.4612193700004</v>
      </c>
      <c r="AD78" s="596">
        <f>'2312'!R114</f>
        <v>6094.5177871800006</v>
      </c>
      <c r="AE78" s="596">
        <f>'2312'!S114</f>
        <v>1577.18</v>
      </c>
      <c r="AF78" s="598">
        <f>'2312'!T114</f>
        <v>4667.5471368400003</v>
      </c>
    </row>
    <row r="79" spans="1:32">
      <c r="A79" s="868" t="s">
        <v>1167</v>
      </c>
      <c r="B79" s="868"/>
      <c r="C79" s="869"/>
      <c r="D79" s="649">
        <f>U79</f>
        <v>5.0062889689894245E-2</v>
      </c>
      <c r="E79" s="650">
        <f t="shared" ref="E79:O79" si="45">V79</f>
        <v>3.9117562802144935E-2</v>
      </c>
      <c r="F79" s="650">
        <f t="shared" si="45"/>
        <v>0.10202680347700592</v>
      </c>
      <c r="G79" s="650">
        <f t="shared" si="45"/>
        <v>2.7463561060208107E-2</v>
      </c>
      <c r="H79" s="650">
        <f t="shared" si="45"/>
        <v>7.7572044738090068E-2</v>
      </c>
      <c r="I79" s="650">
        <f t="shared" si="45"/>
        <v>3.7123381945339193E-2</v>
      </c>
      <c r="J79" s="651">
        <f t="shared" si="45"/>
        <v>6.0734516510643419E-2</v>
      </c>
      <c r="K79" s="650">
        <f t="shared" si="45"/>
        <v>9.4137420432397853E-2</v>
      </c>
      <c r="L79" s="650">
        <f t="shared" si="45"/>
        <v>0.11438736036484801</v>
      </c>
      <c r="M79" s="650">
        <f t="shared" si="45"/>
        <v>0.28997163979926222</v>
      </c>
      <c r="N79" s="650">
        <f t="shared" si="45"/>
        <v>0.13497475952970858</v>
      </c>
      <c r="O79" s="652">
        <f t="shared" si="45"/>
        <v>0.16801361728212622</v>
      </c>
      <c r="R79" s="868" t="s">
        <v>1167</v>
      </c>
      <c r="S79" s="868"/>
      <c r="T79" s="869"/>
      <c r="U79" s="632">
        <f>작업!I154</f>
        <v>5.0062889689894245E-2</v>
      </c>
      <c r="V79" s="526">
        <f>작업!J154</f>
        <v>3.9117562802144935E-2</v>
      </c>
      <c r="W79" s="526">
        <f>작업!K154</f>
        <v>0.10202680347700592</v>
      </c>
      <c r="X79" s="526">
        <f>작업!L154</f>
        <v>2.7463561060208107E-2</v>
      </c>
      <c r="Y79" s="526">
        <f>작업!M154</f>
        <v>7.7572044738090068E-2</v>
      </c>
      <c r="Z79" s="526">
        <f>작업!N154</f>
        <v>3.7123381945339193E-2</v>
      </c>
      <c r="AA79" s="525">
        <f>작업!O154</f>
        <v>6.0734516510643419E-2</v>
      </c>
      <c r="AB79" s="526">
        <f>작업!P154</f>
        <v>9.4137420432397853E-2</v>
      </c>
      <c r="AC79" s="526">
        <f>작업!Q154</f>
        <v>0.11438736036484801</v>
      </c>
      <c r="AD79" s="526">
        <f>작업!R154</f>
        <v>0.28997163979926222</v>
      </c>
      <c r="AE79" s="526">
        <f>작업!S154</f>
        <v>0.13497475952970858</v>
      </c>
      <c r="AF79" s="527">
        <f>작업!T154</f>
        <v>0.16801361728212622</v>
      </c>
    </row>
    <row r="80" spans="1:32">
      <c r="A80" s="174"/>
      <c r="B80" s="576"/>
      <c r="C80" s="569" t="s">
        <v>1168</v>
      </c>
      <c r="D80" s="641">
        <f>+D79-U80</f>
        <v>5.1838494643261235E-3</v>
      </c>
      <c r="E80" s="642">
        <f t="shared" ref="E80:O80" si="46">+E79-V80</f>
        <v>-4.6054184595899494E-3</v>
      </c>
      <c r="F80" s="642">
        <f t="shared" si="46"/>
        <v>2.1163818135624679E-2</v>
      </c>
      <c r="G80" s="642">
        <f t="shared" si="46"/>
        <v>-3.8839972851442715E-2</v>
      </c>
      <c r="H80" s="642">
        <f t="shared" si="46"/>
        <v>8.7492802405782916E-3</v>
      </c>
      <c r="I80" s="642">
        <f t="shared" si="46"/>
        <v>-8.7821822767909466E-2</v>
      </c>
      <c r="J80" s="643">
        <f t="shared" si="46"/>
        <v>1.5716533500509389E-4</v>
      </c>
      <c r="K80" s="642">
        <f t="shared" si="46"/>
        <v>-3.7126346366204419E-2</v>
      </c>
      <c r="L80" s="642">
        <f t="shared" si="46"/>
        <v>-7.2259068105883228E-2</v>
      </c>
      <c r="M80" s="642">
        <f t="shared" si="46"/>
        <v>-1.5138813881798829E-2</v>
      </c>
      <c r="N80" s="642">
        <f t="shared" si="46"/>
        <v>-6.0044874946056093E-3</v>
      </c>
      <c r="O80" s="644">
        <f t="shared" si="46"/>
        <v>-3.9367145511348817E-2</v>
      </c>
      <c r="R80" s="174"/>
      <c r="S80" s="576"/>
      <c r="T80" s="569" t="s">
        <v>1168</v>
      </c>
      <c r="U80" s="633">
        <f>'2412'!I154</f>
        <v>4.4879040225568122E-2</v>
      </c>
      <c r="V80" s="634">
        <f>'2412'!J154</f>
        <v>4.3722981261734885E-2</v>
      </c>
      <c r="W80" s="634">
        <f>'2412'!K154</f>
        <v>8.0862985341381241E-2</v>
      </c>
      <c r="X80" s="634">
        <f>'2412'!L154</f>
        <v>6.6303533911650822E-2</v>
      </c>
      <c r="Y80" s="634">
        <f>'2412'!M154</f>
        <v>6.8822764497511776E-2</v>
      </c>
      <c r="Z80" s="634">
        <f>'2412'!N154</f>
        <v>0.12494520471324866</v>
      </c>
      <c r="AA80" s="635">
        <f>'2412'!O154</f>
        <v>6.0577351175638325E-2</v>
      </c>
      <c r="AB80" s="634">
        <f>'2412'!P154</f>
        <v>0.13126376679860227</v>
      </c>
      <c r="AC80" s="634">
        <f>'2412'!Q154</f>
        <v>0.18664642847073123</v>
      </c>
      <c r="AD80" s="634">
        <f>'2412'!R154</f>
        <v>0.30511045368106104</v>
      </c>
      <c r="AE80" s="634">
        <f>'2412'!S154</f>
        <v>0.14097924702431419</v>
      </c>
      <c r="AF80" s="636">
        <f>'2412'!T154</f>
        <v>0.20738076279347503</v>
      </c>
    </row>
    <row r="81" spans="1:32" ht="17.25" thickBot="1">
      <c r="A81" s="207"/>
      <c r="B81" s="577"/>
      <c r="C81" s="575" t="s">
        <v>1169</v>
      </c>
      <c r="D81" s="645">
        <f>+D79-U81</f>
        <v>1.3009997425027689E-2</v>
      </c>
      <c r="E81" s="646">
        <f t="shared" ref="E81:O81" si="47">+E79-V81</f>
        <v>-6.7151482268276025E-4</v>
      </c>
      <c r="F81" s="646">
        <f t="shared" si="47"/>
        <v>3.843046317932218E-2</v>
      </c>
      <c r="G81" s="646">
        <f t="shared" si="47"/>
        <v>-2.4396365324020244E-2</v>
      </c>
      <c r="H81" s="646">
        <f t="shared" si="47"/>
        <v>1.9449634141293512E-2</v>
      </c>
      <c r="I81" s="646">
        <f t="shared" si="47"/>
        <v>-5.1674733066844891E-2</v>
      </c>
      <c r="J81" s="647">
        <f t="shared" si="47"/>
        <v>1.2716406356790388E-2</v>
      </c>
      <c r="K81" s="646">
        <f t="shared" si="47"/>
        <v>-3.1280043128569232E-2</v>
      </c>
      <c r="L81" s="646">
        <f t="shared" si="47"/>
        <v>-8.3292372929415215E-3</v>
      </c>
      <c r="M81" s="646">
        <f t="shared" si="47"/>
        <v>-5.3123303267434641E-2</v>
      </c>
      <c r="N81" s="646">
        <f t="shared" si="47"/>
        <v>1.277291167222494E-2</v>
      </c>
      <c r="O81" s="648">
        <f t="shared" si="47"/>
        <v>-2.2569686370836006E-2</v>
      </c>
      <c r="R81" s="207"/>
      <c r="S81" s="577"/>
      <c r="T81" s="575" t="s">
        <v>1169</v>
      </c>
      <c r="U81" s="637">
        <f>'2312'!I154</f>
        <v>3.7052892264866556E-2</v>
      </c>
      <c r="V81" s="638">
        <f>'2312'!J154</f>
        <v>3.9789077624827696E-2</v>
      </c>
      <c r="W81" s="638">
        <f>'2312'!K154</f>
        <v>6.359634029768374E-2</v>
      </c>
      <c r="X81" s="638">
        <f>'2312'!L154</f>
        <v>5.1859926384228351E-2</v>
      </c>
      <c r="Y81" s="638">
        <f>'2312'!M154</f>
        <v>5.8122410596796556E-2</v>
      </c>
      <c r="Z81" s="638">
        <f>'2312'!N154</f>
        <v>8.8798115012184084E-2</v>
      </c>
      <c r="AA81" s="639">
        <f>'2312'!O154</f>
        <v>4.801811015385303E-2</v>
      </c>
      <c r="AB81" s="638">
        <f>'2312'!P154</f>
        <v>0.12541746356096709</v>
      </c>
      <c r="AC81" s="638">
        <f>'2312'!Q154</f>
        <v>0.12271659765778953</v>
      </c>
      <c r="AD81" s="638">
        <f>'2312'!R154</f>
        <v>0.34309494306669686</v>
      </c>
      <c r="AE81" s="638">
        <f>'2312'!S154</f>
        <v>0.12220184785748364</v>
      </c>
      <c r="AF81" s="640">
        <f>'2312'!T154</f>
        <v>0.19058330365296222</v>
      </c>
    </row>
    <row r="82" spans="1:32"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</row>
    <row r="83" spans="1:32"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</row>
    <row r="87" spans="1:32" ht="17.25" thickBot="1"/>
    <row r="88" spans="1:32">
      <c r="B88" s="666" t="s">
        <v>930</v>
      </c>
      <c r="C88" s="666"/>
      <c r="D88" s="879" t="s">
        <v>931</v>
      </c>
      <c r="E88" s="828" t="s">
        <v>932</v>
      </c>
      <c r="F88" s="829"/>
      <c r="G88" s="829"/>
      <c r="H88" s="829"/>
      <c r="I88" s="829"/>
      <c r="J88" s="845"/>
      <c r="K88" s="828" t="s">
        <v>933</v>
      </c>
      <c r="L88" s="829"/>
      <c r="M88" s="829"/>
      <c r="N88" s="829"/>
      <c r="O88" s="881"/>
      <c r="S88" s="666" t="s">
        <v>930</v>
      </c>
      <c r="T88" s="666"/>
      <c r="U88" s="879" t="s">
        <v>931</v>
      </c>
      <c r="V88" s="828" t="s">
        <v>932</v>
      </c>
      <c r="W88" s="829"/>
      <c r="X88" s="829"/>
      <c r="Y88" s="829"/>
      <c r="Z88" s="829"/>
      <c r="AA88" s="845"/>
      <c r="AB88" s="828" t="s">
        <v>933</v>
      </c>
      <c r="AC88" s="829"/>
      <c r="AD88" s="829"/>
      <c r="AE88" s="829"/>
      <c r="AF88" s="881"/>
    </row>
    <row r="89" spans="1:32" ht="17.25" thickBot="1">
      <c r="B89" s="667"/>
      <c r="C89" s="667"/>
      <c r="D89" s="880"/>
      <c r="E89" s="273" t="s">
        <v>1</v>
      </c>
      <c r="F89" s="273" t="s">
        <v>2</v>
      </c>
      <c r="G89" s="273" t="s">
        <v>3</v>
      </c>
      <c r="H89" s="273" t="s">
        <v>934</v>
      </c>
      <c r="I89" s="273" t="s">
        <v>5</v>
      </c>
      <c r="J89" s="653" t="s">
        <v>935</v>
      </c>
      <c r="K89" s="273" t="s">
        <v>1</v>
      </c>
      <c r="L89" s="273" t="s">
        <v>936</v>
      </c>
      <c r="M89" s="273" t="s">
        <v>937</v>
      </c>
      <c r="N89" s="273" t="s">
        <v>935</v>
      </c>
      <c r="O89" s="473" t="s">
        <v>938</v>
      </c>
      <c r="S89" s="667"/>
      <c r="T89" s="667"/>
      <c r="U89" s="880"/>
      <c r="V89" s="273" t="s">
        <v>1</v>
      </c>
      <c r="W89" s="273" t="s">
        <v>2</v>
      </c>
      <c r="X89" s="273" t="s">
        <v>3</v>
      </c>
      <c r="Y89" s="273" t="s">
        <v>934</v>
      </c>
      <c r="Z89" s="273" t="s">
        <v>5</v>
      </c>
      <c r="AA89" s="653" t="s">
        <v>935</v>
      </c>
      <c r="AB89" s="273" t="s">
        <v>1</v>
      </c>
      <c r="AC89" s="273" t="s">
        <v>936</v>
      </c>
      <c r="AD89" s="273" t="s">
        <v>937</v>
      </c>
      <c r="AE89" s="273" t="s">
        <v>935</v>
      </c>
      <c r="AF89" s="473" t="s">
        <v>938</v>
      </c>
    </row>
    <row r="90" spans="1:32">
      <c r="B90" s="663" t="s">
        <v>1170</v>
      </c>
      <c r="C90" s="663"/>
      <c r="D90" s="681">
        <f>U90</f>
        <v>20584.23120047</v>
      </c>
      <c r="E90" s="682">
        <f t="shared" ref="E90:O90" si="48">V90</f>
        <v>132178.74</v>
      </c>
      <c r="F90" s="682">
        <f t="shared" si="48"/>
        <v>65109.61</v>
      </c>
      <c r="G90" s="682">
        <f t="shared" si="48"/>
        <v>87136.52</v>
      </c>
      <c r="H90" s="682">
        <f t="shared" si="48"/>
        <v>75537.34</v>
      </c>
      <c r="I90" s="682">
        <f t="shared" si="48"/>
        <v>24570.95</v>
      </c>
      <c r="J90" s="681">
        <f t="shared" si="48"/>
        <v>32637.75</v>
      </c>
      <c r="K90" s="682">
        <f t="shared" si="48"/>
        <v>141676.64000000001</v>
      </c>
      <c r="L90" s="682">
        <f t="shared" si="48"/>
        <v>89778.420693220018</v>
      </c>
      <c r="M90" s="682">
        <f t="shared" si="48"/>
        <v>111036.96</v>
      </c>
      <c r="N90" s="682">
        <f t="shared" si="48"/>
        <v>92850.33</v>
      </c>
      <c r="O90" s="683">
        <f t="shared" si="48"/>
        <v>122053.43</v>
      </c>
      <c r="S90" s="663" t="s">
        <v>1170</v>
      </c>
      <c r="T90" s="663"/>
      <c r="U90" s="387">
        <f>작업!I133</f>
        <v>20584.23120047</v>
      </c>
      <c r="V90" s="386">
        <f>작업!J133</f>
        <v>132178.74</v>
      </c>
      <c r="W90" s="386">
        <f>작업!K133</f>
        <v>65109.61</v>
      </c>
      <c r="X90" s="386">
        <f>작업!L133</f>
        <v>87136.52</v>
      </c>
      <c r="Y90" s="386">
        <f>작업!M133</f>
        <v>75537.34</v>
      </c>
      <c r="Z90" s="386">
        <f>작업!N133</f>
        <v>24570.95</v>
      </c>
      <c r="AA90" s="387">
        <f>작업!O133</f>
        <v>32637.75</v>
      </c>
      <c r="AB90" s="386">
        <f>작업!P133</f>
        <v>141676.64000000001</v>
      </c>
      <c r="AC90" s="386">
        <f>작업!Q133</f>
        <v>89778.420693220018</v>
      </c>
      <c r="AD90" s="386">
        <f>작업!R133</f>
        <v>111036.96</v>
      </c>
      <c r="AE90" s="386">
        <f>작업!S133</f>
        <v>92850.33</v>
      </c>
      <c r="AF90" s="668">
        <f>작업!T133</f>
        <v>122053.43</v>
      </c>
    </row>
    <row r="91" spans="1:32">
      <c r="B91" s="281"/>
      <c r="C91" s="660" t="s">
        <v>1145</v>
      </c>
      <c r="D91" s="628">
        <f>(+U90-U91)/U91</f>
        <v>-9.5220699105769396E-3</v>
      </c>
      <c r="E91" s="696">
        <f t="shared" ref="E91" si="49">(+V90-V91)/V91</f>
        <v>2.4480734532871279E-2</v>
      </c>
      <c r="F91" s="696">
        <f t="shared" ref="F91" si="50">(+W90-W91)/W91</f>
        <v>1.1323756325276952E-2</v>
      </c>
      <c r="G91" s="696">
        <f t="shared" ref="G91" si="51">(+X90-X91)/X91</f>
        <v>-4.3416717339209036E-2</v>
      </c>
      <c r="H91" s="696">
        <f t="shared" ref="H91" si="52">(+Y90-Y91)/Y91</f>
        <v>4.5627740647503585E-2</v>
      </c>
      <c r="I91" s="696">
        <f t="shared" ref="I91" si="53">(+Z90-Z91)/Z91</f>
        <v>-8.0114545084250324E-2</v>
      </c>
      <c r="J91" s="697">
        <f t="shared" ref="J91" si="54">(+AA90-AA91)/AA91</f>
        <v>8.4127302060880732E-2</v>
      </c>
      <c r="K91" s="696">
        <f t="shared" ref="K91" si="55">(+AB90-AB91)/AB91</f>
        <v>6.6616891342477641E-3</v>
      </c>
      <c r="L91" s="696">
        <f t="shared" ref="L91" si="56">(+AC90-AC91)/AC91</f>
        <v>8.0953083920580982E-2</v>
      </c>
      <c r="M91" s="696">
        <f t="shared" ref="M91" si="57">(+AD90-AD91)/AD91</f>
        <v>-7.5253696206674294E-3</v>
      </c>
      <c r="N91" s="696">
        <f t="shared" ref="N91" si="58">(+AE90-AE91)/AE91</f>
        <v>5.2667303215402451E-2</v>
      </c>
      <c r="O91" s="698">
        <f t="shared" ref="O91" si="59">(+AF90-AF91)/AF91</f>
        <v>-2.1596239755868594E-3</v>
      </c>
      <c r="S91" s="281"/>
      <c r="T91" s="660">
        <v>2024</v>
      </c>
      <c r="U91" s="669">
        <f>'2412'!I133</f>
        <v>20782.12</v>
      </c>
      <c r="V91" s="670">
        <f>'2412'!J133</f>
        <v>129020.23</v>
      </c>
      <c r="W91" s="670">
        <f>'2412'!K133</f>
        <v>64380.58</v>
      </c>
      <c r="X91" s="670">
        <f>'2412'!L133</f>
        <v>91091.41</v>
      </c>
      <c r="Y91" s="670">
        <f>'2412'!M133</f>
        <v>72241.14</v>
      </c>
      <c r="Z91" s="670">
        <f>'2412'!N133</f>
        <v>26710.880000000001</v>
      </c>
      <c r="AA91" s="669">
        <f>'2412'!O133</f>
        <v>30105.09</v>
      </c>
      <c r="AB91" s="670">
        <f>'2412'!P133</f>
        <v>140739.07999999999</v>
      </c>
      <c r="AC91" s="670">
        <f>'2412'!Q133</f>
        <v>83054.872619999995</v>
      </c>
      <c r="AD91" s="670">
        <f>'2412'!R133</f>
        <v>111878.89</v>
      </c>
      <c r="AE91" s="670">
        <f>'2412'!S133</f>
        <v>88204.82</v>
      </c>
      <c r="AF91" s="671">
        <f>'2412'!T133</f>
        <v>122317.59</v>
      </c>
    </row>
    <row r="92" spans="1:32" ht="17.25" thickBot="1">
      <c r="B92" s="281"/>
      <c r="C92" s="659" t="s">
        <v>1146</v>
      </c>
      <c r="D92" s="628">
        <f>(+U90-U92)/U92</f>
        <v>1.8289388047304577E-2</v>
      </c>
      <c r="E92" s="699">
        <f t="shared" ref="E92:O92" si="60">(+V90-V92)/V92</f>
        <v>6.6596678493645742E-2</v>
      </c>
      <c r="F92" s="699">
        <f t="shared" si="60"/>
        <v>0.11777632082003482</v>
      </c>
      <c r="G92" s="699">
        <f t="shared" si="60"/>
        <v>-5.6809626944325314E-2</v>
      </c>
      <c r="H92" s="699">
        <f t="shared" si="60"/>
        <v>5.3706760965164607E-2</v>
      </c>
      <c r="I92" s="699">
        <f t="shared" si="60"/>
        <v>-3.3325950122806453E-2</v>
      </c>
      <c r="J92" s="700">
        <f t="shared" si="60"/>
        <v>2.6400823944713939E-2</v>
      </c>
      <c r="K92" s="699">
        <f t="shared" si="60"/>
        <v>6.5012240263679633E-2</v>
      </c>
      <c r="L92" s="699">
        <f t="shared" si="60"/>
        <v>-1.7985582481861613E-2</v>
      </c>
      <c r="M92" s="699">
        <f t="shared" si="60"/>
        <v>6.0653989797803592E-2</v>
      </c>
      <c r="N92" s="699">
        <f t="shared" si="60"/>
        <v>9.0058595283990017E-2</v>
      </c>
      <c r="O92" s="701">
        <f t="shared" si="60"/>
        <v>4.3558441787138382E-3</v>
      </c>
      <c r="S92" s="281"/>
      <c r="T92" s="659">
        <v>2023</v>
      </c>
      <c r="U92" s="672">
        <f>'2312'!I133</f>
        <v>20214.52</v>
      </c>
      <c r="V92" s="673">
        <f>'2312'!J133</f>
        <v>123925.7</v>
      </c>
      <c r="W92" s="673">
        <f>'2312'!K133</f>
        <v>58249.23</v>
      </c>
      <c r="X92" s="673">
        <f>'2312'!L133</f>
        <v>92384.87</v>
      </c>
      <c r="Y92" s="673">
        <f>'2312'!M133</f>
        <v>71687.25</v>
      </c>
      <c r="Z92" s="673">
        <f>'2312'!N133</f>
        <v>25418.03</v>
      </c>
      <c r="AA92" s="672">
        <f>'2312'!O133</f>
        <v>31798.25</v>
      </c>
      <c r="AB92" s="673">
        <f>'2312'!P133</f>
        <v>133028.18</v>
      </c>
      <c r="AC92" s="673">
        <f>'2312'!Q133</f>
        <v>91422.711410000004</v>
      </c>
      <c r="AD92" s="673">
        <f>'2312'!R133</f>
        <v>104687.26</v>
      </c>
      <c r="AE92" s="673">
        <f>'2312'!S133</f>
        <v>85179.21</v>
      </c>
      <c r="AF92" s="674">
        <f>'2312'!T133</f>
        <v>121524.09</v>
      </c>
    </row>
    <row r="93" spans="1:32">
      <c r="B93" s="663" t="s">
        <v>1171</v>
      </c>
      <c r="C93" s="663"/>
      <c r="D93" s="687">
        <f>U93</f>
        <v>5398.7811534300008</v>
      </c>
      <c r="E93" s="688">
        <f t="shared" ref="E93:O93" si="61">V93</f>
        <v>30594.720000000001</v>
      </c>
      <c r="F93" s="688">
        <f t="shared" si="61"/>
        <v>12781.34</v>
      </c>
      <c r="G93" s="688">
        <f t="shared" si="61"/>
        <v>20662.580000000002</v>
      </c>
      <c r="H93" s="688">
        <f t="shared" si="61"/>
        <v>16459.98</v>
      </c>
      <c r="I93" s="688">
        <f t="shared" si="61"/>
        <v>5291.32</v>
      </c>
      <c r="J93" s="687">
        <f t="shared" si="61"/>
        <v>5047.29</v>
      </c>
      <c r="K93" s="688">
        <f t="shared" si="61"/>
        <v>28983.67</v>
      </c>
      <c r="L93" s="688">
        <f t="shared" si="61"/>
        <v>20375.612719799999</v>
      </c>
      <c r="M93" s="688">
        <f t="shared" si="61"/>
        <v>15881.72</v>
      </c>
      <c r="N93" s="688">
        <f t="shared" si="61"/>
        <v>17418.560000000001</v>
      </c>
      <c r="O93" s="689">
        <f t="shared" si="61"/>
        <v>29326.93</v>
      </c>
      <c r="S93" s="663" t="s">
        <v>1171</v>
      </c>
      <c r="T93" s="663"/>
      <c r="U93" s="675">
        <f>작업!I136</f>
        <v>5398.7811534300008</v>
      </c>
      <c r="V93" s="676">
        <f>작업!J136</f>
        <v>30594.720000000001</v>
      </c>
      <c r="W93" s="676">
        <f>작업!K136</f>
        <v>12781.34</v>
      </c>
      <c r="X93" s="676">
        <f>작업!L136</f>
        <v>20662.580000000002</v>
      </c>
      <c r="Y93" s="676">
        <f>작업!M136</f>
        <v>16459.98</v>
      </c>
      <c r="Z93" s="676">
        <f>작업!N136</f>
        <v>5291.32</v>
      </c>
      <c r="AA93" s="675">
        <f>작업!O136</f>
        <v>5047.29</v>
      </c>
      <c r="AB93" s="676">
        <f>작업!P136</f>
        <v>28983.67</v>
      </c>
      <c r="AC93" s="676">
        <f>작업!Q136</f>
        <v>20375.612719799999</v>
      </c>
      <c r="AD93" s="676">
        <f>작업!R136</f>
        <v>15881.72</v>
      </c>
      <c r="AE93" s="676">
        <f>작업!S136</f>
        <v>17418.560000000001</v>
      </c>
      <c r="AF93" s="677">
        <f>작업!T136</f>
        <v>29326.93</v>
      </c>
    </row>
    <row r="94" spans="1:32" ht="16.5" customHeight="1">
      <c r="B94" s="661"/>
      <c r="C94" s="660" t="s">
        <v>1008</v>
      </c>
      <c r="D94" s="697">
        <f>+(D93-U94)/U94</f>
        <v>0.36814818703006819</v>
      </c>
      <c r="E94" s="696">
        <f t="shared" ref="E94:O94" si="62">+(E93-V94)/V94</f>
        <v>-6.1685503667418665E-2</v>
      </c>
      <c r="F94" s="696">
        <f t="shared" si="62"/>
        <v>-6.8122032593353019E-2</v>
      </c>
      <c r="G94" s="696">
        <f t="shared" si="62"/>
        <v>-2.6766697156874419E-2</v>
      </c>
      <c r="H94" s="696">
        <f t="shared" si="62"/>
        <v>0.30151136807513668</v>
      </c>
      <c r="I94" s="696">
        <f t="shared" si="62"/>
        <v>-0.27711837546586232</v>
      </c>
      <c r="J94" s="697">
        <f t="shared" si="62"/>
        <v>6.832181670204108E-3</v>
      </c>
      <c r="K94" s="696">
        <f t="shared" si="62"/>
        <v>-0.16018159570211152</v>
      </c>
      <c r="L94" s="696">
        <f t="shared" si="62"/>
        <v>0.11471321596573669</v>
      </c>
      <c r="M94" s="696">
        <f t="shared" si="62"/>
        <v>0.15120715062870996</v>
      </c>
      <c r="N94" s="696">
        <f t="shared" si="62"/>
        <v>-9.856799155005809E-2</v>
      </c>
      <c r="O94" s="698">
        <f t="shared" si="62"/>
        <v>-4.7220014827627228E-2</v>
      </c>
      <c r="S94" s="661"/>
      <c r="T94" s="660">
        <v>2024</v>
      </c>
      <c r="U94" s="669">
        <f>'2412'!I136</f>
        <v>3946.05</v>
      </c>
      <c r="V94" s="670">
        <f>'2412'!J136</f>
        <v>32606.04</v>
      </c>
      <c r="W94" s="670">
        <f>'2412'!K136</f>
        <v>13715.68</v>
      </c>
      <c r="X94" s="670">
        <f>'2412'!L136</f>
        <v>21230.86</v>
      </c>
      <c r="Y94" s="670">
        <f>'2412'!M136</f>
        <v>12646.82</v>
      </c>
      <c r="Z94" s="670">
        <f>'2412'!N136</f>
        <v>7319.76</v>
      </c>
      <c r="AA94" s="669">
        <f>'2412'!O136</f>
        <v>5013.04</v>
      </c>
      <c r="AB94" s="670">
        <f>'2412'!P136</f>
        <v>34511.83</v>
      </c>
      <c r="AC94" s="670">
        <f>'2412'!Q136</f>
        <v>18278.793529999999</v>
      </c>
      <c r="AD94" s="670">
        <f>'2412'!R136</f>
        <v>13795.71</v>
      </c>
      <c r="AE94" s="670">
        <f>'2412'!S136</f>
        <v>19323.21</v>
      </c>
      <c r="AF94" s="671">
        <f>'2412'!T136</f>
        <v>30780.38</v>
      </c>
    </row>
    <row r="95" spans="1:32" ht="17.25" thickBot="1">
      <c r="B95" s="662"/>
      <c r="C95" s="659" t="s">
        <v>1007</v>
      </c>
      <c r="D95" s="702">
        <f>+D93/D90</f>
        <v>0.26227752209209204</v>
      </c>
      <c r="E95" s="703">
        <f t="shared" ref="E95:O95" si="63">+E93/E90</f>
        <v>0.23146475749428391</v>
      </c>
      <c r="F95" s="703">
        <f t="shared" si="63"/>
        <v>0.19630496942002879</v>
      </c>
      <c r="G95" s="703">
        <f t="shared" si="63"/>
        <v>0.23712881808913186</v>
      </c>
      <c r="H95" s="703">
        <f t="shared" si="63"/>
        <v>0.21790521085333425</v>
      </c>
      <c r="I95" s="703">
        <f t="shared" si="63"/>
        <v>0.21534861289449531</v>
      </c>
      <c r="J95" s="702">
        <f t="shared" si="63"/>
        <v>0.15464577061837903</v>
      </c>
      <c r="K95" s="703">
        <f t="shared" si="63"/>
        <v>0.20457620959955003</v>
      </c>
      <c r="L95" s="703">
        <f t="shared" si="63"/>
        <v>0.2269544570117254</v>
      </c>
      <c r="M95" s="703">
        <f t="shared" si="63"/>
        <v>0.1430309331235293</v>
      </c>
      <c r="N95" s="703">
        <f t="shared" si="63"/>
        <v>0.18759825624744683</v>
      </c>
      <c r="O95" s="704">
        <f t="shared" si="63"/>
        <v>0.24027944155276915</v>
      </c>
      <c r="S95" s="662"/>
      <c r="T95" s="659"/>
      <c r="U95" s="654"/>
      <c r="V95" s="655"/>
      <c r="W95" s="655"/>
      <c r="X95" s="655"/>
      <c r="Y95" s="655"/>
      <c r="Z95" s="655"/>
      <c r="AA95" s="654"/>
      <c r="AB95" s="655"/>
      <c r="AC95" s="655"/>
      <c r="AD95" s="655"/>
      <c r="AE95" s="655"/>
      <c r="AF95" s="656"/>
    </row>
    <row r="96" spans="1:32" ht="16.5" customHeight="1">
      <c r="B96" s="878" t="s">
        <v>1079</v>
      </c>
      <c r="C96" s="878"/>
      <c r="D96" s="693">
        <f>U96</f>
        <v>2058.3148376500003</v>
      </c>
      <c r="E96" s="694">
        <f t="shared" ref="E96:O96" si="64">V96</f>
        <v>14795.99</v>
      </c>
      <c r="F96" s="694">
        <f t="shared" si="64"/>
        <v>5879.96</v>
      </c>
      <c r="G96" s="694">
        <f t="shared" si="64"/>
        <v>7872.9</v>
      </c>
      <c r="H96" s="694">
        <f t="shared" si="64"/>
        <v>7352.29</v>
      </c>
      <c r="I96" s="694">
        <f t="shared" si="64"/>
        <v>2467.5100000000002</v>
      </c>
      <c r="J96" s="693">
        <f t="shared" si="64"/>
        <v>2976.06</v>
      </c>
      <c r="K96" s="694">
        <f t="shared" si="64"/>
        <v>16207.81</v>
      </c>
      <c r="L96" s="694">
        <f t="shared" si="64"/>
        <v>9639.0135596399996</v>
      </c>
      <c r="M96" s="694">
        <f t="shared" si="64"/>
        <v>11672.64</v>
      </c>
      <c r="N96" s="694">
        <f t="shared" si="64"/>
        <v>8534.36</v>
      </c>
      <c r="O96" s="695">
        <f t="shared" si="64"/>
        <v>12850.78</v>
      </c>
      <c r="S96" s="878" t="s">
        <v>1079</v>
      </c>
      <c r="T96" s="878"/>
      <c r="U96" s="678">
        <f>작업!I137</f>
        <v>2058.3148376500003</v>
      </c>
      <c r="V96" s="679">
        <f>작업!J137</f>
        <v>14795.99</v>
      </c>
      <c r="W96" s="679">
        <f>작업!K137</f>
        <v>5879.96</v>
      </c>
      <c r="X96" s="679">
        <f>작업!L137</f>
        <v>7872.9</v>
      </c>
      <c r="Y96" s="679">
        <f>작업!M137</f>
        <v>7352.29</v>
      </c>
      <c r="Z96" s="679">
        <f>작업!N137</f>
        <v>2467.5100000000002</v>
      </c>
      <c r="AA96" s="678">
        <f>작업!O137</f>
        <v>2976.06</v>
      </c>
      <c r="AB96" s="679">
        <f>작업!P137</f>
        <v>16207.81</v>
      </c>
      <c r="AC96" s="679">
        <f>작업!Q137</f>
        <v>9639.0135596399996</v>
      </c>
      <c r="AD96" s="679">
        <f>작업!R137</f>
        <v>11672.64</v>
      </c>
      <c r="AE96" s="679">
        <f>작업!S137</f>
        <v>8534.36</v>
      </c>
      <c r="AF96" s="680">
        <f>작업!T137</f>
        <v>12850.78</v>
      </c>
    </row>
    <row r="97" spans="2:33">
      <c r="B97" s="664"/>
      <c r="C97" s="657" t="s">
        <v>1008</v>
      </c>
      <c r="D97" s="697">
        <f>+(D96-U97)/U97</f>
        <v>4.117781671902121E-2</v>
      </c>
      <c r="E97" s="696">
        <f t="shared" ref="E97" si="65">+(E96-V97)/V97</f>
        <v>8.0361230514457024E-2</v>
      </c>
      <c r="F97" s="696">
        <f t="shared" ref="F97" si="66">+(F96-W97)/W97</f>
        <v>-2.1611224258882119E-2</v>
      </c>
      <c r="G97" s="696">
        <f t="shared" ref="G97" si="67">+(G96-X97)/X97</f>
        <v>-7.5861761343227946E-2</v>
      </c>
      <c r="H97" s="696">
        <f t="shared" ref="H97" si="68">+(H96-Y97)/Y97</f>
        <v>3.5200982733911094E-3</v>
      </c>
      <c r="I97" s="696">
        <f t="shared" ref="I97" si="69">+(I96-Z97)/Z97</f>
        <v>-5.0910237819583162E-2</v>
      </c>
      <c r="J97" s="697">
        <f t="shared" ref="J97" si="70">+(J96-AA97)/AA97</f>
        <v>1.5442882489422601E-2</v>
      </c>
      <c r="K97" s="696">
        <f t="shared" ref="K97" si="71">+(K96-AB97)/AB97</f>
        <v>5.2614343006069557E-3</v>
      </c>
      <c r="L97" s="696">
        <f t="shared" ref="L97" si="72">+(L96-AC97)/AC97</f>
        <v>1.3457651433638433E-2</v>
      </c>
      <c r="M97" s="696">
        <f t="shared" ref="M97" si="73">+(M96-AD97)/AD97</f>
        <v>1.4863915532339548E-2</v>
      </c>
      <c r="N97" s="696">
        <f t="shared" ref="N97" si="74">+(N96-AE97)/AE97</f>
        <v>1.882855178209893E-2</v>
      </c>
      <c r="O97" s="698">
        <f t="shared" ref="O97" si="75">+(O96-AF97)/AF97</f>
        <v>-9.5799023975188802E-3</v>
      </c>
      <c r="S97" s="664"/>
      <c r="T97" s="657">
        <v>2024</v>
      </c>
      <c r="U97" s="672">
        <f>'2412'!I137</f>
        <v>1976.91</v>
      </c>
      <c r="V97" s="673">
        <f>'2412'!J137</f>
        <v>13695.41</v>
      </c>
      <c r="W97" s="673">
        <f>'2412'!K137</f>
        <v>6009.84</v>
      </c>
      <c r="X97" s="673">
        <f>'2412'!L137</f>
        <v>8519.18</v>
      </c>
      <c r="Y97" s="673">
        <f>'2412'!M137</f>
        <v>7326.5</v>
      </c>
      <c r="Z97" s="673">
        <f>'2412'!N137</f>
        <v>2599.87</v>
      </c>
      <c r="AA97" s="672">
        <f>'2412'!O137</f>
        <v>2930.8</v>
      </c>
      <c r="AB97" s="673">
        <f>'2412'!P137</f>
        <v>16122.98</v>
      </c>
      <c r="AC97" s="673">
        <f>'2412'!Q137</f>
        <v>9511.0175999999992</v>
      </c>
      <c r="AD97" s="673">
        <f>'2412'!R137</f>
        <v>11501.68</v>
      </c>
      <c r="AE97" s="673">
        <f>'2412'!S137</f>
        <v>8376.64</v>
      </c>
      <c r="AF97" s="674">
        <f>'2412'!T137</f>
        <v>12975.08</v>
      </c>
    </row>
    <row r="98" spans="2:33" ht="17.25" thickBot="1">
      <c r="B98" s="665"/>
      <c r="C98" s="658" t="s">
        <v>1080</v>
      </c>
      <c r="D98" s="702">
        <f>+D93/D96</f>
        <v>2.6229131980576139</v>
      </c>
      <c r="E98" s="703">
        <f t="shared" ref="E98:O98" si="76">+E93/E96</f>
        <v>2.0677710649980163</v>
      </c>
      <c r="F98" s="703">
        <f t="shared" si="76"/>
        <v>2.1737120660684766</v>
      </c>
      <c r="G98" s="703">
        <f t="shared" si="76"/>
        <v>2.6245195544208619</v>
      </c>
      <c r="H98" s="703">
        <f t="shared" si="76"/>
        <v>2.2387555441909934</v>
      </c>
      <c r="I98" s="703">
        <f t="shared" si="76"/>
        <v>2.1443965779267358</v>
      </c>
      <c r="J98" s="702">
        <f t="shared" si="76"/>
        <v>1.6959637910525998</v>
      </c>
      <c r="K98" s="703">
        <f t="shared" si="76"/>
        <v>1.7882533173821755</v>
      </c>
      <c r="L98" s="703">
        <f t="shared" si="76"/>
        <v>2.1138690794165655</v>
      </c>
      <c r="M98" s="703">
        <f t="shared" si="76"/>
        <v>1.3605936617594649</v>
      </c>
      <c r="N98" s="703">
        <f t="shared" si="76"/>
        <v>2.0409919431568389</v>
      </c>
      <c r="O98" s="704">
        <f t="shared" si="76"/>
        <v>2.282112836730533</v>
      </c>
      <c r="S98" s="665"/>
      <c r="T98" s="658"/>
      <c r="U98" s="654"/>
      <c r="V98" s="655"/>
      <c r="W98" s="655"/>
      <c r="X98" s="655"/>
      <c r="Y98" s="655"/>
      <c r="Z98" s="655"/>
      <c r="AA98" s="654"/>
      <c r="AB98" s="655"/>
      <c r="AC98" s="655"/>
      <c r="AD98" s="655"/>
      <c r="AE98" s="655"/>
      <c r="AF98" s="656"/>
    </row>
    <row r="99" spans="2:33" ht="16.5" customHeight="1">
      <c r="B99" s="877" t="s">
        <v>1172</v>
      </c>
      <c r="C99" s="877"/>
      <c r="D99" s="681">
        <f>U99</f>
        <v>-4144.9350384299996</v>
      </c>
      <c r="E99" s="682">
        <f t="shared" ref="E99:O99" si="77">V99</f>
        <v>-17577.749999999996</v>
      </c>
      <c r="F99" s="682">
        <f t="shared" si="77"/>
        <v>-2034</v>
      </c>
      <c r="G99" s="682">
        <f t="shared" si="77"/>
        <v>-20322.240000000002</v>
      </c>
      <c r="H99" s="682">
        <f t="shared" si="77"/>
        <v>-8470.1500000000015</v>
      </c>
      <c r="I99" s="682">
        <f t="shared" si="77"/>
        <v>-6068.7999999999993</v>
      </c>
      <c r="J99" s="681">
        <f t="shared" si="77"/>
        <v>-512.65</v>
      </c>
      <c r="K99" s="682">
        <f t="shared" si="77"/>
        <v>-16861.189999999999</v>
      </c>
      <c r="L99" s="682">
        <f t="shared" si="77"/>
        <v>-7190.3064801499968</v>
      </c>
      <c r="M99" s="682">
        <f t="shared" si="77"/>
        <v>-8666.4500000000025</v>
      </c>
      <c r="N99" s="682">
        <f t="shared" si="77"/>
        <v>-7559.17</v>
      </c>
      <c r="O99" s="683">
        <f t="shared" si="77"/>
        <v>-21174.7</v>
      </c>
      <c r="P99" s="705"/>
      <c r="S99" s="877" t="s">
        <v>1172</v>
      </c>
      <c r="T99" s="877"/>
      <c r="U99" s="681">
        <f>SUM(U101:U106)</f>
        <v>-4144.9350384299996</v>
      </c>
      <c r="V99" s="682">
        <f t="shared" ref="V99:AF99" si="78">SUM(V101:V106)</f>
        <v>-17577.749999999996</v>
      </c>
      <c r="W99" s="682">
        <f t="shared" si="78"/>
        <v>-2034</v>
      </c>
      <c r="X99" s="682">
        <f t="shared" si="78"/>
        <v>-20322.240000000002</v>
      </c>
      <c r="Y99" s="682">
        <f t="shared" si="78"/>
        <v>-8470.1500000000015</v>
      </c>
      <c r="Z99" s="682">
        <f t="shared" si="78"/>
        <v>-6068.7999999999993</v>
      </c>
      <c r="AA99" s="681">
        <f t="shared" si="78"/>
        <v>-512.65</v>
      </c>
      <c r="AB99" s="682">
        <f t="shared" si="78"/>
        <v>-16861.189999999999</v>
      </c>
      <c r="AC99" s="682">
        <f t="shared" si="78"/>
        <v>-7190.3064801499968</v>
      </c>
      <c r="AD99" s="682">
        <f t="shared" si="78"/>
        <v>-8666.4500000000025</v>
      </c>
      <c r="AE99" s="682">
        <f t="shared" si="78"/>
        <v>-7559.17</v>
      </c>
      <c r="AF99" s="683">
        <f t="shared" si="78"/>
        <v>-21174.7</v>
      </c>
    </row>
    <row r="100" spans="2:33">
      <c r="B100" s="664"/>
      <c r="C100" s="664" t="s">
        <v>1173</v>
      </c>
      <c r="D100" s="706">
        <f>+D99/U91</f>
        <v>-0.19944717085792979</v>
      </c>
      <c r="E100" s="707">
        <f t="shared" ref="E100:O100" si="79">+E99/V91</f>
        <v>-0.1362402624766674</v>
      </c>
      <c r="F100" s="707">
        <f t="shared" si="79"/>
        <v>-3.159337800311833E-2</v>
      </c>
      <c r="G100" s="707">
        <f t="shared" si="79"/>
        <v>-0.22309721630173471</v>
      </c>
      <c r="H100" s="707">
        <f t="shared" si="79"/>
        <v>-0.11724828816378038</v>
      </c>
      <c r="I100" s="707">
        <f t="shared" si="79"/>
        <v>-0.22720329693368391</v>
      </c>
      <c r="J100" s="706">
        <f t="shared" si="79"/>
        <v>-1.7028681860775038E-2</v>
      </c>
      <c r="K100" s="707">
        <f t="shared" si="79"/>
        <v>-0.11980460579961159</v>
      </c>
      <c r="L100" s="707">
        <f t="shared" si="79"/>
        <v>-8.6572963792837576E-2</v>
      </c>
      <c r="M100" s="707">
        <f t="shared" si="79"/>
        <v>-7.7462781405857731E-2</v>
      </c>
      <c r="N100" s="707">
        <f t="shared" si="79"/>
        <v>-8.5700191894275163E-2</v>
      </c>
      <c r="O100" s="708">
        <f t="shared" si="79"/>
        <v>-0.17311246894252905</v>
      </c>
      <c r="P100" s="709"/>
      <c r="S100" s="664"/>
      <c r="T100" s="664" t="s">
        <v>1173</v>
      </c>
      <c r="U100" s="706"/>
      <c r="V100" s="707"/>
      <c r="W100" s="707"/>
      <c r="X100" s="707"/>
      <c r="Y100" s="707"/>
      <c r="Z100" s="707"/>
      <c r="AA100" s="706"/>
      <c r="AB100" s="707"/>
      <c r="AC100" s="707"/>
      <c r="AD100" s="707"/>
      <c r="AE100" s="707"/>
      <c r="AF100" s="708"/>
    </row>
    <row r="101" spans="2:33">
      <c r="B101" s="664"/>
      <c r="C101" s="664" t="s">
        <v>1174</v>
      </c>
      <c r="D101" s="706">
        <f>U101/U$91</f>
        <v>-0.122594888634557</v>
      </c>
      <c r="E101" s="710">
        <f t="shared" ref="E101:O106" si="80">V101/V$91</f>
        <v>-1.9997174086575416E-2</v>
      </c>
      <c r="F101" s="710">
        <f t="shared" si="80"/>
        <v>-4.3196255765325507E-2</v>
      </c>
      <c r="G101" s="710">
        <f t="shared" si="80"/>
        <v>-6.6433486977531694E-2</v>
      </c>
      <c r="H101" s="710">
        <f t="shared" si="80"/>
        <v>-6.5426846807788472E-2</v>
      </c>
      <c r="I101" s="710">
        <f t="shared" si="80"/>
        <v>-9.307929952139353E-2</v>
      </c>
      <c r="J101" s="711">
        <f t="shared" si="80"/>
        <v>-0.10899984022635374</v>
      </c>
      <c r="K101" s="710">
        <f t="shared" si="80"/>
        <v>-3.3213020861014582E-2</v>
      </c>
      <c r="L101" s="710">
        <f t="shared" si="80"/>
        <v>-3.607416553388966E-2</v>
      </c>
      <c r="M101" s="710">
        <f t="shared" si="80"/>
        <v>-4.9792771451343504E-2</v>
      </c>
      <c r="N101" s="710">
        <f t="shared" si="80"/>
        <v>-1.012144234294679E-2</v>
      </c>
      <c r="O101" s="712">
        <f t="shared" si="80"/>
        <v>-3.6206648610392016E-2</v>
      </c>
      <c r="P101" s="713"/>
      <c r="Q101" s="713"/>
      <c r="S101" s="664"/>
      <c r="T101" s="664" t="s">
        <v>1174</v>
      </c>
      <c r="U101" s="685">
        <f>작업!I200</f>
        <v>-2547.7816869899998</v>
      </c>
      <c r="V101" s="684">
        <f>작업!J200</f>
        <v>-2580.04</v>
      </c>
      <c r="W101" s="684">
        <f>작업!K200</f>
        <v>-2781</v>
      </c>
      <c r="X101" s="684">
        <f>작업!L200</f>
        <v>-6051.52</v>
      </c>
      <c r="Y101" s="684">
        <f>작업!M200</f>
        <v>-4726.51</v>
      </c>
      <c r="Z101" s="684">
        <f>작업!N200</f>
        <v>-2486.23</v>
      </c>
      <c r="AA101" s="685">
        <f>작업!O200</f>
        <v>-3281.45</v>
      </c>
      <c r="AB101" s="684">
        <f>작업!P200</f>
        <v>-4674.37</v>
      </c>
      <c r="AC101" s="684">
        <f>작업!Q200</f>
        <v>-2996.1352232899999</v>
      </c>
      <c r="AD101" s="684">
        <f>작업!R200</f>
        <v>-5570.76</v>
      </c>
      <c r="AE101" s="684">
        <f>작업!S200</f>
        <v>-892.76</v>
      </c>
      <c r="AF101" s="686">
        <f>작업!T200</f>
        <v>-4428.71</v>
      </c>
      <c r="AG101">
        <f>작업!U200</f>
        <v>0</v>
      </c>
    </row>
    <row r="102" spans="2:33">
      <c r="B102" s="664"/>
      <c r="C102" s="664" t="s">
        <v>1175</v>
      </c>
      <c r="D102" s="706">
        <f t="shared" ref="D102:D106" si="81">U102/U$91</f>
        <v>-0.11146806592590169</v>
      </c>
      <c r="E102" s="710">
        <f t="shared" si="80"/>
        <v>-3.2672628160715575E-2</v>
      </c>
      <c r="F102" s="710">
        <f t="shared" si="80"/>
        <v>2.5535650657387679E-2</v>
      </c>
      <c r="G102" s="710">
        <f t="shared" si="80"/>
        <v>-8.1260131992687348E-3</v>
      </c>
      <c r="H102" s="710">
        <f t="shared" si="80"/>
        <v>-5.2726465833734075E-2</v>
      </c>
      <c r="I102" s="710">
        <f t="shared" si="80"/>
        <v>-0.16224063003540132</v>
      </c>
      <c r="J102" s="711">
        <f t="shared" si="80"/>
        <v>1.7568457692702464E-3</v>
      </c>
      <c r="K102" s="710">
        <f t="shared" si="80"/>
        <v>-8.6295434075595784E-2</v>
      </c>
      <c r="L102" s="710">
        <f t="shared" si="80"/>
        <v>-0.15635657506520417</v>
      </c>
      <c r="M102" s="710">
        <f t="shared" si="80"/>
        <v>9.9423403289038703E-2</v>
      </c>
      <c r="N102" s="710">
        <f t="shared" si="80"/>
        <v>4.9797732142075675E-2</v>
      </c>
      <c r="O102" s="712">
        <f t="shared" si="80"/>
        <v>5.6318882672557559E-2</v>
      </c>
      <c r="P102" s="713"/>
      <c r="Q102" s="713"/>
      <c r="S102" s="664"/>
      <c r="T102" s="664" t="s">
        <v>1175</v>
      </c>
      <c r="U102" s="685">
        <f>작업!I201</f>
        <v>-2316.5427222399999</v>
      </c>
      <c r="V102" s="684">
        <f>작업!J201</f>
        <v>-4215.43</v>
      </c>
      <c r="W102" s="684">
        <f>작업!K201</f>
        <v>1644</v>
      </c>
      <c r="X102" s="684">
        <f>작업!L201</f>
        <v>-740.21</v>
      </c>
      <c r="Y102" s="684">
        <f>작업!M201</f>
        <v>-3809.02</v>
      </c>
      <c r="Z102" s="684">
        <f>작업!N201</f>
        <v>-4333.59</v>
      </c>
      <c r="AA102" s="685">
        <f>작업!O201</f>
        <v>52.89</v>
      </c>
      <c r="AB102" s="684">
        <f>작업!P201</f>
        <v>-12145.14</v>
      </c>
      <c r="AC102" s="684">
        <f>작업!Q201</f>
        <v>-12986.175425339999</v>
      </c>
      <c r="AD102" s="684">
        <f>작업!R201</f>
        <v>11123.38</v>
      </c>
      <c r="AE102" s="684">
        <f>작업!S201</f>
        <v>4392.3999999999996</v>
      </c>
      <c r="AF102" s="686">
        <f>작업!T201</f>
        <v>6888.79</v>
      </c>
      <c r="AG102">
        <f>작업!U201</f>
        <v>0</v>
      </c>
    </row>
    <row r="103" spans="2:33">
      <c r="B103" s="664"/>
      <c r="C103" s="664" t="s">
        <v>1176</v>
      </c>
      <c r="D103" s="706">
        <f t="shared" si="81"/>
        <v>-2.1660468925210712E-2</v>
      </c>
      <c r="E103" s="710">
        <f t="shared" si="80"/>
        <v>-3.7820270511066366E-2</v>
      </c>
      <c r="F103" s="710">
        <f t="shared" si="80"/>
        <v>2.5722042268025543E-2</v>
      </c>
      <c r="G103" s="710">
        <f t="shared" si="80"/>
        <v>1.5061903202508336E-2</v>
      </c>
      <c r="H103" s="710">
        <f t="shared" si="80"/>
        <v>2.1855136837541599E-2</v>
      </c>
      <c r="I103" s="710">
        <f t="shared" si="80"/>
        <v>1.0279706247042403E-2</v>
      </c>
      <c r="J103" s="711">
        <f t="shared" si="80"/>
        <v>4.8830280859482565E-2</v>
      </c>
      <c r="K103" s="710">
        <f t="shared" si="80"/>
        <v>4.431540976394048E-2</v>
      </c>
      <c r="L103" s="710">
        <f t="shared" si="80"/>
        <v>4.8248459009195221E-2</v>
      </c>
      <c r="M103" s="710">
        <f t="shared" si="80"/>
        <v>-3.7281117107972737E-2</v>
      </c>
      <c r="N103" s="710">
        <f t="shared" si="80"/>
        <v>-2.800164435458289E-2</v>
      </c>
      <c r="O103" s="712">
        <f t="shared" si="80"/>
        <v>-9.1507198596702241E-2</v>
      </c>
      <c r="P103" s="713"/>
      <c r="Q103" s="713"/>
      <c r="S103" s="664"/>
      <c r="T103" s="664" t="s">
        <v>1176</v>
      </c>
      <c r="U103" s="685">
        <f>작업!I202</f>
        <v>-450.15046446000002</v>
      </c>
      <c r="V103" s="684">
        <f>작업!J202</f>
        <v>-4879.58</v>
      </c>
      <c r="W103" s="684">
        <f>작업!K202</f>
        <v>1656</v>
      </c>
      <c r="X103" s="684">
        <f>작업!L202</f>
        <v>1372.01</v>
      </c>
      <c r="Y103" s="684">
        <f>작업!M202</f>
        <v>1578.84</v>
      </c>
      <c r="Z103" s="684">
        <f>작업!N202</f>
        <v>274.58</v>
      </c>
      <c r="AA103" s="685">
        <f>작업!O202</f>
        <v>1470.04</v>
      </c>
      <c r="AB103" s="684">
        <f>작업!P202</f>
        <v>6236.91</v>
      </c>
      <c r="AC103" s="684">
        <f>작업!Q202</f>
        <v>4007.26961712</v>
      </c>
      <c r="AD103" s="684">
        <f>작업!R202</f>
        <v>-4170.97</v>
      </c>
      <c r="AE103" s="684">
        <f>작업!S202</f>
        <v>-2469.88</v>
      </c>
      <c r="AF103" s="686">
        <f>작업!T202</f>
        <v>-11192.94</v>
      </c>
      <c r="AG103">
        <f>작업!U202</f>
        <v>0</v>
      </c>
    </row>
    <row r="104" spans="2:33">
      <c r="B104" s="664"/>
      <c r="C104" s="664" t="s">
        <v>1177</v>
      </c>
      <c r="D104" s="706">
        <f t="shared" si="81"/>
        <v>-0.14000560681393431</v>
      </c>
      <c r="E104" s="710">
        <f t="shared" si="80"/>
        <v>2.6388884905878718E-3</v>
      </c>
      <c r="F104" s="710">
        <f t="shared" si="80"/>
        <v>-1.3140608549969571E-2</v>
      </c>
      <c r="G104" s="710">
        <f t="shared" si="80"/>
        <v>6.1022219328913671E-3</v>
      </c>
      <c r="H104" s="710">
        <f t="shared" si="80"/>
        <v>1.6477176301481399E-2</v>
      </c>
      <c r="I104" s="710">
        <f t="shared" si="80"/>
        <v>2.7924950432183441E-3</v>
      </c>
      <c r="J104" s="711">
        <f t="shared" si="80"/>
        <v>-6.7334128547697422E-3</v>
      </c>
      <c r="K104" s="710">
        <f t="shared" si="80"/>
        <v>7.9206855693528776E-3</v>
      </c>
      <c r="L104" s="710">
        <f t="shared" si="80"/>
        <v>3.8280309843427463E-3</v>
      </c>
      <c r="M104" s="710">
        <f t="shared" si="80"/>
        <v>-2.1058485653549118E-4</v>
      </c>
      <c r="N104" s="710">
        <f t="shared" si="80"/>
        <v>5.723043253191832E-4</v>
      </c>
      <c r="O104" s="712">
        <f t="shared" si="80"/>
        <v>1.6525832466123638E-3</v>
      </c>
      <c r="P104" s="713"/>
      <c r="Q104" s="713"/>
      <c r="S104" s="664"/>
      <c r="T104" s="664" t="s">
        <v>1177</v>
      </c>
      <c r="U104" s="685">
        <f>작업!I203</f>
        <v>-2909.6133214800002</v>
      </c>
      <c r="V104" s="684">
        <f>작업!J203</f>
        <v>340.47</v>
      </c>
      <c r="W104" s="684">
        <f>작업!K203</f>
        <v>-846</v>
      </c>
      <c r="X104" s="684">
        <f>작업!L203</f>
        <v>555.86</v>
      </c>
      <c r="Y104" s="684">
        <f>작업!M203</f>
        <v>1190.33</v>
      </c>
      <c r="Z104" s="684">
        <f>작업!N203</f>
        <v>74.59</v>
      </c>
      <c r="AA104" s="685">
        <f>작업!O203</f>
        <v>-202.71</v>
      </c>
      <c r="AB104" s="684">
        <f>작업!P203</f>
        <v>1114.75</v>
      </c>
      <c r="AC104" s="684">
        <f>작업!Q203</f>
        <v>317.93662578999999</v>
      </c>
      <c r="AD104" s="684">
        <f>작업!R203</f>
        <v>-23.56</v>
      </c>
      <c r="AE104" s="684">
        <f>작업!S203</f>
        <v>50.48</v>
      </c>
      <c r="AF104" s="686">
        <f>작업!T203</f>
        <v>202.14</v>
      </c>
      <c r="AG104">
        <f>작업!U203</f>
        <v>0</v>
      </c>
    </row>
    <row r="105" spans="2:33" ht="27">
      <c r="B105" s="664"/>
      <c r="C105" s="664" t="s">
        <v>1178</v>
      </c>
      <c r="D105" s="706">
        <f t="shared" si="81"/>
        <v>0.16821780092021413</v>
      </c>
      <c r="E105" s="710">
        <f t="shared" si="80"/>
        <v>-7.0252936303089833E-2</v>
      </c>
      <c r="F105" s="710">
        <f t="shared" si="80"/>
        <v>-8.0893959016833952E-2</v>
      </c>
      <c r="G105" s="710">
        <f t="shared" si="80"/>
        <v>-0.16865596876807593</v>
      </c>
      <c r="H105" s="710">
        <f t="shared" si="80"/>
        <v>-4.1938706947315614E-2</v>
      </c>
      <c r="I105" s="710">
        <f t="shared" si="80"/>
        <v>-2.568691110139389E-2</v>
      </c>
      <c r="J105" s="711">
        <f t="shared" si="80"/>
        <v>3.690306190747146E-2</v>
      </c>
      <c r="K105" s="710">
        <f t="shared" si="80"/>
        <v>-4.8233084939875978E-2</v>
      </c>
      <c r="L105" s="710">
        <f t="shared" si="80"/>
        <v>1.8458740080119336E-2</v>
      </c>
      <c r="M105" s="710">
        <f t="shared" si="80"/>
        <v>-5.8536601498280869E-2</v>
      </c>
      <c r="N105" s="710">
        <f t="shared" si="80"/>
        <v>-9.9275413747230576E-2</v>
      </c>
      <c r="O105" s="712">
        <f t="shared" si="80"/>
        <v>-0.10069671909003439</v>
      </c>
      <c r="P105" s="713"/>
      <c r="Q105" s="713"/>
      <c r="S105" s="664"/>
      <c r="T105" s="664" t="s">
        <v>1178</v>
      </c>
      <c r="U105" s="685">
        <f>작업!I204</f>
        <v>3495.9225248600001</v>
      </c>
      <c r="V105" s="684">
        <f>작업!J204</f>
        <v>-9064.0499999999993</v>
      </c>
      <c r="W105" s="684">
        <f>작업!K204</f>
        <v>-5208</v>
      </c>
      <c r="X105" s="684">
        <f>작업!L204</f>
        <v>-15363.11</v>
      </c>
      <c r="Y105" s="684">
        <f>작업!M204</f>
        <v>-3029.7</v>
      </c>
      <c r="Z105" s="684">
        <f>작업!N204</f>
        <v>-686.12</v>
      </c>
      <c r="AA105" s="685">
        <f>작업!O204</f>
        <v>1110.97</v>
      </c>
      <c r="AB105" s="684">
        <f>작업!P204</f>
        <v>-6788.28</v>
      </c>
      <c r="AC105" s="684">
        <f>작업!Q204</f>
        <v>1533.0883060799999</v>
      </c>
      <c r="AD105" s="684">
        <f>작업!R204</f>
        <v>-6549.01</v>
      </c>
      <c r="AE105" s="684">
        <f>작업!S204</f>
        <v>-8756.57</v>
      </c>
      <c r="AF105" s="686">
        <f>작업!T204</f>
        <v>-12316.98</v>
      </c>
      <c r="AG105">
        <f>작업!U204</f>
        <v>0</v>
      </c>
    </row>
    <row r="106" spans="2:33" ht="17.25" thickBot="1">
      <c r="B106" s="665"/>
      <c r="C106" s="665" t="s">
        <v>1179</v>
      </c>
      <c r="D106" s="706">
        <f t="shared" si="81"/>
        <v>2.8064058521459795E-2</v>
      </c>
      <c r="E106" s="714">
        <f t="shared" si="80"/>
        <v>2.1863858094191897E-2</v>
      </c>
      <c r="F106" s="714">
        <f t="shared" si="80"/>
        <v>5.4379752403597478E-2</v>
      </c>
      <c r="G106" s="714">
        <f t="shared" si="80"/>
        <v>-1.0458724922580514E-3</v>
      </c>
      <c r="H106" s="714">
        <f t="shared" si="80"/>
        <v>4.5114182860347997E-3</v>
      </c>
      <c r="I106" s="714">
        <f t="shared" si="80"/>
        <v>4.0731342434244019E-2</v>
      </c>
      <c r="J106" s="715">
        <f t="shared" si="80"/>
        <v>1.1214382684124179E-2</v>
      </c>
      <c r="K106" s="714">
        <f t="shared" si="80"/>
        <v>-4.2991612564186156E-3</v>
      </c>
      <c r="L106" s="714">
        <f t="shared" si="80"/>
        <v>3.5322546732598915E-2</v>
      </c>
      <c r="M106" s="714">
        <f t="shared" si="80"/>
        <v>-3.1065109780763826E-2</v>
      </c>
      <c r="N106" s="714">
        <f t="shared" si="80"/>
        <v>1.3282720830902436E-3</v>
      </c>
      <c r="O106" s="716">
        <f t="shared" si="80"/>
        <v>-2.6733685645703126E-3</v>
      </c>
      <c r="P106" s="713"/>
      <c r="Q106" s="713"/>
      <c r="S106" s="665"/>
      <c r="T106" s="665" t="s">
        <v>1179</v>
      </c>
      <c r="U106" s="690">
        <f>작업!I205</f>
        <v>583.23063188000003</v>
      </c>
      <c r="V106" s="691">
        <f>작업!J205</f>
        <v>2820.88</v>
      </c>
      <c r="W106" s="691">
        <f>작업!K205</f>
        <v>3501</v>
      </c>
      <c r="X106" s="691">
        <f>작업!L205</f>
        <v>-95.27</v>
      </c>
      <c r="Y106" s="691">
        <f>작업!M205</f>
        <v>325.91000000000003</v>
      </c>
      <c r="Z106" s="691">
        <f>작업!N205</f>
        <v>1087.97</v>
      </c>
      <c r="AA106" s="690">
        <f>작업!O205</f>
        <v>337.61</v>
      </c>
      <c r="AB106" s="691">
        <f>작업!P205</f>
        <v>-605.05999999999995</v>
      </c>
      <c r="AC106" s="691">
        <f>작업!Q205</f>
        <v>2933.70961949</v>
      </c>
      <c r="AD106" s="691">
        <f>작업!R205</f>
        <v>-3475.53</v>
      </c>
      <c r="AE106" s="691">
        <f>작업!S205</f>
        <v>117.16</v>
      </c>
      <c r="AF106" s="692">
        <f>작업!T205</f>
        <v>-327</v>
      </c>
      <c r="AG106">
        <f>작업!U205</f>
        <v>0</v>
      </c>
    </row>
    <row r="107" spans="2:33">
      <c r="D107" s="705"/>
      <c r="E107" s="713"/>
      <c r="F107" s="713"/>
      <c r="G107" s="713"/>
      <c r="H107" s="713"/>
      <c r="I107" s="713"/>
      <c r="J107" s="713"/>
      <c r="K107" s="713"/>
      <c r="L107" s="713"/>
      <c r="M107" s="713"/>
      <c r="N107" s="713"/>
      <c r="O107" s="713"/>
      <c r="P107" s="713"/>
      <c r="Q107" s="713"/>
      <c r="U107" s="705"/>
      <c r="V107" s="705"/>
      <c r="W107" s="705"/>
      <c r="X107" s="705"/>
      <c r="Y107" s="705"/>
      <c r="Z107" s="705"/>
      <c r="AA107" s="705"/>
      <c r="AB107" s="705"/>
      <c r="AC107" s="705"/>
      <c r="AD107" s="705"/>
      <c r="AE107" s="705"/>
      <c r="AF107" s="705"/>
    </row>
    <row r="108" spans="2:33">
      <c r="D108" s="705"/>
      <c r="E108" s="705"/>
      <c r="F108" s="705"/>
      <c r="G108" s="705"/>
      <c r="H108" s="705"/>
      <c r="I108" s="705"/>
      <c r="J108" s="705"/>
      <c r="K108" s="705"/>
      <c r="L108" s="705"/>
      <c r="M108" s="705"/>
      <c r="N108" s="705"/>
      <c r="O108" s="705"/>
      <c r="P108" s="705"/>
    </row>
  </sheetData>
  <mergeCells count="67">
    <mergeCell ref="U88:U89"/>
    <mergeCell ref="V88:AA88"/>
    <mergeCell ref="AB88:AF88"/>
    <mergeCell ref="S96:T96"/>
    <mergeCell ref="S99:T99"/>
    <mergeCell ref="B99:C99"/>
    <mergeCell ref="B96:C96"/>
    <mergeCell ref="D88:D89"/>
    <mergeCell ref="E88:J88"/>
    <mergeCell ref="K88:O88"/>
    <mergeCell ref="V64:AA64"/>
    <mergeCell ref="AB64:AF64"/>
    <mergeCell ref="R66:T66"/>
    <mergeCell ref="R67:T67"/>
    <mergeCell ref="R68:T68"/>
    <mergeCell ref="B76:C76"/>
    <mergeCell ref="A79:C79"/>
    <mergeCell ref="R64:T65"/>
    <mergeCell ref="U64:U65"/>
    <mergeCell ref="S69:T69"/>
    <mergeCell ref="S70:T70"/>
    <mergeCell ref="S75:T75"/>
    <mergeCell ref="S76:T76"/>
    <mergeCell ref="R79:T79"/>
    <mergeCell ref="A66:C66"/>
    <mergeCell ref="A67:C67"/>
    <mergeCell ref="A68:C68"/>
    <mergeCell ref="B69:C69"/>
    <mergeCell ref="B70:C70"/>
    <mergeCell ref="A64:C65"/>
    <mergeCell ref="D64:D65"/>
    <mergeCell ref="E64:J64"/>
    <mergeCell ref="K64:O64"/>
    <mergeCell ref="B75:C75"/>
    <mergeCell ref="E4:J4"/>
    <mergeCell ref="K4:O4"/>
    <mergeCell ref="B6:C6"/>
    <mergeCell ref="S4:T5"/>
    <mergeCell ref="B22:C22"/>
    <mergeCell ref="U4:U5"/>
    <mergeCell ref="V4:AA4"/>
    <mergeCell ref="AB4:AF4"/>
    <mergeCell ref="B9:C9"/>
    <mergeCell ref="B13:C13"/>
    <mergeCell ref="S6:T6"/>
    <mergeCell ref="S9:T9"/>
    <mergeCell ref="S13:T13"/>
    <mergeCell ref="B4:C5"/>
    <mergeCell ref="D4:D5"/>
    <mergeCell ref="V30:AA30"/>
    <mergeCell ref="AB30:AF30"/>
    <mergeCell ref="U30:U31"/>
    <mergeCell ref="D30:D31"/>
    <mergeCell ref="E30:J30"/>
    <mergeCell ref="K30:O30"/>
    <mergeCell ref="R32:T32"/>
    <mergeCell ref="R35:T35"/>
    <mergeCell ref="R38:T38"/>
    <mergeCell ref="R55:T55"/>
    <mergeCell ref="A32:C32"/>
    <mergeCell ref="A35:C35"/>
    <mergeCell ref="A38:C38"/>
    <mergeCell ref="U47:U48"/>
    <mergeCell ref="V47:AA47"/>
    <mergeCell ref="AB47:AF47"/>
    <mergeCell ref="R49:T49"/>
    <mergeCell ref="R52:T5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작업</vt:lpstr>
      <vt:lpstr>2412</vt:lpstr>
      <vt:lpstr>2312</vt:lpstr>
      <vt:lpstr>2406</vt:lpstr>
      <vt:lpstr>2403</vt:lpstr>
      <vt:lpstr>fvpl</vt:lpstr>
      <vt:lpstr>전기말</vt:lpstr>
      <vt:lpstr>이익잉여금</vt:lpstr>
      <vt:lpstr>Sheet1</vt:lpstr>
      <vt:lpstr>Sheet2</vt:lpstr>
      <vt:lpstr>DATA</vt:lpstr>
      <vt:lpstr>2512_보고서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master</cp:lastModifiedBy>
  <dcterms:created xsi:type="dcterms:W3CDTF">2024-05-16T00:28:04Z</dcterms:created>
  <dcterms:modified xsi:type="dcterms:W3CDTF">2026-07-27T07:21:15Z</dcterms:modified>
</cp:coreProperties>
</file>