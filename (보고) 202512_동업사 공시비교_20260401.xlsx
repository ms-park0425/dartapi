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\\10.224.80.56\경영관리팀\0012 경영공시\00 동업사\202512\"/>
    </mc:Choice>
  </mc:AlternateContent>
  <bookViews>
    <workbookView xWindow="4800" yWindow="0" windowWidth="33600" windowHeight="17220"/>
  </bookViews>
  <sheets>
    <sheet name="2512" sheetId="7" r:id="rId1"/>
    <sheet name="2309" sheetId="8" state="hidden" r:id="rId2"/>
    <sheet name="전분기대비" sheetId="9" state="hidden" r:id="rId3"/>
  </sheets>
  <externalReferences>
    <externalReference r:id="rId4"/>
    <externalReference r:id="rId5"/>
    <externalReference r:id="rId6"/>
  </externalReferences>
  <definedNames>
    <definedName name="_xlnm.Print_Area" localSheetId="1">'2309'!$C$3:$T$97</definedName>
    <definedName name="_xlnm.Print_Area" localSheetId="0">'2512'!$C$3:$T$107</definedName>
    <definedName name="_xlnm.Print_Area" localSheetId="2">전분기대비!$C$3:$T$97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6" i="9" l="1"/>
  <c r="J106" i="9"/>
  <c r="I106" i="9"/>
  <c r="K106" i="9" l="1"/>
  <c r="I109" i="9" s="1"/>
  <c r="I112" i="9" s="1"/>
  <c r="I113" i="9" s="1"/>
  <c r="I110" i="9"/>
  <c r="I111" i="9" s="1"/>
  <c r="P110" i="8"/>
  <c r="J110" i="8"/>
  <c r="L106" i="8"/>
  <c r="J106" i="8"/>
  <c r="I106" i="8"/>
  <c r="J109" i="8"/>
  <c r="J112" i="8" s="1"/>
  <c r="T110" i="8"/>
  <c r="S110" i="8"/>
  <c r="N110" i="8"/>
  <c r="M110" i="8"/>
  <c r="K110" i="8"/>
  <c r="K106" i="8" l="1"/>
  <c r="I109" i="8" s="1"/>
  <c r="I112" i="8" s="1"/>
  <c r="I113" i="8" s="1"/>
  <c r="K109" i="8"/>
  <c r="K112" i="8" s="1"/>
  <c r="L113" i="8" s="1"/>
  <c r="Q109" i="8"/>
  <c r="Q112" i="8" s="1"/>
  <c r="I110" i="8"/>
  <c r="I111" i="8" s="1"/>
  <c r="O110" i="8"/>
  <c r="M109" i="8"/>
  <c r="M112" i="8" s="1"/>
  <c r="Q110" i="8"/>
  <c r="O111" i="8" s="1"/>
  <c r="N109" i="8"/>
  <c r="N112" i="8" s="1"/>
  <c r="L109" i="8"/>
  <c r="L112" i="8" s="1"/>
  <c r="L110" i="8"/>
  <c r="L111" i="8" s="1"/>
  <c r="R110" i="8"/>
  <c r="O109" i="8"/>
  <c r="O112" i="8" s="1"/>
  <c r="S109" i="8"/>
  <c r="S112" i="8" s="1"/>
  <c r="R109" i="8"/>
  <c r="R112" i="8" s="1"/>
  <c r="P109" i="8"/>
  <c r="P112" i="8" s="1"/>
  <c r="T109" i="8"/>
  <c r="T112" i="8" s="1"/>
  <c r="O113" i="8" l="1"/>
  <c r="L115" i="7" l="1"/>
  <c r="I115" i="7"/>
  <c r="J115" i="7"/>
  <c r="K115" i="7" l="1"/>
  <c r="I118" i="7" s="1"/>
  <c r="I121" i="7" s="1"/>
  <c r="I122" i="7" s="1"/>
  <c r="I119" i="7"/>
  <c r="I120" i="7" s="1"/>
  <c r="P82" i="9" l="1"/>
  <c r="J82" i="9"/>
  <c r="T59" i="9" l="1"/>
  <c r="T60" i="9" l="1"/>
  <c r="Q60" i="9" l="1"/>
  <c r="Q59" i="9" l="1"/>
  <c r="N79" i="9" l="1"/>
  <c r="N80" i="9" l="1"/>
  <c r="N81" i="9" l="1"/>
  <c r="N82" i="9" l="1"/>
  <c r="S58" i="9" l="1"/>
  <c r="T8" i="7" l="1"/>
  <c r="T8" i="9" s="1"/>
  <c r="O8" i="7" l="1"/>
  <c r="O8" i="9" s="1"/>
  <c r="Q8" i="7"/>
  <c r="Q8" i="9" s="1"/>
  <c r="S8" i="7"/>
  <c r="S8" i="9" s="1"/>
  <c r="L8" i="7"/>
  <c r="L8" i="9" s="1"/>
  <c r="K8" i="7"/>
  <c r="K8" i="9" s="1"/>
  <c r="M8" i="7"/>
  <c r="M8" i="9" s="1"/>
  <c r="J8" i="7"/>
  <c r="J8" i="9" s="1"/>
  <c r="I8" i="7"/>
  <c r="I8" i="9" s="1"/>
  <c r="R8" i="7"/>
  <c r="R8" i="9" s="1"/>
  <c r="N8" i="7"/>
  <c r="N8" i="9" s="1"/>
  <c r="P8" i="7"/>
  <c r="P8" i="9" s="1"/>
  <c r="S9" i="7" l="1"/>
  <c r="S9" i="9" s="1"/>
  <c r="T9" i="7"/>
  <c r="T9" i="9" s="1"/>
  <c r="I9" i="7"/>
  <c r="I9" i="9" s="1"/>
  <c r="M9" i="7"/>
  <c r="M9" i="9" s="1"/>
  <c r="L9" i="7"/>
  <c r="L9" i="9" s="1"/>
  <c r="O9" i="7"/>
  <c r="O9" i="9" s="1"/>
  <c r="J9" i="7"/>
  <c r="J9" i="9" s="1"/>
  <c r="K9" i="7"/>
  <c r="K9" i="9" s="1"/>
  <c r="N9" i="7"/>
  <c r="N9" i="9" s="1"/>
  <c r="P9" i="7"/>
  <c r="P9" i="9" s="1"/>
  <c r="R9" i="7"/>
  <c r="R9" i="9" s="1"/>
  <c r="Q9" i="7"/>
  <c r="Q9" i="9" s="1"/>
  <c r="O10" i="7" l="1"/>
  <c r="O10" i="9" s="1"/>
  <c r="L10" i="7"/>
  <c r="L10" i="9" s="1"/>
  <c r="Q10" i="7"/>
  <c r="Q10" i="9" s="1"/>
  <c r="M10" i="7"/>
  <c r="M10" i="9" s="1"/>
  <c r="R10" i="7"/>
  <c r="R10" i="9" s="1"/>
  <c r="N10" i="7"/>
  <c r="N10" i="9" s="1"/>
  <c r="I10" i="7"/>
  <c r="I10" i="9" s="1"/>
  <c r="T10" i="7"/>
  <c r="T10" i="9" s="1"/>
  <c r="P10" i="7"/>
  <c r="P10" i="9" s="1"/>
  <c r="K10" i="7"/>
  <c r="K10" i="9" s="1"/>
  <c r="J10" i="7"/>
  <c r="J10" i="9" s="1"/>
  <c r="S10" i="7"/>
  <c r="S10" i="9" s="1"/>
  <c r="Q11" i="7"/>
  <c r="Q11" i="9" s="1"/>
  <c r="J11" i="7"/>
  <c r="J11" i="9" s="1"/>
  <c r="O11" i="7"/>
  <c r="O11" i="9" s="1"/>
  <c r="K11" i="7"/>
  <c r="K11" i="9" s="1"/>
  <c r="M11" i="7"/>
  <c r="M11" i="9" s="1"/>
  <c r="T11" i="7"/>
  <c r="T11" i="9" s="1"/>
  <c r="R11" i="7"/>
  <c r="R11" i="9" s="1"/>
  <c r="S11" i="7"/>
  <c r="S11" i="9" s="1"/>
  <c r="I11" i="7"/>
  <c r="I11" i="9" s="1"/>
  <c r="N11" i="7"/>
  <c r="N11" i="9" s="1"/>
  <c r="L11" i="7"/>
  <c r="L11" i="9" s="1"/>
  <c r="P11" i="7"/>
  <c r="P11" i="9" s="1"/>
  <c r="T12" i="7" l="1"/>
  <c r="T12" i="9" s="1"/>
  <c r="J12" i="7"/>
  <c r="J12" i="9" s="1"/>
  <c r="L12" i="7"/>
  <c r="L12" i="9" s="1"/>
  <c r="N12" i="7"/>
  <c r="N12" i="9" s="1"/>
  <c r="Q12" i="7"/>
  <c r="Q12" i="9" s="1"/>
  <c r="I12" i="7"/>
  <c r="I12" i="9" s="1"/>
  <c r="T13" i="7" l="1"/>
  <c r="T13" i="9" s="1"/>
  <c r="S13" i="7"/>
  <c r="S13" i="9" s="1"/>
  <c r="J13" i="7"/>
  <c r="J13" i="9" s="1"/>
  <c r="Q13" i="7"/>
  <c r="Q13" i="9" s="1"/>
  <c r="L13" i="7"/>
  <c r="L13" i="9" s="1"/>
  <c r="N13" i="7"/>
  <c r="N13" i="9" s="1"/>
  <c r="O13" i="7"/>
  <c r="O13" i="9" s="1"/>
  <c r="P13" i="7"/>
  <c r="P13" i="9" s="1"/>
  <c r="R13" i="7"/>
  <c r="R13" i="9" s="1"/>
  <c r="M13" i="7"/>
  <c r="M13" i="9" s="1"/>
  <c r="I13" i="7"/>
  <c r="I13" i="9" s="1"/>
  <c r="K13" i="7"/>
  <c r="K13" i="9" s="1"/>
  <c r="T19" i="7" l="1"/>
  <c r="T18" i="9" s="1"/>
  <c r="K19" i="7"/>
  <c r="K18" i="9" s="1"/>
  <c r="L19" i="7"/>
  <c r="L18" i="9" s="1"/>
  <c r="O19" i="7"/>
  <c r="O18" i="9" s="1"/>
  <c r="I19" i="7"/>
  <c r="I18" i="9" s="1"/>
  <c r="N19" i="7"/>
  <c r="N18" i="9" s="1"/>
  <c r="S19" i="7"/>
  <c r="S18" i="9" s="1"/>
  <c r="R19" i="7"/>
  <c r="R18" i="9" s="1"/>
  <c r="Q19" i="7"/>
  <c r="Q18" i="9" s="1"/>
  <c r="P19" i="7"/>
  <c r="P18" i="9" s="1"/>
  <c r="M19" i="7" l="1"/>
  <c r="M18" i="9" s="1"/>
  <c r="J19" i="7"/>
  <c r="J18" i="9" s="1"/>
  <c r="J24" i="7" l="1"/>
  <c r="J20" i="9" s="1"/>
  <c r="O24" i="7"/>
  <c r="O20" i="9" s="1"/>
  <c r="L24" i="7"/>
  <c r="L20" i="9" s="1"/>
  <c r="N24" i="7"/>
  <c r="N20" i="9" s="1"/>
  <c r="T24" i="7"/>
  <c r="T20" i="9" s="1"/>
  <c r="S24" i="7"/>
  <c r="S20" i="9" s="1"/>
  <c r="I24" i="7"/>
  <c r="I20" i="9" s="1"/>
  <c r="M24" i="7"/>
  <c r="M20" i="9" s="1"/>
  <c r="R24" i="7"/>
  <c r="R20" i="9" s="1"/>
  <c r="Q24" i="7"/>
  <c r="Q20" i="9" s="1"/>
  <c r="K24" i="7"/>
  <c r="K20" i="9" s="1"/>
  <c r="P24" i="7"/>
  <c r="P20" i="9" s="1"/>
  <c r="J22" i="7" l="1"/>
  <c r="J19" i="9" s="1"/>
  <c r="L22" i="7"/>
  <c r="L19" i="9" s="1"/>
  <c r="S22" i="7"/>
  <c r="S19" i="9" s="1"/>
  <c r="K22" i="7"/>
  <c r="K19" i="9" s="1"/>
  <c r="Q22" i="7"/>
  <c r="Q19" i="9" s="1"/>
  <c r="N22" i="7"/>
  <c r="N19" i="9" s="1"/>
  <c r="R22" i="7"/>
  <c r="R19" i="9" s="1"/>
  <c r="I22" i="7"/>
  <c r="I19" i="9" s="1"/>
  <c r="P22" i="7"/>
  <c r="P19" i="9" s="1"/>
  <c r="O22" i="7"/>
  <c r="O19" i="9" s="1"/>
  <c r="M22" i="7"/>
  <c r="M19" i="9" s="1"/>
  <c r="T22" i="7"/>
  <c r="T19" i="9" s="1"/>
  <c r="N34" i="7" l="1"/>
  <c r="R34" i="7"/>
  <c r="J34" i="7"/>
  <c r="M34" i="7"/>
  <c r="Q34" i="7"/>
  <c r="O34" i="7"/>
  <c r="K34" i="7"/>
  <c r="P34" i="7"/>
  <c r="S34" i="7"/>
  <c r="T34" i="7"/>
  <c r="I34" i="7"/>
  <c r="L34" i="7"/>
  <c r="N20" i="7" l="1"/>
  <c r="N21" i="7" s="1"/>
  <c r="I20" i="7"/>
  <c r="I21" i="7" s="1"/>
  <c r="S20" i="7"/>
  <c r="S21" i="7" s="1"/>
  <c r="R44" i="7"/>
  <c r="O44" i="7"/>
  <c r="L44" i="7"/>
  <c r="I44" i="7"/>
  <c r="Q44" i="7"/>
  <c r="M44" i="7"/>
  <c r="S44" i="7"/>
  <c r="K44" i="7"/>
  <c r="N44" i="7"/>
  <c r="P44" i="7"/>
  <c r="T44" i="7"/>
  <c r="J44" i="7"/>
  <c r="K20" i="7"/>
  <c r="K21" i="7" s="1"/>
  <c r="R20" i="7"/>
  <c r="R21" i="7" s="1"/>
  <c r="O20" i="7"/>
  <c r="O21" i="7" s="1"/>
  <c r="J20" i="7"/>
  <c r="J21" i="7" s="1"/>
  <c r="Q20" i="7"/>
  <c r="Q21" i="7" s="1"/>
  <c r="L20" i="7"/>
  <c r="L21" i="7" s="1"/>
  <c r="M20" i="7"/>
  <c r="M21" i="7" s="1"/>
  <c r="P20" i="7"/>
  <c r="P21" i="7" s="1"/>
  <c r="T20" i="7"/>
  <c r="T21" i="7" s="1"/>
  <c r="T45" i="7" l="1"/>
  <c r="Q45" i="7"/>
  <c r="S45" i="7"/>
  <c r="J45" i="7"/>
  <c r="P45" i="7"/>
  <c r="I45" i="7"/>
  <c r="N45" i="7"/>
  <c r="L45" i="7"/>
  <c r="R45" i="7"/>
  <c r="M45" i="7"/>
  <c r="K45" i="7"/>
  <c r="O45" i="7"/>
  <c r="M39" i="7"/>
  <c r="N39" i="7"/>
  <c r="K39" i="7"/>
  <c r="T39" i="7"/>
  <c r="I39" i="7"/>
  <c r="O39" i="7"/>
  <c r="L39" i="7"/>
  <c r="J39" i="7"/>
  <c r="P39" i="7"/>
  <c r="S39" i="7"/>
  <c r="R39" i="7"/>
  <c r="Q39" i="7"/>
  <c r="R12" i="7" l="1"/>
  <c r="R12" i="9" s="1"/>
  <c r="S12" i="7"/>
  <c r="S12" i="9" s="1"/>
  <c r="S42" i="7" l="1"/>
  <c r="N42" i="7"/>
  <c r="L42" i="7"/>
  <c r="Q42" i="7"/>
  <c r="R42" i="7"/>
  <c r="K42" i="7"/>
  <c r="M42" i="7"/>
  <c r="J42" i="7"/>
  <c r="O42" i="7"/>
  <c r="I42" i="7"/>
  <c r="P42" i="7"/>
  <c r="T42" i="7"/>
  <c r="O12" i="7"/>
  <c r="O12" i="9" s="1"/>
  <c r="M12" i="7"/>
  <c r="M12" i="9" s="1"/>
  <c r="K12" i="7"/>
  <c r="K12" i="9" s="1"/>
  <c r="R43" i="7" l="1"/>
  <c r="O43" i="7"/>
  <c r="P43" i="7"/>
  <c r="I43" i="7"/>
  <c r="J43" i="7"/>
  <c r="S43" i="7"/>
  <c r="M43" i="7"/>
  <c r="K43" i="7"/>
  <c r="T43" i="7"/>
  <c r="Q43" i="7"/>
  <c r="N43" i="7"/>
  <c r="L43" i="7"/>
  <c r="T40" i="7"/>
  <c r="K40" i="7"/>
  <c r="S40" i="7"/>
  <c r="R40" i="7"/>
  <c r="I40" i="7"/>
  <c r="N40" i="7"/>
  <c r="Q40" i="7"/>
  <c r="P40" i="7"/>
  <c r="L40" i="7"/>
  <c r="O40" i="7"/>
  <c r="J40" i="7"/>
  <c r="M40" i="7"/>
  <c r="P12" i="7"/>
  <c r="P12" i="9" s="1"/>
  <c r="N73" i="7" l="1"/>
  <c r="N65" i="9" s="1"/>
  <c r="Q73" i="7"/>
  <c r="Q65" i="9" s="1"/>
  <c r="K73" i="7"/>
  <c r="K65" i="9" s="1"/>
  <c r="P73" i="7"/>
  <c r="P65" i="9" s="1"/>
  <c r="T73" i="7"/>
  <c r="T65" i="9" s="1"/>
  <c r="J73" i="7"/>
  <c r="J65" i="9" s="1"/>
  <c r="S73" i="7"/>
  <c r="S65" i="9" s="1"/>
  <c r="I73" i="7"/>
  <c r="I65" i="9" s="1"/>
  <c r="M73" i="7"/>
  <c r="M65" i="9" s="1"/>
  <c r="L73" i="7"/>
  <c r="L65" i="9" s="1"/>
  <c r="R73" i="7"/>
  <c r="R65" i="9" s="1"/>
  <c r="O73" i="7"/>
  <c r="O65" i="9" s="1"/>
  <c r="R98" i="7" l="1"/>
  <c r="R89" i="9" s="1"/>
  <c r="T98" i="7"/>
  <c r="T89" i="9" s="1"/>
  <c r="L98" i="7"/>
  <c r="L89" i="9" s="1"/>
  <c r="P98" i="7"/>
  <c r="P89" i="9" s="1"/>
  <c r="M98" i="7"/>
  <c r="M89" i="9" s="1"/>
  <c r="K98" i="7"/>
  <c r="K89" i="9" s="1"/>
  <c r="Q98" i="7"/>
  <c r="Q89" i="9" s="1"/>
  <c r="S98" i="7"/>
  <c r="S89" i="9" s="1"/>
  <c r="N98" i="7"/>
  <c r="N89" i="9" s="1"/>
  <c r="O98" i="7"/>
  <c r="O89" i="9" s="1"/>
  <c r="J98" i="7"/>
  <c r="J89" i="9" s="1"/>
  <c r="L41" i="7"/>
  <c r="K41" i="7"/>
  <c r="Q41" i="7"/>
  <c r="T41" i="7"/>
  <c r="N41" i="7"/>
  <c r="J41" i="7"/>
  <c r="R41" i="7"/>
  <c r="M41" i="7"/>
  <c r="O41" i="7"/>
  <c r="I41" i="7"/>
  <c r="S41" i="7"/>
  <c r="P41" i="7"/>
  <c r="I98" i="7"/>
  <c r="I89" i="9" s="1"/>
  <c r="S60" i="7"/>
  <c r="T60" i="7"/>
  <c r="R60" i="7"/>
  <c r="Q60" i="7"/>
  <c r="P60" i="7"/>
  <c r="M60" i="7"/>
  <c r="K60" i="7"/>
  <c r="J60" i="7"/>
  <c r="L60" i="7"/>
  <c r="N60" i="7"/>
  <c r="O60" i="7"/>
  <c r="I60" i="7"/>
  <c r="L57" i="9" l="1"/>
  <c r="R57" i="9"/>
  <c r="J57" i="9"/>
  <c r="T57" i="9"/>
  <c r="O57" i="9"/>
  <c r="Q57" i="9"/>
  <c r="K57" i="9"/>
  <c r="I57" i="9"/>
  <c r="P57" i="9"/>
  <c r="N57" i="9"/>
  <c r="M57" i="9"/>
  <c r="S57" i="9"/>
  <c r="T68" i="7"/>
  <c r="Q68" i="7"/>
  <c r="R68" i="7"/>
  <c r="R70" i="7" s="1"/>
  <c r="R62" i="9" s="1"/>
  <c r="S68" i="7"/>
  <c r="N68" i="7"/>
  <c r="L68" i="7"/>
  <c r="L70" i="7" s="1"/>
  <c r="L62" i="9" s="1"/>
  <c r="K68" i="7"/>
  <c r="M68" i="7"/>
  <c r="P68" i="7"/>
  <c r="O68" i="7"/>
  <c r="J68" i="7"/>
  <c r="I68" i="7"/>
  <c r="I70" i="7" s="1"/>
  <c r="I62" i="9" s="1"/>
  <c r="O70" i="7" l="1"/>
  <c r="O62" i="9" s="1"/>
  <c r="O61" i="9"/>
  <c r="S70" i="7"/>
  <c r="S62" i="9" s="1"/>
  <c r="S61" i="9"/>
  <c r="P61" i="9"/>
  <c r="R61" i="9"/>
  <c r="N70" i="7"/>
  <c r="N62" i="9" s="1"/>
  <c r="N61" i="9"/>
  <c r="M61" i="9"/>
  <c r="Q70" i="7"/>
  <c r="Q62" i="9" s="1"/>
  <c r="Q61" i="9"/>
  <c r="P70" i="7"/>
  <c r="P62" i="9" s="1"/>
  <c r="J70" i="7"/>
  <c r="J62" i="9" s="1"/>
  <c r="J61" i="9"/>
  <c r="K70" i="7"/>
  <c r="K62" i="9" s="1"/>
  <c r="K61" i="9"/>
  <c r="T70" i="7"/>
  <c r="T62" i="9" s="1"/>
  <c r="T61" i="9"/>
  <c r="M70" i="7"/>
  <c r="M62" i="9" s="1"/>
  <c r="I61" i="9"/>
  <c r="L61" i="9"/>
  <c r="K71" i="7"/>
  <c r="K63" i="9" s="1"/>
  <c r="O71" i="7"/>
  <c r="O63" i="9" s="1"/>
  <c r="M71" i="7"/>
  <c r="M63" i="9" s="1"/>
  <c r="S71" i="7"/>
  <c r="S63" i="9" s="1"/>
  <c r="R71" i="7"/>
  <c r="R63" i="9" s="1"/>
  <c r="J71" i="7"/>
  <c r="J63" i="9" s="1"/>
  <c r="T71" i="7"/>
  <c r="T63" i="9" s="1"/>
  <c r="L71" i="7"/>
  <c r="L63" i="9" s="1"/>
  <c r="Q71" i="7"/>
  <c r="Q63" i="9" s="1"/>
  <c r="N71" i="7"/>
  <c r="N63" i="9" s="1"/>
  <c r="P71" i="7"/>
  <c r="P63" i="9" s="1"/>
  <c r="I71" i="7"/>
  <c r="I63" i="9" s="1"/>
  <c r="S72" i="7" l="1"/>
  <c r="J72" i="7"/>
  <c r="L72" i="7"/>
  <c r="P72" i="7"/>
  <c r="Q72" i="7"/>
  <c r="O72" i="7"/>
  <c r="M72" i="7"/>
  <c r="K72" i="7"/>
  <c r="R72" i="7"/>
  <c r="T72" i="7"/>
  <c r="N72" i="7"/>
  <c r="I72" i="7"/>
  <c r="T64" i="9" l="1"/>
  <c r="T61" i="7"/>
  <c r="T69" i="7"/>
  <c r="Q64" i="9"/>
  <c r="Q61" i="7"/>
  <c r="Q69" i="7"/>
  <c r="L64" i="9"/>
  <c r="L61" i="7"/>
  <c r="L69" i="7"/>
  <c r="R64" i="9"/>
  <c r="R61" i="7"/>
  <c r="R69" i="7"/>
  <c r="K64" i="9"/>
  <c r="K61" i="7"/>
  <c r="K69" i="7"/>
  <c r="J64" i="9"/>
  <c r="J61" i="7"/>
  <c r="J69" i="7"/>
  <c r="I64" i="9"/>
  <c r="I61" i="7"/>
  <c r="I69" i="7"/>
  <c r="M64" i="9"/>
  <c r="M61" i="7"/>
  <c r="M69" i="7"/>
  <c r="S64" i="9"/>
  <c r="S61" i="7"/>
  <c r="S69" i="7"/>
  <c r="P64" i="9"/>
  <c r="P61" i="7"/>
  <c r="P69" i="7"/>
  <c r="N64" i="9"/>
  <c r="N61" i="7"/>
  <c r="N69" i="7"/>
  <c r="O64" i="9"/>
  <c r="O61" i="7"/>
  <c r="O69" i="7"/>
  <c r="M25" i="7" l="1"/>
  <c r="S25" i="7"/>
  <c r="Q25" i="7"/>
  <c r="L25" i="7"/>
  <c r="K25" i="7"/>
  <c r="J25" i="7"/>
  <c r="R25" i="7"/>
  <c r="O25" i="7"/>
  <c r="I25" i="7"/>
  <c r="P25" i="7"/>
  <c r="N25" i="7"/>
  <c r="T25" i="7"/>
  <c r="I26" i="7" l="1"/>
  <c r="N26" i="7"/>
  <c r="R26" i="7"/>
  <c r="L26" i="7"/>
  <c r="S26" i="7"/>
  <c r="K26" i="7"/>
  <c r="T26" i="7"/>
  <c r="P26" i="7"/>
  <c r="Q26" i="7"/>
  <c r="M26" i="7"/>
  <c r="O26" i="7"/>
  <c r="J26" i="7"/>
  <c r="K23" i="7" l="1"/>
  <c r="T23" i="7"/>
  <c r="P23" i="7"/>
  <c r="Q23" i="7"/>
  <c r="R23" i="7"/>
  <c r="L23" i="7"/>
  <c r="S23" i="7"/>
  <c r="J23" i="7"/>
  <c r="N23" i="7"/>
  <c r="O23" i="7"/>
  <c r="I23" i="7"/>
  <c r="M23" i="7"/>
  <c r="Q14" i="7" l="1"/>
  <c r="Q14" i="9" s="1"/>
  <c r="M14" i="7"/>
  <c r="M14" i="9" s="1"/>
  <c r="P14" i="7"/>
  <c r="P14" i="9" s="1"/>
  <c r="I14" i="7"/>
  <c r="I14" i="9" s="1"/>
  <c r="T14" i="7"/>
  <c r="T14" i="9" s="1"/>
  <c r="R14" i="7"/>
  <c r="R14" i="9" s="1"/>
  <c r="K14" i="7"/>
  <c r="K14" i="9" s="1"/>
  <c r="L14" i="7"/>
  <c r="L14" i="9" s="1"/>
  <c r="S14" i="7"/>
  <c r="S14" i="9" s="1"/>
  <c r="N14" i="7"/>
  <c r="N14" i="9" s="1"/>
  <c r="J14" i="7"/>
  <c r="J14" i="9" s="1"/>
  <c r="O14" i="7"/>
  <c r="O14" i="9" s="1"/>
  <c r="K18" i="7" l="1"/>
  <c r="K17" i="9" s="1"/>
  <c r="T18" i="7"/>
  <c r="T17" i="9" s="1"/>
  <c r="M18" i="7"/>
  <c r="M17" i="9" s="1"/>
  <c r="S18" i="7"/>
  <c r="S17" i="9" s="1"/>
  <c r="O18" i="7"/>
  <c r="O17" i="9" s="1"/>
  <c r="R18" i="7"/>
  <c r="R17" i="9" s="1"/>
  <c r="Q18" i="7"/>
  <c r="Q17" i="9" s="1"/>
  <c r="I18" i="7"/>
  <c r="I17" i="9" s="1"/>
  <c r="L18" i="7"/>
  <c r="L17" i="9" s="1"/>
  <c r="P18" i="7"/>
  <c r="P17" i="9" s="1"/>
  <c r="N18" i="7"/>
  <c r="N17" i="9" s="1"/>
  <c r="J18" i="7"/>
  <c r="J17" i="9" s="1"/>
  <c r="O15" i="7" l="1"/>
  <c r="O15" i="9" s="1"/>
  <c r="L15" i="7"/>
  <c r="L15" i="9" s="1"/>
  <c r="J15" i="7"/>
  <c r="J15" i="9" s="1"/>
  <c r="M15" i="7"/>
  <c r="M15" i="9" s="1"/>
  <c r="T15" i="7"/>
  <c r="T15" i="9" s="1"/>
  <c r="S15" i="7"/>
  <c r="S15" i="9" s="1"/>
  <c r="I15" i="7"/>
  <c r="I15" i="9" s="1"/>
  <c r="P15" i="7"/>
  <c r="P15" i="9" s="1"/>
  <c r="K15" i="7"/>
  <c r="K15" i="9" s="1"/>
  <c r="R15" i="7"/>
  <c r="R15" i="9" s="1"/>
  <c r="Q15" i="7"/>
  <c r="Q15" i="9" s="1"/>
  <c r="N15" i="7"/>
  <c r="N15" i="9" s="1"/>
  <c r="R81" i="7"/>
  <c r="I81" i="7"/>
  <c r="I72" i="9" s="1"/>
  <c r="O81" i="7"/>
  <c r="P81" i="7"/>
  <c r="S81" i="7"/>
  <c r="N81" i="7"/>
  <c r="M81" i="7"/>
  <c r="J81" i="7"/>
  <c r="T81" i="7"/>
  <c r="L81" i="7"/>
  <c r="Q81" i="7"/>
  <c r="K81" i="7"/>
  <c r="K72" i="9" l="1"/>
  <c r="K110" i="9" s="1"/>
  <c r="N72" i="9"/>
  <c r="R72" i="9"/>
  <c r="Q72" i="9"/>
  <c r="M72" i="9"/>
  <c r="L72" i="9"/>
  <c r="P72" i="9"/>
  <c r="S72" i="9"/>
  <c r="T72" i="9"/>
  <c r="O72" i="9"/>
  <c r="J72" i="9"/>
  <c r="J110" i="9" s="1"/>
  <c r="L111" i="9" s="1"/>
  <c r="I100" i="7"/>
  <c r="I91" i="9" s="1"/>
  <c r="M100" i="7"/>
  <c r="M91" i="9" s="1"/>
  <c r="R100" i="7"/>
  <c r="R91" i="9" s="1"/>
  <c r="K100" i="7"/>
  <c r="K91" i="9" s="1"/>
  <c r="N100" i="7"/>
  <c r="N91" i="9" s="1"/>
  <c r="Q100" i="7"/>
  <c r="Q91" i="9" s="1"/>
  <c r="S100" i="7"/>
  <c r="S91" i="9" s="1"/>
  <c r="L100" i="7"/>
  <c r="L91" i="9" s="1"/>
  <c r="P100" i="7"/>
  <c r="P91" i="9" s="1"/>
  <c r="T100" i="7"/>
  <c r="T91" i="9" s="1"/>
  <c r="O100" i="7"/>
  <c r="O91" i="9" s="1"/>
  <c r="J100" i="7"/>
  <c r="J91" i="9" s="1"/>
  <c r="Q17" i="7"/>
  <c r="Q16" i="9" s="1"/>
  <c r="T17" i="7"/>
  <c r="T16" i="9" s="1"/>
  <c r="R17" i="7"/>
  <c r="R16" i="9" s="1"/>
  <c r="M17" i="7"/>
  <c r="M16" i="9" s="1"/>
  <c r="R84" i="7"/>
  <c r="R75" i="9" s="1"/>
  <c r="K84" i="7"/>
  <c r="K75" i="9" s="1"/>
  <c r="O84" i="7"/>
  <c r="O75" i="9" s="1"/>
  <c r="N84" i="7"/>
  <c r="N75" i="9" s="1"/>
  <c r="L84" i="7"/>
  <c r="L75" i="9" s="1"/>
  <c r="S84" i="7"/>
  <c r="S75" i="9" s="1"/>
  <c r="I84" i="7"/>
  <c r="I75" i="9" s="1"/>
  <c r="M84" i="7"/>
  <c r="M75" i="9" s="1"/>
  <c r="T84" i="7"/>
  <c r="T75" i="9" s="1"/>
  <c r="Q84" i="7"/>
  <c r="Q75" i="9" s="1"/>
  <c r="J84" i="7"/>
  <c r="J75" i="9" s="1"/>
  <c r="P84" i="7"/>
  <c r="P75" i="9" s="1"/>
  <c r="K17" i="7"/>
  <c r="K16" i="9" s="1"/>
  <c r="J17" i="7"/>
  <c r="J16" i="9" s="1"/>
  <c r="P17" i="7"/>
  <c r="P16" i="9" s="1"/>
  <c r="L17" i="7"/>
  <c r="L16" i="9" s="1"/>
  <c r="I17" i="7"/>
  <c r="I16" i="9" s="1"/>
  <c r="O17" i="7"/>
  <c r="O16" i="9" s="1"/>
  <c r="N17" i="7"/>
  <c r="N16" i="9" s="1"/>
  <c r="S17" i="7"/>
  <c r="S16" i="9" s="1"/>
  <c r="J27" i="7" l="1"/>
  <c r="M27" i="7"/>
  <c r="P27" i="7"/>
  <c r="K27" i="7"/>
  <c r="N27" i="7"/>
  <c r="R27" i="7"/>
  <c r="S27" i="7"/>
  <c r="T27" i="7"/>
  <c r="Q27" i="7"/>
  <c r="L27" i="7"/>
  <c r="I27" i="7"/>
  <c r="O27" i="7"/>
  <c r="R85" i="7"/>
  <c r="R76" i="9" s="1"/>
  <c r="P85" i="7"/>
  <c r="P76" i="9" s="1"/>
  <c r="Q85" i="7"/>
  <c r="Q76" i="9" s="1"/>
  <c r="J85" i="7"/>
  <c r="J76" i="9" s="1"/>
  <c r="T85" i="7"/>
  <c r="T76" i="9" s="1"/>
  <c r="I85" i="7"/>
  <c r="I76" i="9" s="1"/>
  <c r="M85" i="7"/>
  <c r="M76" i="9" s="1"/>
  <c r="N85" i="7"/>
  <c r="N76" i="9" s="1"/>
  <c r="L85" i="7"/>
  <c r="L76" i="9" s="1"/>
  <c r="K85" i="7"/>
  <c r="K76" i="9" s="1"/>
  <c r="O85" i="7"/>
  <c r="O76" i="9" s="1"/>
  <c r="S85" i="7"/>
  <c r="S76" i="9" s="1"/>
  <c r="L62" i="7"/>
  <c r="L63" i="7" s="1"/>
  <c r="R62" i="7"/>
  <c r="R63" i="7" s="1"/>
  <c r="O62" i="7"/>
  <c r="O63" i="7" s="1"/>
  <c r="Q62" i="7"/>
  <c r="Q63" i="7" s="1"/>
  <c r="N62" i="7"/>
  <c r="N63" i="7" s="1"/>
  <c r="T62" i="7"/>
  <c r="T63" i="7" s="1"/>
  <c r="S62" i="7"/>
  <c r="S63" i="7" s="1"/>
  <c r="I62" i="7"/>
  <c r="I63" i="7" s="1"/>
  <c r="P62" i="7"/>
  <c r="P63" i="7" s="1"/>
  <c r="M62" i="7"/>
  <c r="M63" i="7" s="1"/>
  <c r="J62" i="7"/>
  <c r="J63" i="7" s="1"/>
  <c r="K62" i="7"/>
  <c r="K63" i="7" s="1"/>
  <c r="R103" i="7" l="1"/>
  <c r="R94" i="9" s="1"/>
  <c r="O103" i="7"/>
  <c r="O94" i="9" s="1"/>
  <c r="T103" i="7"/>
  <c r="T94" i="9" s="1"/>
  <c r="S103" i="7"/>
  <c r="S94" i="9" s="1"/>
  <c r="K103" i="7"/>
  <c r="K94" i="9" s="1"/>
  <c r="J103" i="7"/>
  <c r="J94" i="9" s="1"/>
  <c r="L103" i="7"/>
  <c r="L94" i="9" s="1"/>
  <c r="Q103" i="7"/>
  <c r="Q94" i="9" s="1"/>
  <c r="N103" i="7"/>
  <c r="N94" i="9" s="1"/>
  <c r="M103" i="7"/>
  <c r="M94" i="9" s="1"/>
  <c r="P103" i="7"/>
  <c r="P94" i="9" s="1"/>
  <c r="N87" i="7"/>
  <c r="N78" i="9" s="1"/>
  <c r="P87" i="7"/>
  <c r="P78" i="9" s="1"/>
  <c r="O87" i="7"/>
  <c r="O78" i="9" s="1"/>
  <c r="T87" i="7"/>
  <c r="T78" i="9" s="1"/>
  <c r="Q87" i="7"/>
  <c r="Q78" i="9" s="1"/>
  <c r="Q86" i="7"/>
  <c r="N86" i="7"/>
  <c r="L87" i="7"/>
  <c r="L78" i="9" s="1"/>
  <c r="L86" i="7"/>
  <c r="M87" i="7"/>
  <c r="M78" i="9" s="1"/>
  <c r="M86" i="7"/>
  <c r="P86" i="7"/>
  <c r="S87" i="7"/>
  <c r="S78" i="9" s="1"/>
  <c r="S86" i="7"/>
  <c r="I87" i="7"/>
  <c r="I78" i="9" s="1"/>
  <c r="I103" i="7"/>
  <c r="I94" i="9" s="1"/>
  <c r="I86" i="7"/>
  <c r="I77" i="9" s="1"/>
  <c r="R87" i="7"/>
  <c r="R78" i="9" s="1"/>
  <c r="R86" i="7"/>
  <c r="O86" i="7"/>
  <c r="T86" i="7"/>
  <c r="K87" i="7"/>
  <c r="K78" i="9" s="1"/>
  <c r="K86" i="7"/>
  <c r="J87" i="7"/>
  <c r="J78" i="9" s="1"/>
  <c r="J86" i="7"/>
  <c r="J77" i="9" l="1"/>
  <c r="J109" i="9" s="1"/>
  <c r="J112" i="9" s="1"/>
  <c r="L113" i="9" s="1"/>
  <c r="J118" i="7"/>
  <c r="L77" i="9"/>
  <c r="L109" i="9" s="1"/>
  <c r="L118" i="7"/>
  <c r="K77" i="9"/>
  <c r="K109" i="9" s="1"/>
  <c r="K112" i="9" s="1"/>
  <c r="K118" i="7"/>
  <c r="T77" i="9"/>
  <c r="T109" i="9" s="1"/>
  <c r="T118" i="7"/>
  <c r="R77" i="9"/>
  <c r="R109" i="9" s="1"/>
  <c r="R118" i="7"/>
  <c r="P77" i="9"/>
  <c r="P109" i="9" s="1"/>
  <c r="P118" i="7"/>
  <c r="N77" i="9"/>
  <c r="N109" i="9" s="1"/>
  <c r="N118" i="7"/>
  <c r="S77" i="9"/>
  <c r="S109" i="9" s="1"/>
  <c r="S118" i="7"/>
  <c r="Q77" i="9"/>
  <c r="Q109" i="9" s="1"/>
  <c r="Q118" i="7"/>
  <c r="O77" i="9"/>
  <c r="O109" i="9" s="1"/>
  <c r="O118" i="7"/>
  <c r="M77" i="9"/>
  <c r="M109" i="9" s="1"/>
  <c r="M118" i="7"/>
  <c r="P82" i="7"/>
  <c r="O82" i="7"/>
  <c r="T82" i="7"/>
  <c r="N82" i="7"/>
  <c r="R82" i="7"/>
  <c r="J82" i="7"/>
  <c r="L82" i="7"/>
  <c r="S82" i="7"/>
  <c r="M82" i="7"/>
  <c r="Q82" i="7"/>
  <c r="I82" i="7"/>
  <c r="K82" i="7"/>
  <c r="S83" i="7" l="1"/>
  <c r="S73" i="9"/>
  <c r="O73" i="9"/>
  <c r="O83" i="7"/>
  <c r="P83" i="7"/>
  <c r="P73" i="9"/>
  <c r="K83" i="7"/>
  <c r="K73" i="9"/>
  <c r="J83" i="7"/>
  <c r="J73" i="9"/>
  <c r="I73" i="9"/>
  <c r="I83" i="7"/>
  <c r="R83" i="7"/>
  <c r="R73" i="9"/>
  <c r="L73" i="9"/>
  <c r="L83" i="7"/>
  <c r="Q83" i="7"/>
  <c r="Q73" i="9"/>
  <c r="N73" i="9"/>
  <c r="N83" i="7"/>
  <c r="M73" i="9"/>
  <c r="M83" i="7"/>
  <c r="T73" i="9"/>
  <c r="T83" i="7"/>
  <c r="S88" i="7"/>
  <c r="S79" i="9" s="1"/>
  <c r="J88" i="7"/>
  <c r="J79" i="9" s="1"/>
  <c r="P88" i="7"/>
  <c r="P79" i="9" s="1"/>
  <c r="I88" i="7"/>
  <c r="I79" i="9" s="1"/>
  <c r="L88" i="7"/>
  <c r="L79" i="9" s="1"/>
  <c r="T88" i="7"/>
  <c r="T79" i="9" s="1"/>
  <c r="K88" i="7"/>
  <c r="K79" i="9" s="1"/>
  <c r="O88" i="7"/>
  <c r="O79" i="9" s="1"/>
  <c r="R88" i="7"/>
  <c r="R79" i="9" s="1"/>
  <c r="M88" i="7"/>
  <c r="M79" i="9" s="1"/>
  <c r="Q88" i="7"/>
  <c r="Q79" i="9" s="1"/>
  <c r="Q16" i="7" l="1"/>
  <c r="Q74" i="9"/>
  <c r="K74" i="9"/>
  <c r="K16" i="7"/>
  <c r="T16" i="7"/>
  <c r="T74" i="9"/>
  <c r="L16" i="7"/>
  <c r="L74" i="9"/>
  <c r="R16" i="7"/>
  <c r="R74" i="9"/>
  <c r="O16" i="7"/>
  <c r="O74" i="9"/>
  <c r="M74" i="9"/>
  <c r="M16" i="7"/>
  <c r="N74" i="9"/>
  <c r="N16" i="7"/>
  <c r="I74" i="9"/>
  <c r="I16" i="7"/>
  <c r="J74" i="9"/>
  <c r="J16" i="7"/>
  <c r="P16" i="7"/>
  <c r="P74" i="9"/>
  <c r="S74" i="9"/>
  <c r="S16" i="7"/>
  <c r="O89" i="7"/>
  <c r="O80" i="9" s="1"/>
  <c r="P89" i="7"/>
  <c r="P80" i="9" s="1"/>
  <c r="M89" i="7"/>
  <c r="M80" i="9" s="1"/>
  <c r="I89" i="7"/>
  <c r="I80" i="9" s="1"/>
  <c r="T89" i="7"/>
  <c r="T80" i="9" s="1"/>
  <c r="S89" i="7"/>
  <c r="S80" i="9" s="1"/>
  <c r="R89" i="7"/>
  <c r="R80" i="9" s="1"/>
  <c r="K89" i="7"/>
  <c r="K80" i="9" s="1"/>
  <c r="J89" i="7"/>
  <c r="J80" i="9" s="1"/>
  <c r="Q89" i="7"/>
  <c r="Q80" i="9" s="1"/>
  <c r="L89" i="7"/>
  <c r="L80" i="9" s="1"/>
  <c r="P90" i="7" l="1"/>
  <c r="P81" i="9" s="1"/>
  <c r="M90" i="7"/>
  <c r="M81" i="9" s="1"/>
  <c r="O90" i="7"/>
  <c r="O81" i="9" s="1"/>
  <c r="L90" i="7"/>
  <c r="L81" i="9" s="1"/>
  <c r="T90" i="7"/>
  <c r="T81" i="9" s="1"/>
  <c r="R90" i="7"/>
  <c r="R81" i="9" s="1"/>
  <c r="K90" i="7"/>
  <c r="K81" i="9" s="1"/>
  <c r="S90" i="7"/>
  <c r="S81" i="9" s="1"/>
  <c r="Q90" i="7"/>
  <c r="Q81" i="9" s="1"/>
  <c r="I90" i="7"/>
  <c r="I81" i="9" s="1"/>
  <c r="J90" i="7"/>
  <c r="J81" i="9" s="1"/>
  <c r="S91" i="7" l="1"/>
  <c r="S82" i="9" s="1"/>
  <c r="I91" i="7"/>
  <c r="I82" i="9" s="1"/>
  <c r="L91" i="7"/>
  <c r="L82" i="9" s="1"/>
  <c r="Q91" i="7"/>
  <c r="Q82" i="9" s="1"/>
  <c r="O91" i="7"/>
  <c r="O82" i="9" s="1"/>
  <c r="R91" i="7"/>
  <c r="R82" i="9" s="1"/>
  <c r="M91" i="7"/>
  <c r="M82" i="9" s="1"/>
  <c r="K91" i="7"/>
  <c r="K82" i="9" s="1"/>
  <c r="T91" i="7"/>
  <c r="T82" i="9" s="1"/>
  <c r="M51" i="7" l="1"/>
  <c r="M48" i="9" s="1"/>
  <c r="L51" i="7"/>
  <c r="L48" i="9" s="1"/>
  <c r="T51" i="7"/>
  <c r="T48" i="9" s="1"/>
  <c r="Q51" i="7"/>
  <c r="Q48" i="9" s="1"/>
  <c r="P51" i="7"/>
  <c r="P48" i="9" s="1"/>
  <c r="K51" i="7"/>
  <c r="N51" i="7"/>
  <c r="N48" i="9" s="1"/>
  <c r="I51" i="7"/>
  <c r="I48" i="9" s="1"/>
  <c r="J51" i="7"/>
  <c r="S51" i="7"/>
  <c r="S48" i="9" s="1"/>
  <c r="O51" i="7"/>
  <c r="O48" i="9" s="1"/>
  <c r="R51" i="7"/>
  <c r="R48" i="9" s="1"/>
  <c r="L52" i="7" l="1"/>
  <c r="L49" i="9" s="1"/>
  <c r="K52" i="7"/>
  <c r="I52" i="7"/>
  <c r="I49" i="9" s="1"/>
  <c r="S52" i="7"/>
  <c r="S49" i="9" s="1"/>
  <c r="N52" i="7"/>
  <c r="N49" i="9" s="1"/>
  <c r="T52" i="7"/>
  <c r="T49" i="9" s="1"/>
  <c r="J52" i="7"/>
  <c r="O52" i="7"/>
  <c r="O49" i="9" s="1"/>
  <c r="R52" i="7"/>
  <c r="R49" i="9" s="1"/>
  <c r="P52" i="7"/>
  <c r="P49" i="9" s="1"/>
  <c r="M52" i="7"/>
  <c r="M49" i="9" s="1"/>
  <c r="Q52" i="7"/>
  <c r="Q49" i="9" s="1"/>
  <c r="R53" i="7" l="1"/>
  <c r="M53" i="7"/>
  <c r="S53" i="7"/>
  <c r="Q53" i="7"/>
  <c r="N53" i="7"/>
  <c r="I53" i="7"/>
  <c r="I50" i="9" s="1"/>
  <c r="L53" i="7"/>
  <c r="K53" i="7"/>
  <c r="O53" i="7"/>
  <c r="J53" i="7"/>
  <c r="T53" i="7"/>
  <c r="P53" i="7"/>
  <c r="P50" i="9" l="1"/>
  <c r="P119" i="7"/>
  <c r="P121" i="7"/>
  <c r="T50" i="9"/>
  <c r="T119" i="7"/>
  <c r="T121" i="7"/>
  <c r="N50" i="9"/>
  <c r="N119" i="7"/>
  <c r="N121" i="7"/>
  <c r="L50" i="9"/>
  <c r="L119" i="7"/>
  <c r="L121" i="7"/>
  <c r="Q50" i="9"/>
  <c r="Q119" i="7"/>
  <c r="Q121" i="7"/>
  <c r="R50" i="9"/>
  <c r="R119" i="7"/>
  <c r="R121" i="7"/>
  <c r="S50" i="9"/>
  <c r="S119" i="7"/>
  <c r="S121" i="7"/>
  <c r="J119" i="7"/>
  <c r="J121" i="7"/>
  <c r="O50" i="9"/>
  <c r="O119" i="7"/>
  <c r="O121" i="7"/>
  <c r="K119" i="7"/>
  <c r="K121" i="7"/>
  <c r="M50" i="9"/>
  <c r="M119" i="7"/>
  <c r="M121" i="7"/>
  <c r="P102" i="7"/>
  <c r="P93" i="9" s="1"/>
  <c r="P101" i="7"/>
  <c r="P92" i="9" s="1"/>
  <c r="P99" i="7"/>
  <c r="P90" i="9" s="1"/>
  <c r="P104" i="7"/>
  <c r="P95" i="9" s="1"/>
  <c r="P105" i="7"/>
  <c r="P96" i="9" s="1"/>
  <c r="I101" i="7"/>
  <c r="I92" i="9" s="1"/>
  <c r="I102" i="7"/>
  <c r="I93" i="9" s="1"/>
  <c r="I99" i="7"/>
  <c r="I90" i="9" s="1"/>
  <c r="I105" i="7"/>
  <c r="I96" i="9" s="1"/>
  <c r="I104" i="7"/>
  <c r="I95" i="9" s="1"/>
  <c r="N101" i="7"/>
  <c r="N92" i="9" s="1"/>
  <c r="N102" i="7"/>
  <c r="N93" i="9" s="1"/>
  <c r="N99" i="7"/>
  <c r="N90" i="9" s="1"/>
  <c r="N104" i="7"/>
  <c r="N95" i="9" s="1"/>
  <c r="N105" i="7"/>
  <c r="N96" i="9" s="1"/>
  <c r="J102" i="7"/>
  <c r="J93" i="9" s="1"/>
  <c r="J101" i="7"/>
  <c r="J92" i="9" s="1"/>
  <c r="J99" i="7"/>
  <c r="J90" i="9" s="1"/>
  <c r="J104" i="7"/>
  <c r="J95" i="9" s="1"/>
  <c r="J105" i="7"/>
  <c r="J96" i="9" s="1"/>
  <c r="Q101" i="7"/>
  <c r="Q92" i="9" s="1"/>
  <c r="Q102" i="7"/>
  <c r="Q93" i="9" s="1"/>
  <c r="Q99" i="7"/>
  <c r="Q90" i="9" s="1"/>
  <c r="Q104" i="7"/>
  <c r="Q95" i="9" s="1"/>
  <c r="Q105" i="7"/>
  <c r="Q96" i="9" s="1"/>
  <c r="T101" i="7"/>
  <c r="T92" i="9" s="1"/>
  <c r="T102" i="7"/>
  <c r="T93" i="9" s="1"/>
  <c r="T99" i="7"/>
  <c r="T90" i="9" s="1"/>
  <c r="T105" i="7"/>
  <c r="T96" i="9" s="1"/>
  <c r="T104" i="7"/>
  <c r="T95" i="9" s="1"/>
  <c r="O101" i="7"/>
  <c r="O92" i="9" s="1"/>
  <c r="O102" i="7"/>
  <c r="O93" i="9" s="1"/>
  <c r="O99" i="7"/>
  <c r="O90" i="9" s="1"/>
  <c r="O104" i="7"/>
  <c r="O95" i="9" s="1"/>
  <c r="O105" i="7"/>
  <c r="O96" i="9" s="1"/>
  <c r="S101" i="7"/>
  <c r="S92" i="9" s="1"/>
  <c r="S102" i="7"/>
  <c r="S93" i="9" s="1"/>
  <c r="S99" i="7"/>
  <c r="S90" i="9" s="1"/>
  <c r="S105" i="7"/>
  <c r="S96" i="9" s="1"/>
  <c r="S104" i="7"/>
  <c r="S95" i="9" s="1"/>
  <c r="K101" i="7"/>
  <c r="K92" i="9" s="1"/>
  <c r="K102" i="7"/>
  <c r="K93" i="9" s="1"/>
  <c r="K99" i="7"/>
  <c r="K90" i="9" s="1"/>
  <c r="K104" i="7"/>
  <c r="K95" i="9" s="1"/>
  <c r="K105" i="7"/>
  <c r="K96" i="9" s="1"/>
  <c r="M101" i="7"/>
  <c r="M92" i="9" s="1"/>
  <c r="M102" i="7"/>
  <c r="M93" i="9" s="1"/>
  <c r="M99" i="7"/>
  <c r="M90" i="9" s="1"/>
  <c r="M104" i="7"/>
  <c r="M95" i="9" s="1"/>
  <c r="M105" i="7"/>
  <c r="M96" i="9" s="1"/>
  <c r="L101" i="7"/>
  <c r="L92" i="9" s="1"/>
  <c r="L102" i="7"/>
  <c r="L93" i="9" s="1"/>
  <c r="L99" i="7"/>
  <c r="L90" i="9" s="1"/>
  <c r="L104" i="7"/>
  <c r="L95" i="9" s="1"/>
  <c r="L105" i="7"/>
  <c r="L96" i="9" s="1"/>
  <c r="R101" i="7"/>
  <c r="R92" i="9" s="1"/>
  <c r="R102" i="7"/>
  <c r="R93" i="9" s="1"/>
  <c r="R99" i="7"/>
  <c r="R90" i="9" s="1"/>
  <c r="R104" i="7"/>
  <c r="R95" i="9" s="1"/>
  <c r="R105" i="7"/>
  <c r="R96" i="9" s="1"/>
  <c r="I35" i="7"/>
  <c r="I38" i="7" s="1"/>
  <c r="L35" i="7"/>
  <c r="L38" i="7" s="1"/>
  <c r="S35" i="7"/>
  <c r="S38" i="7" s="1"/>
  <c r="Q35" i="7"/>
  <c r="Q38" i="7" s="1"/>
  <c r="M35" i="7"/>
  <c r="M38" i="7" s="1"/>
  <c r="R35" i="7"/>
  <c r="R38" i="7" s="1"/>
  <c r="P35" i="7"/>
  <c r="P38" i="7" s="1"/>
  <c r="T35" i="7"/>
  <c r="T38" i="7" s="1"/>
  <c r="N35" i="7"/>
  <c r="N38" i="7" s="1"/>
  <c r="O35" i="7"/>
  <c r="O38" i="7" s="1"/>
  <c r="M110" i="9" l="1"/>
  <c r="M112" i="9"/>
  <c r="L122" i="7"/>
  <c r="L120" i="7"/>
  <c r="R110" i="9"/>
  <c r="R112" i="9"/>
  <c r="L110" i="9"/>
  <c r="L112" i="9"/>
  <c r="T110" i="9"/>
  <c r="T112" i="9"/>
  <c r="O122" i="7"/>
  <c r="O110" i="9"/>
  <c r="O112" i="9"/>
  <c r="O120" i="7"/>
  <c r="S110" i="9"/>
  <c r="S112" i="9"/>
  <c r="Q110" i="9"/>
  <c r="Q112" i="9"/>
  <c r="N110" i="9"/>
  <c r="N112" i="9"/>
  <c r="P110" i="9"/>
  <c r="P112" i="9"/>
  <c r="I37" i="7"/>
  <c r="I36" i="7"/>
  <c r="N37" i="7"/>
  <c r="N36" i="7"/>
  <c r="S37" i="7"/>
  <c r="S36" i="7"/>
  <c r="T37" i="7"/>
  <c r="T36" i="7"/>
  <c r="P37" i="7"/>
  <c r="P36" i="7"/>
  <c r="L37" i="7"/>
  <c r="L36" i="7"/>
  <c r="R37" i="7"/>
  <c r="R36" i="7"/>
  <c r="M37" i="7"/>
  <c r="M36" i="7"/>
  <c r="S65" i="7"/>
  <c r="P65" i="7"/>
  <c r="M65" i="7"/>
  <c r="J65" i="7"/>
  <c r="Q65" i="7"/>
  <c r="O65" i="7"/>
  <c r="K65" i="7"/>
  <c r="I65" i="7"/>
  <c r="T65" i="7"/>
  <c r="R65" i="7"/>
  <c r="N65" i="7"/>
  <c r="L65" i="7"/>
  <c r="O37" i="7"/>
  <c r="O36" i="7"/>
  <c r="Q37" i="7"/>
  <c r="Q36" i="7"/>
  <c r="O113" i="9" l="1"/>
  <c r="O111" i="9"/>
  <c r="N64" i="7"/>
  <c r="N58" i="9" s="1"/>
  <c r="L64" i="7"/>
  <c r="L58" i="9" s="1"/>
  <c r="I64" i="7"/>
  <c r="I58" i="9" s="1"/>
  <c r="R64" i="7"/>
  <c r="R58" i="9" s="1"/>
  <c r="J64" i="7"/>
  <c r="J58" i="9" s="1"/>
  <c r="N67" i="7" l="1"/>
  <c r="N60" i="9" s="1"/>
  <c r="P67" i="7"/>
  <c r="P60" i="9" s="1"/>
  <c r="J67" i="7"/>
  <c r="J60" i="9" s="1"/>
  <c r="R67" i="7"/>
  <c r="R60" i="9" s="1"/>
  <c r="I67" i="7"/>
  <c r="I60" i="9" s="1"/>
  <c r="I66" i="7" l="1"/>
  <c r="I59" i="9" s="1"/>
  <c r="R66" i="7"/>
  <c r="R59" i="9" s="1"/>
  <c r="N66" i="7"/>
  <c r="N59" i="9" s="1"/>
  <c r="P66" i="7"/>
  <c r="P59" i="9" s="1"/>
  <c r="J66" i="7"/>
  <c r="J59" i="9" s="1"/>
  <c r="P64" i="7" l="1"/>
  <c r="P58" i="9" s="1"/>
  <c r="L66" i="7" l="1"/>
  <c r="L59" i="9" s="1"/>
  <c r="L67" i="7" l="1"/>
  <c r="L60" i="9" s="1"/>
</calcChain>
</file>

<file path=xl/sharedStrings.xml><?xml version="1.0" encoding="utf-8"?>
<sst xmlns="http://schemas.openxmlformats.org/spreadsheetml/2006/main" count="568" uniqueCount="145">
  <si>
    <t>FVPL</t>
    <phoneticPr fontId="2" type="noConversion"/>
  </si>
  <si>
    <t>FVOCI</t>
    <phoneticPr fontId="2" type="noConversion"/>
  </si>
  <si>
    <t>AC</t>
    <phoneticPr fontId="2" type="noConversion"/>
  </si>
  <si>
    <t>BEL</t>
    <phoneticPr fontId="2" type="noConversion"/>
  </si>
  <si>
    <t>RA</t>
    <phoneticPr fontId="2" type="noConversion"/>
  </si>
  <si>
    <t>CSM</t>
    <phoneticPr fontId="2" type="noConversion"/>
  </si>
  <si>
    <t>수익증권</t>
    <phoneticPr fontId="2" type="noConversion"/>
  </si>
  <si>
    <t>합계</t>
    <phoneticPr fontId="2" type="noConversion"/>
  </si>
  <si>
    <t>이익잉여금</t>
    <phoneticPr fontId="2" type="noConversion"/>
  </si>
  <si>
    <t>투자손익</t>
    <phoneticPr fontId="2" type="noConversion"/>
  </si>
  <si>
    <t>영업이익</t>
    <phoneticPr fontId="2" type="noConversion"/>
  </si>
  <si>
    <t>영업외손익</t>
    <phoneticPr fontId="2" type="noConversion"/>
  </si>
  <si>
    <t>K-ICS</t>
    <phoneticPr fontId="2" type="noConversion"/>
  </si>
  <si>
    <t>당기순이익</t>
    <phoneticPr fontId="2" type="noConversion"/>
  </si>
  <si>
    <t>보험손익</t>
    <phoneticPr fontId="2" type="noConversion"/>
  </si>
  <si>
    <t>KB라이프</t>
  </si>
  <si>
    <t>구분</t>
    <phoneticPr fontId="2" type="noConversion"/>
  </si>
  <si>
    <t>신한라이프</t>
  </si>
  <si>
    <t>(단위 : 억원)</t>
    <phoneticPr fontId="2" type="noConversion"/>
  </si>
  <si>
    <t>1. 자산 현황</t>
    <phoneticPr fontId="2" type="noConversion"/>
  </si>
  <si>
    <t>부채</t>
    <phoneticPr fontId="2" type="noConversion"/>
  </si>
  <si>
    <t>(비중)</t>
    <phoneticPr fontId="2" type="noConversion"/>
  </si>
  <si>
    <t>전기말 대비</t>
    <phoneticPr fontId="2" type="noConversion"/>
  </si>
  <si>
    <t>(증가율)</t>
    <phoneticPr fontId="2" type="noConversion"/>
  </si>
  <si>
    <t>신계약CSM(a)</t>
    <phoneticPr fontId="2" type="noConversion"/>
  </si>
  <si>
    <t>CSM상각액(b)</t>
    <phoneticPr fontId="2" type="noConversion"/>
  </si>
  <si>
    <t>상각액Cover율(a/b)</t>
    <phoneticPr fontId="2" type="noConversion"/>
  </si>
  <si>
    <t>3. 손익현황</t>
    <phoneticPr fontId="2" type="noConversion"/>
  </si>
  <si>
    <t>세전이익</t>
    <phoneticPr fontId="2" type="noConversion"/>
  </si>
  <si>
    <t>자기자본</t>
    <phoneticPr fontId="2" type="noConversion"/>
  </si>
  <si>
    <t>(상각률)</t>
    <phoneticPr fontId="2" type="noConversion"/>
  </si>
  <si>
    <t>* CSM상각률 : CSM상각액 / (CSM잔액 + CSM상각액)  * (4 / 분기)</t>
    <phoneticPr fontId="2" type="noConversion"/>
  </si>
  <si>
    <t>[참고] 당사 FVPL 자산 현황</t>
    <phoneticPr fontId="2" type="noConversion"/>
  </si>
  <si>
    <t>변액보험</t>
    <phoneticPr fontId="2" type="noConversion"/>
  </si>
  <si>
    <t>주식/출자금</t>
    <phoneticPr fontId="2" type="noConversion"/>
  </si>
  <si>
    <t>해외주식</t>
    <phoneticPr fontId="2" type="noConversion"/>
  </si>
  <si>
    <t>국내채권</t>
    <phoneticPr fontId="2" type="noConversion"/>
  </si>
  <si>
    <t>해외채권</t>
    <phoneticPr fontId="2" type="noConversion"/>
  </si>
  <si>
    <t>외화수익증권</t>
    <phoneticPr fontId="2" type="noConversion"/>
  </si>
  <si>
    <t xml:space="preserve">FVPL </t>
    <phoneticPr fontId="2" type="noConversion"/>
  </si>
  <si>
    <t>퇴직연금
(실적배당형)</t>
    <phoneticPr fontId="2" type="noConversion"/>
  </si>
  <si>
    <t>퇴직보험/
퇴직연금(원리금보장)</t>
    <phoneticPr fontId="2" type="noConversion"/>
  </si>
  <si>
    <r>
      <t xml:space="preserve">일반계정
</t>
    </r>
    <r>
      <rPr>
        <sz val="10"/>
        <color theme="1"/>
        <rFont val="KoPub돋움체_Pro Light"/>
        <family val="1"/>
        <charset val="129"/>
      </rPr>
      <t>(신개인/자산연계 포함)</t>
    </r>
    <phoneticPr fontId="2" type="noConversion"/>
  </si>
  <si>
    <t xml:space="preserve"> * 감독회계 기준</t>
  </si>
  <si>
    <t>메리츠화재</t>
    <phoneticPr fontId="2" type="noConversion"/>
  </si>
  <si>
    <t>현대해상</t>
    <phoneticPr fontId="2" type="noConversion"/>
  </si>
  <si>
    <t>삼성화재</t>
    <phoneticPr fontId="2" type="noConversion"/>
  </si>
  <si>
    <t>DB손보</t>
    <phoneticPr fontId="2" type="noConversion"/>
  </si>
  <si>
    <t>미래에셋생명</t>
    <phoneticPr fontId="2" type="noConversion"/>
  </si>
  <si>
    <t>삼성생명</t>
    <phoneticPr fontId="2" type="noConversion"/>
  </si>
  <si>
    <t>교보생명</t>
    <phoneticPr fontId="2" type="noConversion"/>
  </si>
  <si>
    <t>한화생명</t>
    <phoneticPr fontId="2" type="noConversion"/>
  </si>
  <si>
    <t>동양생명</t>
    <phoneticPr fontId="2" type="noConversion"/>
  </si>
  <si>
    <t>KB손보</t>
    <phoneticPr fontId="2" type="noConversion"/>
  </si>
  <si>
    <t>자산</t>
    <phoneticPr fontId="2" type="noConversion"/>
  </si>
  <si>
    <t>기타포괄</t>
    <phoneticPr fontId="2" type="noConversion"/>
  </si>
  <si>
    <t>가용자본</t>
    <phoneticPr fontId="2" type="noConversion"/>
  </si>
  <si>
    <t>요구자본</t>
    <phoneticPr fontId="2" type="noConversion"/>
  </si>
  <si>
    <t>3-1. CSM 현황</t>
    <phoneticPr fontId="2" type="noConversion"/>
  </si>
  <si>
    <t>1년 이하</t>
  </si>
  <si>
    <t>2~5년</t>
  </si>
  <si>
    <t>5~10년</t>
  </si>
  <si>
    <t>10년 초과</t>
  </si>
  <si>
    <t>기간별 상각 
금액 비중</t>
    <phoneticPr fontId="2" type="noConversion"/>
  </si>
  <si>
    <t>4. 경영효율지표</t>
    <phoneticPr fontId="2" type="noConversion"/>
  </si>
  <si>
    <t>÷ 자기자본</t>
  </si>
  <si>
    <t>÷ 자기자본</t>
    <phoneticPr fontId="2" type="noConversion"/>
  </si>
  <si>
    <t>÷ (요구자본x150%)</t>
    <phoneticPr fontId="2" type="noConversion"/>
  </si>
  <si>
    <t>ROE</t>
    <phoneticPr fontId="2" type="noConversion"/>
  </si>
  <si>
    <t>손해율</t>
    <phoneticPr fontId="2" type="noConversion"/>
  </si>
  <si>
    <t>예실차율</t>
    <phoneticPr fontId="2" type="noConversion"/>
  </si>
  <si>
    <t>사업비
예실차</t>
    <phoneticPr fontId="2" type="noConversion"/>
  </si>
  <si>
    <t>÷ CSM상각액</t>
    <phoneticPr fontId="2" type="noConversion"/>
  </si>
  <si>
    <t>* 예실차율 = (예상-실제) / 예상,  P/L기준, 보험료배분접근법 적용 제외</t>
    <phoneticPr fontId="2" type="noConversion"/>
  </si>
  <si>
    <t>미공시</t>
    <phoneticPr fontId="2" type="noConversion"/>
  </si>
  <si>
    <t>* 기간별 상각금액 비중 : 순부채 기준</t>
    <phoneticPr fontId="2" type="noConversion"/>
  </si>
  <si>
    <t>(비중)</t>
    <phoneticPr fontId="2" type="noConversion"/>
  </si>
  <si>
    <t>* 감독회계 기준 (타사와 기준을 맞추기 위해 당사의 재보험금융손익을 투자손익에 반영, 손익보고시에는 보험손익에 반영 중)</t>
    <phoneticPr fontId="2" type="noConversion"/>
  </si>
  <si>
    <t>÷ (요구자본x180%)</t>
    <phoneticPr fontId="2" type="noConversion"/>
  </si>
  <si>
    <r>
      <t xml:space="preserve">CSM
상각액
</t>
    </r>
    <r>
      <rPr>
        <sz val="10"/>
        <color theme="1"/>
        <rFont val="KoPub돋움체_Pro Light"/>
        <family val="1"/>
        <charset val="129"/>
      </rPr>
      <t>(연환산)</t>
    </r>
    <phoneticPr fontId="2" type="noConversion"/>
  </si>
  <si>
    <t>기타(기업어음 등)</t>
    <phoneticPr fontId="2" type="noConversion"/>
  </si>
  <si>
    <t>* ROE = 당기순이익 / (회계정책 변경후 기시 자기자본 기준 + 분기말 자기자본) * (4/분기),  RAROC = 신계약CSM ÷ (요구자본x150%) * (4/분기)</t>
    <phoneticPr fontId="2" type="noConversion"/>
  </si>
  <si>
    <r>
      <t xml:space="preserve">RAROC </t>
    </r>
    <r>
      <rPr>
        <sz val="10"/>
        <color theme="1"/>
        <rFont val="KoPub돋움체_Pro Light"/>
        <family val="1"/>
        <charset val="129"/>
      </rPr>
      <t>(연환산)</t>
    </r>
    <phoneticPr fontId="2" type="noConversion"/>
  </si>
  <si>
    <t>2. 재무건전성(정정공시 반영)</t>
    <phoneticPr fontId="2" type="noConversion"/>
  </si>
  <si>
    <t xml:space="preserve"> * 경과조치 전</t>
    <phoneticPr fontId="2" type="noConversion"/>
  </si>
  <si>
    <t>24년 상각예상액</t>
    <phoneticPr fontId="2" type="noConversion"/>
  </si>
  <si>
    <t>요구자본</t>
    <phoneticPr fontId="2" type="noConversion"/>
  </si>
  <si>
    <t xml:space="preserve">* IR자료 </t>
    <phoneticPr fontId="2" type="noConversion"/>
  </si>
  <si>
    <t>CSM규모</t>
    <phoneticPr fontId="2" type="noConversion"/>
  </si>
  <si>
    <t>23.12월말</t>
    <phoneticPr fontId="2" type="noConversion"/>
  </si>
  <si>
    <t>CSM 상각률</t>
    <phoneticPr fontId="2" type="noConversion"/>
  </si>
  <si>
    <t>CSM ÷ (요구자본x150%)</t>
    <phoneticPr fontId="2" type="noConversion"/>
  </si>
  <si>
    <t>CSM 상각액 ÷ (요구자본x150%)</t>
    <phoneticPr fontId="2" type="noConversion"/>
  </si>
  <si>
    <t>당사</t>
    <phoneticPr fontId="2" type="noConversion"/>
  </si>
  <si>
    <t>생보 6개사</t>
    <phoneticPr fontId="2" type="noConversion"/>
  </si>
  <si>
    <t>손보 5개사</t>
    <phoneticPr fontId="2" type="noConversion"/>
  </si>
  <si>
    <t>23년 상각액</t>
    <phoneticPr fontId="2" type="noConversion"/>
  </si>
  <si>
    <t>2024.04.03</t>
    <phoneticPr fontId="2" type="noConversion"/>
  </si>
  <si>
    <t>2. 재무건전성(잠정치)</t>
    <phoneticPr fontId="2" type="noConversion"/>
  </si>
  <si>
    <t>* ROE = 당기순이익 / (회계정책 변경후 기시 자기자본 기준, 분기말 자기자본의 평균) * (4/분기),  RAROC = 신계약CSM ÷ (요구자본x150%) * (4/분기)</t>
    <phoneticPr fontId="2" type="noConversion"/>
  </si>
  <si>
    <r>
      <t xml:space="preserve">RAROC </t>
    </r>
    <r>
      <rPr>
        <sz val="10"/>
        <rFont val="KoPub돋움체_Pro Light"/>
        <family val="1"/>
        <charset val="129"/>
      </rPr>
      <t>(연환산)</t>
    </r>
    <phoneticPr fontId="2" type="noConversion"/>
  </si>
  <si>
    <r>
      <t xml:space="preserve">CSM
상각액
</t>
    </r>
    <r>
      <rPr>
        <sz val="10"/>
        <rFont val="KoPub돋움체_Pro Light"/>
        <family val="1"/>
        <charset val="129"/>
      </rPr>
      <t>(연환산)</t>
    </r>
    <phoneticPr fontId="2" type="noConversion"/>
  </si>
  <si>
    <t>□ 2023년 3분기 동업사 경영지표 현황(메리츠화재 수정공시 반영)</t>
    <phoneticPr fontId="2" type="noConversion"/>
  </si>
  <si>
    <t>2024.02.19</t>
    <phoneticPr fontId="2" type="noConversion"/>
  </si>
  <si>
    <t>* 당사 특별계정자산 : 실적배당형퇴직연금 1,711억, 변액보험 116,018억 / 부채 BEL, CSM, RA : 재보, 보험료배분접근법 적용 제외 기준, 보험부채 기준</t>
    <phoneticPr fontId="2" type="noConversion"/>
  </si>
  <si>
    <t xml:space="preserve"> * 공시기준 FVPL자산 16조 83억(파생상품자산, 기타예금 분류 차이)</t>
    <phoneticPr fontId="2" type="noConversion"/>
  </si>
  <si>
    <t>□ 전기대비</t>
    <phoneticPr fontId="2" type="noConversion"/>
  </si>
  <si>
    <t>CSM상각액</t>
    <phoneticPr fontId="2" type="noConversion"/>
  </si>
  <si>
    <t>(세전손익 대비 보험손익)</t>
    <phoneticPr fontId="2" type="noConversion"/>
  </si>
  <si>
    <t>(세전손익 대비 CSM상각액)</t>
    <phoneticPr fontId="2" type="noConversion"/>
  </si>
  <si>
    <t>(세전손익 대비 투자손익)</t>
    <phoneticPr fontId="2" type="noConversion"/>
  </si>
  <si>
    <t>(보험계약부채대비 
기타포괄손익 증감율)</t>
    <phoneticPr fontId="2" type="noConversion"/>
  </si>
  <si>
    <t>(자본증감율)</t>
    <phoneticPr fontId="2" type="noConversion"/>
  </si>
  <si>
    <t>2. 재무건전성</t>
    <phoneticPr fontId="2" type="noConversion"/>
  </si>
  <si>
    <t>(단위 : %, 억원)</t>
    <phoneticPr fontId="2" type="noConversion"/>
  </si>
  <si>
    <t>1. 재무상태표 현황</t>
    <phoneticPr fontId="2" type="noConversion"/>
  </si>
  <si>
    <t>(자기자본 대비 
기타포괄손익 증감율)</t>
    <phoneticPr fontId="2" type="noConversion"/>
  </si>
  <si>
    <t>해약환급금준비금</t>
    <phoneticPr fontId="2" type="noConversion"/>
  </si>
  <si>
    <t>기타포괄손익</t>
    <phoneticPr fontId="2" type="noConversion"/>
  </si>
  <si>
    <t>운용자산</t>
    <phoneticPr fontId="2" type="noConversion"/>
  </si>
  <si>
    <t>(이익잉여금 대비 
해약환급금 준비금 비율)</t>
    <phoneticPr fontId="2" type="noConversion"/>
  </si>
  <si>
    <t>(자기자본 대비 
해약환급금 준비금 비율)</t>
    <phoneticPr fontId="2" type="noConversion"/>
  </si>
  <si>
    <t>2. 자본 세부</t>
    <phoneticPr fontId="2" type="noConversion"/>
  </si>
  <si>
    <t>FVOCI평가손익</t>
    <phoneticPr fontId="2" type="noConversion"/>
  </si>
  <si>
    <t>* FVOCI평가손익 : 현금흐름위험회피파생평가손익 포함</t>
    <phoneticPr fontId="2" type="noConversion"/>
  </si>
  <si>
    <t>보험부채순금융손익</t>
    <phoneticPr fontId="2" type="noConversion"/>
  </si>
  <si>
    <t>(전기대비)</t>
    <phoneticPr fontId="2" type="noConversion"/>
  </si>
  <si>
    <t>실제보험금/예상보험금</t>
    <phoneticPr fontId="2" type="noConversion"/>
  </si>
  <si>
    <t>(전기대비)</t>
    <phoneticPr fontId="2" type="noConversion"/>
  </si>
  <si>
    <t>* 예실차율(IR자료 기준) = (예상-실제) / 예상,  보험료배분접근법 적용 제외</t>
    <phoneticPr fontId="2" type="noConversion"/>
  </si>
  <si>
    <t>4. CSM 현황</t>
    <phoneticPr fontId="2" type="noConversion"/>
  </si>
  <si>
    <t>5. 경영효율지표</t>
    <phoneticPr fontId="2" type="noConversion"/>
  </si>
  <si>
    <t>(전년비 증감율)</t>
    <phoneticPr fontId="2" type="noConversion"/>
  </si>
  <si>
    <t>(부채대비 CSM 비중)</t>
    <phoneticPr fontId="2" type="noConversion"/>
  </si>
  <si>
    <t>자기자본(신종자본증권제외)</t>
    <phoneticPr fontId="2" type="noConversion"/>
  </si>
  <si>
    <t>운용자산/자본 비율</t>
    <phoneticPr fontId="2" type="noConversion"/>
  </si>
  <si>
    <t>(보험계약부채 대비 
해약환급금 준비금 비율)</t>
    <phoneticPr fontId="2" type="noConversion"/>
  </si>
  <si>
    <t>÷ (요구자본x130%)</t>
    <phoneticPr fontId="2" type="noConversion"/>
  </si>
  <si>
    <t>* ROE = 당기순이익 / (기시 자기자본, 분기말 자기자본의 평균) * (4/분기),  RAROC = 신계약CSM ÷ (요구자본x130%) * (4/분기)</t>
    <phoneticPr fontId="2" type="noConversion"/>
  </si>
  <si>
    <t xml:space="preserve">□ 2025년 동업사 경영지표 </t>
    <phoneticPr fontId="2" type="noConversion"/>
  </si>
  <si>
    <t>* 당사 특별계정자산 : 실적배당형퇴직연금 3,501억, 변액보험 13조 1,371억 / 부채 BEL, CSM, RA : 재보, 보험료배분접근법 적용 제외 기준, 보험순부채 기준</t>
    <phoneticPr fontId="2" type="noConversion"/>
  </si>
  <si>
    <t xml:space="preserve">* 삼성생명, 삼성화재 : 삼성전자 등 지분증권 영향으로 기타포괄손익 전기대비 증가 (삼성생명 : 전자 영향 24조(세후) 제외시 기타포괄손익 약 1조 증가, 삼성화재 : 전자 영향 5.8조 추정(세전)) </t>
    <phoneticPr fontId="2" type="noConversion"/>
  </si>
  <si>
    <t>* 삼성생명 : 보험금 예실차 -2,338억(전년 -744억 대비 손실확대), 영업외손익은 관계종속기업투자 배당손익, 영업외손익 3,578억 영향,   한화생명 : 손실 -1,360억,  보험금예실차 -3,800억 등</t>
    <phoneticPr fontId="2" type="noConversion"/>
  </si>
  <si>
    <t xml:space="preserve">  동양생명 보험손익 :  보험금예실차 -688억, 손실요소 -883억 등 영향</t>
    <phoneticPr fontId="2" type="noConversion"/>
  </si>
  <si>
    <t>2026.04.01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</si>
</sst>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43" formatCode="_-* #,##0.00_-;\-* #,##0.00_-;_-* &quot;-&quot;??_-;_-@_-"/>
    <numFmt numFmtId="176" formatCode="\(#,##0.0%\)\ ;\(\-#,##0.0%\)\ ;\-\ "/>
    <numFmt numFmtId="177" formatCode="0.0%"/>
    <numFmt numFmtId="178" formatCode="#,##0_ \ ;&quot;△&quot;#,##0\ \ "/>
    <numFmt numFmtId="179" formatCode="#,##0_ \ ;&quot;-&quot;#,##0\ \ "/>
    <numFmt numFmtId="180" formatCode="#,##0;\△#,##0;\-"/>
    <numFmt numFmtId="181" formatCode="#,##0.0%;\△#,##0.0%;\-"/>
    <numFmt numFmtId="182" formatCode="#,##0%;\△#,##0%;\-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돋움체_Pro Light"/>
      <family val="1"/>
      <charset val="129"/>
    </font>
    <font>
      <sz val="12"/>
      <color theme="1"/>
      <name val="KoPub돋움체_Pro Bold"/>
      <family val="1"/>
      <charset val="129"/>
    </font>
    <font>
      <b/>
      <sz val="14"/>
      <color theme="1"/>
      <name val="KoPub돋움체_Pro Bold"/>
      <family val="1"/>
      <charset val="129"/>
    </font>
    <font>
      <sz val="10"/>
      <color theme="1"/>
      <name val="KoPub돋움체_Pro Light"/>
      <family val="1"/>
      <charset val="129"/>
    </font>
    <font>
      <sz val="9"/>
      <color theme="1"/>
      <name val="KoPub돋움체_Pro Light"/>
      <family val="1"/>
      <charset val="129"/>
    </font>
    <font>
      <sz val="11"/>
      <color theme="1"/>
      <name val="KoPub돋움체_Pro Bold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2"/>
      <color rgb="FFFF0000"/>
      <name val="KoPub돋움체_Pro Bold"/>
      <family val="1"/>
      <charset val="129"/>
    </font>
    <font>
      <b/>
      <sz val="11"/>
      <color theme="1"/>
      <name val="KoPub돋움체_Pro Light"/>
      <family val="1"/>
      <charset val="129"/>
    </font>
    <font>
      <sz val="11"/>
      <name val="KoPub돋움체_Pro Light"/>
      <family val="1"/>
      <charset val="129"/>
    </font>
    <font>
      <sz val="11"/>
      <name val="맑은 고딕"/>
      <family val="2"/>
      <charset val="129"/>
      <scheme val="minor"/>
    </font>
    <font>
      <sz val="12"/>
      <name val="KoPub돋움체_Pro Bold"/>
      <family val="1"/>
      <charset val="129"/>
    </font>
    <font>
      <sz val="9"/>
      <name val="KoPub돋움체_Pro Light"/>
      <family val="1"/>
      <charset val="129"/>
    </font>
    <font>
      <sz val="10"/>
      <name val="KoPub돋움체_Pro Light"/>
      <family val="1"/>
      <charset val="129"/>
    </font>
    <font>
      <sz val="10"/>
      <color rgb="FFFF0000"/>
      <name val="KoPub돋움체_Pro Light"/>
      <family val="1"/>
      <charset val="129"/>
    </font>
    <font>
      <sz val="11"/>
      <color theme="0" tint="-0.499984740745262"/>
      <name val="KoPub돋움체_Pro Light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02">
    <xf numFmtId="0" fontId="0" fillId="0" borderId="0" xfId="0">
      <alignment vertical="center"/>
    </xf>
    <xf numFmtId="0" fontId="3" fillId="0" borderId="0" xfId="0" applyFont="1">
      <alignment vertical="center"/>
    </xf>
    <xf numFmtId="41" fontId="0" fillId="0" borderId="0" xfId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 applyBorder="1">
      <alignment vertical="center"/>
    </xf>
    <xf numFmtId="176" fontId="3" fillId="0" borderId="0" xfId="1" applyNumberFormat="1" applyFont="1" applyBorder="1">
      <alignment vertical="center"/>
    </xf>
    <xf numFmtId="0" fontId="3" fillId="0" borderId="16" xfId="0" applyFont="1" applyBorder="1">
      <alignment vertical="center"/>
    </xf>
    <xf numFmtId="0" fontId="7" fillId="0" borderId="0" xfId="0" applyFont="1" applyAlignment="1">
      <alignment horizontal="right" vertical="center"/>
    </xf>
    <xf numFmtId="0" fontId="6" fillId="0" borderId="0" xfId="0" applyFont="1" applyBorder="1">
      <alignment vertical="center"/>
    </xf>
    <xf numFmtId="0" fontId="6" fillId="0" borderId="0" xfId="0" applyFont="1" applyBorder="1" applyAlignment="1">
      <alignment horizontal="left" vertical="center"/>
    </xf>
    <xf numFmtId="0" fontId="3" fillId="3" borderId="20" xfId="0" applyFont="1" applyFill="1" applyBorder="1" applyAlignment="1">
      <alignment horizontal="center" vertical="center"/>
    </xf>
    <xf numFmtId="41" fontId="3" fillId="2" borderId="31" xfId="1" applyFont="1" applyFill="1" applyBorder="1" applyAlignment="1">
      <alignment horizontal="center" vertical="center"/>
    </xf>
    <xf numFmtId="41" fontId="3" fillId="0" borderId="18" xfId="1" applyFont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41" fontId="3" fillId="2" borderId="32" xfId="1" applyFont="1" applyFill="1" applyBorder="1" applyAlignment="1">
      <alignment horizontal="center" vertical="center"/>
    </xf>
    <xf numFmtId="41" fontId="3" fillId="0" borderId="17" xfId="1" applyFont="1" applyBorder="1" applyAlignment="1">
      <alignment horizontal="center" vertical="center"/>
    </xf>
    <xf numFmtId="41" fontId="3" fillId="0" borderId="28" xfId="1" applyFont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41" fontId="3" fillId="2" borderId="31" xfId="1" applyFont="1" applyFill="1" applyBorder="1" applyAlignment="1">
      <alignment horizontal="center" vertical="center"/>
    </xf>
    <xf numFmtId="41" fontId="3" fillId="0" borderId="18" xfId="1" applyFont="1" applyFill="1" applyBorder="1" applyAlignment="1">
      <alignment horizontal="center" vertical="center"/>
    </xf>
    <xf numFmtId="41" fontId="3" fillId="0" borderId="29" xfId="1" applyFont="1" applyFill="1" applyBorder="1" applyAlignment="1">
      <alignment horizontal="center" vertical="center"/>
    </xf>
    <xf numFmtId="41" fontId="3" fillId="0" borderId="18" xfId="1" applyFont="1" applyBorder="1" applyAlignment="1">
      <alignment horizontal="center" vertical="center"/>
    </xf>
    <xf numFmtId="41" fontId="3" fillId="0" borderId="29" xfId="1" applyFont="1" applyBorder="1" applyAlignment="1">
      <alignment horizontal="center" vertical="center"/>
    </xf>
    <xf numFmtId="41" fontId="3" fillId="0" borderId="17" xfId="1" applyFont="1" applyFill="1" applyBorder="1" applyAlignment="1">
      <alignment horizontal="center" vertical="center"/>
    </xf>
    <xf numFmtId="41" fontId="3" fillId="0" borderId="28" xfId="1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41" fontId="0" fillId="0" borderId="17" xfId="1" applyFont="1" applyBorder="1">
      <alignment vertical="center"/>
    </xf>
    <xf numFmtId="176" fontId="3" fillId="0" borderId="18" xfId="1" applyNumberFormat="1" applyFont="1" applyBorder="1" applyAlignment="1">
      <alignment horizontal="center" vertical="center"/>
    </xf>
    <xf numFmtId="176" fontId="3" fillId="0" borderId="17" xfId="1" applyNumberFormat="1" applyFont="1" applyBorder="1" applyAlignment="1">
      <alignment horizontal="center" vertical="center"/>
    </xf>
    <xf numFmtId="176" fontId="3" fillId="0" borderId="18" xfId="1" applyNumberFormat="1" applyFont="1" applyFill="1" applyBorder="1" applyAlignment="1">
      <alignment horizontal="center" vertical="center"/>
    </xf>
    <xf numFmtId="0" fontId="3" fillId="0" borderId="16" xfId="0" applyFont="1" applyFill="1" applyBorder="1">
      <alignment vertical="center"/>
    </xf>
    <xf numFmtId="0" fontId="3" fillId="0" borderId="27" xfId="0" applyFont="1" applyFill="1" applyBorder="1">
      <alignment vertical="center"/>
    </xf>
    <xf numFmtId="0" fontId="6" fillId="0" borderId="0" xfId="0" applyFont="1" applyFill="1" applyBorder="1">
      <alignment vertical="center"/>
    </xf>
    <xf numFmtId="176" fontId="3" fillId="0" borderId="0" xfId="1" applyNumberFormat="1" applyFont="1" applyFill="1" applyBorder="1" applyAlignment="1">
      <alignment horizontal="right"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176" fontId="3" fillId="0" borderId="0" xfId="1" applyNumberFormat="1" applyFont="1" applyFill="1" applyBorder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7" fontId="0" fillId="0" borderId="0" xfId="2" applyNumberFormat="1" applyFont="1">
      <alignment vertical="center"/>
    </xf>
    <xf numFmtId="177" fontId="0" fillId="0" borderId="0" xfId="0" applyNumberFormat="1">
      <alignment vertical="center"/>
    </xf>
    <xf numFmtId="41" fontId="3" fillId="0" borderId="0" xfId="1" applyFont="1">
      <alignment vertical="center"/>
    </xf>
    <xf numFmtId="177" fontId="3" fillId="0" borderId="0" xfId="2" applyNumberFormat="1" applyFont="1">
      <alignment vertical="center"/>
    </xf>
    <xf numFmtId="0" fontId="11" fillId="0" borderId="0" xfId="0" applyFont="1">
      <alignment vertical="center"/>
    </xf>
    <xf numFmtId="177" fontId="11" fillId="0" borderId="0" xfId="0" applyNumberFormat="1" applyFont="1">
      <alignment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43" fontId="3" fillId="0" borderId="5" xfId="0" applyNumberFormat="1" applyFont="1" applyBorder="1">
      <alignment vertical="center"/>
    </xf>
    <xf numFmtId="41" fontId="3" fillId="0" borderId="5" xfId="1" applyFont="1" applyBorder="1">
      <alignment vertical="center"/>
    </xf>
    <xf numFmtId="41" fontId="3" fillId="0" borderId="6" xfId="1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177" fontId="3" fillId="0" borderId="8" xfId="2" applyNumberFormat="1" applyFont="1" applyBorder="1">
      <alignment vertical="center"/>
    </xf>
    <xf numFmtId="177" fontId="3" fillId="0" borderId="9" xfId="2" applyNumberFormat="1" applyFont="1" applyBorder="1">
      <alignment vertical="center"/>
    </xf>
    <xf numFmtId="0" fontId="3" fillId="3" borderId="36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shrinkToFit="1"/>
    </xf>
    <xf numFmtId="0" fontId="3" fillId="0" borderId="22" xfId="0" applyFont="1" applyFill="1" applyBorder="1" applyAlignment="1">
      <alignment horizontal="center" vertical="center"/>
    </xf>
    <xf numFmtId="177" fontId="12" fillId="2" borderId="31" xfId="1" applyNumberFormat="1" applyFont="1" applyFill="1" applyBorder="1" applyAlignment="1">
      <alignment horizontal="center" vertical="center"/>
    </xf>
    <xf numFmtId="41" fontId="12" fillId="0" borderId="17" xfId="1" applyFont="1" applyBorder="1" applyAlignment="1">
      <alignment horizontal="center" vertical="center"/>
    </xf>
    <xf numFmtId="41" fontId="12" fillId="0" borderId="18" xfId="1" applyFont="1" applyBorder="1" applyAlignment="1">
      <alignment horizontal="center" vertical="center"/>
    </xf>
    <xf numFmtId="41" fontId="12" fillId="0" borderId="28" xfId="1" applyFont="1" applyBorder="1" applyAlignment="1">
      <alignment horizontal="center" vertical="center"/>
    </xf>
    <xf numFmtId="41" fontId="12" fillId="0" borderId="29" xfId="1" applyFont="1" applyBorder="1" applyAlignment="1">
      <alignment horizontal="center" vertical="center"/>
    </xf>
    <xf numFmtId="178" fontId="12" fillId="0" borderId="32" xfId="1" applyNumberFormat="1" applyFont="1" applyFill="1" applyBorder="1" applyAlignment="1">
      <alignment horizontal="right" vertical="center"/>
    </xf>
    <xf numFmtId="178" fontId="12" fillId="0" borderId="3" xfId="1" applyNumberFormat="1" applyFont="1" applyFill="1" applyBorder="1" applyAlignment="1">
      <alignment horizontal="right" vertical="center"/>
    </xf>
    <xf numFmtId="177" fontId="12" fillId="0" borderId="11" xfId="2" applyNumberFormat="1" applyFont="1" applyFill="1" applyBorder="1" applyAlignment="1">
      <alignment horizontal="right" vertical="center"/>
    </xf>
    <xf numFmtId="177" fontId="12" fillId="0" borderId="25" xfId="2" applyNumberFormat="1" applyFont="1" applyFill="1" applyBorder="1" applyAlignment="1">
      <alignment horizontal="right" vertical="center"/>
    </xf>
    <xf numFmtId="179" fontId="12" fillId="0" borderId="5" xfId="1" applyNumberFormat="1" applyFont="1" applyFill="1" applyBorder="1" applyAlignment="1">
      <alignment horizontal="right" vertical="center"/>
    </xf>
    <xf numFmtId="179" fontId="12" fillId="0" borderId="6" xfId="1" applyNumberFormat="1" applyFont="1" applyFill="1" applyBorder="1" applyAlignment="1">
      <alignment horizontal="right" vertical="center"/>
    </xf>
    <xf numFmtId="179" fontId="12" fillId="0" borderId="24" xfId="1" applyNumberFormat="1" applyFont="1" applyFill="1" applyBorder="1" applyAlignment="1">
      <alignment horizontal="right" vertical="center"/>
    </xf>
    <xf numFmtId="179" fontId="12" fillId="0" borderId="25" xfId="1" applyNumberFormat="1" applyFont="1" applyFill="1" applyBorder="1" applyAlignment="1">
      <alignment horizontal="right" vertical="center"/>
    </xf>
    <xf numFmtId="179" fontId="12" fillId="0" borderId="8" xfId="1" applyNumberFormat="1" applyFont="1" applyFill="1" applyBorder="1" applyAlignment="1">
      <alignment horizontal="right" vertical="center"/>
    </xf>
    <xf numFmtId="179" fontId="12" fillId="0" borderId="9" xfId="1" applyNumberFormat="1" applyFont="1" applyFill="1" applyBorder="1" applyAlignment="1">
      <alignment horizontal="right" vertical="center"/>
    </xf>
    <xf numFmtId="179" fontId="12" fillId="2" borderId="31" xfId="1" applyNumberFormat="1" applyFont="1" applyFill="1" applyBorder="1" applyAlignment="1">
      <alignment horizontal="right" vertical="center"/>
    </xf>
    <xf numFmtId="179" fontId="12" fillId="0" borderId="29" xfId="1" applyNumberFormat="1" applyFont="1" applyFill="1" applyBorder="1" applyAlignment="1">
      <alignment horizontal="right" vertical="center"/>
    </xf>
    <xf numFmtId="176" fontId="12" fillId="0" borderId="0" xfId="1" applyNumberFormat="1" applyFont="1" applyBorder="1">
      <alignment vertical="center"/>
    </xf>
    <xf numFmtId="0" fontId="13" fillId="0" borderId="0" xfId="0" applyFont="1">
      <alignment vertical="center"/>
    </xf>
    <xf numFmtId="0" fontId="12" fillId="0" borderId="0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2" fillId="0" borderId="0" xfId="0" applyFont="1">
      <alignment vertical="center"/>
    </xf>
    <xf numFmtId="0" fontId="15" fillId="0" borderId="0" xfId="0" applyFont="1" applyAlignment="1">
      <alignment horizontal="right" vertical="center"/>
    </xf>
    <xf numFmtId="0" fontId="12" fillId="3" borderId="32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6" fillId="0" borderId="0" xfId="0" applyFont="1" applyBorder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12" fillId="3" borderId="31" xfId="0" applyFont="1" applyFill="1" applyBorder="1" applyAlignment="1">
      <alignment horizontal="center" vertical="center"/>
    </xf>
    <xf numFmtId="179" fontId="12" fillId="2" borderId="32" xfId="1" applyNumberFormat="1" applyFont="1" applyFill="1" applyBorder="1" applyAlignment="1">
      <alignment horizontal="right" vertical="center"/>
    </xf>
    <xf numFmtId="179" fontId="12" fillId="0" borderId="18" xfId="1" applyNumberFormat="1" applyFont="1" applyBorder="1" applyAlignment="1">
      <alignment horizontal="right" vertical="center"/>
    </xf>
    <xf numFmtId="179" fontId="12" fillId="0" borderId="17" xfId="1" applyNumberFormat="1" applyFont="1" applyBorder="1" applyAlignment="1">
      <alignment horizontal="right" vertical="center"/>
    </xf>
    <xf numFmtId="177" fontId="12" fillId="0" borderId="25" xfId="2" applyNumberFormat="1" applyFont="1" applyFill="1" applyBorder="1" applyAlignment="1">
      <alignment horizontal="center" vertical="center"/>
    </xf>
    <xf numFmtId="177" fontId="12" fillId="0" borderId="24" xfId="2" applyNumberFormat="1" applyFont="1" applyBorder="1" applyAlignment="1">
      <alignment horizontal="center" vertical="center"/>
    </xf>
    <xf numFmtId="177" fontId="12" fillId="0" borderId="29" xfId="2" applyNumberFormat="1" applyFont="1" applyBorder="1" applyAlignment="1">
      <alignment horizontal="center" vertical="center"/>
    </xf>
    <xf numFmtId="179" fontId="12" fillId="0" borderId="18" xfId="1" applyNumberFormat="1" applyFont="1" applyFill="1" applyBorder="1" applyAlignment="1">
      <alignment horizontal="right" vertical="center"/>
    </xf>
    <xf numFmtId="179" fontId="12" fillId="0" borderId="17" xfId="1" applyNumberFormat="1" applyFont="1" applyFill="1" applyBorder="1" applyAlignment="1">
      <alignment horizontal="right" vertical="center"/>
    </xf>
    <xf numFmtId="177" fontId="12" fillId="0" borderId="18" xfId="2" applyNumberFormat="1" applyFont="1" applyFill="1" applyBorder="1" applyAlignment="1">
      <alignment horizontal="center" vertical="center"/>
    </xf>
    <xf numFmtId="177" fontId="13" fillId="0" borderId="17" xfId="2" applyNumberFormat="1" applyFont="1" applyFill="1" applyBorder="1" applyAlignment="1">
      <alignment horizontal="center" vertical="center"/>
    </xf>
    <xf numFmtId="177" fontId="12" fillId="0" borderId="29" xfId="2" applyNumberFormat="1" applyFont="1" applyFill="1" applyBorder="1" applyAlignment="1">
      <alignment horizontal="center" vertical="center"/>
    </xf>
    <xf numFmtId="177" fontId="12" fillId="0" borderId="28" xfId="2" applyNumberFormat="1" applyFont="1" applyFill="1" applyBorder="1" applyAlignment="1">
      <alignment horizontal="center" vertical="center"/>
    </xf>
    <xf numFmtId="179" fontId="12" fillId="0" borderId="31" xfId="1" applyNumberFormat="1" applyFont="1" applyFill="1" applyBorder="1" applyAlignment="1">
      <alignment vertical="center"/>
    </xf>
    <xf numFmtId="179" fontId="12" fillId="0" borderId="32" xfId="1" applyNumberFormat="1" applyFont="1" applyFill="1" applyBorder="1" applyAlignment="1">
      <alignment vertical="center"/>
    </xf>
    <xf numFmtId="179" fontId="12" fillId="0" borderId="18" xfId="1" applyNumberFormat="1" applyFont="1" applyFill="1" applyBorder="1" applyAlignment="1">
      <alignment vertical="center"/>
    </xf>
    <xf numFmtId="179" fontId="12" fillId="0" borderId="17" xfId="1" applyNumberFormat="1" applyFont="1" applyFill="1" applyBorder="1" applyAlignment="1">
      <alignment vertical="center"/>
    </xf>
    <xf numFmtId="179" fontId="12" fillId="0" borderId="29" xfId="1" applyNumberFormat="1" applyFont="1" applyFill="1" applyBorder="1" applyAlignment="1">
      <alignment vertical="center"/>
    </xf>
    <xf numFmtId="0" fontId="16" fillId="0" borderId="0" xfId="0" applyFont="1">
      <alignment vertical="center"/>
    </xf>
    <xf numFmtId="176" fontId="12" fillId="0" borderId="0" xfId="1" applyNumberFormat="1" applyFont="1" applyFill="1" applyBorder="1">
      <alignment vertical="center"/>
    </xf>
    <xf numFmtId="0" fontId="13" fillId="0" borderId="0" xfId="0" applyFont="1" applyFill="1">
      <alignment vertical="center"/>
    </xf>
    <xf numFmtId="177" fontId="12" fillId="0" borderId="32" xfId="2" applyNumberFormat="1" applyFont="1" applyFill="1" applyBorder="1" applyAlignment="1">
      <alignment horizontal="center" vertical="center"/>
    </xf>
    <xf numFmtId="177" fontId="12" fillId="0" borderId="31" xfId="2" applyNumberFormat="1" applyFont="1" applyFill="1" applyBorder="1" applyAlignment="1">
      <alignment horizontal="center" vertical="center"/>
    </xf>
    <xf numFmtId="177" fontId="12" fillId="0" borderId="17" xfId="2" applyNumberFormat="1" applyFont="1" applyBorder="1" applyAlignment="1">
      <alignment horizontal="center" vertical="center"/>
    </xf>
    <xf numFmtId="177" fontId="12" fillId="0" borderId="3" xfId="2" applyNumberFormat="1" applyFont="1" applyFill="1" applyBorder="1" applyAlignment="1">
      <alignment horizontal="center" vertical="center"/>
    </xf>
    <xf numFmtId="177" fontId="12" fillId="0" borderId="11" xfId="2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shrinkToFit="1"/>
    </xf>
    <xf numFmtId="177" fontId="12" fillId="0" borderId="9" xfId="2" applyNumberFormat="1" applyFont="1" applyFill="1" applyBorder="1" applyAlignment="1">
      <alignment horizontal="center" vertical="center"/>
    </xf>
    <xf numFmtId="176" fontId="0" fillId="0" borderId="17" xfId="1" applyNumberFormat="1" applyFont="1" applyBorder="1" applyAlignment="1">
      <alignment horizontal="center" vertical="center"/>
    </xf>
    <xf numFmtId="176" fontId="3" fillId="0" borderId="17" xfId="1" applyNumberFormat="1" applyFont="1" applyFill="1" applyBorder="1" applyAlignment="1">
      <alignment horizontal="center" vertical="center"/>
    </xf>
    <xf numFmtId="177" fontId="3" fillId="2" borderId="31" xfId="1" applyNumberFormat="1" applyFont="1" applyFill="1" applyBorder="1" applyAlignment="1">
      <alignment horizontal="center" vertical="center"/>
    </xf>
    <xf numFmtId="178" fontId="3" fillId="0" borderId="32" xfId="1" applyNumberFormat="1" applyFont="1" applyFill="1" applyBorder="1" applyAlignment="1">
      <alignment horizontal="right" vertical="center"/>
    </xf>
    <xf numFmtId="178" fontId="3" fillId="0" borderId="3" xfId="1" applyNumberFormat="1" applyFont="1" applyFill="1" applyBorder="1" applyAlignment="1">
      <alignment horizontal="right" vertical="center"/>
    </xf>
    <xf numFmtId="177" fontId="3" fillId="0" borderId="11" xfId="2" applyNumberFormat="1" applyFont="1" applyFill="1" applyBorder="1" applyAlignment="1">
      <alignment horizontal="right" vertical="center"/>
    </xf>
    <xf numFmtId="177" fontId="3" fillId="0" borderId="25" xfId="2" applyNumberFormat="1" applyFont="1" applyFill="1" applyBorder="1" applyAlignment="1">
      <alignment horizontal="right" vertical="center"/>
    </xf>
    <xf numFmtId="179" fontId="3" fillId="0" borderId="5" xfId="1" applyNumberFormat="1" applyFont="1" applyFill="1" applyBorder="1" applyAlignment="1">
      <alignment horizontal="right" vertical="center"/>
    </xf>
    <xf numFmtId="179" fontId="3" fillId="0" borderId="6" xfId="1" applyNumberFormat="1" applyFont="1" applyFill="1" applyBorder="1" applyAlignment="1">
      <alignment horizontal="right" vertical="center"/>
    </xf>
    <xf numFmtId="179" fontId="3" fillId="0" borderId="24" xfId="1" applyNumberFormat="1" applyFont="1" applyFill="1" applyBorder="1" applyAlignment="1">
      <alignment horizontal="right" vertical="center"/>
    </xf>
    <xf numFmtId="179" fontId="3" fillId="0" borderId="25" xfId="1" applyNumberFormat="1" applyFont="1" applyFill="1" applyBorder="1" applyAlignment="1">
      <alignment horizontal="right" vertical="center"/>
    </xf>
    <xf numFmtId="179" fontId="3" fillId="0" borderId="8" xfId="1" applyNumberFormat="1" applyFont="1" applyFill="1" applyBorder="1" applyAlignment="1">
      <alignment horizontal="right" vertical="center"/>
    </xf>
    <xf numFmtId="179" fontId="3" fillId="0" borderId="9" xfId="1" applyNumberFormat="1" applyFont="1" applyFill="1" applyBorder="1" applyAlignment="1">
      <alignment horizontal="right" vertical="center"/>
    </xf>
    <xf numFmtId="179" fontId="3" fillId="2" borderId="31" xfId="1" applyNumberFormat="1" applyFont="1" applyFill="1" applyBorder="1" applyAlignment="1">
      <alignment horizontal="right" vertical="center"/>
    </xf>
    <xf numFmtId="179" fontId="3" fillId="0" borderId="29" xfId="1" applyNumberFormat="1" applyFont="1" applyFill="1" applyBorder="1" applyAlignment="1">
      <alignment horizontal="right" vertical="center"/>
    </xf>
    <xf numFmtId="179" fontId="3" fillId="2" borderId="32" xfId="1" applyNumberFormat="1" applyFont="1" applyFill="1" applyBorder="1" applyAlignment="1">
      <alignment horizontal="right" vertical="center"/>
    </xf>
    <xf numFmtId="179" fontId="3" fillId="0" borderId="18" xfId="1" applyNumberFormat="1" applyFont="1" applyBorder="1" applyAlignment="1">
      <alignment horizontal="right" vertical="center"/>
    </xf>
    <xf numFmtId="179" fontId="3" fillId="0" borderId="17" xfId="1" applyNumberFormat="1" applyFont="1" applyBorder="1" applyAlignment="1">
      <alignment horizontal="right" vertical="center"/>
    </xf>
    <xf numFmtId="177" fontId="3" fillId="0" borderId="25" xfId="2" applyNumberFormat="1" applyFont="1" applyFill="1" applyBorder="1" applyAlignment="1">
      <alignment horizontal="center" vertical="center"/>
    </xf>
    <xf numFmtId="177" fontId="3" fillId="0" borderId="24" xfId="2" applyNumberFormat="1" applyFont="1" applyBorder="1" applyAlignment="1">
      <alignment horizontal="center" vertical="center"/>
    </xf>
    <xf numFmtId="177" fontId="3" fillId="0" borderId="29" xfId="2" applyNumberFormat="1" applyFont="1" applyBorder="1" applyAlignment="1">
      <alignment horizontal="center" vertical="center"/>
    </xf>
    <xf numFmtId="179" fontId="3" fillId="0" borderId="18" xfId="1" applyNumberFormat="1" applyFont="1" applyFill="1" applyBorder="1" applyAlignment="1">
      <alignment horizontal="right" vertical="center"/>
    </xf>
    <xf numFmtId="179" fontId="3" fillId="0" borderId="17" xfId="1" applyNumberFormat="1" applyFont="1" applyFill="1" applyBorder="1" applyAlignment="1">
      <alignment horizontal="right" vertical="center"/>
    </xf>
    <xf numFmtId="177" fontId="3" fillId="0" borderId="18" xfId="2" applyNumberFormat="1" applyFont="1" applyFill="1" applyBorder="1" applyAlignment="1">
      <alignment horizontal="center" vertical="center"/>
    </xf>
    <xf numFmtId="177" fontId="1" fillId="0" borderId="17" xfId="2" applyNumberFormat="1" applyFont="1" applyFill="1" applyBorder="1" applyAlignment="1">
      <alignment horizontal="center" vertical="center"/>
    </xf>
    <xf numFmtId="177" fontId="3" fillId="0" borderId="29" xfId="2" applyNumberFormat="1" applyFont="1" applyFill="1" applyBorder="1" applyAlignment="1">
      <alignment horizontal="center" vertical="center"/>
    </xf>
    <xf numFmtId="177" fontId="3" fillId="0" borderId="28" xfId="2" applyNumberFormat="1" applyFont="1" applyFill="1" applyBorder="1" applyAlignment="1">
      <alignment horizontal="center" vertical="center"/>
    </xf>
    <xf numFmtId="179" fontId="3" fillId="0" borderId="31" xfId="1" applyNumberFormat="1" applyFont="1" applyFill="1" applyBorder="1" applyAlignment="1">
      <alignment horizontal="right" vertical="center"/>
    </xf>
    <xf numFmtId="179" fontId="3" fillId="0" borderId="32" xfId="1" applyNumberFormat="1" applyFont="1" applyFill="1" applyBorder="1" applyAlignment="1">
      <alignment horizontal="right" vertical="center"/>
    </xf>
    <xf numFmtId="179" fontId="3" fillId="0" borderId="31" xfId="1" applyNumberFormat="1" applyFont="1" applyFill="1" applyBorder="1" applyAlignment="1">
      <alignment horizontal="center" vertical="center"/>
    </xf>
    <xf numFmtId="177" fontId="3" fillId="0" borderId="32" xfId="2" applyNumberFormat="1" applyFont="1" applyFill="1" applyBorder="1" applyAlignment="1">
      <alignment horizontal="center" vertical="center"/>
    </xf>
    <xf numFmtId="177" fontId="3" fillId="0" borderId="31" xfId="2" applyNumberFormat="1" applyFont="1" applyFill="1" applyBorder="1" applyAlignment="1">
      <alignment horizontal="center" vertical="center"/>
    </xf>
    <xf numFmtId="177" fontId="3" fillId="0" borderId="17" xfId="2" applyNumberFormat="1" applyFont="1" applyBorder="1" applyAlignment="1">
      <alignment horizontal="center" vertical="center"/>
    </xf>
    <xf numFmtId="177" fontId="3" fillId="0" borderId="3" xfId="2" applyNumberFormat="1" applyFont="1" applyFill="1" applyBorder="1" applyAlignment="1">
      <alignment horizontal="center" vertical="center"/>
    </xf>
    <xf numFmtId="177" fontId="3" fillId="0" borderId="11" xfId="2" applyNumberFormat="1" applyFont="1" applyFill="1" applyBorder="1" applyAlignment="1">
      <alignment horizontal="center" vertical="center"/>
    </xf>
    <xf numFmtId="177" fontId="3" fillId="0" borderId="9" xfId="2" applyNumberFormat="1" applyFont="1" applyFill="1" applyBorder="1" applyAlignment="1">
      <alignment horizontal="center" vertical="center"/>
    </xf>
    <xf numFmtId="41" fontId="12" fillId="0" borderId="0" xfId="1" applyFont="1" applyFill="1" applyBorder="1">
      <alignment vertical="center"/>
    </xf>
    <xf numFmtId="9" fontId="0" fillId="0" borderId="0" xfId="2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1" fontId="9" fillId="0" borderId="0" xfId="1" applyFont="1">
      <alignment vertical="center"/>
    </xf>
    <xf numFmtId="178" fontId="3" fillId="0" borderId="31" xfId="1" applyNumberFormat="1" applyFont="1" applyFill="1" applyBorder="1" applyAlignment="1">
      <alignment horizontal="right" vertical="center"/>
    </xf>
    <xf numFmtId="177" fontId="3" fillId="0" borderId="18" xfId="2" applyNumberFormat="1" applyFont="1" applyFill="1" applyBorder="1" applyAlignment="1">
      <alignment horizontal="right" vertical="center"/>
    </xf>
    <xf numFmtId="178" fontId="3" fillId="0" borderId="11" xfId="1" applyNumberFormat="1" applyFont="1" applyFill="1" applyBorder="1" applyAlignment="1">
      <alignment horizontal="right" vertical="center"/>
    </xf>
    <xf numFmtId="179" fontId="3" fillId="0" borderId="11" xfId="1" applyNumberFormat="1" applyFont="1" applyFill="1" applyBorder="1" applyAlignment="1">
      <alignment horizontal="right" vertical="center"/>
    </xf>
    <xf numFmtId="177" fontId="3" fillId="0" borderId="0" xfId="2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177" fontId="12" fillId="0" borderId="0" xfId="2" applyNumberFormat="1" applyFont="1" applyBorder="1" applyAlignment="1">
      <alignment horizontal="center" vertical="center"/>
    </xf>
    <xf numFmtId="177" fontId="12" fillId="0" borderId="0" xfId="2" applyNumberFormat="1" applyFont="1">
      <alignment vertical="center"/>
    </xf>
    <xf numFmtId="180" fontId="3" fillId="0" borderId="18" xfId="1" applyNumberFormat="1" applyFont="1" applyFill="1" applyBorder="1" applyAlignment="1">
      <alignment horizontal="center" vertical="center"/>
    </xf>
    <xf numFmtId="180" fontId="3" fillId="0" borderId="17" xfId="1" applyNumberFormat="1" applyFont="1" applyFill="1" applyBorder="1" applyAlignment="1">
      <alignment horizontal="center" vertical="center"/>
    </xf>
    <xf numFmtId="181" fontId="3" fillId="0" borderId="18" xfId="2" applyNumberFormat="1" applyFont="1" applyFill="1" applyBorder="1" applyAlignment="1">
      <alignment horizontal="center" vertical="center"/>
    </xf>
    <xf numFmtId="181" fontId="3" fillId="0" borderId="17" xfId="2" applyNumberFormat="1" applyFont="1" applyFill="1" applyBorder="1" applyAlignment="1">
      <alignment horizontal="center" vertical="center"/>
    </xf>
    <xf numFmtId="181" fontId="3" fillId="0" borderId="29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12" fillId="0" borderId="17" xfId="2" applyNumberFormat="1" applyFont="1" applyFill="1" applyBorder="1" applyAlignment="1">
      <alignment horizontal="right" vertical="center"/>
    </xf>
    <xf numFmtId="177" fontId="12" fillId="0" borderId="18" xfId="2" applyNumberFormat="1" applyFont="1" applyFill="1" applyBorder="1" applyAlignment="1">
      <alignment horizontal="right" vertical="center"/>
    </xf>
    <xf numFmtId="177" fontId="12" fillId="0" borderId="28" xfId="2" applyNumberFormat="1" applyFont="1" applyFill="1" applyBorder="1" applyAlignment="1">
      <alignment horizontal="right" vertical="center"/>
    </xf>
    <xf numFmtId="177" fontId="12" fillId="0" borderId="29" xfId="2" applyNumberFormat="1" applyFont="1" applyFill="1" applyBorder="1" applyAlignment="1">
      <alignment horizontal="right" vertical="center"/>
    </xf>
    <xf numFmtId="178" fontId="12" fillId="0" borderId="17" xfId="1" applyNumberFormat="1" applyFont="1" applyBorder="1" applyAlignment="1">
      <alignment horizontal="right" vertical="center"/>
    </xf>
    <xf numFmtId="178" fontId="12" fillId="0" borderId="18" xfId="1" applyNumberFormat="1" applyFont="1" applyBorder="1" applyAlignment="1">
      <alignment horizontal="right" vertical="center"/>
    </xf>
    <xf numFmtId="178" fontId="3" fillId="2" borderId="18" xfId="1" applyNumberFormat="1" applyFont="1" applyFill="1" applyBorder="1" applyAlignment="1">
      <alignment horizontal="right" vertical="center"/>
    </xf>
    <xf numFmtId="178" fontId="3" fillId="2" borderId="17" xfId="1" applyNumberFormat="1" applyFont="1" applyFill="1" applyBorder="1" applyAlignment="1">
      <alignment horizontal="right" vertical="center"/>
    </xf>
    <xf numFmtId="178" fontId="18" fillId="0" borderId="17" xfId="1" applyNumberFormat="1" applyFont="1" applyBorder="1" applyAlignment="1">
      <alignment horizontal="right" vertical="center"/>
    </xf>
    <xf numFmtId="178" fontId="18" fillId="0" borderId="18" xfId="1" applyNumberFormat="1" applyFont="1" applyBorder="1" applyAlignment="1">
      <alignment horizontal="right" vertical="center"/>
    </xf>
    <xf numFmtId="178" fontId="18" fillId="0" borderId="28" xfId="1" applyNumberFormat="1" applyFont="1" applyBorder="1" applyAlignment="1">
      <alignment horizontal="right" vertical="center"/>
    </xf>
    <xf numFmtId="178" fontId="18" fillId="0" borderId="29" xfId="1" applyNumberFormat="1" applyFont="1" applyBorder="1" applyAlignment="1">
      <alignment horizontal="right" vertical="center"/>
    </xf>
    <xf numFmtId="180" fontId="18" fillId="0" borderId="18" xfId="1" applyNumberFormat="1" applyFont="1" applyFill="1" applyBorder="1" applyAlignment="1">
      <alignment horizontal="center" vertical="center"/>
    </xf>
    <xf numFmtId="180" fontId="18" fillId="0" borderId="17" xfId="1" applyNumberFormat="1" applyFont="1" applyFill="1" applyBorder="1" applyAlignment="1">
      <alignment horizontal="center" vertical="center"/>
    </xf>
    <xf numFmtId="180" fontId="12" fillId="0" borderId="32" xfId="1" applyNumberFormat="1" applyFont="1" applyFill="1" applyBorder="1" applyAlignment="1">
      <alignment horizontal="center" vertical="center"/>
    </xf>
    <xf numFmtId="180" fontId="12" fillId="0" borderId="31" xfId="1" applyNumberFormat="1" applyFont="1" applyFill="1" applyBorder="1" applyAlignment="1">
      <alignment horizontal="center" vertical="center"/>
    </xf>
    <xf numFmtId="178" fontId="12" fillId="2" borderId="32" xfId="1" applyNumberFormat="1" applyFont="1" applyFill="1" applyBorder="1" applyAlignment="1">
      <alignment horizontal="right" vertical="center"/>
    </xf>
    <xf numFmtId="178" fontId="12" fillId="2" borderId="31" xfId="1" applyNumberFormat="1" applyFont="1" applyFill="1" applyBorder="1" applyAlignment="1">
      <alignment horizontal="right" vertical="center"/>
    </xf>
    <xf numFmtId="178" fontId="12" fillId="0" borderId="31" xfId="1" applyNumberFormat="1" applyFont="1" applyFill="1" applyBorder="1" applyAlignment="1">
      <alignment horizontal="right" vertical="center"/>
    </xf>
    <xf numFmtId="181" fontId="3" fillId="0" borderId="18" xfId="1" applyNumberFormat="1" applyFont="1" applyBorder="1" applyAlignment="1">
      <alignment horizontal="center" vertical="center"/>
    </xf>
    <xf numFmtId="181" fontId="3" fillId="0" borderId="17" xfId="1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41" fontId="12" fillId="0" borderId="18" xfId="1" applyFont="1" applyFill="1" applyBorder="1" applyAlignment="1">
      <alignment horizontal="center" vertical="center"/>
    </xf>
    <xf numFmtId="41" fontId="13" fillId="0" borderId="17" xfId="1" applyFont="1" applyBorder="1">
      <alignment vertical="center"/>
    </xf>
    <xf numFmtId="41" fontId="12" fillId="0" borderId="17" xfId="1" applyFont="1" applyFill="1" applyBorder="1" applyAlignment="1">
      <alignment horizontal="center" vertical="center"/>
    </xf>
    <xf numFmtId="181" fontId="12" fillId="0" borderId="18" xfId="2" applyNumberFormat="1" applyFont="1" applyFill="1" applyBorder="1" applyAlignment="1">
      <alignment horizontal="center" vertical="center"/>
    </xf>
    <xf numFmtId="181" fontId="12" fillId="0" borderId="18" xfId="1" applyNumberFormat="1" applyFont="1" applyFill="1" applyBorder="1" applyAlignment="1">
      <alignment horizontal="center" vertical="center"/>
    </xf>
    <xf numFmtId="41" fontId="12" fillId="0" borderId="29" xfId="1" applyFont="1" applyFill="1" applyBorder="1" applyAlignment="1">
      <alignment horizontal="center" vertical="center"/>
    </xf>
    <xf numFmtId="41" fontId="12" fillId="0" borderId="28" xfId="1" applyFont="1" applyFill="1" applyBorder="1" applyAlignment="1">
      <alignment horizontal="center" vertical="center"/>
    </xf>
    <xf numFmtId="180" fontId="12" fillId="2" borderId="31" xfId="1" applyNumberFormat="1" applyFont="1" applyFill="1" applyBorder="1" applyAlignment="1">
      <alignment horizontal="center" vertical="center"/>
    </xf>
    <xf numFmtId="180" fontId="12" fillId="2" borderId="32" xfId="1" applyNumberFormat="1" applyFont="1" applyFill="1" applyBorder="1" applyAlignment="1">
      <alignment horizontal="center" vertical="center"/>
    </xf>
    <xf numFmtId="180" fontId="12" fillId="2" borderId="18" xfId="1" applyNumberFormat="1" applyFont="1" applyFill="1" applyBorder="1" applyAlignment="1">
      <alignment horizontal="center" vertical="center"/>
    </xf>
    <xf numFmtId="180" fontId="12" fillId="2" borderId="17" xfId="1" applyNumberFormat="1" applyFont="1" applyFill="1" applyBorder="1" applyAlignment="1">
      <alignment horizontal="center" vertical="center"/>
    </xf>
    <xf numFmtId="181" fontId="12" fillId="2" borderId="18" xfId="2" applyNumberFormat="1" applyFont="1" applyFill="1" applyBorder="1" applyAlignment="1">
      <alignment horizontal="center" vertical="center"/>
    </xf>
    <xf numFmtId="181" fontId="12" fillId="2" borderId="17" xfId="2" applyNumberFormat="1" applyFont="1" applyFill="1" applyBorder="1" applyAlignment="1">
      <alignment horizontal="center" vertical="center"/>
    </xf>
    <xf numFmtId="180" fontId="12" fillId="0" borderId="18" xfId="1" applyNumberFormat="1" applyFont="1" applyBorder="1" applyAlignment="1">
      <alignment horizontal="center" vertical="center"/>
    </xf>
    <xf numFmtId="180" fontId="12" fillId="0" borderId="17" xfId="1" applyNumberFormat="1" applyFont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182" fontId="12" fillId="0" borderId="28" xfId="2" applyNumberFormat="1" applyFont="1" applyFill="1" applyBorder="1" applyAlignment="1">
      <alignment horizontal="center" vertical="center"/>
    </xf>
    <xf numFmtId="182" fontId="12" fillId="0" borderId="29" xfId="2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9" fontId="12" fillId="0" borderId="0" xfId="2" applyFont="1" applyFill="1" applyBorder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179" fontId="12" fillId="0" borderId="37" xfId="1" applyNumberFormat="1" applyFont="1" applyFill="1" applyBorder="1" applyAlignment="1">
      <alignment horizontal="right" vertical="center"/>
    </xf>
    <xf numFmtId="179" fontId="12" fillId="0" borderId="11" xfId="1" applyNumberFormat="1" applyFont="1" applyFill="1" applyBorder="1" applyAlignment="1">
      <alignment horizontal="right" vertical="center"/>
    </xf>
    <xf numFmtId="177" fontId="12" fillId="0" borderId="24" xfId="2" applyNumberFormat="1" applyFont="1" applyFill="1" applyBorder="1" applyAlignment="1">
      <alignment horizontal="right" vertical="center"/>
    </xf>
    <xf numFmtId="181" fontId="12" fillId="0" borderId="17" xfId="2" applyNumberFormat="1" applyFont="1" applyFill="1" applyBorder="1" applyAlignment="1">
      <alignment horizontal="center" vertical="center"/>
    </xf>
    <xf numFmtId="181" fontId="12" fillId="0" borderId="29" xfId="2" applyNumberFormat="1" applyFont="1" applyFill="1" applyBorder="1" applyAlignment="1">
      <alignment horizontal="center" vertical="center"/>
    </xf>
    <xf numFmtId="181" fontId="12" fillId="0" borderId="28" xfId="2" applyNumberFormat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 shrinkToFit="1"/>
    </xf>
    <xf numFmtId="0" fontId="12" fillId="0" borderId="22" xfId="0" applyFont="1" applyFill="1" applyBorder="1" applyAlignment="1">
      <alignment horizontal="center" vertical="center" shrinkToFit="1"/>
    </xf>
    <xf numFmtId="0" fontId="12" fillId="0" borderId="23" xfId="0" applyFont="1" applyFill="1" applyBorder="1" applyAlignment="1">
      <alignment horizontal="center" vertical="center" shrinkToFit="1"/>
    </xf>
    <xf numFmtId="179" fontId="12" fillId="0" borderId="17" xfId="1" applyNumberFormat="1" applyFont="1" applyFill="1" applyBorder="1" applyAlignment="1">
      <alignment vertical="center"/>
    </xf>
    <xf numFmtId="179" fontId="12" fillId="0" borderId="28" xfId="1" applyNumberFormat="1" applyFon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2" fillId="3" borderId="3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0" fontId="12" fillId="0" borderId="29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2" fillId="0" borderId="11" xfId="0" applyFont="1" applyFill="1" applyBorder="1" applyAlignment="1">
      <alignment horizontal="left" vertical="center" shrinkToFit="1"/>
    </xf>
    <xf numFmtId="0" fontId="12" fillId="0" borderId="14" xfId="0" applyFont="1" applyFill="1" applyBorder="1" applyAlignment="1">
      <alignment horizontal="left" vertical="center" shrinkToFit="1"/>
    </xf>
    <xf numFmtId="0" fontId="12" fillId="0" borderId="10" xfId="0" applyFont="1" applyFill="1" applyBorder="1" applyAlignment="1">
      <alignment horizontal="left" vertical="center" shrinkToFit="1"/>
    </xf>
    <xf numFmtId="0" fontId="12" fillId="0" borderId="3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2" fillId="0" borderId="21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3" xfId="0" applyFont="1" applyFill="1" applyBorder="1" applyAlignment="1">
      <alignment horizontal="left" vertical="center" shrinkToFit="1"/>
    </xf>
    <xf numFmtId="0" fontId="12" fillId="0" borderId="12" xfId="0" applyFont="1" applyFill="1" applyBorder="1" applyAlignment="1">
      <alignment horizontal="left" vertical="center" shrinkToFit="1"/>
    </xf>
    <xf numFmtId="0" fontId="12" fillId="0" borderId="2" xfId="0" applyFont="1" applyFill="1" applyBorder="1" applyAlignment="1">
      <alignment horizontal="left" vertical="center" shrinkToFit="1"/>
    </xf>
    <xf numFmtId="0" fontId="3" fillId="3" borderId="2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2" fillId="0" borderId="9" xfId="0" applyFont="1" applyFill="1" applyBorder="1" applyAlignment="1">
      <alignment horizontal="left" vertical="center" shrinkToFit="1"/>
    </xf>
    <xf numFmtId="0" fontId="12" fillId="0" borderId="15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12" fillId="0" borderId="30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shrinkToFit="1"/>
    </xf>
    <xf numFmtId="0" fontId="12" fillId="0" borderId="15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2" fillId="0" borderId="15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41" fontId="3" fillId="2" borderId="20" xfId="1" applyFont="1" applyFill="1" applyBorder="1" applyAlignment="1">
      <alignment horizontal="right" vertical="center"/>
    </xf>
    <xf numFmtId="41" fontId="3" fillId="2" borderId="19" xfId="1" applyFont="1" applyFill="1" applyBorder="1" applyAlignment="1">
      <alignment horizontal="right" vertical="center"/>
    </xf>
    <xf numFmtId="41" fontId="3" fillId="2" borderId="1" xfId="1" applyFont="1" applyFill="1" applyBorder="1" applyAlignment="1">
      <alignment horizontal="right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176" fontId="3" fillId="0" borderId="25" xfId="1" applyNumberFormat="1" applyFont="1" applyFill="1" applyBorder="1" applyAlignment="1">
      <alignment horizontal="right" vertical="center"/>
    </xf>
    <xf numFmtId="176" fontId="3" fillId="0" borderId="23" xfId="1" applyNumberFormat="1" applyFont="1" applyFill="1" applyBorder="1" applyAlignment="1">
      <alignment horizontal="right" vertical="center"/>
    </xf>
    <xf numFmtId="176" fontId="3" fillId="0" borderId="22" xfId="1" applyNumberFormat="1" applyFont="1" applyFill="1" applyBorder="1" applyAlignment="1">
      <alignment horizontal="right" vertical="center"/>
    </xf>
    <xf numFmtId="0" fontId="3" fillId="0" borderId="3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41" fontId="3" fillId="0" borderId="31" xfId="1" applyFont="1" applyBorder="1" applyAlignment="1">
      <alignment horizontal="right" vertical="center"/>
    </xf>
    <xf numFmtId="41" fontId="3" fillId="0" borderId="30" xfId="1" applyFont="1" applyBorder="1" applyAlignment="1">
      <alignment horizontal="right" vertical="center"/>
    </xf>
    <xf numFmtId="41" fontId="3" fillId="0" borderId="21" xfId="1" applyFont="1" applyBorder="1" applyAlignment="1">
      <alignment horizontal="right" vertical="center"/>
    </xf>
    <xf numFmtId="0" fontId="3" fillId="0" borderId="11" xfId="0" applyFont="1" applyFill="1" applyBorder="1" applyAlignment="1">
      <alignment horizontal="center" vertical="center"/>
    </xf>
    <xf numFmtId="41" fontId="3" fillId="0" borderId="11" xfId="1" applyFont="1" applyFill="1" applyBorder="1" applyAlignment="1">
      <alignment horizontal="right" vertical="center"/>
    </xf>
    <xf numFmtId="41" fontId="3" fillId="0" borderId="10" xfId="1" applyFont="1" applyFill="1" applyBorder="1" applyAlignment="1">
      <alignment horizontal="right" vertical="center"/>
    </xf>
    <xf numFmtId="41" fontId="3" fillId="0" borderId="14" xfId="1" applyFont="1" applyFill="1" applyBorder="1" applyAlignment="1">
      <alignment horizontal="right" vertical="center"/>
    </xf>
    <xf numFmtId="176" fontId="8" fillId="0" borderId="25" xfId="1" applyNumberFormat="1" applyFont="1" applyFill="1" applyBorder="1" applyAlignment="1">
      <alignment horizontal="right" vertical="center"/>
    </xf>
    <xf numFmtId="176" fontId="8" fillId="0" borderId="22" xfId="1" applyNumberFormat="1" applyFont="1" applyFill="1" applyBorder="1" applyAlignment="1">
      <alignment horizontal="right" vertical="center"/>
    </xf>
    <xf numFmtId="41" fontId="8" fillId="0" borderId="11" xfId="1" applyFont="1" applyFill="1" applyBorder="1" applyAlignment="1">
      <alignment horizontal="right" vertical="center"/>
    </xf>
    <xf numFmtId="41" fontId="8" fillId="0" borderId="14" xfId="1" applyFont="1" applyFill="1" applyBorder="1" applyAlignment="1">
      <alignment horizontal="right" vertical="center"/>
    </xf>
    <xf numFmtId="176" fontId="3" fillId="0" borderId="29" xfId="1" applyNumberFormat="1" applyFont="1" applyFill="1" applyBorder="1" applyAlignment="1">
      <alignment horizontal="right" vertical="center"/>
    </xf>
    <xf numFmtId="176" fontId="3" fillId="0" borderId="27" xfId="1" applyNumberFormat="1" applyFont="1" applyFill="1" applyBorder="1" applyAlignment="1">
      <alignment horizontal="right" vertical="center"/>
    </xf>
    <xf numFmtId="176" fontId="3" fillId="0" borderId="26" xfId="1" applyNumberFormat="1" applyFont="1" applyFill="1" applyBorder="1" applyAlignment="1">
      <alignment horizontal="right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 shrinkToFit="1"/>
    </xf>
    <xf numFmtId="0" fontId="3" fillId="0" borderId="22" xfId="0" applyFont="1" applyFill="1" applyBorder="1" applyAlignment="1">
      <alignment horizontal="center" vertical="center" shrinkToFit="1"/>
    </xf>
    <xf numFmtId="0" fontId="3" fillId="0" borderId="23" xfId="0" applyFont="1" applyFill="1" applyBorder="1" applyAlignment="1">
      <alignment horizontal="center" vertical="center" shrinkToFit="1"/>
    </xf>
    <xf numFmtId="179" fontId="0" fillId="0" borderId="17" xfId="1" applyNumberFormat="1" applyFont="1" applyFill="1" applyBorder="1" applyAlignment="1">
      <alignment horizontal="right" vertical="center"/>
    </xf>
    <xf numFmtId="179" fontId="0" fillId="0" borderId="28" xfId="1" applyNumberFormat="1" applyFont="1" applyFill="1" applyBorder="1" applyAlignment="1">
      <alignment horizontal="right" vertical="center"/>
    </xf>
    <xf numFmtId="179" fontId="3" fillId="0" borderId="17" xfId="1" applyNumberFormat="1" applyFont="1" applyFill="1" applyBorder="1" applyAlignment="1">
      <alignment horizontal="right" vertical="center"/>
    </xf>
    <xf numFmtId="179" fontId="3" fillId="0" borderId="28" xfId="1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 wrapText="1"/>
    </xf>
    <xf numFmtId="0" fontId="3" fillId="0" borderId="31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left" vertical="center" shrinkToFit="1"/>
    </xf>
    <xf numFmtId="0" fontId="3" fillId="0" borderId="12" xfId="0" applyFont="1" applyFill="1" applyBorder="1" applyAlignment="1">
      <alignment horizontal="left" vertical="center" shrinkToFit="1"/>
    </xf>
    <xf numFmtId="0" fontId="3" fillId="0" borderId="2" xfId="0" applyFont="1" applyFill="1" applyBorder="1" applyAlignment="1">
      <alignment horizontal="left" vertical="center" shrinkToFit="1"/>
    </xf>
    <xf numFmtId="0" fontId="3" fillId="0" borderId="11" xfId="0" applyFont="1" applyFill="1" applyBorder="1" applyAlignment="1">
      <alignment horizontal="left" vertical="center" shrinkToFit="1"/>
    </xf>
    <xf numFmtId="0" fontId="3" fillId="0" borderId="14" xfId="0" applyFont="1" applyFill="1" applyBorder="1" applyAlignment="1">
      <alignment horizontal="left" vertical="center" shrinkToFit="1"/>
    </xf>
    <xf numFmtId="0" fontId="3" fillId="0" borderId="10" xfId="0" applyFont="1" applyFill="1" applyBorder="1" applyAlignment="1">
      <alignment horizontal="left" vertical="center" shrinkToFit="1"/>
    </xf>
    <xf numFmtId="0" fontId="3" fillId="0" borderId="9" xfId="0" applyFont="1" applyFill="1" applyBorder="1" applyAlignment="1">
      <alignment horizontal="center" vertical="center" shrinkToFit="1"/>
    </xf>
    <xf numFmtId="0" fontId="3" fillId="0" borderId="15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3" fillId="0" borderId="3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 shrinkToFit="1"/>
    </xf>
    <xf numFmtId="0" fontId="3" fillId="0" borderId="15" xfId="0" applyFont="1" applyFill="1" applyBorder="1" applyAlignment="1">
      <alignment horizontal="left" vertical="center" shrinkToFit="1"/>
    </xf>
    <xf numFmtId="0" fontId="3" fillId="0" borderId="7" xfId="0" applyFont="1" applyFill="1" applyBorder="1" applyAlignment="1">
      <alignment horizontal="left" vertical="center" shrinkToFi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12_&#46041;&#50629;&#49324;%20&#44277;&#49884;&#48708;&#44368;_DATA_&#51089;&#50629;_2603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018%20&#49552;&#51061;&#48372;&#44256;/&#9655;0.&#49552;&#51061;&#48372;&#44256;/FY2023%20&#49552;&#51061;&#48372;&#44256;(2&#52264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sm0225/Desktop/2023%20Q4%20FactSheet__&#49884;&#54665;&#47928;_&#47532;&#49828;&#53356;&#51204;&#47029;&#54016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업"/>
      <sheetName val="2412"/>
      <sheetName val="2312"/>
      <sheetName val="2406"/>
      <sheetName val="2403"/>
      <sheetName val="fvpl"/>
      <sheetName val="전기말"/>
      <sheetName val="이익잉여금"/>
      <sheetName val="Sheet1"/>
      <sheetName val="Sheet2"/>
      <sheetName val="DATA"/>
      <sheetName val="2512_보고서"/>
    </sheetNames>
    <sheetDataSet>
      <sheetData sheetId="0">
        <row r="9">
          <cell r="I9">
            <v>328551.81935106002</v>
          </cell>
          <cell r="J9">
            <v>3099482.94</v>
          </cell>
          <cell r="K9">
            <v>1281657.9427435801</v>
          </cell>
          <cell r="L9">
            <v>1257765.82</v>
          </cell>
          <cell r="M9">
            <v>594480.31999999995</v>
          </cell>
          <cell r="N9">
            <v>353152.58</v>
          </cell>
          <cell r="O9">
            <v>352289.34</v>
          </cell>
          <cell r="P9">
            <v>938090.44479173003</v>
          </cell>
          <cell r="Q9">
            <v>496458.74619981</v>
          </cell>
          <cell r="R9">
            <v>442427.92244562996</v>
          </cell>
          <cell r="S9">
            <v>448919.97</v>
          </cell>
          <cell r="T9">
            <v>594088.28</v>
          </cell>
        </row>
        <row r="10">
          <cell r="I10">
            <v>169444.46771969003</v>
          </cell>
          <cell r="J10">
            <v>382096.35</v>
          </cell>
          <cell r="K10">
            <v>341828.22710133001</v>
          </cell>
          <cell r="L10">
            <v>323201.24</v>
          </cell>
          <cell r="M10">
            <v>132652.76</v>
          </cell>
          <cell r="N10">
            <v>53751.040000000001</v>
          </cell>
          <cell r="O10">
            <v>92426.37</v>
          </cell>
          <cell r="P10">
            <v>127057.76538884001</v>
          </cell>
          <cell r="Q10">
            <v>90406.57765254</v>
          </cell>
          <cell r="R10">
            <v>75699.261375269998</v>
          </cell>
          <cell r="S10">
            <v>94447.43</v>
          </cell>
          <cell r="T10">
            <v>177224.66</v>
          </cell>
        </row>
        <row r="11">
          <cell r="I11">
            <v>0.51573133289710194</v>
          </cell>
          <cell r="J11">
            <v>0.12327744897992567</v>
          </cell>
          <cell r="K11">
            <v>0.26670784434854411</v>
          </cell>
          <cell r="L11">
            <v>0.25696455958709385</v>
          </cell>
          <cell r="M11">
            <v>0.22314070884634166</v>
          </cell>
          <cell r="N11">
            <v>0.15220344701998212</v>
          </cell>
          <cell r="O11">
            <v>0.26235925844364177</v>
          </cell>
          <cell r="P11">
            <v>0.13544298003914612</v>
          </cell>
          <cell r="Q11">
            <v>0.18210290048179353</v>
          </cell>
          <cell r="R11">
            <v>0.17109964704945288</v>
          </cell>
          <cell r="S11">
            <v>0.21038812329957163</v>
          </cell>
          <cell r="T11">
            <v>0.29831367822977417</v>
          </cell>
        </row>
        <row r="12">
          <cell r="I12">
            <v>116635.57366015</v>
          </cell>
          <cell r="J12">
            <v>1968888.32</v>
          </cell>
          <cell r="K12">
            <v>608298.87653638003</v>
          </cell>
          <cell r="L12">
            <v>482181.33</v>
          </cell>
          <cell r="M12">
            <v>352884.58</v>
          </cell>
          <cell r="N12">
            <v>228378.35</v>
          </cell>
          <cell r="O12">
            <v>221531.57</v>
          </cell>
          <cell r="P12">
            <v>434306.81364228</v>
          </cell>
          <cell r="Q12">
            <v>253410.92240272</v>
          </cell>
          <cell r="R12">
            <v>315607.38837674999</v>
          </cell>
          <cell r="S12">
            <v>219068.85</v>
          </cell>
          <cell r="T12">
            <v>201214.38</v>
          </cell>
        </row>
        <row r="13">
          <cell r="I13">
            <v>28014.503997920001</v>
          </cell>
          <cell r="J13">
            <v>411156.26</v>
          </cell>
          <cell r="K13">
            <v>215464.74040616001</v>
          </cell>
          <cell r="L13">
            <v>280714.2</v>
          </cell>
          <cell r="M13">
            <v>39503.440000000002</v>
          </cell>
          <cell r="N13">
            <v>56226.03</v>
          </cell>
          <cell r="O13">
            <v>16958.849999999999</v>
          </cell>
          <cell r="P13">
            <v>300857.42664899002</v>
          </cell>
          <cell r="Q13">
            <v>104015.82761755999</v>
          </cell>
          <cell r="R13">
            <v>9721.0364995500004</v>
          </cell>
          <cell r="S13">
            <v>82395.38</v>
          </cell>
          <cell r="T13">
            <v>157633.73000000001</v>
          </cell>
        </row>
        <row r="14">
          <cell r="I14">
            <v>304186.80379436997</v>
          </cell>
          <cell r="J14">
            <v>2535314.79</v>
          </cell>
          <cell r="K14">
            <v>1205110.3510642201</v>
          </cell>
          <cell r="L14">
            <v>1133078.06</v>
          </cell>
          <cell r="M14">
            <v>532087.38</v>
          </cell>
          <cell r="N14">
            <v>337812.87</v>
          </cell>
          <cell r="O14">
            <v>310103.46000000002</v>
          </cell>
          <cell r="P14">
            <v>731812.67241129989</v>
          </cell>
          <cell r="Q14">
            <v>447623.87153458997</v>
          </cell>
          <cell r="R14">
            <v>383884.73445767997</v>
          </cell>
          <cell r="S14">
            <v>391747.63</v>
          </cell>
          <cell r="T14">
            <v>495539.27</v>
          </cell>
        </row>
        <row r="15">
          <cell r="I15">
            <v>245312.28634232003</v>
          </cell>
          <cell r="J15">
            <v>1844632.62</v>
          </cell>
          <cell r="K15">
            <v>889399.68</v>
          </cell>
          <cell r="L15">
            <v>862224.89</v>
          </cell>
          <cell r="M15">
            <v>389601.52</v>
          </cell>
          <cell r="N15">
            <v>252112.7</v>
          </cell>
          <cell r="O15">
            <v>246632.98</v>
          </cell>
          <cell r="P15">
            <v>250474.79</v>
          </cell>
          <cell r="Q15">
            <v>182144.47403509999</v>
          </cell>
          <cell r="R15">
            <v>95737.21</v>
          </cell>
          <cell r="S15">
            <v>114191.72</v>
          </cell>
          <cell r="T15">
            <v>120958.09</v>
          </cell>
        </row>
        <row r="16">
          <cell r="I16">
            <v>20584.23120047</v>
          </cell>
          <cell r="J16">
            <v>132178.74</v>
          </cell>
          <cell r="K16">
            <v>65109.61</v>
          </cell>
          <cell r="L16">
            <v>87136.52</v>
          </cell>
          <cell r="M16">
            <v>75537.34</v>
          </cell>
          <cell r="N16">
            <v>24570.95</v>
          </cell>
          <cell r="O16">
            <v>32637.75</v>
          </cell>
          <cell r="P16">
            <v>141676.64000000001</v>
          </cell>
          <cell r="Q16">
            <v>89778.420693220018</v>
          </cell>
          <cell r="R16">
            <v>111036.96</v>
          </cell>
          <cell r="S16">
            <v>92850.33</v>
          </cell>
          <cell r="T16">
            <v>122053.43</v>
          </cell>
        </row>
        <row r="17">
          <cell r="I17">
            <v>6.7669704746248366E-2</v>
          </cell>
          <cell r="J17">
            <v>5.2135040793100093E-2</v>
          </cell>
          <cell r="K17">
            <v>5.4027923619195867E-2</v>
          </cell>
          <cell r="L17">
            <v>7.690248631237287E-2</v>
          </cell>
          <cell r="M17">
            <v>0.1419641638559441</v>
          </cell>
          <cell r="N17">
            <v>7.2735387494265683E-2</v>
          </cell>
          <cell r="O17">
            <v>0.10524793886530642</v>
          </cell>
          <cell r="P17">
            <v>0.19359686616682917</v>
          </cell>
          <cell r="Q17">
            <v>0.20056665071376209</v>
          </cell>
          <cell r="R17">
            <v>0.2892455730412507</v>
          </cell>
          <cell r="S17">
            <v>0.23701567766983045</v>
          </cell>
          <cell r="T17">
            <v>0.24630425354583904</v>
          </cell>
        </row>
        <row r="18">
          <cell r="I18">
            <v>4060.4450104400003</v>
          </cell>
          <cell r="J18">
            <v>31652.09</v>
          </cell>
          <cell r="K18">
            <v>13818.29</v>
          </cell>
          <cell r="L18">
            <v>19939.03</v>
          </cell>
          <cell r="M18">
            <v>13975.85</v>
          </cell>
          <cell r="N18">
            <v>4767.1400000000003</v>
          </cell>
          <cell r="O18">
            <v>5502.97</v>
          </cell>
          <cell r="P18">
            <v>18956.91</v>
          </cell>
          <cell r="Q18">
            <v>19345.483154489997</v>
          </cell>
          <cell r="R18">
            <v>14680.02</v>
          </cell>
          <cell r="S18">
            <v>14885.03</v>
          </cell>
          <cell r="T18">
            <v>18367.53</v>
          </cell>
        </row>
        <row r="19">
          <cell r="I19">
            <v>24365.015556689999</v>
          </cell>
          <cell r="J19">
            <v>564168.15</v>
          </cell>
          <cell r="K19">
            <v>54490.329597030002</v>
          </cell>
          <cell r="L19">
            <v>94003.23</v>
          </cell>
          <cell r="M19">
            <v>62392.94</v>
          </cell>
          <cell r="N19">
            <v>15339.71</v>
          </cell>
          <cell r="O19">
            <v>41687.879999999997</v>
          </cell>
          <cell r="P19">
            <v>206277.77238042999</v>
          </cell>
          <cell r="Q19">
            <v>48834.874665219999</v>
          </cell>
          <cell r="R19">
            <v>56751.234787949994</v>
          </cell>
          <cell r="S19">
            <v>57172.34</v>
          </cell>
          <cell r="T19">
            <v>89898.95</v>
          </cell>
        </row>
        <row r="20">
          <cell r="I20">
            <v>-1167.3639409899988</v>
          </cell>
          <cell r="J20">
            <v>259283.18000000005</v>
          </cell>
          <cell r="K20">
            <v>3485.3844448400123</v>
          </cell>
          <cell r="L20">
            <v>1487.8300000000017</v>
          </cell>
          <cell r="M20">
            <v>-5235.5599999999977</v>
          </cell>
          <cell r="N20">
            <v>-1344.1963925300006</v>
          </cell>
          <cell r="O20">
            <v>-3185.7000000000044</v>
          </cell>
          <cell r="P20">
            <v>53319.396905659989</v>
          </cell>
          <cell r="Q20">
            <v>-436.61586888000602</v>
          </cell>
          <cell r="R20">
            <v>2187.6685374799927</v>
          </cell>
          <cell r="S20">
            <v>-1392.070000000007</v>
          </cell>
          <cell r="T20">
            <v>5738.9633369999938</v>
          </cell>
        </row>
        <row r="22">
          <cell r="I22">
            <v>20678.244682199998</v>
          </cell>
          <cell r="J22">
            <v>150629.44</v>
          </cell>
          <cell r="K22">
            <v>75757.824339589992</v>
          </cell>
          <cell r="L22">
            <v>70853.36</v>
          </cell>
          <cell r="M22">
            <v>69683.97</v>
          </cell>
          <cell r="N22">
            <v>16044.17</v>
          </cell>
          <cell r="O22">
            <v>31590.18</v>
          </cell>
          <cell r="P22">
            <v>140898.61430091001</v>
          </cell>
          <cell r="Q22">
            <v>79526.518553810005</v>
          </cell>
          <cell r="R22">
            <v>62729.7347037</v>
          </cell>
          <cell r="S22">
            <v>69589.56</v>
          </cell>
          <cell r="T22">
            <v>112011.39</v>
          </cell>
        </row>
        <row r="23">
          <cell r="I23">
            <v>-4322.4669249600001</v>
          </cell>
          <cell r="J23">
            <v>433581.09</v>
          </cell>
          <cell r="K23">
            <v>-23979.810223659999</v>
          </cell>
          <cell r="L23">
            <v>-14061.35</v>
          </cell>
          <cell r="M23">
            <v>-21282.91</v>
          </cell>
          <cell r="N23">
            <v>-12240.13</v>
          </cell>
          <cell r="O23">
            <v>314.67</v>
          </cell>
          <cell r="P23">
            <v>67876.289229889997</v>
          </cell>
          <cell r="Q23">
            <v>-31593.30002857</v>
          </cell>
          <cell r="R23">
            <v>-7592.5761068800002</v>
          </cell>
          <cell r="S23">
            <v>-13082.22</v>
          </cell>
          <cell r="T23">
            <v>-22293</v>
          </cell>
        </row>
        <row r="24">
          <cell r="I24">
            <v>-2416.3678332</v>
          </cell>
          <cell r="J24">
            <v>248659.60000000003</v>
          </cell>
          <cell r="K24">
            <v>-1934.5181768299954</v>
          </cell>
          <cell r="L24">
            <v>-568.55999999999949</v>
          </cell>
          <cell r="M24">
            <v>-6539.6299999999992</v>
          </cell>
          <cell r="N24">
            <v>-1206.9299999999985</v>
          </cell>
          <cell r="O24">
            <v>-3316.58</v>
          </cell>
          <cell r="P24">
            <v>44191.651042999998</v>
          </cell>
          <cell r="Q24">
            <v>-6049.3651553599993</v>
          </cell>
          <cell r="R24">
            <v>-5878.7981388300004</v>
          </cell>
          <cell r="S24">
            <v>-6241.98</v>
          </cell>
          <cell r="T24">
            <v>-6198.4500000000007</v>
          </cell>
        </row>
        <row r="25">
          <cell r="I25">
            <v>-9.4639351315437062E-2</v>
          </cell>
          <cell r="J25">
            <v>0.81558497291617904</v>
          </cell>
          <cell r="K25">
            <v>-3.7928051310666559E-2</v>
          </cell>
          <cell r="L25">
            <v>-6.1455714399980925E-3</v>
          </cell>
          <cell r="M25">
            <v>-9.6699320552725537E-2</v>
          </cell>
          <cell r="N25">
            <v>-7.2340971688763828E-2</v>
          </cell>
          <cell r="O25">
            <v>-7.390941395805728E-2</v>
          </cell>
          <cell r="P25">
            <v>0.28891292095534366</v>
          </cell>
          <cell r="Q25">
            <v>-0.12277617522395291</v>
          </cell>
          <cell r="R25">
            <v>-0.10774219030779282</v>
          </cell>
          <cell r="S25">
            <v>-0.10658316202622035</v>
          </cell>
          <cell r="T25">
            <v>-7.3650795892118176E-2</v>
          </cell>
        </row>
        <row r="26">
          <cell r="I26">
            <v>-9.2057676982516129E-3</v>
          </cell>
          <cell r="J26">
            <v>0.12300363812065673</v>
          </cell>
          <cell r="K26">
            <v>-2.0483819097906327E-3</v>
          </cell>
          <cell r="L26">
            <v>-5.8525045334881871E-4</v>
          </cell>
          <cell r="M26">
            <v>-1.3506265723220591E-2</v>
          </cell>
          <cell r="N26">
            <v>-4.2766398826708206E-3</v>
          </cell>
          <cell r="O26">
            <v>-1.2188945001969514E-2</v>
          </cell>
          <cell r="P26">
            <v>0.10029729477503753</v>
          </cell>
          <cell r="Q26">
            <v>-2.0743968598908688E-2</v>
          </cell>
          <cell r="R26">
            <v>-2.5681052388917883E-2</v>
          </cell>
          <cell r="S26">
            <v>-2.7647446359042878E-2</v>
          </cell>
          <cell r="T26">
            <v>-2.4445728998736906E-2</v>
          </cell>
        </row>
        <row r="56">
          <cell r="I56">
            <v>1249.0038922099993</v>
          </cell>
          <cell r="J56">
            <v>10623.580000000016</v>
          </cell>
          <cell r="K56">
            <v>5417.8031736699922</v>
          </cell>
          <cell r="L56">
            <v>1988.6000000000058</v>
          </cell>
          <cell r="M56">
            <v>1309.7700000000041</v>
          </cell>
          <cell r="N56">
            <v>429.19000000000051</v>
          </cell>
          <cell r="O56">
            <v>130.88000000000102</v>
          </cell>
          <cell r="P56">
            <v>6446.9078185399994</v>
          </cell>
          <cell r="Q56">
            <v>5612.749256480005</v>
          </cell>
          <cell r="R56">
            <v>8159.2330923099944</v>
          </cell>
          <cell r="S56">
            <v>8001.9499999999971</v>
          </cell>
          <cell r="T56">
            <v>10965.059999999998</v>
          </cell>
        </row>
        <row r="63">
          <cell r="I63">
            <v>20678.244682199998</v>
          </cell>
          <cell r="J63">
            <v>150629.44</v>
          </cell>
          <cell r="K63">
            <v>75757.824339589992</v>
          </cell>
          <cell r="L63">
            <v>70853.36</v>
          </cell>
          <cell r="M63">
            <v>69683.97</v>
          </cell>
          <cell r="N63">
            <v>16044.17</v>
          </cell>
          <cell r="O63">
            <v>31590.18</v>
          </cell>
          <cell r="P63">
            <v>140898.61430091001</v>
          </cell>
          <cell r="Q63">
            <v>79526.518553810005</v>
          </cell>
          <cell r="R63">
            <v>62729.7347037</v>
          </cell>
          <cell r="S63">
            <v>69589.56</v>
          </cell>
          <cell r="T63">
            <v>112011.39</v>
          </cell>
        </row>
        <row r="64">
          <cell r="I64">
            <v>12199.681906920001</v>
          </cell>
          <cell r="L64">
            <v>65077.896025990005</v>
          </cell>
          <cell r="M64">
            <v>49183.55</v>
          </cell>
          <cell r="N64">
            <v>11066.14</v>
          </cell>
          <cell r="O64">
            <v>13611.55</v>
          </cell>
          <cell r="P64">
            <v>41300.699695299998</v>
          </cell>
          <cell r="Q64">
            <v>39166.1458891</v>
          </cell>
          <cell r="R64">
            <v>29765.66</v>
          </cell>
          <cell r="S64">
            <v>36462.36</v>
          </cell>
          <cell r="T64">
            <v>45412.873570520002</v>
          </cell>
        </row>
        <row r="65">
          <cell r="I65">
            <v>0.58997666844621421</v>
          </cell>
          <cell r="L65">
            <v>0.91848708411273661</v>
          </cell>
          <cell r="M65">
            <v>0.70580866733052094</v>
          </cell>
          <cell r="N65">
            <v>0.68972966504343947</v>
          </cell>
          <cell r="O65">
            <v>0.43087915295196161</v>
          </cell>
          <cell r="P65">
            <v>0.2931235335437451</v>
          </cell>
          <cell r="Q65">
            <v>0.492491644313576</v>
          </cell>
          <cell r="R65">
            <v>0.4745063906390844</v>
          </cell>
          <cell r="S65">
            <v>0.52396307722020374</v>
          </cell>
          <cell r="T65">
            <v>0.40543085458112788</v>
          </cell>
        </row>
        <row r="66">
          <cell r="I66">
            <v>0.50070486836074624</v>
          </cell>
          <cell r="L66">
            <v>0.69229425442072579</v>
          </cell>
          <cell r="M66">
            <v>0.7882871042781443</v>
          </cell>
          <cell r="N66">
            <v>0.72140477231968536</v>
          </cell>
          <cell r="O66">
            <v>0.32651096673661506</v>
          </cell>
          <cell r="P66">
            <v>0.20021885644145285</v>
          </cell>
          <cell r="Q66">
            <v>0.80201180319592325</v>
          </cell>
          <cell r="R66">
            <v>0.52449360989622296</v>
          </cell>
          <cell r="S66">
            <v>0.63776224656888281</v>
          </cell>
          <cell r="T66">
            <v>0.50515466054408875</v>
          </cell>
        </row>
        <row r="67">
          <cell r="I67">
            <v>-4322.4669249600001</v>
          </cell>
          <cell r="J67">
            <v>433581.09</v>
          </cell>
          <cell r="K67">
            <v>-23979.810223659999</v>
          </cell>
          <cell r="L67">
            <v>-14061.35</v>
          </cell>
          <cell r="M67">
            <v>-21282.91</v>
          </cell>
          <cell r="N67">
            <v>-12240.13</v>
          </cell>
          <cell r="O67">
            <v>314.67</v>
          </cell>
          <cell r="P67">
            <v>67876.289229889997</v>
          </cell>
          <cell r="Q67">
            <v>-31593.30002857</v>
          </cell>
          <cell r="R67">
            <v>-7592.58</v>
          </cell>
          <cell r="S67">
            <v>-13082.22</v>
          </cell>
          <cell r="T67">
            <v>-22293</v>
          </cell>
        </row>
        <row r="68">
          <cell r="I68">
            <v>-10667.856269989999</v>
          </cell>
          <cell r="J68">
            <v>353864.95</v>
          </cell>
          <cell r="K68">
            <v>-54687.86</v>
          </cell>
          <cell r="L68">
            <v>-48833.68</v>
          </cell>
          <cell r="M68">
            <v>-34536.83</v>
          </cell>
          <cell r="N68">
            <v>-17978.560000000001</v>
          </cell>
          <cell r="O68">
            <v>-11128.16</v>
          </cell>
          <cell r="P68">
            <v>62437.88</v>
          </cell>
          <cell r="Q68">
            <v>-40182.620992799995</v>
          </cell>
          <cell r="R68">
            <v>-19989.990000000002</v>
          </cell>
          <cell r="S68">
            <v>-20957.179999999997</v>
          </cell>
          <cell r="T68">
            <v>-32018.6</v>
          </cell>
        </row>
        <row r="69">
          <cell r="I69">
            <v>-6186.4262699899991</v>
          </cell>
          <cell r="J69">
            <v>199872.86000000002</v>
          </cell>
          <cell r="K69">
            <v>-23731.72</v>
          </cell>
          <cell r="L69">
            <v>-27446.83</v>
          </cell>
          <cell r="M69">
            <v>-17779.470000000005</v>
          </cell>
          <cell r="N69">
            <v>-8206.3100000000013</v>
          </cell>
          <cell r="O69">
            <v>-10497.18</v>
          </cell>
          <cell r="P69">
            <v>37212.39</v>
          </cell>
          <cell r="Q69">
            <v>-13435.485952799994</v>
          </cell>
          <cell r="R69">
            <v>-12652.94</v>
          </cell>
          <cell r="S69">
            <v>-11704.709999999995</v>
          </cell>
          <cell r="T69">
            <v>-12076.349999999999</v>
          </cell>
        </row>
        <row r="71">
          <cell r="I71">
            <v>6300.6274040200005</v>
          </cell>
          <cell r="J71">
            <v>81594.599999999991</v>
          </cell>
          <cell r="K71">
            <v>24147.08</v>
          </cell>
          <cell r="L71">
            <v>32318.18</v>
          </cell>
          <cell r="M71">
            <v>13555.93</v>
          </cell>
          <cell r="N71">
            <v>5711.96</v>
          </cell>
          <cell r="O71">
            <v>11511.210000000001</v>
          </cell>
          <cell r="P71">
            <v>6894.83</v>
          </cell>
          <cell r="Q71">
            <v>6031.8777708600001</v>
          </cell>
          <cell r="R71">
            <v>7987.5000000000009</v>
          </cell>
          <cell r="S71">
            <v>7609.47</v>
          </cell>
          <cell r="T71">
            <v>7636.21</v>
          </cell>
        </row>
        <row r="72">
          <cell r="I72">
            <v>3709.3574040200006</v>
          </cell>
          <cell r="J72">
            <v>48987.199999999997</v>
          </cell>
          <cell r="K72">
            <v>21802.440000000002</v>
          </cell>
          <cell r="L72">
            <v>26923.13</v>
          </cell>
          <cell r="M72">
            <v>11252.01</v>
          </cell>
          <cell r="N72">
            <v>6941.23</v>
          </cell>
          <cell r="O72">
            <v>7152.4600000000009</v>
          </cell>
          <cell r="P72">
            <v>7140.29</v>
          </cell>
          <cell r="Q72">
            <v>7383.5106708599997</v>
          </cell>
          <cell r="R72">
            <v>6836.4800000000014</v>
          </cell>
          <cell r="S72">
            <v>5303.5300000000007</v>
          </cell>
          <cell r="T72">
            <v>5907.29</v>
          </cell>
        </row>
        <row r="74">
          <cell r="I74">
            <v>185410</v>
          </cell>
          <cell r="J74">
            <v>2753258</v>
          </cell>
          <cell r="K74">
            <v>1072542.6299999999</v>
          </cell>
          <cell r="L74">
            <v>1229821.97</v>
          </cell>
          <cell r="M74">
            <v>511751</v>
          </cell>
          <cell r="N74">
            <v>326955.93</v>
          </cell>
          <cell r="O74">
            <v>0</v>
          </cell>
          <cell r="P74">
            <v>901521.63</v>
          </cell>
          <cell r="Q74">
            <v>470157.57</v>
          </cell>
          <cell r="R74">
            <v>425150.95</v>
          </cell>
          <cell r="S74">
            <v>422039</v>
          </cell>
          <cell r="T74">
            <v>560935.65</v>
          </cell>
        </row>
        <row r="75">
          <cell r="I75">
            <v>7.6096811663677038</v>
          </cell>
          <cell r="J75">
            <v>4.8802081436181748</v>
          </cell>
          <cell r="K75">
            <v>14.011448387500327</v>
          </cell>
          <cell r="L75">
            <v>9.8632132777106598</v>
          </cell>
          <cell r="M75">
            <v>8.2020658106510123</v>
          </cell>
          <cell r="N75">
            <v>21.314348837103179</v>
          </cell>
          <cell r="O75">
            <v>0</v>
          </cell>
          <cell r="P75">
            <v>4.3704254685151396</v>
          </cell>
          <cell r="Q75">
            <v>9.6274961945350164</v>
          </cell>
          <cell r="R75">
            <v>7.2621762601570188</v>
          </cell>
          <cell r="S75">
            <v>7.3818738222014355</v>
          </cell>
          <cell r="T75">
            <v>5.6919460682557848</v>
          </cell>
        </row>
        <row r="100">
          <cell r="I100">
            <v>1.7669999999999999</v>
          </cell>
          <cell r="J100">
            <v>1.98</v>
          </cell>
          <cell r="K100">
            <v>1.6566000000000001</v>
          </cell>
          <cell r="L100">
            <v>1.575</v>
          </cell>
          <cell r="M100">
            <v>2.06</v>
          </cell>
          <cell r="N100">
            <v>1.798</v>
          </cell>
          <cell r="O100">
            <v>2.7219000000000002</v>
          </cell>
          <cell r="P100">
            <v>2.6286999999999998</v>
          </cell>
          <cell r="Q100">
            <v>1.901</v>
          </cell>
          <cell r="R100">
            <v>2.4129999999999998</v>
          </cell>
          <cell r="S100">
            <v>1.9154</v>
          </cell>
          <cell r="T100">
            <v>2.1819999999999999</v>
          </cell>
        </row>
        <row r="101">
          <cell r="I101">
            <v>37022.39</v>
          </cell>
          <cell r="J101">
            <v>657397.18999999994</v>
          </cell>
          <cell r="K101">
            <v>142181.31</v>
          </cell>
          <cell r="L101">
            <v>229010.84</v>
          </cell>
          <cell r="M101">
            <v>98738</v>
          </cell>
          <cell r="N101">
            <v>40594.959999999999</v>
          </cell>
          <cell r="O101">
            <v>58716.62</v>
          </cell>
          <cell r="P101">
            <v>293000</v>
          </cell>
          <cell r="Q101">
            <v>139584.76</v>
          </cell>
          <cell r="R101">
            <v>133506.22</v>
          </cell>
          <cell r="S101">
            <v>121908.66</v>
          </cell>
          <cell r="T101">
            <v>215522.35</v>
          </cell>
        </row>
        <row r="102">
          <cell r="I102">
            <v>20953.93</v>
          </cell>
          <cell r="J102">
            <v>332051.92</v>
          </cell>
          <cell r="K102">
            <v>85824.88</v>
          </cell>
          <cell r="L102">
            <v>145388.34</v>
          </cell>
          <cell r="M102">
            <v>47935</v>
          </cell>
          <cell r="N102">
            <v>22572.98</v>
          </cell>
          <cell r="O102">
            <v>21571.59</v>
          </cell>
          <cell r="P102">
            <v>111463</v>
          </cell>
          <cell r="Q102">
            <v>73408.179999999993</v>
          </cell>
          <cell r="R102">
            <v>55321.86</v>
          </cell>
          <cell r="S102">
            <v>63646.32</v>
          </cell>
          <cell r="T102">
            <v>98763.53</v>
          </cell>
        </row>
        <row r="109">
          <cell r="I109">
            <v>1119.9010958400002</v>
          </cell>
          <cell r="J109">
            <v>9747.16</v>
          </cell>
          <cell r="K109">
            <v>3915.9032983800003</v>
          </cell>
          <cell r="L109">
            <v>3444.19</v>
          </cell>
          <cell r="M109">
            <v>7041.53</v>
          </cell>
          <cell r="N109">
            <v>1137.71</v>
          </cell>
          <cell r="O109">
            <v>2618.85</v>
          </cell>
          <cell r="P109">
            <v>14466.962512849999</v>
          </cell>
          <cell r="Q109">
            <v>3961.1130419400001</v>
          </cell>
          <cell r="R109">
            <v>14254.1127889</v>
          </cell>
          <cell r="S109">
            <v>6266.95</v>
          </cell>
          <cell r="T109">
            <v>10359.5</v>
          </cell>
        </row>
        <row r="110">
          <cell r="I110">
            <v>0.91200000000000003</v>
          </cell>
          <cell r="J110">
            <v>0.83261359437729099</v>
          </cell>
          <cell r="L110">
            <v>0.86948582110486305</v>
          </cell>
          <cell r="N110">
            <v>0.91321555626753914</v>
          </cell>
          <cell r="P110">
            <v>0.92593771512820156</v>
          </cell>
          <cell r="R110">
            <v>0.93</v>
          </cell>
        </row>
        <row r="111">
          <cell r="I111">
            <v>1.0520833333333335</v>
          </cell>
          <cell r="J111">
            <v>1.0760043431053203</v>
          </cell>
          <cell r="K111">
            <v>0.96674876847290636</v>
          </cell>
          <cell r="L111">
            <v>1.1627906976744187</v>
          </cell>
          <cell r="M111">
            <v>1.067332474226804</v>
          </cell>
          <cell r="N111">
            <v>1.134684147794994</v>
          </cell>
          <cell r="O111">
            <v>1.0978886756238002</v>
          </cell>
          <cell r="P111">
            <v>1.0248581634797227</v>
          </cell>
          <cell r="Q111">
            <v>1.0678314491264131</v>
          </cell>
          <cell r="R111">
            <v>0.99979298209295109</v>
          </cell>
          <cell r="S111">
            <v>1.0253968253968255</v>
          </cell>
          <cell r="T111">
            <v>1.0402611534276387</v>
          </cell>
        </row>
        <row r="112">
          <cell r="I112">
            <v>0.14721929670129238</v>
          </cell>
          <cell r="J112">
            <v>3.7694640570469867E-2</v>
          </cell>
          <cell r="L112">
            <v>9.4921478614756485E-2</v>
          </cell>
          <cell r="N112">
            <v>-1.4857493360526759E-2</v>
          </cell>
          <cell r="P112">
            <v>-4.5151832714023232E-2</v>
          </cell>
          <cell r="R112">
            <v>9.7962995688449708E-3</v>
          </cell>
        </row>
        <row r="113">
          <cell r="I113">
            <v>0.1372973992660175</v>
          </cell>
          <cell r="J113">
            <v>4.9259968410359838E-2</v>
          </cell>
          <cell r="L113">
            <v>8.9414237193410309E-2</v>
          </cell>
          <cell r="N113">
            <v>-1.2425082625804457E-2</v>
          </cell>
          <cell r="P113">
            <v>-2.7373628377923977E-2</v>
          </cell>
          <cell r="R113">
            <v>3.9802890991241088E-3</v>
          </cell>
        </row>
        <row r="114">
          <cell r="I114">
            <v>738.66156524000007</v>
          </cell>
          <cell r="J114">
            <v>6917.45</v>
          </cell>
          <cell r="K114">
            <v>6700.35101553</v>
          </cell>
          <cell r="L114">
            <v>570.17999999999995</v>
          </cell>
          <cell r="M114">
            <v>925.33</v>
          </cell>
          <cell r="N114">
            <v>911.64</v>
          </cell>
          <cell r="O114">
            <v>1518.29</v>
          </cell>
          <cell r="P114">
            <v>8839.8644576300012</v>
          </cell>
          <cell r="Q114">
            <v>3307.5128531800001</v>
          </cell>
          <cell r="R114">
            <v>8623.5169854799988</v>
          </cell>
          <cell r="S114">
            <v>5282.81</v>
          </cell>
          <cell r="T114">
            <v>10518.3</v>
          </cell>
        </row>
        <row r="116">
          <cell r="I116">
            <v>34.005107729999999</v>
          </cell>
          <cell r="J116">
            <v>3405.45</v>
          </cell>
          <cell r="K116">
            <v>-995.27295975999994</v>
          </cell>
          <cell r="L116">
            <v>112.13</v>
          </cell>
          <cell r="M116">
            <v>-1.48</v>
          </cell>
          <cell r="N116">
            <v>-935.47</v>
          </cell>
          <cell r="O116">
            <v>44.78</v>
          </cell>
          <cell r="P116">
            <v>27.967082709999996</v>
          </cell>
          <cell r="Q116">
            <v>-325.84869918999999</v>
          </cell>
          <cell r="R116">
            <v>62.644791839999996</v>
          </cell>
          <cell r="S116">
            <v>-142.16999999999999</v>
          </cell>
          <cell r="T116">
            <v>201.74</v>
          </cell>
        </row>
        <row r="117">
          <cell r="I117">
            <v>1892.56776881</v>
          </cell>
          <cell r="J117">
            <v>20070.060000000001</v>
          </cell>
          <cell r="K117">
            <v>9620.9813541500007</v>
          </cell>
          <cell r="L117">
            <v>4126.5</v>
          </cell>
          <cell r="M117">
            <v>7965.38</v>
          </cell>
          <cell r="N117">
            <v>1113.8800000000001</v>
          </cell>
          <cell r="O117">
            <v>4181.92</v>
          </cell>
          <cell r="P117">
            <v>23334.794053190002</v>
          </cell>
          <cell r="Q117">
            <v>6942.7771959300017</v>
          </cell>
          <cell r="R117">
            <v>22940.27456622</v>
          </cell>
          <cell r="S117">
            <v>11407.59</v>
          </cell>
          <cell r="T117">
            <v>21079.54</v>
          </cell>
        </row>
        <row r="118">
          <cell r="I118">
            <v>1249.00389221</v>
          </cell>
          <cell r="J118">
            <v>16997.62</v>
          </cell>
          <cell r="K118">
            <v>7632.1047759899993</v>
          </cell>
          <cell r="L118">
            <v>3133.2</v>
          </cell>
          <cell r="M118">
            <v>5159.16</v>
          </cell>
          <cell r="N118">
            <v>658.37</v>
          </cell>
          <cell r="O118">
            <v>2658.88</v>
          </cell>
          <cell r="P118">
            <v>16908.782142579999</v>
          </cell>
          <cell r="Q118">
            <v>5611.0640750700004</v>
          </cell>
          <cell r="R118">
            <v>16810.24330229</v>
          </cell>
          <cell r="S118">
            <v>7810.77</v>
          </cell>
          <cell r="T118">
            <v>15348.8</v>
          </cell>
        </row>
        <row r="126">
          <cell r="I126">
            <v>2058.3148376500003</v>
          </cell>
          <cell r="J126">
            <v>14795.99</v>
          </cell>
          <cell r="K126">
            <v>5879.96</v>
          </cell>
          <cell r="L126">
            <v>7872.9</v>
          </cell>
          <cell r="M126">
            <v>7352.29</v>
          </cell>
          <cell r="N126">
            <v>2467.5100000000002</v>
          </cell>
          <cell r="O126">
            <v>2976.06</v>
          </cell>
          <cell r="P126">
            <v>16207.81</v>
          </cell>
          <cell r="Q126">
            <v>9639.0135596399996</v>
          </cell>
          <cell r="R126">
            <v>11672.64</v>
          </cell>
          <cell r="S126">
            <v>8534.36</v>
          </cell>
          <cell r="T126">
            <v>12850.78</v>
          </cell>
        </row>
        <row r="133">
          <cell r="I133">
            <v>20584.23120047</v>
          </cell>
          <cell r="J133">
            <v>132178.74</v>
          </cell>
          <cell r="K133">
            <v>65109.61</v>
          </cell>
          <cell r="L133">
            <v>87136.52</v>
          </cell>
          <cell r="M133">
            <v>75537.34</v>
          </cell>
          <cell r="N133">
            <v>24570.95</v>
          </cell>
          <cell r="O133">
            <v>32637.75</v>
          </cell>
          <cell r="P133">
            <v>141676.64000000001</v>
          </cell>
          <cell r="Q133">
            <v>89778.420693220018</v>
          </cell>
          <cell r="R133">
            <v>111036.96</v>
          </cell>
          <cell r="S133">
            <v>92850.33</v>
          </cell>
          <cell r="T133">
            <v>122053.43</v>
          </cell>
        </row>
        <row r="134">
          <cell r="I134">
            <v>-197.88879952999923</v>
          </cell>
          <cell r="J134">
            <v>3158.5099999999948</v>
          </cell>
          <cell r="K134">
            <v>729.02999999999884</v>
          </cell>
          <cell r="L134">
            <v>-3954.8899999999994</v>
          </cell>
          <cell r="M134">
            <v>3296.1999999999971</v>
          </cell>
          <cell r="N134">
            <v>-2139.9300000000003</v>
          </cell>
          <cell r="O134">
            <v>2532.66</v>
          </cell>
          <cell r="P134">
            <v>937.55000000001746</v>
          </cell>
          <cell r="Q134">
            <v>6723.5480753400188</v>
          </cell>
          <cell r="R134">
            <v>-841.92999999999302</v>
          </cell>
          <cell r="S134">
            <v>4645.5099999999948</v>
          </cell>
          <cell r="T134">
            <v>-264.15000000000873</v>
          </cell>
        </row>
        <row r="136">
          <cell r="I136">
            <v>5398.7811534300008</v>
          </cell>
          <cell r="J136">
            <v>30594.720000000001</v>
          </cell>
          <cell r="K136">
            <v>12781.34</v>
          </cell>
          <cell r="L136">
            <v>20662.580000000002</v>
          </cell>
          <cell r="M136">
            <v>16459.98</v>
          </cell>
          <cell r="N136">
            <v>5291.32</v>
          </cell>
          <cell r="O136">
            <v>5047.29</v>
          </cell>
          <cell r="P136">
            <v>28983.67</v>
          </cell>
          <cell r="Q136">
            <v>20375.612719799999</v>
          </cell>
          <cell r="R136">
            <v>15881.72</v>
          </cell>
          <cell r="S136">
            <v>17418.560000000001</v>
          </cell>
          <cell r="T136">
            <v>29326.93</v>
          </cell>
        </row>
        <row r="137">
          <cell r="I137">
            <v>2058.3148376500003</v>
          </cell>
          <cell r="J137">
            <v>14795.99</v>
          </cell>
          <cell r="K137">
            <v>5879.96</v>
          </cell>
          <cell r="L137">
            <v>7872.9</v>
          </cell>
          <cell r="M137">
            <v>7352.29</v>
          </cell>
          <cell r="N137">
            <v>2467.5100000000002</v>
          </cell>
          <cell r="O137">
            <v>2976.06</v>
          </cell>
          <cell r="P137">
            <v>16207.81</v>
          </cell>
          <cell r="Q137">
            <v>9639.0135596399996</v>
          </cell>
          <cell r="R137">
            <v>11672.64</v>
          </cell>
          <cell r="S137">
            <v>8534.36</v>
          </cell>
          <cell r="T137">
            <v>12850.78</v>
          </cell>
        </row>
        <row r="138">
          <cell r="I138">
            <v>9.0904743405830407E-2</v>
          </cell>
          <cell r="J138">
            <v>0.10067029890104238</v>
          </cell>
          <cell r="K138">
            <v>8.2828505652309203E-2</v>
          </cell>
          <cell r="L138">
            <v>8.2864414918015494E-2</v>
          </cell>
          <cell r="M138">
            <v>8.8699756531667479E-2</v>
          </cell>
          <cell r="N138">
            <v>9.1259265505505865E-2</v>
          </cell>
          <cell r="O138">
            <v>8.3564774451259219E-2</v>
          </cell>
          <cell r="P138">
            <v>0.10265615138159584</v>
          </cell>
          <cell r="Q138">
            <v>9.6954961995136243E-2</v>
          </cell>
          <cell r="R138">
            <v>9.512409787009328E-2</v>
          </cell>
          <cell r="S138">
            <v>8.4177995711186768E-2</v>
          </cell>
          <cell r="T138">
            <v>9.5258554199309287E-2</v>
          </cell>
        </row>
        <row r="139">
          <cell r="I139">
            <v>2.6229131980576139</v>
          </cell>
          <cell r="J139">
            <v>2.0677710649980163</v>
          </cell>
          <cell r="K139">
            <v>2.1737120660684766</v>
          </cell>
          <cell r="L139">
            <v>2.6245195544208619</v>
          </cell>
          <cell r="M139">
            <v>2.2387555441909934</v>
          </cell>
          <cell r="N139">
            <v>2.1443965779267358</v>
          </cell>
          <cell r="O139">
            <v>1.6959637910525998</v>
          </cell>
          <cell r="P139">
            <v>1.7882533173821755</v>
          </cell>
          <cell r="Q139">
            <v>2.1138690794165655</v>
          </cell>
          <cell r="R139">
            <v>1.3605936617594649</v>
          </cell>
          <cell r="S139">
            <v>2.0409919431568389</v>
          </cell>
          <cell r="T139">
            <v>2.282112836730533</v>
          </cell>
        </row>
        <row r="140">
          <cell r="I140">
            <v>2014.1523565595216</v>
          </cell>
          <cell r="J140">
            <v>8491.89</v>
          </cell>
          <cell r="K140">
            <v>5707.66</v>
          </cell>
          <cell r="L140">
            <v>4244.1099999999997</v>
          </cell>
          <cell r="M140">
            <v>4415.2299999999996</v>
          </cell>
          <cell r="O140">
            <v>2049.54</v>
          </cell>
          <cell r="P140">
            <v>10479.49</v>
          </cell>
          <cell r="Q140">
            <v>6227.1686113400001</v>
          </cell>
          <cell r="R140">
            <v>7868.48</v>
          </cell>
          <cell r="S140">
            <v>5019.47</v>
          </cell>
          <cell r="T140">
            <v>7951.82</v>
          </cell>
        </row>
        <row r="141">
          <cell r="I141">
            <v>5894.1802860295493</v>
          </cell>
          <cell r="J141">
            <v>25062.27</v>
          </cell>
          <cell r="K141">
            <v>16940.669999999998</v>
          </cell>
          <cell r="L141">
            <v>13332.5</v>
          </cell>
          <cell r="M141">
            <v>13462.849999999999</v>
          </cell>
          <cell r="O141">
            <v>6548.89</v>
          </cell>
          <cell r="P141">
            <v>28575.15</v>
          </cell>
          <cell r="Q141">
            <v>17764.542066820002</v>
          </cell>
          <cell r="R141">
            <v>23413.519999999997</v>
          </cell>
          <cell r="S141">
            <v>14733.51</v>
          </cell>
          <cell r="T141">
            <v>22226.690000000002</v>
          </cell>
        </row>
        <row r="142">
          <cell r="I142">
            <v>4570.827977227661</v>
          </cell>
          <cell r="J142">
            <v>98624.58</v>
          </cell>
          <cell r="K142">
            <v>14113.19</v>
          </cell>
          <cell r="L142">
            <v>12640.98</v>
          </cell>
          <cell r="M142">
            <v>11534.76</v>
          </cell>
          <cell r="O142">
            <v>5928.71</v>
          </cell>
          <cell r="P142">
            <v>102622</v>
          </cell>
          <cell r="Q142">
            <v>15232.88857716</v>
          </cell>
          <cell r="R142">
            <v>20193.72</v>
          </cell>
          <cell r="S142">
            <v>12499.1</v>
          </cell>
          <cell r="T142">
            <v>18874.78</v>
          </cell>
        </row>
        <row r="143">
          <cell r="I143">
            <v>8105.0705806532696</v>
          </cell>
          <cell r="K143">
            <v>28348.09</v>
          </cell>
          <cell r="L143">
            <v>56918.93</v>
          </cell>
          <cell r="M143">
            <v>46124.52</v>
          </cell>
          <cell r="O143">
            <v>18110.61</v>
          </cell>
          <cell r="Q143">
            <v>50553.821437910003</v>
          </cell>
          <cell r="R143">
            <v>59561.27</v>
          </cell>
          <cell r="S143">
            <v>60598.25</v>
          </cell>
          <cell r="T143">
            <v>73000.14</v>
          </cell>
        </row>
        <row r="154">
          <cell r="I154">
            <v>5.0062889689894245E-2</v>
          </cell>
          <cell r="J154">
            <v>3.9117562802144935E-2</v>
          </cell>
          <cell r="K154">
            <v>0.10202680347700592</v>
          </cell>
          <cell r="L154">
            <v>2.7463561060208107E-2</v>
          </cell>
          <cell r="M154">
            <v>7.7572044738090068E-2</v>
          </cell>
          <cell r="N154">
            <v>3.7123381945339193E-2</v>
          </cell>
          <cell r="O154">
            <v>6.0734516510643419E-2</v>
          </cell>
          <cell r="P154">
            <v>9.4137420432397853E-2</v>
          </cell>
          <cell r="Q154">
            <v>0.11438736036484801</v>
          </cell>
          <cell r="R154">
            <v>0.28997163979926222</v>
          </cell>
          <cell r="S154">
            <v>0.13497475952970858</v>
          </cell>
          <cell r="T154">
            <v>0.16801361728212622</v>
          </cell>
        </row>
        <row r="155">
          <cell r="I155">
            <v>0.19819234766755159</v>
          </cell>
          <cell r="J155">
            <v>7.0875663058957775E-2</v>
          </cell>
          <cell r="K155">
            <v>0.11455652486784716</v>
          </cell>
          <cell r="L155">
            <v>0.10932301935418141</v>
          </cell>
          <cell r="M155">
            <v>0.26413941956656051</v>
          </cell>
          <cell r="N155">
            <v>0.18031496744542164</v>
          </cell>
          <cell r="O155">
            <v>0.17998352320022626</v>
          </cell>
          <cell r="P155">
            <v>0.20002270501629033</v>
          </cell>
          <cell r="Q155">
            <v>0.21351228495243993</v>
          </cell>
          <cell r="R155">
            <v>0.22082966285493097</v>
          </cell>
          <cell r="S155">
            <v>0.21052108445063766</v>
          </cell>
          <cell r="T155">
            <v>0.22841606535405248</v>
          </cell>
        </row>
        <row r="156">
          <cell r="I156">
            <v>0.84482733666131826</v>
          </cell>
          <cell r="J156">
            <v>0.23428961737737231</v>
          </cell>
          <cell r="K156">
            <v>0.85057685776580771</v>
          </cell>
          <cell r="L156">
            <v>0.69883780091967329</v>
          </cell>
          <cell r="M156">
            <v>1.210671271461162</v>
          </cell>
          <cell r="N156">
            <v>1.6017871263537578</v>
          </cell>
          <cell r="O156">
            <v>0.77366526430170479</v>
          </cell>
          <cell r="P156">
            <v>0.6868245587736489</v>
          </cell>
          <cell r="Q156">
            <v>1.8384079268899987</v>
          </cell>
          <cell r="R156">
            <v>1.896667465783634</v>
          </cell>
          <cell r="S156">
            <v>1.6240428500914954</v>
          </cell>
          <cell r="T156">
            <v>1.2385048819871454</v>
          </cell>
        </row>
        <row r="157">
          <cell r="I157">
            <v>0.75565891459795553</v>
          </cell>
          <cell r="J157">
            <v>0.30620498699767745</v>
          </cell>
          <cell r="K157">
            <v>0.5835640595665893</v>
          </cell>
          <cell r="L157">
            <v>0.46102797726208516</v>
          </cell>
          <cell r="M157">
            <v>1.2121757829111537</v>
          </cell>
          <cell r="N157">
            <v>0.83731659573661832</v>
          </cell>
          <cell r="O157">
            <v>1.1638438120908814</v>
          </cell>
          <cell r="P157">
            <v>0.97774176874147278</v>
          </cell>
          <cell r="Q157">
            <v>0.94077149999045406</v>
          </cell>
          <cell r="R157">
            <v>1.5439294006717446</v>
          </cell>
          <cell r="S157">
            <v>1.1221910515679583</v>
          </cell>
          <cell r="T157">
            <v>0.95062675307528832</v>
          </cell>
        </row>
        <row r="158">
          <cell r="I158">
            <v>0.65490439265156142</v>
          </cell>
          <cell r="J158">
            <v>0.26537765539798713</v>
          </cell>
          <cell r="K158">
            <v>0.50575551829104415</v>
          </cell>
          <cell r="L158">
            <v>0.39955758029380717</v>
          </cell>
          <cell r="M158">
            <v>1.0505523451896666</v>
          </cell>
          <cell r="N158">
            <v>0.72567438297173581</v>
          </cell>
          <cell r="O158">
            <v>1.0086646371454306</v>
          </cell>
          <cell r="P158">
            <v>0.84737619957594312</v>
          </cell>
          <cell r="Q158">
            <v>0.81533529999172683</v>
          </cell>
          <cell r="R158">
            <v>1.3380721472488453</v>
          </cell>
          <cell r="S158">
            <v>0.97256557802556387</v>
          </cell>
          <cell r="T158">
            <v>0.82387651933191675</v>
          </cell>
        </row>
        <row r="159">
          <cell r="I159">
            <v>8.4478289490968153E-2</v>
          </cell>
          <cell r="J159">
            <v>2.6226205786342244E-2</v>
          </cell>
          <cell r="K159">
            <v>7.6814434928862863E-2</v>
          </cell>
          <cell r="L159">
            <v>6.3140920969307651E-2</v>
          </cell>
          <cell r="M159">
            <v>0.11783849262432576</v>
          </cell>
          <cell r="N159">
            <v>0.16085766940835258</v>
          </cell>
          <cell r="O159">
            <v>7.0546353424415939E-2</v>
          </cell>
          <cell r="P159">
            <v>7.8572741080937078E-2</v>
          </cell>
          <cell r="Q159">
            <v>0.19737971328315634</v>
          </cell>
          <cell r="R159">
            <v>0.19938511039751697</v>
          </cell>
          <cell r="S159">
            <v>0.14927428193423606</v>
          </cell>
          <cell r="T159">
            <v>0.13039988935454552</v>
          </cell>
        </row>
        <row r="160">
          <cell r="I160">
            <v>7.5561916350995517E-2</v>
          </cell>
          <cell r="J160">
            <v>3.4276358857466535E-2</v>
          </cell>
          <cell r="K160">
            <v>5.2700873614342988E-2</v>
          </cell>
          <cell r="L160">
            <v>4.16544884072335E-2</v>
          </cell>
          <cell r="M160">
            <v>0.11798493151784066</v>
          </cell>
          <cell r="N160">
            <v>8.4086576756131251E-2</v>
          </cell>
          <cell r="O160">
            <v>0.10612462609742364</v>
          </cell>
          <cell r="P160">
            <v>0.11185367479653475</v>
          </cell>
          <cell r="Q160">
            <v>0.10100544401329242</v>
          </cell>
          <cell r="R160">
            <v>0.16230390384838553</v>
          </cell>
          <cell r="S160">
            <v>0.10314645540688461</v>
          </cell>
          <cell r="T160">
            <v>0.10008973337238336</v>
          </cell>
        </row>
        <row r="161">
          <cell r="I161">
            <v>6.5486994170862789E-2</v>
          </cell>
          <cell r="J161">
            <v>2.9706177676470998E-2</v>
          </cell>
          <cell r="K161">
            <v>4.5674090465763928E-2</v>
          </cell>
          <cell r="L161">
            <v>3.6100556619602368E-2</v>
          </cell>
          <cell r="M161">
            <v>0.1022536073154619</v>
          </cell>
          <cell r="N161">
            <v>7.2875033188647076E-2</v>
          </cell>
          <cell r="O161">
            <v>9.1974675951100496E-2</v>
          </cell>
          <cell r="P161">
            <v>9.6939851490330117E-2</v>
          </cell>
          <cell r="Q161">
            <v>8.7538051478186774E-2</v>
          </cell>
          <cell r="R161">
            <v>0.14066338333526746</v>
          </cell>
          <cell r="S161">
            <v>8.9393594685966665E-2</v>
          </cell>
          <cell r="T161">
            <v>8.6744435589398927E-2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획"/>
      <sheetName val="실적"/>
      <sheetName val="자본"/>
      <sheetName val="23.12월"/>
      <sheetName val="23.11월"/>
      <sheetName val="23.10월"/>
      <sheetName val="23.9월"/>
      <sheetName val="23.8월"/>
      <sheetName val="23.7월"/>
      <sheetName val="23.6월"/>
      <sheetName val="23.5월_VFA"/>
      <sheetName val="23.5월"/>
      <sheetName val="23.4월"/>
      <sheetName val="23.3월"/>
      <sheetName val="pl"/>
      <sheetName val="양식"/>
      <sheetName val="회의자료"/>
      <sheetName val="이사회"/>
      <sheetName val="Sheet2"/>
      <sheetName val="Sheet3"/>
      <sheetName val="부채_계획"/>
      <sheetName val="부채_실적"/>
      <sheetName val="CSM잔액_계획"/>
      <sheetName val="CSM상각액_계획"/>
      <sheetName val="계획_요약"/>
      <sheetName val="Sheet4"/>
      <sheetName val="Sheet1"/>
    </sheetNames>
    <sheetDataSet>
      <sheetData sheetId="0"/>
      <sheetData sheetId="1">
        <row r="5">
          <cell r="H5">
            <v>6301.924181000004</v>
          </cell>
        </row>
        <row r="6">
          <cell r="T6">
            <v>197764.99396399996</v>
          </cell>
        </row>
        <row r="33">
          <cell r="S33">
            <v>2021450.8548020003</v>
          </cell>
        </row>
      </sheetData>
      <sheetData sheetId="2">
        <row r="24">
          <cell r="F24">
            <v>1588236.2075960001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1">
          <cell r="W31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UMMARY"/>
      <sheetName val="KIFRS-BS"/>
      <sheetName val="KIFRS-IS"/>
      <sheetName val="PROFIT"/>
      <sheetName val="CSM"/>
      <sheetName val="NB"/>
      <sheetName val="PREMIUM"/>
      <sheetName val="INITIAL"/>
      <sheetName val="FIRSTYR"/>
      <sheetName val="CHINITYR"/>
      <sheetName val="APE"/>
      <sheetName val="FEEBIZ"/>
      <sheetName val="EFF"/>
      <sheetName val="PORT"/>
      <sheetName val="YIELD"/>
      <sheetName val="QUALITY"/>
      <sheetName val="STABLE"/>
      <sheetName val="SAP-BS"/>
      <sheetName val="SAP-IS"/>
      <sheetName val="SUB"/>
    </sheetNames>
    <sheetDataSet>
      <sheetData sheetId="0"/>
      <sheetData sheetId="1">
        <row r="35">
          <cell r="I35">
            <v>1775.0818817921599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  <pageSetUpPr fitToPage="1"/>
  </sheetPr>
  <dimension ref="B2:U122"/>
  <sheetViews>
    <sheetView showGridLines="0" tabSelected="1" topLeftCell="A22" zoomScaleNormal="100" zoomScaleSheetLayoutView="100" workbookViewId="0">
      <selection activeCell="T39" sqref="T39"/>
    </sheetView>
  </sheetViews>
  <sheetFormatPr defaultRowHeight="16.5"/>
  <cols>
    <col min="1" max="1" width="2" customWidth="1"/>
    <col min="2" max="2" width="1.5" customWidth="1"/>
    <col min="3" max="8" width="3.875" customWidth="1"/>
    <col min="9" max="20" width="11.75" customWidth="1"/>
    <col min="21" max="21" width="9.5" bestFit="1" customWidth="1"/>
    <col min="22" max="22" width="9.75" bestFit="1" customWidth="1"/>
  </cols>
  <sheetData>
    <row r="2" spans="2:21" ht="10.5" customHeight="1"/>
    <row r="3" spans="2:21" ht="16.5" customHeight="1">
      <c r="C3" s="4" t="s">
        <v>139</v>
      </c>
      <c r="T3" s="41" t="s">
        <v>144</v>
      </c>
    </row>
    <row r="4" spans="2:21" ht="16.5" customHeight="1"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</row>
    <row r="5" spans="2:21" ht="16.5" customHeight="1">
      <c r="C5" s="3" t="s">
        <v>115</v>
      </c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</row>
    <row r="6" spans="2:21" ht="12.75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P6" s="1"/>
      <c r="Q6" s="1"/>
      <c r="T6" s="9" t="s">
        <v>18</v>
      </c>
    </row>
    <row r="7" spans="2:21" ht="19.5" customHeight="1">
      <c r="B7" s="1"/>
      <c r="C7" s="288" t="s">
        <v>16</v>
      </c>
      <c r="D7" s="288"/>
      <c r="E7" s="288"/>
      <c r="F7" s="288"/>
      <c r="G7" s="288"/>
      <c r="H7" s="289"/>
      <c r="I7" s="19" t="s">
        <v>48</v>
      </c>
      <c r="J7" s="15" t="s">
        <v>49</v>
      </c>
      <c r="K7" s="15" t="s">
        <v>50</v>
      </c>
      <c r="L7" s="15" t="s">
        <v>51</v>
      </c>
      <c r="M7" s="15" t="s">
        <v>17</v>
      </c>
      <c r="N7" s="15" t="s">
        <v>52</v>
      </c>
      <c r="O7" s="27" t="s">
        <v>15</v>
      </c>
      <c r="P7" s="27" t="s">
        <v>46</v>
      </c>
      <c r="Q7" s="27" t="s">
        <v>45</v>
      </c>
      <c r="R7" s="27" t="s">
        <v>44</v>
      </c>
      <c r="S7" s="27" t="s">
        <v>53</v>
      </c>
      <c r="T7" s="12" t="s">
        <v>47</v>
      </c>
      <c r="U7" s="1"/>
    </row>
    <row r="8" spans="2:21" ht="19.5" customHeight="1">
      <c r="B8" s="1"/>
      <c r="C8" s="290" t="s">
        <v>54</v>
      </c>
      <c r="D8" s="290"/>
      <c r="E8" s="290"/>
      <c r="F8" s="290"/>
      <c r="G8" s="290"/>
      <c r="H8" s="291"/>
      <c r="I8" s="20">
        <f>[1]작업!I9</f>
        <v>328551.81935106002</v>
      </c>
      <c r="J8" s="16">
        <f>[1]작업!J9</f>
        <v>3099482.94</v>
      </c>
      <c r="K8" s="16">
        <f>[1]작업!K9</f>
        <v>1281657.9427435801</v>
      </c>
      <c r="L8" s="16">
        <f>[1]작업!L9</f>
        <v>1257765.82</v>
      </c>
      <c r="M8" s="16">
        <f>[1]작업!M9</f>
        <v>594480.31999999995</v>
      </c>
      <c r="N8" s="16">
        <f>[1]작업!N9</f>
        <v>353152.58</v>
      </c>
      <c r="O8" s="16">
        <f>[1]작업!O9</f>
        <v>352289.34</v>
      </c>
      <c r="P8" s="16">
        <f>[1]작업!P9</f>
        <v>938090.44479173003</v>
      </c>
      <c r="Q8" s="16">
        <f>[1]작업!Q9</f>
        <v>496458.74619981</v>
      </c>
      <c r="R8" s="16">
        <f>[1]작업!R9</f>
        <v>442427.92244562996</v>
      </c>
      <c r="S8" s="16">
        <f>[1]작업!S9</f>
        <v>448919.97</v>
      </c>
      <c r="T8" s="13">
        <f>[1]작업!T9</f>
        <v>594088.28</v>
      </c>
      <c r="U8" s="1"/>
    </row>
    <row r="9" spans="2:21" ht="19.5" customHeight="1">
      <c r="C9" s="294" t="s">
        <v>0</v>
      </c>
      <c r="D9" s="294"/>
      <c r="E9" s="294"/>
      <c r="F9" s="294"/>
      <c r="G9" s="294"/>
      <c r="H9" s="295"/>
      <c r="I9" s="23">
        <f>[1]작업!I10</f>
        <v>169444.46771969003</v>
      </c>
      <c r="J9" s="17">
        <f>[1]작업!J10</f>
        <v>382096.35</v>
      </c>
      <c r="K9" s="17">
        <f>[1]작업!K10</f>
        <v>341828.22710133001</v>
      </c>
      <c r="L9" s="17">
        <f>[1]작업!L10</f>
        <v>323201.24</v>
      </c>
      <c r="M9" s="17">
        <f>[1]작업!M10</f>
        <v>132652.76</v>
      </c>
      <c r="N9" s="17">
        <f>[1]작업!N10</f>
        <v>53751.040000000001</v>
      </c>
      <c r="O9" s="17">
        <f>[1]작업!O10</f>
        <v>92426.37</v>
      </c>
      <c r="P9" s="17">
        <f>[1]작업!P10</f>
        <v>127057.76538884001</v>
      </c>
      <c r="Q9" s="17">
        <f>[1]작업!Q10</f>
        <v>90406.57765254</v>
      </c>
      <c r="R9" s="17">
        <f>[1]작업!R10</f>
        <v>75699.261375269998</v>
      </c>
      <c r="S9" s="17">
        <f>[1]작업!S10</f>
        <v>94447.43</v>
      </c>
      <c r="T9" s="14">
        <f>[1]작업!T10</f>
        <v>177224.66</v>
      </c>
      <c r="U9" s="2"/>
    </row>
    <row r="10" spans="2:21" ht="19.5" customHeight="1">
      <c r="C10" s="294" t="s">
        <v>76</v>
      </c>
      <c r="D10" s="294"/>
      <c r="E10" s="294"/>
      <c r="F10" s="294"/>
      <c r="G10" s="294"/>
      <c r="H10" s="295"/>
      <c r="I10" s="194">
        <f>[1]작업!I11</f>
        <v>0.51573133289710194</v>
      </c>
      <c r="J10" s="195">
        <f>[1]작업!J11</f>
        <v>0.12327744897992567</v>
      </c>
      <c r="K10" s="195">
        <f>[1]작업!K11</f>
        <v>0.26670784434854411</v>
      </c>
      <c r="L10" s="195">
        <f>[1]작업!L11</f>
        <v>0.25696455958709385</v>
      </c>
      <c r="M10" s="195">
        <f>[1]작업!M11</f>
        <v>0.22314070884634166</v>
      </c>
      <c r="N10" s="195">
        <f>[1]작업!N11</f>
        <v>0.15220344701998212</v>
      </c>
      <c r="O10" s="195">
        <f>[1]작업!O11</f>
        <v>0.26235925844364177</v>
      </c>
      <c r="P10" s="195">
        <f>[1]작업!P11</f>
        <v>0.13544298003914612</v>
      </c>
      <c r="Q10" s="195">
        <f>[1]작업!Q11</f>
        <v>0.18210290048179353</v>
      </c>
      <c r="R10" s="195">
        <f>[1]작업!R11</f>
        <v>0.17109964704945288</v>
      </c>
      <c r="S10" s="195">
        <f>[1]작업!S11</f>
        <v>0.21038812329957163</v>
      </c>
      <c r="T10" s="194">
        <f>[1]작업!T11</f>
        <v>0.29831367822977417</v>
      </c>
      <c r="U10" s="2"/>
    </row>
    <row r="11" spans="2:21" ht="19.5" customHeight="1">
      <c r="C11" s="294" t="s">
        <v>1</v>
      </c>
      <c r="D11" s="294"/>
      <c r="E11" s="294"/>
      <c r="F11" s="294"/>
      <c r="G11" s="294"/>
      <c r="H11" s="295"/>
      <c r="I11" s="23">
        <f>[1]작업!I12</f>
        <v>116635.57366015</v>
      </c>
      <c r="J11" s="17">
        <f>[1]작업!J12</f>
        <v>1968888.32</v>
      </c>
      <c r="K11" s="17">
        <f>[1]작업!K12</f>
        <v>608298.87653638003</v>
      </c>
      <c r="L11" s="17">
        <f>[1]작업!L12</f>
        <v>482181.33</v>
      </c>
      <c r="M11" s="17">
        <f>[1]작업!M12</f>
        <v>352884.58</v>
      </c>
      <c r="N11" s="17">
        <f>[1]작업!N12</f>
        <v>228378.35</v>
      </c>
      <c r="O11" s="17">
        <f>[1]작업!O12</f>
        <v>221531.57</v>
      </c>
      <c r="P11" s="17">
        <f>[1]작업!P12</f>
        <v>434306.81364228</v>
      </c>
      <c r="Q11" s="17">
        <f>[1]작업!Q12</f>
        <v>253410.92240272</v>
      </c>
      <c r="R11" s="17">
        <f>[1]작업!R12</f>
        <v>315607.38837674999</v>
      </c>
      <c r="S11" s="17">
        <f>[1]작업!S12</f>
        <v>219068.85</v>
      </c>
      <c r="T11" s="14">
        <f>[1]작업!T12</f>
        <v>201214.38</v>
      </c>
      <c r="U11" s="2"/>
    </row>
    <row r="12" spans="2:21" ht="19.5" customHeight="1">
      <c r="C12" s="292" t="s">
        <v>2</v>
      </c>
      <c r="D12" s="292"/>
      <c r="E12" s="292"/>
      <c r="F12" s="292"/>
      <c r="G12" s="292"/>
      <c r="H12" s="293"/>
      <c r="I12" s="24">
        <f>[1]작업!I13</f>
        <v>28014.503997920001</v>
      </c>
      <c r="J12" s="18">
        <f>[1]작업!J13</f>
        <v>411156.26</v>
      </c>
      <c r="K12" s="18">
        <f>[1]작업!K13</f>
        <v>215464.74040616001</v>
      </c>
      <c r="L12" s="18">
        <f>[1]작업!L13</f>
        <v>280714.2</v>
      </c>
      <c r="M12" s="18">
        <f>[1]작업!M13</f>
        <v>39503.440000000002</v>
      </c>
      <c r="N12" s="18">
        <f>[1]작업!N13</f>
        <v>56226.03</v>
      </c>
      <c r="O12" s="18">
        <f>[1]작업!O13</f>
        <v>16958.849999999999</v>
      </c>
      <c r="P12" s="18">
        <f>[1]작업!P13</f>
        <v>300857.42664899002</v>
      </c>
      <c r="Q12" s="18">
        <f>[1]작업!Q13</f>
        <v>104015.82761755999</v>
      </c>
      <c r="R12" s="18">
        <f>[1]작업!R13</f>
        <v>9721.0364995500004</v>
      </c>
      <c r="S12" s="18">
        <f>[1]작업!S13</f>
        <v>82395.38</v>
      </c>
      <c r="T12" s="24">
        <f>[1]작업!T13</f>
        <v>157633.73000000001</v>
      </c>
      <c r="U12" s="2"/>
    </row>
    <row r="13" spans="2:21" ht="19.5" customHeight="1">
      <c r="C13" s="290" t="s">
        <v>20</v>
      </c>
      <c r="D13" s="290"/>
      <c r="E13" s="290"/>
      <c r="F13" s="290"/>
      <c r="G13" s="290"/>
      <c r="H13" s="291"/>
      <c r="I13" s="20">
        <f>[1]작업!I14</f>
        <v>304186.80379436997</v>
      </c>
      <c r="J13" s="16">
        <f>[1]작업!J14</f>
        <v>2535314.79</v>
      </c>
      <c r="K13" s="16">
        <f>[1]작업!K14</f>
        <v>1205110.3510642201</v>
      </c>
      <c r="L13" s="16">
        <f>[1]작업!L14</f>
        <v>1133078.06</v>
      </c>
      <c r="M13" s="16">
        <f>[1]작업!M14</f>
        <v>532087.38</v>
      </c>
      <c r="N13" s="16">
        <f>[1]작업!N14</f>
        <v>337812.87</v>
      </c>
      <c r="O13" s="16">
        <f>[1]작업!O14</f>
        <v>310103.46000000002</v>
      </c>
      <c r="P13" s="16">
        <f>[1]작업!P14</f>
        <v>731812.67241129989</v>
      </c>
      <c r="Q13" s="16">
        <f>[1]작업!Q14</f>
        <v>447623.87153458997</v>
      </c>
      <c r="R13" s="16">
        <f>[1]작업!R14</f>
        <v>383884.73445767997</v>
      </c>
      <c r="S13" s="16">
        <f>[1]작업!S14</f>
        <v>391747.63</v>
      </c>
      <c r="T13" s="20">
        <f>[1]작업!T14</f>
        <v>495539.27</v>
      </c>
      <c r="U13" s="2"/>
    </row>
    <row r="14" spans="2:21" ht="19.5" customHeight="1">
      <c r="C14" s="237" t="s">
        <v>3</v>
      </c>
      <c r="D14" s="237"/>
      <c r="E14" s="237"/>
      <c r="F14" s="237"/>
      <c r="G14" s="237"/>
      <c r="H14" s="238"/>
      <c r="I14" s="21">
        <f>[1]작업!I15</f>
        <v>245312.28634232003</v>
      </c>
      <c r="J14" s="25">
        <f>[1]작업!J15</f>
        <v>1844632.62</v>
      </c>
      <c r="K14" s="25">
        <f>[1]작업!K15</f>
        <v>889399.68</v>
      </c>
      <c r="L14" s="25">
        <f>[1]작업!L15</f>
        <v>862224.89</v>
      </c>
      <c r="M14" s="25">
        <f>[1]작업!M15</f>
        <v>389601.52</v>
      </c>
      <c r="N14" s="25">
        <f>[1]작업!N15</f>
        <v>252112.7</v>
      </c>
      <c r="O14" s="25">
        <f>[1]작업!O15</f>
        <v>246632.98</v>
      </c>
      <c r="P14" s="25">
        <f>[1]작업!P15</f>
        <v>250474.79</v>
      </c>
      <c r="Q14" s="25">
        <f>[1]작업!Q15</f>
        <v>182144.47403509999</v>
      </c>
      <c r="R14" s="25">
        <f>[1]작업!R15</f>
        <v>95737.21</v>
      </c>
      <c r="S14" s="25">
        <f>[1]작업!S15</f>
        <v>114191.72</v>
      </c>
      <c r="T14" s="21">
        <f>[1]작업!T15</f>
        <v>120958.09</v>
      </c>
      <c r="U14" s="2"/>
    </row>
    <row r="15" spans="2:21" ht="19.5" customHeight="1">
      <c r="C15" s="249" t="s">
        <v>5</v>
      </c>
      <c r="D15" s="249"/>
      <c r="E15" s="249"/>
      <c r="F15" s="249"/>
      <c r="G15" s="249"/>
      <c r="H15" s="250"/>
      <c r="I15" s="197">
        <f>[1]작업!I16</f>
        <v>20584.23120047</v>
      </c>
      <c r="J15" s="198">
        <f>[1]작업!J16</f>
        <v>132178.74</v>
      </c>
      <c r="K15" s="199">
        <f>[1]작업!K16</f>
        <v>65109.61</v>
      </c>
      <c r="L15" s="199">
        <f>[1]작업!L16</f>
        <v>87136.52</v>
      </c>
      <c r="M15" s="199">
        <f>[1]작업!M16</f>
        <v>75537.34</v>
      </c>
      <c r="N15" s="199">
        <f>[1]작업!N16</f>
        <v>24570.95</v>
      </c>
      <c r="O15" s="199">
        <f>[1]작업!O16</f>
        <v>32637.75</v>
      </c>
      <c r="P15" s="199">
        <f>[1]작업!P16</f>
        <v>141676.64000000001</v>
      </c>
      <c r="Q15" s="199">
        <f>[1]작업!Q16</f>
        <v>89778.420693220018</v>
      </c>
      <c r="R15" s="199">
        <f>[1]작업!R16</f>
        <v>111036.96</v>
      </c>
      <c r="S15" s="199">
        <f>[1]작업!S16</f>
        <v>92850.33</v>
      </c>
      <c r="T15" s="197">
        <f>[1]작업!T16</f>
        <v>122053.43</v>
      </c>
      <c r="U15" s="2"/>
    </row>
    <row r="16" spans="2:21" ht="19.5" customHeight="1">
      <c r="C16" s="249" t="s">
        <v>132</v>
      </c>
      <c r="D16" s="249"/>
      <c r="E16" s="249"/>
      <c r="F16" s="249"/>
      <c r="G16" s="249"/>
      <c r="H16" s="250"/>
      <c r="I16" s="200">
        <f>I83</f>
        <v>-9.5220699105769396E-3</v>
      </c>
      <c r="J16" s="200">
        <f t="shared" ref="J16:T16" si="0">J83</f>
        <v>2.4480734532871279E-2</v>
      </c>
      <c r="K16" s="200">
        <f t="shared" si="0"/>
        <v>1.1323756325276952E-2</v>
      </c>
      <c r="L16" s="200">
        <f t="shared" si="0"/>
        <v>-4.3416717339209036E-2</v>
      </c>
      <c r="M16" s="200">
        <f t="shared" si="0"/>
        <v>4.5627740647503585E-2</v>
      </c>
      <c r="N16" s="200">
        <f t="shared" si="0"/>
        <v>-8.0114545084250324E-2</v>
      </c>
      <c r="O16" s="200">
        <f t="shared" si="0"/>
        <v>8.4127302060880732E-2</v>
      </c>
      <c r="P16" s="200">
        <f t="shared" si="0"/>
        <v>6.6616176074466415E-3</v>
      </c>
      <c r="Q16" s="200">
        <f t="shared" si="0"/>
        <v>8.0953083948172563E-2</v>
      </c>
      <c r="R16" s="200">
        <f t="shared" si="0"/>
        <v>-7.5253696206674294E-3</v>
      </c>
      <c r="S16" s="200">
        <f t="shared" si="0"/>
        <v>5.2667303215402451E-2</v>
      </c>
      <c r="T16" s="200">
        <f t="shared" si="0"/>
        <v>-2.1595423977486205E-3</v>
      </c>
      <c r="U16" s="2"/>
    </row>
    <row r="17" spans="2:21" ht="19.5" customHeight="1">
      <c r="C17" s="249" t="s">
        <v>133</v>
      </c>
      <c r="D17" s="249"/>
      <c r="E17" s="249"/>
      <c r="F17" s="249"/>
      <c r="G17" s="249"/>
      <c r="H17" s="250"/>
      <c r="I17" s="201">
        <f>[1]작업!I17</f>
        <v>6.7669704746248366E-2</v>
      </c>
      <c r="J17" s="201">
        <f>[1]작업!J17</f>
        <v>5.2135040793100093E-2</v>
      </c>
      <c r="K17" s="201">
        <f>[1]작업!K17</f>
        <v>5.4027923619195867E-2</v>
      </c>
      <c r="L17" s="201">
        <f>[1]작업!L17</f>
        <v>7.690248631237287E-2</v>
      </c>
      <c r="M17" s="201">
        <f>[1]작업!M17</f>
        <v>0.1419641638559441</v>
      </c>
      <c r="N17" s="201">
        <f>[1]작업!N17</f>
        <v>7.2735387494265683E-2</v>
      </c>
      <c r="O17" s="201">
        <f>[1]작업!O17</f>
        <v>0.10524793886530642</v>
      </c>
      <c r="P17" s="201">
        <f>[1]작업!P17</f>
        <v>0.19359686616682917</v>
      </c>
      <c r="Q17" s="201">
        <f>[1]작업!Q17</f>
        <v>0.20056665071376209</v>
      </c>
      <c r="R17" s="201">
        <f>[1]작업!R17</f>
        <v>0.2892455730412507</v>
      </c>
      <c r="S17" s="201">
        <f>[1]작업!S17</f>
        <v>0.23701567766983045</v>
      </c>
      <c r="T17" s="201">
        <f>[1]작업!T17</f>
        <v>0.24630425354583904</v>
      </c>
      <c r="U17" s="2"/>
    </row>
    <row r="18" spans="2:21" ht="19.5" customHeight="1">
      <c r="C18" s="263" t="s">
        <v>4</v>
      </c>
      <c r="D18" s="263"/>
      <c r="E18" s="263"/>
      <c r="F18" s="263"/>
      <c r="G18" s="263"/>
      <c r="H18" s="264"/>
      <c r="I18" s="202">
        <f>[1]작업!I18</f>
        <v>4060.4450104400003</v>
      </c>
      <c r="J18" s="203">
        <f>[1]작업!J18</f>
        <v>31652.09</v>
      </c>
      <c r="K18" s="203">
        <f>[1]작업!K18</f>
        <v>13818.29</v>
      </c>
      <c r="L18" s="203">
        <f>[1]작업!L18</f>
        <v>19939.03</v>
      </c>
      <c r="M18" s="203">
        <f>[1]작업!M18</f>
        <v>13975.85</v>
      </c>
      <c r="N18" s="203">
        <f>[1]작업!N18</f>
        <v>4767.1400000000003</v>
      </c>
      <c r="O18" s="203">
        <f>[1]작업!O18</f>
        <v>5502.97</v>
      </c>
      <c r="P18" s="203">
        <f>[1]작업!P18</f>
        <v>18956.91</v>
      </c>
      <c r="Q18" s="203">
        <f>[1]작업!Q18</f>
        <v>19345.483154489997</v>
      </c>
      <c r="R18" s="203">
        <f>[1]작업!R18</f>
        <v>14680.02</v>
      </c>
      <c r="S18" s="203">
        <f>[1]작업!S18</f>
        <v>14885.03</v>
      </c>
      <c r="T18" s="202">
        <f>[1]작업!T18</f>
        <v>18367.53</v>
      </c>
      <c r="U18" s="2"/>
    </row>
    <row r="19" spans="2:21" ht="19.5" customHeight="1">
      <c r="C19" s="251" t="s">
        <v>134</v>
      </c>
      <c r="D19" s="251"/>
      <c r="E19" s="251"/>
      <c r="F19" s="251"/>
      <c r="G19" s="251"/>
      <c r="H19" s="252"/>
      <c r="I19" s="204">
        <f>[1]작업!I19</f>
        <v>24365.015556689999</v>
      </c>
      <c r="J19" s="205">
        <f>[1]작업!J19</f>
        <v>564168.15</v>
      </c>
      <c r="K19" s="205">
        <f>[1]작업!K19</f>
        <v>54490.329597030002</v>
      </c>
      <c r="L19" s="205">
        <f>[1]작업!L19</f>
        <v>94003.23</v>
      </c>
      <c r="M19" s="205">
        <f>[1]작업!M19</f>
        <v>62392.94</v>
      </c>
      <c r="N19" s="205">
        <f>[1]작업!N19</f>
        <v>15339.71</v>
      </c>
      <c r="O19" s="205">
        <f>[1]작업!O19</f>
        <v>41687.879999999997</v>
      </c>
      <c r="P19" s="205">
        <f>[1]작업!P19</f>
        <v>206277.77238042999</v>
      </c>
      <c r="Q19" s="205">
        <f>[1]작업!Q19</f>
        <v>48834.874665219999</v>
      </c>
      <c r="R19" s="205">
        <f>[1]작업!R19</f>
        <v>56751.234787949994</v>
      </c>
      <c r="S19" s="205">
        <f>[1]작업!S19</f>
        <v>57172.34</v>
      </c>
      <c r="T19" s="204">
        <f>[1]작업!T19</f>
        <v>89898.95</v>
      </c>
      <c r="U19" s="80"/>
    </row>
    <row r="20" spans="2:21" ht="19.5" customHeight="1">
      <c r="C20" s="257" t="s">
        <v>126</v>
      </c>
      <c r="D20" s="257"/>
      <c r="E20" s="257"/>
      <c r="F20" s="257"/>
      <c r="G20" s="257"/>
      <c r="H20" s="258"/>
      <c r="I20" s="206">
        <f>[1]작업!I20</f>
        <v>-1167.3639409899988</v>
      </c>
      <c r="J20" s="207">
        <f>[1]작업!J20</f>
        <v>259283.18000000005</v>
      </c>
      <c r="K20" s="207">
        <f>[1]작업!K20</f>
        <v>3485.3844448400123</v>
      </c>
      <c r="L20" s="207">
        <f>[1]작업!L20</f>
        <v>1487.8300000000017</v>
      </c>
      <c r="M20" s="207">
        <f>[1]작업!M20</f>
        <v>-5235.5599999999977</v>
      </c>
      <c r="N20" s="207">
        <f>[1]작업!N20</f>
        <v>-1344.1963925300006</v>
      </c>
      <c r="O20" s="207">
        <f>[1]작업!O20</f>
        <v>-3185.7000000000044</v>
      </c>
      <c r="P20" s="207">
        <f>[1]작업!P20</f>
        <v>53319.396905659989</v>
      </c>
      <c r="Q20" s="207">
        <f>[1]작업!Q20</f>
        <v>-436.61586888000602</v>
      </c>
      <c r="R20" s="207">
        <f>[1]작업!R20</f>
        <v>2187.6685374799927</v>
      </c>
      <c r="S20" s="207">
        <f>[1]작업!S20</f>
        <v>-1392.070000000007</v>
      </c>
      <c r="T20" s="206">
        <f>[1]작업!T20</f>
        <v>5738.9633369999938</v>
      </c>
      <c r="U20" s="80"/>
    </row>
    <row r="21" spans="2:21" ht="19.5" customHeight="1">
      <c r="C21" s="257" t="s">
        <v>112</v>
      </c>
      <c r="D21" s="257"/>
      <c r="E21" s="257"/>
      <c r="F21" s="257"/>
      <c r="G21" s="257"/>
      <c r="H21" s="258"/>
      <c r="I21" s="208">
        <f t="shared" ref="I21:T21" si="1">+I20/(I19-I20)</f>
        <v>-4.5720922372161646E-2</v>
      </c>
      <c r="J21" s="209">
        <f t="shared" si="1"/>
        <v>0.85042952428911167</v>
      </c>
      <c r="K21" s="209">
        <f t="shared" si="1"/>
        <v>6.8334245521492559E-2</v>
      </c>
      <c r="L21" s="209">
        <f t="shared" si="1"/>
        <v>1.6081971217764845E-2</v>
      </c>
      <c r="M21" s="209">
        <f t="shared" si="1"/>
        <v>-7.7416473823905568E-2</v>
      </c>
      <c r="N21" s="209">
        <f t="shared" si="1"/>
        <v>-8.0568444877624518E-2</v>
      </c>
      <c r="O21" s="209">
        <f t="shared" si="1"/>
        <v>-7.0992775704546068E-2</v>
      </c>
      <c r="P21" s="209">
        <f t="shared" si="1"/>
        <v>0.34858762549066724</v>
      </c>
      <c r="Q21" s="209">
        <f t="shared" si="1"/>
        <v>-8.8614300916638848E-3</v>
      </c>
      <c r="R21" s="209">
        <f t="shared" si="1"/>
        <v>4.0093943409740901E-2</v>
      </c>
      <c r="S21" s="209">
        <f t="shared" si="1"/>
        <v>-2.3769897109865989E-2</v>
      </c>
      <c r="T21" s="208">
        <f t="shared" si="1"/>
        <v>6.8191115095828134E-2</v>
      </c>
      <c r="U21" s="80"/>
    </row>
    <row r="22" spans="2:21" ht="19.5" customHeight="1">
      <c r="C22" s="253" t="s">
        <v>8</v>
      </c>
      <c r="D22" s="253"/>
      <c r="E22" s="253"/>
      <c r="F22" s="253"/>
      <c r="G22" s="253"/>
      <c r="H22" s="254"/>
      <c r="I22" s="210">
        <f>[1]작업!I22</f>
        <v>20678.244682199998</v>
      </c>
      <c r="J22" s="211">
        <f>[1]작업!J22</f>
        <v>150629.44</v>
      </c>
      <c r="K22" s="211">
        <f>[1]작업!K22</f>
        <v>75757.824339589992</v>
      </c>
      <c r="L22" s="211">
        <f>[1]작업!L22</f>
        <v>70853.36</v>
      </c>
      <c r="M22" s="211">
        <f>[1]작업!M22</f>
        <v>69683.97</v>
      </c>
      <c r="N22" s="211">
        <f>[1]작업!N22</f>
        <v>16044.17</v>
      </c>
      <c r="O22" s="211">
        <f>[1]작업!O22</f>
        <v>31590.18</v>
      </c>
      <c r="P22" s="211">
        <f>[1]작업!P22</f>
        <v>140898.61430091001</v>
      </c>
      <c r="Q22" s="211">
        <f>[1]작업!Q22</f>
        <v>79526.518553810005</v>
      </c>
      <c r="R22" s="211">
        <f>[1]작업!R22</f>
        <v>62729.7347037</v>
      </c>
      <c r="S22" s="211">
        <f>[1]작업!S22</f>
        <v>69589.56</v>
      </c>
      <c r="T22" s="210">
        <f>[1]작업!T22</f>
        <v>112011.39</v>
      </c>
      <c r="U22" s="2"/>
    </row>
    <row r="23" spans="2:21" ht="19.5" customHeight="1">
      <c r="C23" s="253" t="s">
        <v>128</v>
      </c>
      <c r="D23" s="253"/>
      <c r="E23" s="253"/>
      <c r="F23" s="253"/>
      <c r="G23" s="253"/>
      <c r="H23" s="254"/>
      <c r="I23" s="210">
        <f>+[1]작업!I56</f>
        <v>1249.0038922099993</v>
      </c>
      <c r="J23" s="211">
        <f>+[1]작업!J56</f>
        <v>10623.580000000016</v>
      </c>
      <c r="K23" s="211">
        <f>+[1]작업!K56</f>
        <v>5417.8031736699922</v>
      </c>
      <c r="L23" s="211">
        <f>+[1]작업!L56</f>
        <v>1988.6000000000058</v>
      </c>
      <c r="M23" s="211">
        <f>+[1]작업!M56</f>
        <v>1309.7700000000041</v>
      </c>
      <c r="N23" s="211">
        <f>+[1]작업!N56</f>
        <v>429.19000000000051</v>
      </c>
      <c r="O23" s="211">
        <f>+[1]작업!O56</f>
        <v>130.88000000000102</v>
      </c>
      <c r="P23" s="211">
        <f>+[1]작업!P56</f>
        <v>6446.9078185399994</v>
      </c>
      <c r="Q23" s="211">
        <f>+[1]작업!Q56</f>
        <v>5612.749256480005</v>
      </c>
      <c r="R23" s="211">
        <f>+[1]작업!R56</f>
        <v>8159.2330923099944</v>
      </c>
      <c r="S23" s="211">
        <f>+[1]작업!S56</f>
        <v>8001.9499999999971</v>
      </c>
      <c r="T23" s="210">
        <f>+[1]작업!T56</f>
        <v>10965.059999999998</v>
      </c>
      <c r="U23" s="2"/>
    </row>
    <row r="24" spans="2:21" ht="19.5" customHeight="1">
      <c r="C24" s="249" t="s">
        <v>118</v>
      </c>
      <c r="D24" s="249"/>
      <c r="E24" s="249"/>
      <c r="F24" s="249"/>
      <c r="G24" s="249"/>
      <c r="H24" s="250"/>
      <c r="I24" s="169">
        <f>[1]작업!I23</f>
        <v>-4322.4669249600001</v>
      </c>
      <c r="J24" s="170">
        <f>[1]작업!J23</f>
        <v>433581.09</v>
      </c>
      <c r="K24" s="170">
        <f>[1]작업!K23</f>
        <v>-23979.810223659999</v>
      </c>
      <c r="L24" s="170">
        <f>[1]작업!L23</f>
        <v>-14061.35</v>
      </c>
      <c r="M24" s="170">
        <f>[1]작업!M23</f>
        <v>-21282.91</v>
      </c>
      <c r="N24" s="170">
        <f>[1]작업!N23</f>
        <v>-12240.13</v>
      </c>
      <c r="O24" s="170">
        <f>[1]작업!O23</f>
        <v>314.67</v>
      </c>
      <c r="P24" s="170">
        <f>[1]작업!P23</f>
        <v>67876.289229889997</v>
      </c>
      <c r="Q24" s="170">
        <f>[1]작업!Q23</f>
        <v>-31593.30002857</v>
      </c>
      <c r="R24" s="170">
        <f>[1]작업!R23</f>
        <v>-7592.5761068800002</v>
      </c>
      <c r="S24" s="170">
        <f>[1]작업!S23</f>
        <v>-13082.22</v>
      </c>
      <c r="T24" s="169">
        <f>[1]작업!T23</f>
        <v>-22293</v>
      </c>
      <c r="U24" s="2"/>
    </row>
    <row r="25" spans="2:21" ht="19.5" customHeight="1">
      <c r="C25" s="255" t="s">
        <v>128</v>
      </c>
      <c r="D25" s="255"/>
      <c r="E25" s="255"/>
      <c r="F25" s="255"/>
      <c r="G25" s="255"/>
      <c r="H25" s="256"/>
      <c r="I25" s="187">
        <f>[1]작업!I24</f>
        <v>-2416.3678332</v>
      </c>
      <c r="J25" s="188">
        <f>[1]작업!J24</f>
        <v>248659.60000000003</v>
      </c>
      <c r="K25" s="188">
        <f>[1]작업!K24</f>
        <v>-1934.5181768299954</v>
      </c>
      <c r="L25" s="188">
        <f>[1]작업!L24</f>
        <v>-568.55999999999949</v>
      </c>
      <c r="M25" s="188">
        <f>[1]작업!M24</f>
        <v>-6539.6299999999992</v>
      </c>
      <c r="N25" s="188">
        <f>[1]작업!N24</f>
        <v>-1206.9299999999985</v>
      </c>
      <c r="O25" s="188">
        <f>[1]작업!O24</f>
        <v>-3316.58</v>
      </c>
      <c r="P25" s="188">
        <f>[1]작업!P24</f>
        <v>44191.651042999998</v>
      </c>
      <c r="Q25" s="188">
        <f>[1]작업!Q24</f>
        <v>-6049.3651553599993</v>
      </c>
      <c r="R25" s="188">
        <f>[1]작업!R24</f>
        <v>-5878.7981388300004</v>
      </c>
      <c r="S25" s="188">
        <f>[1]작업!S24</f>
        <v>-6241.98</v>
      </c>
      <c r="T25" s="187">
        <f>[1]작업!T24</f>
        <v>-6198.4500000000007</v>
      </c>
      <c r="U25" s="2"/>
    </row>
    <row r="26" spans="2:21" ht="30.75" customHeight="1">
      <c r="C26" s="261" t="s">
        <v>116</v>
      </c>
      <c r="D26" s="249"/>
      <c r="E26" s="249"/>
      <c r="F26" s="249"/>
      <c r="G26" s="249"/>
      <c r="H26" s="250"/>
      <c r="I26" s="171">
        <f>[1]작업!I25</f>
        <v>-9.4639351315437062E-2</v>
      </c>
      <c r="J26" s="223">
        <f>[1]작업!J25</f>
        <v>0.81558497291617904</v>
      </c>
      <c r="K26" s="172">
        <f>[1]작업!K25</f>
        <v>-3.7928051310666559E-2</v>
      </c>
      <c r="L26" s="172">
        <f>[1]작업!L25</f>
        <v>-6.1455714399980925E-3</v>
      </c>
      <c r="M26" s="172">
        <f>[1]작업!M25</f>
        <v>-9.6699320552725537E-2</v>
      </c>
      <c r="N26" s="172">
        <f>[1]작업!N25</f>
        <v>-7.2340971688763828E-2</v>
      </c>
      <c r="O26" s="172">
        <f>[1]작업!O25</f>
        <v>-7.390941395805728E-2</v>
      </c>
      <c r="P26" s="223">
        <f>[1]작업!P25</f>
        <v>0.28891292095534366</v>
      </c>
      <c r="Q26" s="172">
        <f>[1]작업!Q25</f>
        <v>-0.12277617522395291</v>
      </c>
      <c r="R26" s="172">
        <f>[1]작업!R25</f>
        <v>-0.10774219030779282</v>
      </c>
      <c r="S26" s="172">
        <f>[1]작업!S25</f>
        <v>-0.10658316202622035</v>
      </c>
      <c r="T26" s="171">
        <f>[1]작업!T25</f>
        <v>-7.3650795892118176E-2</v>
      </c>
      <c r="U26" s="160"/>
    </row>
    <row r="27" spans="2:21" ht="30.75" customHeight="1">
      <c r="B27" s="80"/>
      <c r="C27" s="262" t="s">
        <v>111</v>
      </c>
      <c r="D27" s="263"/>
      <c r="E27" s="263"/>
      <c r="F27" s="263"/>
      <c r="G27" s="263"/>
      <c r="H27" s="264"/>
      <c r="I27" s="224">
        <f>[1]작업!I26</f>
        <v>-9.2057676982516129E-3</v>
      </c>
      <c r="J27" s="225">
        <f>[1]작업!J26</f>
        <v>0.12300363812065673</v>
      </c>
      <c r="K27" s="225">
        <f>[1]작업!K26</f>
        <v>-2.0483819097906327E-3</v>
      </c>
      <c r="L27" s="225">
        <f>[1]작업!L26</f>
        <v>-5.8525045334881871E-4</v>
      </c>
      <c r="M27" s="225">
        <f>[1]작업!M26</f>
        <v>-1.3506265723220591E-2</v>
      </c>
      <c r="N27" s="225">
        <f>[1]작업!N26</f>
        <v>-4.2766398826708206E-3</v>
      </c>
      <c r="O27" s="225">
        <f>[1]작업!O26</f>
        <v>-1.2188945001969514E-2</v>
      </c>
      <c r="P27" s="225">
        <f>[1]작업!P26</f>
        <v>0.10029729477503753</v>
      </c>
      <c r="Q27" s="225">
        <f>[1]작업!Q26</f>
        <v>-2.0743968598908688E-2</v>
      </c>
      <c r="R27" s="225">
        <f>[1]작업!R26</f>
        <v>-2.5681052388917883E-2</v>
      </c>
      <c r="S27" s="225">
        <f>[1]작업!S26</f>
        <v>-2.7647446359042878E-2</v>
      </c>
      <c r="T27" s="173">
        <f>[1]작업!T26</f>
        <v>-2.4445728998736906E-2</v>
      </c>
      <c r="U27" s="2"/>
    </row>
    <row r="28" spans="2:21" ht="16.5" customHeight="1">
      <c r="B28" s="80"/>
      <c r="C28" s="212" t="s">
        <v>140</v>
      </c>
      <c r="D28" s="218"/>
      <c r="E28" s="218"/>
      <c r="F28" s="218"/>
      <c r="G28" s="218"/>
      <c r="H28" s="218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5"/>
    </row>
    <row r="29" spans="2:21" ht="16.5" customHeight="1">
      <c r="B29" s="80"/>
      <c r="C29" s="212" t="s">
        <v>141</v>
      </c>
      <c r="D29" s="218"/>
      <c r="E29" s="218"/>
      <c r="F29" s="218"/>
      <c r="G29" s="218"/>
      <c r="H29" s="218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5"/>
    </row>
    <row r="30" spans="2:21" ht="11.25" customHeight="1">
      <c r="B30" s="80"/>
      <c r="C30" s="110"/>
      <c r="D30" s="84"/>
      <c r="E30" s="84"/>
      <c r="F30" s="84"/>
      <c r="G30" s="84"/>
      <c r="H30" s="84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45"/>
    </row>
    <row r="31" spans="2:21" ht="16.5" customHeight="1">
      <c r="C31" s="3" t="s">
        <v>122</v>
      </c>
      <c r="D31" s="84"/>
      <c r="E31" s="84"/>
      <c r="F31" s="84"/>
      <c r="G31" s="84"/>
      <c r="H31" s="84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45"/>
    </row>
    <row r="32" spans="2:21" ht="16.5" customHeight="1">
      <c r="C32" s="3"/>
      <c r="D32" s="84"/>
      <c r="E32" s="84"/>
      <c r="F32" s="84"/>
      <c r="G32" s="84"/>
      <c r="H32" s="84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9" t="s">
        <v>18</v>
      </c>
    </row>
    <row r="33" spans="3:21" ht="19.5" customHeight="1">
      <c r="C33" s="259" t="s">
        <v>16</v>
      </c>
      <c r="D33" s="259"/>
      <c r="E33" s="259"/>
      <c r="F33" s="259"/>
      <c r="G33" s="259"/>
      <c r="H33" s="260"/>
      <c r="I33" s="86" t="s">
        <v>48</v>
      </c>
      <c r="J33" s="86" t="s">
        <v>49</v>
      </c>
      <c r="K33" s="86" t="s">
        <v>50</v>
      </c>
      <c r="L33" s="86" t="s">
        <v>51</v>
      </c>
      <c r="M33" s="86" t="s">
        <v>17</v>
      </c>
      <c r="N33" s="86" t="s">
        <v>52</v>
      </c>
      <c r="O33" s="87" t="s">
        <v>15</v>
      </c>
      <c r="P33" s="87" t="s">
        <v>46</v>
      </c>
      <c r="Q33" s="87" t="s">
        <v>45</v>
      </c>
      <c r="R33" s="87" t="s">
        <v>44</v>
      </c>
      <c r="S33" s="87" t="s">
        <v>53</v>
      </c>
      <c r="T33" s="87" t="s">
        <v>47</v>
      </c>
    </row>
    <row r="34" spans="3:21" ht="19.5" customHeight="1">
      <c r="C34" s="252" t="s">
        <v>8</v>
      </c>
      <c r="D34" s="265"/>
      <c r="E34" s="265"/>
      <c r="F34" s="265"/>
      <c r="G34" s="265"/>
      <c r="H34" s="265"/>
      <c r="I34" s="191">
        <f>[1]작업!I63</f>
        <v>20678.244682199998</v>
      </c>
      <c r="J34" s="191">
        <f>[1]작업!J63</f>
        <v>150629.44</v>
      </c>
      <c r="K34" s="191">
        <f>[1]작업!K63</f>
        <v>75757.824339589992</v>
      </c>
      <c r="L34" s="191">
        <f>[1]작업!L63</f>
        <v>70853.36</v>
      </c>
      <c r="M34" s="191">
        <f>[1]작업!M63</f>
        <v>69683.97</v>
      </c>
      <c r="N34" s="191">
        <f>[1]작업!N63</f>
        <v>16044.17</v>
      </c>
      <c r="O34" s="191">
        <f>[1]작업!O63</f>
        <v>31590.18</v>
      </c>
      <c r="P34" s="191">
        <f>[1]작업!P63</f>
        <v>140898.61430091001</v>
      </c>
      <c r="Q34" s="191">
        <f>[1]작업!Q63</f>
        <v>79526.518553810005</v>
      </c>
      <c r="R34" s="191">
        <f>[1]작업!R63</f>
        <v>62729.7347037</v>
      </c>
      <c r="S34" s="191">
        <f>[1]작업!S63</f>
        <v>69589.56</v>
      </c>
      <c r="T34" s="192">
        <f>[1]작업!T63</f>
        <v>112011.39</v>
      </c>
    </row>
    <row r="35" spans="3:21" ht="19.5" customHeight="1">
      <c r="C35" s="266" t="s">
        <v>117</v>
      </c>
      <c r="D35" s="266"/>
      <c r="E35" s="266"/>
      <c r="F35" s="266"/>
      <c r="G35" s="266"/>
      <c r="H35" s="267"/>
      <c r="I35" s="67">
        <f>[1]작업!I64</f>
        <v>12199.681906920001</v>
      </c>
      <c r="J35" s="67"/>
      <c r="K35" s="67"/>
      <c r="L35" s="67">
        <f>[1]작업!L64</f>
        <v>65077.896025990005</v>
      </c>
      <c r="M35" s="67">
        <f>[1]작업!M64</f>
        <v>49183.55</v>
      </c>
      <c r="N35" s="67">
        <f>[1]작업!N64</f>
        <v>11066.14</v>
      </c>
      <c r="O35" s="193">
        <f>[1]작업!O64</f>
        <v>13611.55</v>
      </c>
      <c r="P35" s="193">
        <f>[1]작업!P64</f>
        <v>41300.699695299998</v>
      </c>
      <c r="Q35" s="193">
        <f>[1]작업!Q64</f>
        <v>39166.1458891</v>
      </c>
      <c r="R35" s="193">
        <f>[1]작업!R64</f>
        <v>29765.66</v>
      </c>
      <c r="S35" s="193">
        <f>[1]작업!S64</f>
        <v>36462.36</v>
      </c>
      <c r="T35" s="193">
        <f>[1]작업!T64</f>
        <v>45412.873570520002</v>
      </c>
    </row>
    <row r="36" spans="3:21" ht="32.25" customHeight="1">
      <c r="C36" s="261" t="s">
        <v>120</v>
      </c>
      <c r="D36" s="249"/>
      <c r="E36" s="249"/>
      <c r="F36" s="249"/>
      <c r="G36" s="249"/>
      <c r="H36" s="250"/>
      <c r="I36" s="175">
        <f>[1]작업!I65</f>
        <v>0.58997666844621421</v>
      </c>
      <c r="J36" s="175"/>
      <c r="K36" s="175"/>
      <c r="L36" s="175">
        <f>[1]작업!L65</f>
        <v>0.91848708411273661</v>
      </c>
      <c r="M36" s="175">
        <f>[1]작업!M65</f>
        <v>0.70580866733052094</v>
      </c>
      <c r="N36" s="175">
        <f>[1]작업!N65</f>
        <v>0.68972966504343947</v>
      </c>
      <c r="O36" s="176">
        <f>[1]작업!O65</f>
        <v>0.43087915295196161</v>
      </c>
      <c r="P36" s="176">
        <f>[1]작업!P65</f>
        <v>0.2931235335437451</v>
      </c>
      <c r="Q36" s="176">
        <f>[1]작업!Q65</f>
        <v>0.492491644313576</v>
      </c>
      <c r="R36" s="176">
        <f>[1]작업!R65</f>
        <v>0.4745063906390844</v>
      </c>
      <c r="S36" s="176">
        <f>[1]작업!S65</f>
        <v>0.52396307722020374</v>
      </c>
      <c r="T36" s="176">
        <f>[1]작업!T65</f>
        <v>0.40543085458112788</v>
      </c>
    </row>
    <row r="37" spans="3:21" ht="32.25" customHeight="1">
      <c r="C37" s="261" t="s">
        <v>121</v>
      </c>
      <c r="D37" s="249"/>
      <c r="E37" s="249"/>
      <c r="F37" s="249"/>
      <c r="G37" s="249"/>
      <c r="H37" s="250"/>
      <c r="I37" s="175">
        <f>[1]작업!I66</f>
        <v>0.50070486836074624</v>
      </c>
      <c r="J37" s="175"/>
      <c r="K37" s="175"/>
      <c r="L37" s="175">
        <f>[1]작업!L66</f>
        <v>0.69229425442072579</v>
      </c>
      <c r="M37" s="175">
        <f>[1]작업!M66</f>
        <v>0.7882871042781443</v>
      </c>
      <c r="N37" s="175">
        <f>[1]작업!N66</f>
        <v>0.72140477231968536</v>
      </c>
      <c r="O37" s="176">
        <f>[1]작업!O66</f>
        <v>0.32651096673661506</v>
      </c>
      <c r="P37" s="176">
        <f>[1]작업!P66</f>
        <v>0.20021885644145285</v>
      </c>
      <c r="Q37" s="176">
        <f>[1]작업!Q66</f>
        <v>0.80201180319592325</v>
      </c>
      <c r="R37" s="176">
        <f>[1]작업!R66</f>
        <v>0.52449360989622296</v>
      </c>
      <c r="S37" s="176">
        <f>[1]작업!S66</f>
        <v>0.63776224656888281</v>
      </c>
      <c r="T37" s="176">
        <f>[1]작업!T66</f>
        <v>0.50515466054408875</v>
      </c>
    </row>
    <row r="38" spans="3:21" ht="32.25" customHeight="1">
      <c r="C38" s="262" t="s">
        <v>136</v>
      </c>
      <c r="D38" s="263"/>
      <c r="E38" s="263"/>
      <c r="F38" s="263"/>
      <c r="G38" s="263"/>
      <c r="H38" s="264"/>
      <c r="I38" s="177">
        <f>I35/(I14+I15+I18)</f>
        <v>4.5191210449015445E-2</v>
      </c>
      <c r="J38" s="177"/>
      <c r="K38" s="177"/>
      <c r="L38" s="177">
        <f t="shared" ref="L38:T38" si="2">L35/(L14+L15+L18)</f>
        <v>6.7139034854858837E-2</v>
      </c>
      <c r="M38" s="177">
        <f t="shared" si="2"/>
        <v>0.10265506145699431</v>
      </c>
      <c r="N38" s="177">
        <f t="shared" si="2"/>
        <v>3.9318205502283356E-2</v>
      </c>
      <c r="O38" s="178">
        <f t="shared" si="2"/>
        <v>4.7797777673991668E-2</v>
      </c>
      <c r="P38" s="178">
        <f t="shared" si="2"/>
        <v>0.10046183858809576</v>
      </c>
      <c r="Q38" s="178">
        <f t="shared" si="2"/>
        <v>0.13446755248130043</v>
      </c>
      <c r="R38" s="178">
        <f t="shared" si="2"/>
        <v>0.13441001048569007</v>
      </c>
      <c r="S38" s="178">
        <f t="shared" si="2"/>
        <v>0.16429883185053398</v>
      </c>
      <c r="T38" s="178">
        <f t="shared" si="2"/>
        <v>0.17374335690071566</v>
      </c>
    </row>
    <row r="39" spans="3:21" ht="18" customHeight="1">
      <c r="C39" s="252" t="s">
        <v>118</v>
      </c>
      <c r="D39" s="265"/>
      <c r="E39" s="265"/>
      <c r="F39" s="265"/>
      <c r="G39" s="265"/>
      <c r="H39" s="265"/>
      <c r="I39" s="181">
        <f>[1]작업!I67</f>
        <v>-4322.4669249600001</v>
      </c>
      <c r="J39" s="182">
        <f>[1]작업!J67</f>
        <v>433581.09</v>
      </c>
      <c r="K39" s="182">
        <f>[1]작업!K67</f>
        <v>-23979.810223659999</v>
      </c>
      <c r="L39" s="182">
        <f>[1]작업!L67</f>
        <v>-14061.35</v>
      </c>
      <c r="M39" s="182">
        <f>[1]작업!M67</f>
        <v>-21282.91</v>
      </c>
      <c r="N39" s="182">
        <f>[1]작업!N67</f>
        <v>-12240.13</v>
      </c>
      <c r="O39" s="182">
        <f>[1]작업!O67</f>
        <v>314.67</v>
      </c>
      <c r="P39" s="182">
        <f>[1]작업!P67</f>
        <v>67876.289229889997</v>
      </c>
      <c r="Q39" s="182">
        <f>[1]작업!Q67</f>
        <v>-31593.30002857</v>
      </c>
      <c r="R39" s="182">
        <f>[1]작업!R67</f>
        <v>-7592.58</v>
      </c>
      <c r="S39" s="182">
        <f>[1]작업!S67</f>
        <v>-13082.22</v>
      </c>
      <c r="T39" s="181">
        <f>[1]작업!T67</f>
        <v>-22293</v>
      </c>
    </row>
    <row r="40" spans="3:21" ht="18" customHeight="1">
      <c r="C40" s="275" t="s">
        <v>123</v>
      </c>
      <c r="D40" s="276"/>
      <c r="E40" s="276"/>
      <c r="F40" s="276"/>
      <c r="G40" s="276"/>
      <c r="H40" s="276"/>
      <c r="I40" s="179">
        <f>[1]작업!I68</f>
        <v>-10667.856269989999</v>
      </c>
      <c r="J40" s="179">
        <f>[1]작업!J68</f>
        <v>353864.95</v>
      </c>
      <c r="K40" s="179">
        <f>[1]작업!K68</f>
        <v>-54687.86</v>
      </c>
      <c r="L40" s="179">
        <f>[1]작업!L68</f>
        <v>-48833.68</v>
      </c>
      <c r="M40" s="179">
        <f>[1]작업!M68</f>
        <v>-34536.83</v>
      </c>
      <c r="N40" s="179">
        <f>[1]작업!N68</f>
        <v>-17978.560000000001</v>
      </c>
      <c r="O40" s="179">
        <f>[1]작업!O68</f>
        <v>-11128.16</v>
      </c>
      <c r="P40" s="179">
        <f>[1]작업!P68</f>
        <v>62437.88</v>
      </c>
      <c r="Q40" s="179">
        <f>[1]작업!Q68</f>
        <v>-40182.620992799995</v>
      </c>
      <c r="R40" s="179">
        <f>[1]작업!R68</f>
        <v>-19989.990000000002</v>
      </c>
      <c r="S40" s="179">
        <f>[1]작업!S68</f>
        <v>-20957.179999999997</v>
      </c>
      <c r="T40" s="180">
        <f>[1]작업!T68</f>
        <v>-32018.6</v>
      </c>
    </row>
    <row r="41" spans="3:21" ht="18" customHeight="1">
      <c r="C41" s="268" t="s">
        <v>126</v>
      </c>
      <c r="D41" s="268"/>
      <c r="E41" s="268"/>
      <c r="F41" s="268"/>
      <c r="G41" s="268"/>
      <c r="H41" s="269"/>
      <c r="I41" s="183">
        <f>[1]작업!I69</f>
        <v>-6186.4262699899991</v>
      </c>
      <c r="J41" s="183">
        <f>[1]작업!J69</f>
        <v>199872.86000000002</v>
      </c>
      <c r="K41" s="183">
        <f>[1]작업!K69</f>
        <v>-23731.72</v>
      </c>
      <c r="L41" s="183">
        <f>[1]작업!L69</f>
        <v>-27446.83</v>
      </c>
      <c r="M41" s="183">
        <f>[1]작업!M69</f>
        <v>-17779.470000000005</v>
      </c>
      <c r="N41" s="183">
        <f>[1]작업!N69</f>
        <v>-8206.3100000000013</v>
      </c>
      <c r="O41" s="183">
        <f>[1]작업!O69</f>
        <v>-10497.18</v>
      </c>
      <c r="P41" s="183">
        <f>[1]작업!P69</f>
        <v>37212.39</v>
      </c>
      <c r="Q41" s="183">
        <f>[1]작업!Q69</f>
        <v>-13435.485952799994</v>
      </c>
      <c r="R41" s="183">
        <f>[1]작업!R69</f>
        <v>-12652.94</v>
      </c>
      <c r="S41" s="183">
        <f>[1]작업!S69</f>
        <v>-11704.709999999995</v>
      </c>
      <c r="T41" s="184">
        <f>[1]작업!T69</f>
        <v>-12076.349999999999</v>
      </c>
    </row>
    <row r="42" spans="3:21" ht="18" customHeight="1">
      <c r="C42" s="254" t="s">
        <v>125</v>
      </c>
      <c r="D42" s="276"/>
      <c r="E42" s="276"/>
      <c r="F42" s="276"/>
      <c r="G42" s="276"/>
      <c r="H42" s="276"/>
      <c r="I42" s="179">
        <f>[1]작업!I71</f>
        <v>6300.6274040200005</v>
      </c>
      <c r="J42" s="179">
        <f>[1]작업!J71</f>
        <v>81594.599999999991</v>
      </c>
      <c r="K42" s="179">
        <f>[1]작업!K71</f>
        <v>24147.08</v>
      </c>
      <c r="L42" s="179">
        <f>[1]작업!L71</f>
        <v>32318.18</v>
      </c>
      <c r="M42" s="179">
        <f>[1]작업!M71</f>
        <v>13555.93</v>
      </c>
      <c r="N42" s="179">
        <f>[1]작업!N71</f>
        <v>5711.96</v>
      </c>
      <c r="O42" s="179">
        <f>[1]작업!O71</f>
        <v>11511.210000000001</v>
      </c>
      <c r="P42" s="179">
        <f>[1]작업!P71</f>
        <v>6894.83</v>
      </c>
      <c r="Q42" s="179">
        <f>[1]작업!Q71</f>
        <v>6031.8777708600001</v>
      </c>
      <c r="R42" s="179">
        <f>[1]작업!R71</f>
        <v>7987.5000000000009</v>
      </c>
      <c r="S42" s="179">
        <f>[1]작업!S71</f>
        <v>7609.47</v>
      </c>
      <c r="T42" s="180">
        <f>[1]작업!T71</f>
        <v>7636.21</v>
      </c>
    </row>
    <row r="43" spans="3:21" ht="18" customHeight="1">
      <c r="C43" s="270" t="s">
        <v>126</v>
      </c>
      <c r="D43" s="270"/>
      <c r="E43" s="270"/>
      <c r="F43" s="270"/>
      <c r="G43" s="270"/>
      <c r="H43" s="271"/>
      <c r="I43" s="185">
        <f>[1]작업!I72</f>
        <v>3709.3574040200006</v>
      </c>
      <c r="J43" s="185">
        <f>[1]작업!J72</f>
        <v>48987.199999999997</v>
      </c>
      <c r="K43" s="185">
        <f>[1]작업!K72</f>
        <v>21802.440000000002</v>
      </c>
      <c r="L43" s="185">
        <f>[1]작업!L72</f>
        <v>26923.13</v>
      </c>
      <c r="M43" s="185">
        <f>[1]작업!M72</f>
        <v>11252.01</v>
      </c>
      <c r="N43" s="185">
        <f>[1]작업!N72</f>
        <v>6941.23</v>
      </c>
      <c r="O43" s="185">
        <f>[1]작업!O72</f>
        <v>7152.4600000000009</v>
      </c>
      <c r="P43" s="185">
        <f>[1]작업!P72</f>
        <v>7140.29</v>
      </c>
      <c r="Q43" s="185">
        <f>[1]작업!Q72</f>
        <v>7383.5106708599997</v>
      </c>
      <c r="R43" s="185">
        <f>[1]작업!R72</f>
        <v>6836.4800000000014</v>
      </c>
      <c r="S43" s="185">
        <f>[1]작업!S72</f>
        <v>5303.5300000000007</v>
      </c>
      <c r="T43" s="186">
        <f>[1]작업!T72</f>
        <v>5907.29</v>
      </c>
    </row>
    <row r="44" spans="3:21" ht="18" customHeight="1">
      <c r="C44" s="267" t="s">
        <v>119</v>
      </c>
      <c r="D44" s="324"/>
      <c r="E44" s="324"/>
      <c r="F44" s="324"/>
      <c r="G44" s="324"/>
      <c r="H44" s="324"/>
      <c r="I44" s="189">
        <f>[1]작업!I74</f>
        <v>185410</v>
      </c>
      <c r="J44" s="189">
        <f>[1]작업!J74</f>
        <v>2753258</v>
      </c>
      <c r="K44" s="189">
        <f>[1]작업!K74</f>
        <v>1072542.6299999999</v>
      </c>
      <c r="L44" s="189">
        <f>[1]작업!L74</f>
        <v>1229821.97</v>
      </c>
      <c r="M44" s="189">
        <f>[1]작업!M74</f>
        <v>511751</v>
      </c>
      <c r="N44" s="189">
        <f>[1]작업!N74</f>
        <v>326955.93</v>
      </c>
      <c r="O44" s="189">
        <f>[1]작업!O74</f>
        <v>0</v>
      </c>
      <c r="P44" s="189">
        <f>[1]작업!P74</f>
        <v>901521.63</v>
      </c>
      <c r="Q44" s="189">
        <f>[1]작업!Q74</f>
        <v>470157.57</v>
      </c>
      <c r="R44" s="189">
        <f>[1]작업!R74</f>
        <v>425150.95</v>
      </c>
      <c r="S44" s="189">
        <f>[1]작업!S74</f>
        <v>422039</v>
      </c>
      <c r="T44" s="190">
        <f>[1]작업!T74</f>
        <v>560935.65</v>
      </c>
    </row>
    <row r="45" spans="3:21" ht="18" customHeight="1">
      <c r="C45" s="264" t="s">
        <v>135</v>
      </c>
      <c r="D45" s="287"/>
      <c r="E45" s="287"/>
      <c r="F45" s="287"/>
      <c r="G45" s="287"/>
      <c r="H45" s="287"/>
      <c r="I45" s="213">
        <f>[1]작업!I75</f>
        <v>7.6096811663677038</v>
      </c>
      <c r="J45" s="213">
        <f>[1]작업!J75</f>
        <v>4.8802081436181748</v>
      </c>
      <c r="K45" s="213">
        <f>[1]작업!K75</f>
        <v>14.011448387500327</v>
      </c>
      <c r="L45" s="213">
        <f>[1]작업!L75</f>
        <v>9.8632132777106598</v>
      </c>
      <c r="M45" s="213">
        <f>[1]작업!M75</f>
        <v>8.2020658106510123</v>
      </c>
      <c r="N45" s="213">
        <f>[1]작업!N75</f>
        <v>21.314348837103179</v>
      </c>
      <c r="O45" s="213">
        <f>[1]작업!O75</f>
        <v>0</v>
      </c>
      <c r="P45" s="213">
        <f>[1]작업!P75</f>
        <v>4.3704254685151396</v>
      </c>
      <c r="Q45" s="213">
        <f>[1]작업!Q75</f>
        <v>9.6274961945350164</v>
      </c>
      <c r="R45" s="213">
        <f>[1]작업!R75</f>
        <v>7.2621762601570188</v>
      </c>
      <c r="S45" s="213">
        <f>[1]작업!S75</f>
        <v>7.3818738222014355</v>
      </c>
      <c r="T45" s="214">
        <f>[1]작업!T75</f>
        <v>5.6919460682557848</v>
      </c>
    </row>
    <row r="46" spans="3:21" ht="16.5" customHeight="1">
      <c r="C46" s="166" t="s">
        <v>124</v>
      </c>
      <c r="D46" s="84"/>
      <c r="E46" s="84"/>
      <c r="F46" s="84"/>
      <c r="G46" s="84"/>
      <c r="H46" s="84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45"/>
    </row>
    <row r="47" spans="3:21" ht="16.5" customHeight="1">
      <c r="C47" s="81"/>
      <c r="D47" s="196"/>
      <c r="E47" s="79"/>
      <c r="F47" s="79"/>
      <c r="G47" s="79"/>
      <c r="H47" s="79"/>
      <c r="I47" s="79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</row>
    <row r="48" spans="3:21" ht="16.5" customHeight="1">
      <c r="C48" s="83" t="s">
        <v>113</v>
      </c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</row>
    <row r="49" spans="3:21" ht="16.5" customHeight="1"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0"/>
      <c r="P49" s="84"/>
      <c r="Q49" s="84"/>
      <c r="R49" s="80"/>
      <c r="S49" s="80"/>
      <c r="T49" s="85" t="s">
        <v>114</v>
      </c>
      <c r="U49" s="80"/>
    </row>
    <row r="50" spans="3:21" ht="16.5" customHeight="1">
      <c r="C50" s="259" t="s">
        <v>16</v>
      </c>
      <c r="D50" s="259"/>
      <c r="E50" s="259"/>
      <c r="F50" s="259"/>
      <c r="G50" s="259"/>
      <c r="H50" s="260"/>
      <c r="I50" s="86" t="s">
        <v>48</v>
      </c>
      <c r="J50" s="86" t="s">
        <v>49</v>
      </c>
      <c r="K50" s="86" t="s">
        <v>50</v>
      </c>
      <c r="L50" s="86" t="s">
        <v>51</v>
      </c>
      <c r="M50" s="86" t="s">
        <v>17</v>
      </c>
      <c r="N50" s="86" t="s">
        <v>52</v>
      </c>
      <c r="O50" s="87" t="s">
        <v>15</v>
      </c>
      <c r="P50" s="87" t="s">
        <v>46</v>
      </c>
      <c r="Q50" s="87" t="s">
        <v>45</v>
      </c>
      <c r="R50" s="87" t="s">
        <v>44</v>
      </c>
      <c r="S50" s="87" t="s">
        <v>53</v>
      </c>
      <c r="T50" s="87" t="s">
        <v>47</v>
      </c>
      <c r="U50" s="80"/>
    </row>
    <row r="51" spans="3:21" ht="16.5" customHeight="1">
      <c r="C51" s="251" t="s">
        <v>12</v>
      </c>
      <c r="D51" s="251"/>
      <c r="E51" s="251"/>
      <c r="F51" s="251"/>
      <c r="G51" s="251"/>
      <c r="H51" s="252"/>
      <c r="I51" s="62">
        <f>[1]작업!I100</f>
        <v>1.7669999999999999</v>
      </c>
      <c r="J51" s="62">
        <f>[1]작업!J100</f>
        <v>1.98</v>
      </c>
      <c r="K51" s="62">
        <f>[1]작업!K100</f>
        <v>1.6566000000000001</v>
      </c>
      <c r="L51" s="62">
        <f>[1]작업!L100</f>
        <v>1.575</v>
      </c>
      <c r="M51" s="62">
        <f>[1]작업!M100</f>
        <v>2.06</v>
      </c>
      <c r="N51" s="62">
        <f>[1]작업!N100</f>
        <v>1.798</v>
      </c>
      <c r="O51" s="62">
        <f>[1]작업!O100</f>
        <v>2.7219000000000002</v>
      </c>
      <c r="P51" s="62">
        <f>[1]작업!P100</f>
        <v>2.6286999999999998</v>
      </c>
      <c r="Q51" s="62">
        <f>[1]작업!Q100</f>
        <v>1.901</v>
      </c>
      <c r="R51" s="62">
        <f>[1]작업!R100</f>
        <v>2.4129999999999998</v>
      </c>
      <c r="S51" s="62">
        <f>[1]작업!S100</f>
        <v>1.9154</v>
      </c>
      <c r="T51" s="62">
        <f>[1]작업!T100</f>
        <v>2.1819999999999999</v>
      </c>
      <c r="U51" s="80"/>
    </row>
    <row r="52" spans="3:21" ht="16.5" customHeight="1">
      <c r="C52" s="253" t="s">
        <v>56</v>
      </c>
      <c r="D52" s="253"/>
      <c r="E52" s="253"/>
      <c r="F52" s="253"/>
      <c r="G52" s="253"/>
      <c r="H52" s="254"/>
      <c r="I52" s="63">
        <f>[1]작업!I101</f>
        <v>37022.39</v>
      </c>
      <c r="J52" s="63">
        <f>[1]작업!J101</f>
        <v>657397.18999999994</v>
      </c>
      <c r="K52" s="63">
        <f>[1]작업!K101</f>
        <v>142181.31</v>
      </c>
      <c r="L52" s="63">
        <f>[1]작업!L101</f>
        <v>229010.84</v>
      </c>
      <c r="M52" s="63">
        <f>[1]작업!M101</f>
        <v>98738</v>
      </c>
      <c r="N52" s="63">
        <f>[1]작업!N101</f>
        <v>40594.959999999999</v>
      </c>
      <c r="O52" s="64">
        <f>[1]작업!O101</f>
        <v>58716.62</v>
      </c>
      <c r="P52" s="64">
        <f>[1]작업!P101</f>
        <v>293000</v>
      </c>
      <c r="Q52" s="64">
        <f>[1]작업!Q101</f>
        <v>139584.76</v>
      </c>
      <c r="R52" s="64">
        <f>[1]작업!R101</f>
        <v>133506.22</v>
      </c>
      <c r="S52" s="64">
        <f>[1]작업!S101</f>
        <v>121908.66</v>
      </c>
      <c r="T52" s="64">
        <f>[1]작업!T101</f>
        <v>215522.35</v>
      </c>
      <c r="U52" s="80"/>
    </row>
    <row r="53" spans="3:21" ht="16.5" customHeight="1">
      <c r="C53" s="280" t="s">
        <v>57</v>
      </c>
      <c r="D53" s="280"/>
      <c r="E53" s="280"/>
      <c r="F53" s="280"/>
      <c r="G53" s="280"/>
      <c r="H53" s="281"/>
      <c r="I53" s="65">
        <f>[1]작업!I102</f>
        <v>20953.93</v>
      </c>
      <c r="J53" s="65">
        <f>[1]작업!J102</f>
        <v>332051.92</v>
      </c>
      <c r="K53" s="65">
        <f>[1]작업!K102</f>
        <v>85824.88</v>
      </c>
      <c r="L53" s="65">
        <f>[1]작업!L102</f>
        <v>145388.34</v>
      </c>
      <c r="M53" s="65">
        <f>[1]작업!M102</f>
        <v>47935</v>
      </c>
      <c r="N53" s="65">
        <f>[1]작업!N102</f>
        <v>22572.98</v>
      </c>
      <c r="O53" s="66">
        <f>[1]작업!O102</f>
        <v>21571.59</v>
      </c>
      <c r="P53" s="66">
        <f>[1]작업!P102</f>
        <v>111463</v>
      </c>
      <c r="Q53" s="66">
        <f>[1]작업!Q102</f>
        <v>73408.179999999993</v>
      </c>
      <c r="R53" s="66">
        <f>[1]작업!R102</f>
        <v>55321.86</v>
      </c>
      <c r="S53" s="66">
        <f>[1]작업!S102</f>
        <v>63646.32</v>
      </c>
      <c r="T53" s="66">
        <f>[1]작업!T102</f>
        <v>98763.53</v>
      </c>
      <c r="U53" s="80"/>
    </row>
    <row r="54" spans="3:21" ht="16.5" customHeight="1">
      <c r="C54" s="88" t="s">
        <v>84</v>
      </c>
      <c r="D54" s="82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80"/>
      <c r="U54" s="80"/>
    </row>
    <row r="55" spans="3:21" ht="16.5" customHeight="1">
      <c r="C55" s="81"/>
      <c r="D55" s="82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80"/>
      <c r="U55" s="80"/>
    </row>
    <row r="56" spans="3:21" ht="16.5" customHeight="1">
      <c r="C56" s="81"/>
      <c r="D56" s="82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80"/>
      <c r="S56" s="80"/>
      <c r="T56" s="80"/>
      <c r="U56" s="80"/>
    </row>
    <row r="57" spans="3:21" ht="16.5" customHeight="1">
      <c r="C57" s="83" t="s">
        <v>27</v>
      </c>
      <c r="D57" s="80"/>
      <c r="E57" s="80"/>
      <c r="F57" s="80"/>
      <c r="G57" s="80"/>
      <c r="H57" s="80"/>
      <c r="I57" s="80"/>
      <c r="J57" s="79"/>
      <c r="K57" s="79"/>
      <c r="L57" s="79"/>
      <c r="M57" s="79"/>
      <c r="N57" s="79"/>
      <c r="O57" s="79"/>
      <c r="P57" s="79"/>
      <c r="Q57" s="79"/>
      <c r="R57" s="80"/>
      <c r="S57" s="80"/>
      <c r="T57" s="80"/>
      <c r="U57" s="80"/>
    </row>
    <row r="58" spans="3:21" ht="16.5" customHeight="1"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0"/>
      <c r="P58" s="84"/>
      <c r="Q58" s="84"/>
      <c r="R58" s="80"/>
      <c r="S58" s="80"/>
      <c r="T58" s="85" t="s">
        <v>18</v>
      </c>
      <c r="U58" s="80"/>
    </row>
    <row r="59" spans="3:21" ht="16.5" customHeight="1">
      <c r="C59" s="259" t="s">
        <v>16</v>
      </c>
      <c r="D59" s="259"/>
      <c r="E59" s="259"/>
      <c r="F59" s="259"/>
      <c r="G59" s="259"/>
      <c r="H59" s="260"/>
      <c r="I59" s="86" t="s">
        <v>48</v>
      </c>
      <c r="J59" s="86" t="s">
        <v>49</v>
      </c>
      <c r="K59" s="86" t="s">
        <v>50</v>
      </c>
      <c r="L59" s="86" t="s">
        <v>51</v>
      </c>
      <c r="M59" s="86" t="s">
        <v>17</v>
      </c>
      <c r="N59" s="86" t="s">
        <v>52</v>
      </c>
      <c r="O59" s="87" t="s">
        <v>15</v>
      </c>
      <c r="P59" s="87" t="s">
        <v>46</v>
      </c>
      <c r="Q59" s="87" t="s">
        <v>45</v>
      </c>
      <c r="R59" s="87" t="s">
        <v>44</v>
      </c>
      <c r="S59" s="87" t="s">
        <v>53</v>
      </c>
      <c r="T59" s="87" t="s">
        <v>47</v>
      </c>
      <c r="U59" s="80"/>
    </row>
    <row r="60" spans="3:21" ht="16.5" customHeight="1">
      <c r="C60" s="285" t="s">
        <v>14</v>
      </c>
      <c r="D60" s="285"/>
      <c r="E60" s="285"/>
      <c r="F60" s="285"/>
      <c r="G60" s="285"/>
      <c r="H60" s="286"/>
      <c r="I60" s="161">
        <f>[1]작업!I109</f>
        <v>1119.9010958400002</v>
      </c>
      <c r="J60" s="161">
        <f>[1]작업!J109</f>
        <v>9747.16</v>
      </c>
      <c r="K60" s="161">
        <f>[1]작업!K109</f>
        <v>3915.9032983800003</v>
      </c>
      <c r="L60" s="161">
        <f>[1]작업!L109</f>
        <v>3444.19</v>
      </c>
      <c r="M60" s="161">
        <f>[1]작업!M109</f>
        <v>7041.53</v>
      </c>
      <c r="N60" s="161">
        <f>[1]작업!N109</f>
        <v>1137.71</v>
      </c>
      <c r="O60" s="161">
        <f>[1]작업!O109</f>
        <v>2618.85</v>
      </c>
      <c r="P60" s="161">
        <f>[1]작업!P109</f>
        <v>14466.962512849999</v>
      </c>
      <c r="Q60" s="161">
        <f>[1]작업!Q109</f>
        <v>3961.1130419400001</v>
      </c>
      <c r="R60" s="161">
        <f>[1]작업!R109</f>
        <v>14254.1127889</v>
      </c>
      <c r="S60" s="161">
        <f>[1]작업!S109</f>
        <v>6266.95</v>
      </c>
      <c r="T60" s="161">
        <f>[1]작업!T109</f>
        <v>10359.5</v>
      </c>
      <c r="U60" s="80"/>
    </row>
    <row r="61" spans="3:21" ht="16.5" customHeight="1">
      <c r="C61" s="237" t="s">
        <v>108</v>
      </c>
      <c r="D61" s="237"/>
      <c r="E61" s="237"/>
      <c r="F61" s="237"/>
      <c r="G61" s="237"/>
      <c r="H61" s="238"/>
      <c r="I61" s="162">
        <f>+I60/I72</f>
        <v>0.59173632474157922</v>
      </c>
      <c r="J61" s="162">
        <f t="shared" ref="J61:T61" si="3">+J60/J72</f>
        <v>0.48565674442428169</v>
      </c>
      <c r="K61" s="162">
        <f t="shared" si="3"/>
        <v>0.40701703435802622</v>
      </c>
      <c r="L61" s="162">
        <f t="shared" si="3"/>
        <v>0.83465164182721441</v>
      </c>
      <c r="M61" s="162">
        <f t="shared" si="3"/>
        <v>0.8840168328441329</v>
      </c>
      <c r="N61" s="162">
        <f t="shared" si="3"/>
        <v>1.0213936869321649</v>
      </c>
      <c r="O61" s="162">
        <f t="shared" si="3"/>
        <v>0.62623149175498327</v>
      </c>
      <c r="P61" s="162">
        <f t="shared" si="3"/>
        <v>0.61997386734477222</v>
      </c>
      <c r="Q61" s="162">
        <f t="shared" si="3"/>
        <v>0.57053725478358797</v>
      </c>
      <c r="R61" s="162">
        <f t="shared" si="3"/>
        <v>0.62135754948153321</v>
      </c>
      <c r="S61" s="162">
        <f t="shared" si="3"/>
        <v>0.54936669357857359</v>
      </c>
      <c r="T61" s="162">
        <f t="shared" si="3"/>
        <v>0.49144810560382246</v>
      </c>
      <c r="U61" s="80"/>
    </row>
    <row r="62" spans="3:21" ht="16.5" customHeight="1">
      <c r="C62" s="159"/>
      <c r="D62" s="231" t="s">
        <v>107</v>
      </c>
      <c r="E62" s="232"/>
      <c r="F62" s="232"/>
      <c r="G62" s="232"/>
      <c r="H62" s="233"/>
      <c r="I62" s="163">
        <f>[1]작업!I126</f>
        <v>2058.3148376500003</v>
      </c>
      <c r="J62" s="163">
        <f>[1]작업!J126</f>
        <v>14795.99</v>
      </c>
      <c r="K62" s="163">
        <f>[1]작업!K126</f>
        <v>5879.96</v>
      </c>
      <c r="L62" s="163">
        <f>[1]작업!L126</f>
        <v>7872.9</v>
      </c>
      <c r="M62" s="163">
        <f>[1]작업!M126</f>
        <v>7352.29</v>
      </c>
      <c r="N62" s="163">
        <f>[1]작업!N126</f>
        <v>2467.5100000000002</v>
      </c>
      <c r="O62" s="163">
        <f>[1]작업!O126</f>
        <v>2976.06</v>
      </c>
      <c r="P62" s="163">
        <f>[1]작업!P126</f>
        <v>16207.81</v>
      </c>
      <c r="Q62" s="163">
        <f>[1]작업!Q126</f>
        <v>9639.0135596399996</v>
      </c>
      <c r="R62" s="163">
        <f>[1]작업!R126</f>
        <v>11672.64</v>
      </c>
      <c r="S62" s="163">
        <f>[1]작업!S126</f>
        <v>8534.36</v>
      </c>
      <c r="T62" s="163">
        <f>[1]작업!T126</f>
        <v>12850.78</v>
      </c>
      <c r="U62" s="80"/>
    </row>
    <row r="63" spans="3:21" ht="16.5" customHeight="1">
      <c r="C63" s="159"/>
      <c r="D63" s="234" t="s">
        <v>109</v>
      </c>
      <c r="E63" s="235"/>
      <c r="F63" s="235"/>
      <c r="G63" s="235"/>
      <c r="H63" s="236"/>
      <c r="I63" s="126">
        <f>I62/I72</f>
        <v>1.087577877829029</v>
      </c>
      <c r="J63" s="126">
        <f t="shared" ref="J63:T63" si="4">J62/J72</f>
        <v>0.73721702874829464</v>
      </c>
      <c r="K63" s="126">
        <f t="shared" si="4"/>
        <v>0.61116010763950657</v>
      </c>
      <c r="L63" s="126">
        <f t="shared" si="4"/>
        <v>1.9078880407124681</v>
      </c>
      <c r="M63" s="126">
        <f t="shared" si="4"/>
        <v>0.92303066520366883</v>
      </c>
      <c r="N63" s="126">
        <f t="shared" si="4"/>
        <v>2.2152386253456386</v>
      </c>
      <c r="O63" s="126">
        <f t="shared" si="4"/>
        <v>0.71164919462830467</v>
      </c>
      <c r="P63" s="126">
        <f t="shared" si="4"/>
        <v>0.69457694647124157</v>
      </c>
      <c r="Q63" s="126">
        <f t="shared" si="4"/>
        <v>1.3883512732182428</v>
      </c>
      <c r="R63" s="126">
        <f t="shared" si="4"/>
        <v>0.50882738854347409</v>
      </c>
      <c r="S63" s="126">
        <f t="shared" si="4"/>
        <v>0.74812997311439144</v>
      </c>
      <c r="T63" s="126">
        <f t="shared" si="4"/>
        <v>0.60963284777561555</v>
      </c>
      <c r="U63" s="80"/>
    </row>
    <row r="64" spans="3:21" ht="16.5" customHeight="1">
      <c r="C64" s="159"/>
      <c r="D64" s="231" t="s">
        <v>69</v>
      </c>
      <c r="E64" s="232"/>
      <c r="F64" s="232"/>
      <c r="G64" s="232"/>
      <c r="H64" s="233"/>
      <c r="I64" s="125">
        <f>[1]작업!I110</f>
        <v>0.91200000000000003</v>
      </c>
      <c r="J64" s="125">
        <f>[1]작업!J110</f>
        <v>0.83261359437729099</v>
      </c>
      <c r="K64" s="125"/>
      <c r="L64" s="125">
        <f>[1]작업!L110</f>
        <v>0.86948582110486305</v>
      </c>
      <c r="M64" s="125"/>
      <c r="N64" s="125">
        <f>[1]작업!N110</f>
        <v>0.91321555626753914</v>
      </c>
      <c r="O64" s="125"/>
      <c r="P64" s="125">
        <f>[1]작업!P110</f>
        <v>0.92593771512820156</v>
      </c>
      <c r="Q64" s="125"/>
      <c r="R64" s="125">
        <f>[1]작업!R110</f>
        <v>0.93</v>
      </c>
      <c r="S64" s="125"/>
      <c r="T64" s="125"/>
      <c r="U64" s="80"/>
    </row>
    <row r="65" spans="3:21" ht="16.5" hidden="1" customHeight="1">
      <c r="C65" s="174"/>
      <c r="D65" s="277" t="s">
        <v>127</v>
      </c>
      <c r="E65" s="278"/>
      <c r="F65" s="278"/>
      <c r="G65" s="278"/>
      <c r="H65" s="279"/>
      <c r="I65" s="125">
        <f>[1]작업!I111</f>
        <v>1.0520833333333335</v>
      </c>
      <c r="J65" s="125">
        <f>[1]작업!J111</f>
        <v>1.0760043431053203</v>
      </c>
      <c r="K65" s="125">
        <f>[1]작업!K111</f>
        <v>0.96674876847290636</v>
      </c>
      <c r="L65" s="125">
        <f>[1]작업!L111</f>
        <v>1.1627906976744187</v>
      </c>
      <c r="M65" s="125">
        <f>[1]작업!M111</f>
        <v>1.067332474226804</v>
      </c>
      <c r="N65" s="125">
        <f>[1]작업!N111</f>
        <v>1.134684147794994</v>
      </c>
      <c r="O65" s="125">
        <f>[1]작업!O111</f>
        <v>1.0978886756238002</v>
      </c>
      <c r="P65" s="125">
        <f>[1]작업!P111</f>
        <v>1.0248581634797227</v>
      </c>
      <c r="Q65" s="125">
        <f>[1]작업!Q111</f>
        <v>1.0678314491264131</v>
      </c>
      <c r="R65" s="125">
        <f>[1]작업!R111</f>
        <v>0.99979298209295109</v>
      </c>
      <c r="S65" s="125">
        <f>[1]작업!S111</f>
        <v>1.0253968253968255</v>
      </c>
      <c r="T65" s="125">
        <f>[1]작업!T111</f>
        <v>1.0402611534276387</v>
      </c>
      <c r="U65" s="80"/>
    </row>
    <row r="66" spans="3:21" ht="16.5" customHeight="1">
      <c r="C66" s="217"/>
      <c r="D66" s="239" t="s">
        <v>71</v>
      </c>
      <c r="E66" s="240"/>
      <c r="F66" s="242" t="s">
        <v>70</v>
      </c>
      <c r="G66" s="240"/>
      <c r="H66" s="243"/>
      <c r="I66" s="69">
        <f>[1]작업!I112</f>
        <v>0.14721929670129238</v>
      </c>
      <c r="J66" s="69">
        <f>[1]작업!J112</f>
        <v>3.7694640570469867E-2</v>
      </c>
      <c r="K66" s="69"/>
      <c r="L66" s="69">
        <f>[1]작업!L112</f>
        <v>9.4921478614756485E-2</v>
      </c>
      <c r="M66" s="69"/>
      <c r="N66" s="69">
        <f>[1]작업!N112</f>
        <v>-1.4857493360526759E-2</v>
      </c>
      <c r="O66" s="69"/>
      <c r="P66" s="69">
        <f>[1]작업!P112</f>
        <v>-4.5151832714023232E-2</v>
      </c>
      <c r="Q66" s="69"/>
      <c r="R66" s="69">
        <f>[1]작업!R112</f>
        <v>9.7962995688449708E-3</v>
      </c>
      <c r="S66" s="69"/>
      <c r="T66" s="125"/>
      <c r="U66" s="80"/>
    </row>
    <row r="67" spans="3:21" ht="16.5" customHeight="1">
      <c r="C67" s="219"/>
      <c r="D67" s="241"/>
      <c r="E67" s="229"/>
      <c r="F67" s="244" t="s">
        <v>72</v>
      </c>
      <c r="G67" s="245"/>
      <c r="H67" s="246"/>
      <c r="I67" s="70">
        <f>[1]작업!I113</f>
        <v>0.1372973992660175</v>
      </c>
      <c r="J67" s="70">
        <f>[1]작업!J113</f>
        <v>4.9259968410359838E-2</v>
      </c>
      <c r="K67" s="70"/>
      <c r="L67" s="70">
        <f>[1]작업!L113</f>
        <v>8.9414237193410309E-2</v>
      </c>
      <c r="M67" s="70"/>
      <c r="N67" s="70">
        <f>[1]작업!N113</f>
        <v>-1.2425082625804457E-2</v>
      </c>
      <c r="O67" s="70"/>
      <c r="P67" s="70">
        <f>[1]작업!P113</f>
        <v>-2.7373628377923977E-2</v>
      </c>
      <c r="Q67" s="70"/>
      <c r="R67" s="70">
        <f>[1]작업!R113</f>
        <v>3.9802890991241088E-3</v>
      </c>
      <c r="S67" s="70"/>
      <c r="T67" s="126"/>
      <c r="U67" s="80"/>
    </row>
    <row r="68" spans="3:21" ht="16.5" customHeight="1">
      <c r="C68" s="240" t="s">
        <v>9</v>
      </c>
      <c r="D68" s="240"/>
      <c r="E68" s="240"/>
      <c r="F68" s="240"/>
      <c r="G68" s="240"/>
      <c r="H68" s="243"/>
      <c r="I68" s="220">
        <f>[1]작업!I114</f>
        <v>738.66156524000007</v>
      </c>
      <c r="J68" s="220">
        <f>[1]작업!J114</f>
        <v>6917.45</v>
      </c>
      <c r="K68" s="220">
        <f>[1]작업!K114</f>
        <v>6700.35101553</v>
      </c>
      <c r="L68" s="220">
        <f>[1]작업!L114</f>
        <v>570.17999999999995</v>
      </c>
      <c r="M68" s="220">
        <f>[1]작업!M114</f>
        <v>925.33</v>
      </c>
      <c r="N68" s="220">
        <f>[1]작업!N114</f>
        <v>911.64</v>
      </c>
      <c r="O68" s="221">
        <f>[1]작업!O114</f>
        <v>1518.29</v>
      </c>
      <c r="P68" s="221">
        <f>[1]작업!P114</f>
        <v>8839.8644576300012</v>
      </c>
      <c r="Q68" s="221">
        <f>[1]작업!Q114</f>
        <v>3307.5128531800001</v>
      </c>
      <c r="R68" s="221">
        <f>[1]작업!R114</f>
        <v>8623.5169854799988</v>
      </c>
      <c r="S68" s="221">
        <f>[1]작업!S114</f>
        <v>5282.81</v>
      </c>
      <c r="T68" s="164">
        <f>[1]작업!T114</f>
        <v>10518.3</v>
      </c>
      <c r="U68" s="80"/>
    </row>
    <row r="69" spans="3:21" ht="16.5" customHeight="1">
      <c r="C69" s="229" t="s">
        <v>110</v>
      </c>
      <c r="D69" s="229"/>
      <c r="E69" s="229"/>
      <c r="F69" s="229"/>
      <c r="G69" s="229"/>
      <c r="H69" s="230"/>
      <c r="I69" s="222">
        <f>I68/I72</f>
        <v>0.39029596583717174</v>
      </c>
      <c r="J69" s="222">
        <f t="shared" ref="J69:T69" si="5">J68/J72</f>
        <v>0.34466513802151061</v>
      </c>
      <c r="K69" s="222">
        <f t="shared" si="5"/>
        <v>0.69643114032642939</v>
      </c>
      <c r="L69" s="222">
        <f t="shared" si="5"/>
        <v>0.13817520901490365</v>
      </c>
      <c r="M69" s="222">
        <f t="shared" si="5"/>
        <v>0.11616897122296739</v>
      </c>
      <c r="N69" s="222">
        <f t="shared" si="5"/>
        <v>0.81843645635077378</v>
      </c>
      <c r="O69" s="70">
        <f t="shared" si="5"/>
        <v>0.36306050809197687</v>
      </c>
      <c r="P69" s="70">
        <f t="shared" si="5"/>
        <v>0.37882761842595053</v>
      </c>
      <c r="Q69" s="70">
        <f t="shared" si="5"/>
        <v>0.47639622586750041</v>
      </c>
      <c r="R69" s="70">
        <f t="shared" si="5"/>
        <v>0.37591167274773141</v>
      </c>
      <c r="S69" s="70">
        <f t="shared" si="5"/>
        <v>0.46309606148187304</v>
      </c>
      <c r="T69" s="126">
        <f t="shared" si="5"/>
        <v>0.49898147682539556</v>
      </c>
      <c r="U69" s="80"/>
    </row>
    <row r="70" spans="3:21" ht="16.5" customHeight="1">
      <c r="C70" s="322" t="s">
        <v>10</v>
      </c>
      <c r="D70" s="322"/>
      <c r="E70" s="322"/>
      <c r="F70" s="322"/>
      <c r="G70" s="322"/>
      <c r="H70" s="323"/>
      <c r="I70" s="73">
        <f>I60+I68</f>
        <v>1858.5626610800002</v>
      </c>
      <c r="J70" s="73">
        <f t="shared" ref="J70:T70" si="6">J60+J68</f>
        <v>16664.61</v>
      </c>
      <c r="K70" s="73">
        <f t="shared" si="6"/>
        <v>10616.25431391</v>
      </c>
      <c r="L70" s="73">
        <f t="shared" si="6"/>
        <v>4014.37</v>
      </c>
      <c r="M70" s="73">
        <f t="shared" si="6"/>
        <v>7966.86</v>
      </c>
      <c r="N70" s="73">
        <f t="shared" si="6"/>
        <v>2049.35</v>
      </c>
      <c r="O70" s="73">
        <f t="shared" si="6"/>
        <v>4137.1399999999994</v>
      </c>
      <c r="P70" s="73">
        <f t="shared" si="6"/>
        <v>23306.82697048</v>
      </c>
      <c r="Q70" s="73">
        <f t="shared" si="6"/>
        <v>7268.6258951199998</v>
      </c>
      <c r="R70" s="73">
        <f t="shared" si="6"/>
        <v>22877.629774379999</v>
      </c>
      <c r="S70" s="73">
        <f t="shared" si="6"/>
        <v>11549.76</v>
      </c>
      <c r="T70" s="130">
        <f t="shared" si="6"/>
        <v>20877.8</v>
      </c>
      <c r="U70" s="80"/>
    </row>
    <row r="71" spans="3:21" ht="16.5" customHeight="1">
      <c r="C71" s="320" t="s">
        <v>11</v>
      </c>
      <c r="D71" s="320"/>
      <c r="E71" s="320"/>
      <c r="F71" s="320"/>
      <c r="G71" s="320"/>
      <c r="H71" s="321"/>
      <c r="I71" s="75">
        <f>[1]작업!I116</f>
        <v>34.005107729999999</v>
      </c>
      <c r="J71" s="75">
        <f>[1]작업!J116</f>
        <v>3405.45</v>
      </c>
      <c r="K71" s="75">
        <f>[1]작업!K116</f>
        <v>-995.27295975999994</v>
      </c>
      <c r="L71" s="75">
        <f>[1]작업!L116</f>
        <v>112.13</v>
      </c>
      <c r="M71" s="75">
        <f>[1]작업!M116</f>
        <v>-1.48</v>
      </c>
      <c r="N71" s="75">
        <f>[1]작업!N116</f>
        <v>-935.47</v>
      </c>
      <c r="O71" s="76">
        <f>[1]작업!O116</f>
        <v>44.78</v>
      </c>
      <c r="P71" s="76">
        <f>[1]작업!P116</f>
        <v>27.967082709999996</v>
      </c>
      <c r="Q71" s="76">
        <f>[1]작업!Q116</f>
        <v>-325.84869918999999</v>
      </c>
      <c r="R71" s="76">
        <f>[1]작업!R116</f>
        <v>62.644791839999996</v>
      </c>
      <c r="S71" s="76">
        <f>[1]작업!S116</f>
        <v>-142.16999999999999</v>
      </c>
      <c r="T71" s="76">
        <f>[1]작업!T116</f>
        <v>201.74</v>
      </c>
      <c r="U71" s="80"/>
    </row>
    <row r="72" spans="3:21" ht="16.5" customHeight="1">
      <c r="C72" s="251" t="s">
        <v>28</v>
      </c>
      <c r="D72" s="251"/>
      <c r="E72" s="251"/>
      <c r="F72" s="251"/>
      <c r="G72" s="251"/>
      <c r="H72" s="252"/>
      <c r="I72" s="77">
        <f>[1]작업!I117</f>
        <v>1892.56776881</v>
      </c>
      <c r="J72" s="77">
        <f>[1]작업!J117</f>
        <v>20070.060000000001</v>
      </c>
      <c r="K72" s="77">
        <f>[1]작업!K117</f>
        <v>9620.9813541500007</v>
      </c>
      <c r="L72" s="77">
        <f>[1]작업!L117</f>
        <v>4126.5</v>
      </c>
      <c r="M72" s="77">
        <f>[1]작업!M117</f>
        <v>7965.38</v>
      </c>
      <c r="N72" s="77">
        <f>[1]작업!N117</f>
        <v>1113.8800000000001</v>
      </c>
      <c r="O72" s="77">
        <f>[1]작업!O117</f>
        <v>4181.92</v>
      </c>
      <c r="P72" s="77">
        <f>[1]작업!P117</f>
        <v>23334.794053190002</v>
      </c>
      <c r="Q72" s="77">
        <f>[1]작업!Q117</f>
        <v>6942.7771959300017</v>
      </c>
      <c r="R72" s="77">
        <f>[1]작업!R117</f>
        <v>22940.27456622</v>
      </c>
      <c r="S72" s="77">
        <f>[1]작업!S117</f>
        <v>11407.59</v>
      </c>
      <c r="T72" s="77">
        <f>[1]작업!T117</f>
        <v>21079.54</v>
      </c>
      <c r="U72" s="80"/>
    </row>
    <row r="73" spans="3:21" ht="16.5" customHeight="1">
      <c r="C73" s="263" t="s">
        <v>13</v>
      </c>
      <c r="D73" s="263"/>
      <c r="E73" s="263"/>
      <c r="F73" s="263"/>
      <c r="G73" s="263"/>
      <c r="H73" s="264"/>
      <c r="I73" s="78">
        <f>[1]작업!I118</f>
        <v>1249.00389221</v>
      </c>
      <c r="J73" s="78">
        <f>[1]작업!J118</f>
        <v>16997.62</v>
      </c>
      <c r="K73" s="78">
        <f>[1]작업!K118</f>
        <v>7632.1047759899993</v>
      </c>
      <c r="L73" s="78">
        <f>[1]작업!L118</f>
        <v>3133.2</v>
      </c>
      <c r="M73" s="78">
        <f>[1]작업!M118</f>
        <v>5159.16</v>
      </c>
      <c r="N73" s="78">
        <f>[1]작업!N118</f>
        <v>658.37</v>
      </c>
      <c r="O73" s="78">
        <f>[1]작업!O118</f>
        <v>2658.88</v>
      </c>
      <c r="P73" s="78">
        <f>[1]작업!P118</f>
        <v>16908.782142579999</v>
      </c>
      <c r="Q73" s="78">
        <f>[1]작업!Q118</f>
        <v>5611.0640750700004</v>
      </c>
      <c r="R73" s="78">
        <f>[1]작업!R118</f>
        <v>16810.24330229</v>
      </c>
      <c r="S73" s="78">
        <f>[1]작업!S118</f>
        <v>7810.77</v>
      </c>
      <c r="T73" s="78">
        <f>[1]작업!T118</f>
        <v>15348.8</v>
      </c>
      <c r="U73" s="80"/>
    </row>
    <row r="74" spans="3:21" ht="16.5" customHeight="1">
      <c r="C74" s="91" t="s">
        <v>129</v>
      </c>
      <c r="D74" s="218"/>
      <c r="E74" s="79"/>
      <c r="F74" s="79"/>
      <c r="G74" s="79"/>
      <c r="H74" s="79"/>
      <c r="I74" s="79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</row>
    <row r="75" spans="3:21" ht="16.5" customHeight="1">
      <c r="C75" s="88" t="s">
        <v>142</v>
      </c>
      <c r="D75" s="218"/>
      <c r="E75" s="79"/>
      <c r="F75" s="79"/>
      <c r="G75" s="79"/>
      <c r="H75" s="79"/>
      <c r="I75" s="79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</row>
    <row r="76" spans="3:21" ht="16.5" customHeight="1">
      <c r="C76" s="88" t="s">
        <v>143</v>
      </c>
      <c r="D76" s="218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80"/>
    </row>
    <row r="77" spans="3:21" ht="16.5" customHeight="1">
      <c r="C77" s="88"/>
      <c r="D77" s="226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80"/>
    </row>
    <row r="78" spans="3:21" ht="16.5" customHeight="1">
      <c r="C78" s="83" t="s">
        <v>130</v>
      </c>
      <c r="D78" s="82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80"/>
    </row>
    <row r="79" spans="3:21" ht="16.5" customHeight="1"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0"/>
      <c r="P79" s="84"/>
      <c r="Q79" s="84"/>
      <c r="R79" s="80"/>
      <c r="S79" s="80"/>
      <c r="T79" s="85" t="s">
        <v>18</v>
      </c>
      <c r="U79" s="80"/>
    </row>
    <row r="80" spans="3:21" ht="16.5" customHeight="1">
      <c r="C80" s="259" t="s">
        <v>16</v>
      </c>
      <c r="D80" s="259"/>
      <c r="E80" s="259"/>
      <c r="F80" s="259"/>
      <c r="G80" s="259"/>
      <c r="H80" s="260"/>
      <c r="I80" s="92" t="s">
        <v>48</v>
      </c>
      <c r="J80" s="86" t="s">
        <v>49</v>
      </c>
      <c r="K80" s="86" t="s">
        <v>50</v>
      </c>
      <c r="L80" s="86" t="s">
        <v>51</v>
      </c>
      <c r="M80" s="86" t="s">
        <v>17</v>
      </c>
      <c r="N80" s="86" t="s">
        <v>52</v>
      </c>
      <c r="O80" s="87" t="s">
        <v>15</v>
      </c>
      <c r="P80" s="87" t="s">
        <v>46</v>
      </c>
      <c r="Q80" s="87" t="s">
        <v>45</v>
      </c>
      <c r="R80" s="87" t="s">
        <v>44</v>
      </c>
      <c r="S80" s="87" t="s">
        <v>53</v>
      </c>
      <c r="T80" s="87" t="s">
        <v>47</v>
      </c>
      <c r="U80" s="80"/>
    </row>
    <row r="81" spans="3:21" ht="16.5" customHeight="1">
      <c r="C81" s="251" t="s">
        <v>5</v>
      </c>
      <c r="D81" s="251"/>
      <c r="E81" s="251"/>
      <c r="F81" s="251"/>
      <c r="G81" s="251"/>
      <c r="H81" s="252"/>
      <c r="I81" s="77">
        <f>[1]작업!I133</f>
        <v>20584.23120047</v>
      </c>
      <c r="J81" s="93">
        <f>[1]작업!J133</f>
        <v>132178.74</v>
      </c>
      <c r="K81" s="93">
        <f>[1]작업!K133</f>
        <v>65109.61</v>
      </c>
      <c r="L81" s="93">
        <f>[1]작업!L133</f>
        <v>87136.52</v>
      </c>
      <c r="M81" s="93">
        <f>[1]작업!M133</f>
        <v>75537.34</v>
      </c>
      <c r="N81" s="93">
        <f>[1]작업!N133</f>
        <v>24570.95</v>
      </c>
      <c r="O81" s="77">
        <f>[1]작업!O133</f>
        <v>32637.75</v>
      </c>
      <c r="P81" s="77">
        <f>[1]작업!P133</f>
        <v>141676.64000000001</v>
      </c>
      <c r="Q81" s="77">
        <f>[1]작업!Q133</f>
        <v>89778.420693220018</v>
      </c>
      <c r="R81" s="77">
        <f>[1]작업!R133</f>
        <v>111036.96</v>
      </c>
      <c r="S81" s="77">
        <f>[1]작업!S133</f>
        <v>92850.33</v>
      </c>
      <c r="T81" s="77">
        <f>[1]작업!T133</f>
        <v>122053.43</v>
      </c>
      <c r="U81" s="80"/>
    </row>
    <row r="82" spans="3:21" ht="16.5" customHeight="1">
      <c r="C82" s="253" t="s">
        <v>22</v>
      </c>
      <c r="D82" s="253"/>
      <c r="E82" s="253"/>
      <c r="F82" s="253"/>
      <c r="G82" s="253"/>
      <c r="H82" s="254"/>
      <c r="I82" s="94">
        <f>[1]작업!I134</f>
        <v>-197.88879952999923</v>
      </c>
      <c r="J82" s="95">
        <f>[1]작업!J134</f>
        <v>3158.5099999999948</v>
      </c>
      <c r="K82" s="95">
        <f>[1]작업!K134</f>
        <v>729.02999999999884</v>
      </c>
      <c r="L82" s="95">
        <f>[1]작업!L134</f>
        <v>-3954.8899999999994</v>
      </c>
      <c r="M82" s="95">
        <f>[1]작업!M134</f>
        <v>3296.1999999999971</v>
      </c>
      <c r="N82" s="95">
        <f>[1]작업!N134</f>
        <v>-2139.9300000000003</v>
      </c>
      <c r="O82" s="94">
        <f>[1]작업!O134</f>
        <v>2532.66</v>
      </c>
      <c r="P82" s="94">
        <f>[1]작업!P134</f>
        <v>937.55000000001746</v>
      </c>
      <c r="Q82" s="94">
        <f>[1]작업!Q134</f>
        <v>6723.5480753400188</v>
      </c>
      <c r="R82" s="94">
        <f>[1]작업!R134</f>
        <v>-841.92999999999302</v>
      </c>
      <c r="S82" s="94">
        <f>[1]작업!S134</f>
        <v>4645.5099999999948</v>
      </c>
      <c r="T82" s="94">
        <f>[1]작업!T134</f>
        <v>-264.15000000000873</v>
      </c>
      <c r="U82" s="80"/>
    </row>
    <row r="83" spans="3:21" ht="16.5" customHeight="1">
      <c r="C83" s="227" t="s">
        <v>23</v>
      </c>
      <c r="D83" s="227"/>
      <c r="E83" s="227"/>
      <c r="F83" s="227"/>
      <c r="G83" s="227"/>
      <c r="H83" s="228"/>
      <c r="I83" s="96">
        <f>I82/(I81-I82)</f>
        <v>-9.5220699105769396E-3</v>
      </c>
      <c r="J83" s="97">
        <f t="shared" ref="J83:T83" si="7">J82/(J81-J82)</f>
        <v>2.4480734532871279E-2</v>
      </c>
      <c r="K83" s="97">
        <f t="shared" si="7"/>
        <v>1.1323756325276952E-2</v>
      </c>
      <c r="L83" s="97">
        <f t="shared" si="7"/>
        <v>-4.3416717339209036E-2</v>
      </c>
      <c r="M83" s="97">
        <f t="shared" si="7"/>
        <v>4.5627740647503585E-2</v>
      </c>
      <c r="N83" s="97">
        <f t="shared" si="7"/>
        <v>-8.0114545084250324E-2</v>
      </c>
      <c r="O83" s="98">
        <f t="shared" si="7"/>
        <v>8.4127302060880732E-2</v>
      </c>
      <c r="P83" s="98">
        <f t="shared" si="7"/>
        <v>6.6616176074466415E-3</v>
      </c>
      <c r="Q83" s="98">
        <f t="shared" si="7"/>
        <v>8.0953083948172563E-2</v>
      </c>
      <c r="R83" s="98">
        <f t="shared" si="7"/>
        <v>-7.5253696206674294E-3</v>
      </c>
      <c r="S83" s="98">
        <f t="shared" si="7"/>
        <v>5.2667303215402451E-2</v>
      </c>
      <c r="T83" s="98">
        <f t="shared" si="7"/>
        <v>-2.1595423977486205E-3</v>
      </c>
      <c r="U83" s="80"/>
    </row>
    <row r="84" spans="3:21" ht="16.5" customHeight="1">
      <c r="C84" s="251" t="s">
        <v>24</v>
      </c>
      <c r="D84" s="251"/>
      <c r="E84" s="251"/>
      <c r="F84" s="251"/>
      <c r="G84" s="251"/>
      <c r="H84" s="252"/>
      <c r="I84" s="77">
        <f>[1]작업!I136</f>
        <v>5398.7811534300008</v>
      </c>
      <c r="J84" s="93">
        <f>[1]작업!J136</f>
        <v>30594.720000000001</v>
      </c>
      <c r="K84" s="77">
        <f>[1]작업!K136</f>
        <v>12781.34</v>
      </c>
      <c r="L84" s="77">
        <f>[1]작업!L136</f>
        <v>20662.580000000002</v>
      </c>
      <c r="M84" s="77">
        <f>[1]작업!M136</f>
        <v>16459.98</v>
      </c>
      <c r="N84" s="77">
        <f>[1]작업!N136</f>
        <v>5291.32</v>
      </c>
      <c r="O84" s="77">
        <f>[1]작업!O136</f>
        <v>5047.29</v>
      </c>
      <c r="P84" s="77">
        <f>[1]작업!P136</f>
        <v>28983.67</v>
      </c>
      <c r="Q84" s="77">
        <f>[1]작업!Q136</f>
        <v>20375.612719799999</v>
      </c>
      <c r="R84" s="77">
        <f>[1]작업!R136</f>
        <v>15881.72</v>
      </c>
      <c r="S84" s="77">
        <f>[1]작업!S136</f>
        <v>17418.560000000001</v>
      </c>
      <c r="T84" s="77">
        <f>[1]작업!T136</f>
        <v>29326.93</v>
      </c>
      <c r="U84" s="80"/>
    </row>
    <row r="85" spans="3:21" ht="16.5" customHeight="1">
      <c r="C85" s="249" t="s">
        <v>25</v>
      </c>
      <c r="D85" s="249"/>
      <c r="E85" s="249"/>
      <c r="F85" s="249"/>
      <c r="G85" s="249"/>
      <c r="H85" s="250"/>
      <c r="I85" s="99">
        <f>[1]작업!I137</f>
        <v>2058.3148376500003</v>
      </c>
      <c r="J85" s="100">
        <f>[1]작업!J137</f>
        <v>14795.99</v>
      </c>
      <c r="K85" s="99">
        <f>[1]작업!K137</f>
        <v>5879.96</v>
      </c>
      <c r="L85" s="99">
        <f>[1]작업!L137</f>
        <v>7872.9</v>
      </c>
      <c r="M85" s="99">
        <f>[1]작업!M137</f>
        <v>7352.29</v>
      </c>
      <c r="N85" s="99">
        <f>[1]작업!N137</f>
        <v>2467.5100000000002</v>
      </c>
      <c r="O85" s="99">
        <f>[1]작업!O137</f>
        <v>2976.06</v>
      </c>
      <c r="P85" s="99">
        <f>[1]작업!P137</f>
        <v>16207.81</v>
      </c>
      <c r="Q85" s="99">
        <f>[1]작업!Q137</f>
        <v>9639.0135596399996</v>
      </c>
      <c r="R85" s="99">
        <f>[1]작업!R137</f>
        <v>11672.64</v>
      </c>
      <c r="S85" s="99">
        <f>[1]작업!S137</f>
        <v>8534.36</v>
      </c>
      <c r="T85" s="99">
        <f>[1]작업!T137</f>
        <v>12850.78</v>
      </c>
      <c r="U85" s="80"/>
    </row>
    <row r="86" spans="3:21" ht="16.5" customHeight="1">
      <c r="C86" s="249" t="s">
        <v>30</v>
      </c>
      <c r="D86" s="249"/>
      <c r="E86" s="249"/>
      <c r="F86" s="249"/>
      <c r="G86" s="249"/>
      <c r="H86" s="250"/>
      <c r="I86" s="101">
        <f>[1]작업!I138</f>
        <v>9.0904743405830407E-2</v>
      </c>
      <c r="J86" s="102">
        <f>[1]작업!J138</f>
        <v>0.10067029890104238</v>
      </c>
      <c r="K86" s="101">
        <f>[1]작업!K138</f>
        <v>8.2828505652309203E-2</v>
      </c>
      <c r="L86" s="101">
        <f>[1]작업!L138</f>
        <v>8.2864414918015494E-2</v>
      </c>
      <c r="M86" s="101">
        <f>[1]작업!M138</f>
        <v>8.8699756531667479E-2</v>
      </c>
      <c r="N86" s="101">
        <f>[1]작업!N138</f>
        <v>9.1259265505505865E-2</v>
      </c>
      <c r="O86" s="101">
        <f>[1]작업!O138</f>
        <v>8.3564774451259219E-2</v>
      </c>
      <c r="P86" s="101">
        <f>[1]작업!P138</f>
        <v>0.10265615138159584</v>
      </c>
      <c r="Q86" s="101">
        <f>[1]작업!Q138</f>
        <v>9.6954961995136243E-2</v>
      </c>
      <c r="R86" s="101">
        <f>[1]작업!R138</f>
        <v>9.512409787009328E-2</v>
      </c>
      <c r="S86" s="101">
        <f>[1]작업!S138</f>
        <v>8.4177995711186768E-2</v>
      </c>
      <c r="T86" s="101">
        <f>[1]작업!T138</f>
        <v>9.5258554199309287E-2</v>
      </c>
      <c r="U86" s="80"/>
    </row>
    <row r="87" spans="3:21" ht="16.5" customHeight="1">
      <c r="C87" s="263" t="s">
        <v>26</v>
      </c>
      <c r="D87" s="263"/>
      <c r="E87" s="263"/>
      <c r="F87" s="263"/>
      <c r="G87" s="263"/>
      <c r="H87" s="264"/>
      <c r="I87" s="103">
        <f>[1]작업!I139</f>
        <v>2.6229131980576139</v>
      </c>
      <c r="J87" s="104">
        <f>[1]작업!J139</f>
        <v>2.0677710649980163</v>
      </c>
      <c r="K87" s="103">
        <f>[1]작업!K139</f>
        <v>2.1737120660684766</v>
      </c>
      <c r="L87" s="103">
        <f>[1]작업!L139</f>
        <v>2.6245195544208619</v>
      </c>
      <c r="M87" s="103">
        <f>[1]작업!M139</f>
        <v>2.2387555441909934</v>
      </c>
      <c r="N87" s="103">
        <f>[1]작업!N139</f>
        <v>2.1443965779267358</v>
      </c>
      <c r="O87" s="103">
        <f>[1]작업!O139</f>
        <v>1.6959637910525998</v>
      </c>
      <c r="P87" s="103">
        <f>[1]작업!P139</f>
        <v>1.7882533173821755</v>
      </c>
      <c r="Q87" s="103">
        <f>[1]작업!Q139</f>
        <v>2.1138690794165655</v>
      </c>
      <c r="R87" s="103">
        <f>[1]작업!R139</f>
        <v>1.3605936617594649</v>
      </c>
      <c r="S87" s="103">
        <f>[1]작업!S139</f>
        <v>2.0409919431568389</v>
      </c>
      <c r="T87" s="103">
        <f>[1]작업!T139</f>
        <v>2.282112836730533</v>
      </c>
      <c r="U87" s="80"/>
    </row>
    <row r="88" spans="3:21" ht="16.5" customHeight="1">
      <c r="C88" s="283" t="s">
        <v>63</v>
      </c>
      <c r="D88" s="266"/>
      <c r="E88" s="267"/>
      <c r="F88" s="284" t="s">
        <v>59</v>
      </c>
      <c r="G88" s="266"/>
      <c r="H88" s="267"/>
      <c r="I88" s="105">
        <f>[1]작업!I140</f>
        <v>2014.1523565595216</v>
      </c>
      <c r="J88" s="106">
        <f>[1]작업!J140</f>
        <v>8491.89</v>
      </c>
      <c r="K88" s="105">
        <f>[1]작업!K140</f>
        <v>5707.66</v>
      </c>
      <c r="L88" s="105">
        <f>[1]작업!L140</f>
        <v>4244.1099999999997</v>
      </c>
      <c r="M88" s="105">
        <f>[1]작업!M140</f>
        <v>4415.2299999999996</v>
      </c>
      <c r="N88" s="105"/>
      <c r="O88" s="105">
        <f>[1]작업!O140</f>
        <v>2049.54</v>
      </c>
      <c r="P88" s="105">
        <f>[1]작업!P140</f>
        <v>10479.49</v>
      </c>
      <c r="Q88" s="105">
        <f>[1]작업!Q140</f>
        <v>6227.1686113400001</v>
      </c>
      <c r="R88" s="105">
        <f>[1]작업!R140</f>
        <v>7868.48</v>
      </c>
      <c r="S88" s="105">
        <f>[1]작업!S140</f>
        <v>5019.47</v>
      </c>
      <c r="T88" s="105">
        <f>[1]작업!T140</f>
        <v>7951.82</v>
      </c>
      <c r="U88" s="80"/>
    </row>
    <row r="89" spans="3:21" ht="16.5" customHeight="1">
      <c r="C89" s="249"/>
      <c r="D89" s="249"/>
      <c r="E89" s="250"/>
      <c r="F89" s="282" t="s">
        <v>60</v>
      </c>
      <c r="G89" s="249"/>
      <c r="H89" s="250"/>
      <c r="I89" s="107">
        <f>[1]작업!I141</f>
        <v>5894.1802860295493</v>
      </c>
      <c r="J89" s="108">
        <f>[1]작업!J141</f>
        <v>25062.27</v>
      </c>
      <c r="K89" s="107">
        <f>[1]작업!K141</f>
        <v>16940.669999999998</v>
      </c>
      <c r="L89" s="107">
        <f>[1]작업!L141</f>
        <v>13332.5</v>
      </c>
      <c r="M89" s="107">
        <f>[1]작업!M141</f>
        <v>13462.849999999999</v>
      </c>
      <c r="N89" s="107"/>
      <c r="O89" s="107">
        <f>[1]작업!O141</f>
        <v>6548.89</v>
      </c>
      <c r="P89" s="107">
        <f>[1]작업!P141</f>
        <v>28575.15</v>
      </c>
      <c r="Q89" s="107">
        <f>[1]작업!Q141</f>
        <v>17764.542066820002</v>
      </c>
      <c r="R89" s="107">
        <f>[1]작업!R141</f>
        <v>23413.519999999997</v>
      </c>
      <c r="S89" s="107">
        <f>[1]작업!S141</f>
        <v>14733.51</v>
      </c>
      <c r="T89" s="107">
        <f>[1]작업!T141</f>
        <v>22226.690000000002</v>
      </c>
      <c r="U89" s="80"/>
    </row>
    <row r="90" spans="3:21" ht="16.5" customHeight="1">
      <c r="C90" s="249"/>
      <c r="D90" s="249"/>
      <c r="E90" s="250"/>
      <c r="F90" s="282" t="s">
        <v>61</v>
      </c>
      <c r="G90" s="249"/>
      <c r="H90" s="250"/>
      <c r="I90" s="107">
        <f>[1]작업!I142</f>
        <v>4570.827977227661</v>
      </c>
      <c r="J90" s="247">
        <f>[1]작업!J142</f>
        <v>98624.58</v>
      </c>
      <c r="K90" s="107">
        <f>[1]작업!K142</f>
        <v>14113.19</v>
      </c>
      <c r="L90" s="107">
        <f>[1]작업!L142</f>
        <v>12640.98</v>
      </c>
      <c r="M90" s="107">
        <f>[1]작업!M142</f>
        <v>11534.76</v>
      </c>
      <c r="N90" s="107"/>
      <c r="O90" s="107">
        <f>[1]작업!O142</f>
        <v>5928.71</v>
      </c>
      <c r="P90" s="247">
        <f>[1]작업!P142</f>
        <v>102622</v>
      </c>
      <c r="Q90" s="107">
        <f>[1]작업!Q142</f>
        <v>15232.88857716</v>
      </c>
      <c r="R90" s="107">
        <f>[1]작업!R142</f>
        <v>20193.72</v>
      </c>
      <c r="S90" s="107">
        <f>[1]작업!S142</f>
        <v>12499.1</v>
      </c>
      <c r="T90" s="107">
        <f>[1]작업!T142</f>
        <v>18874.78</v>
      </c>
      <c r="U90" s="80"/>
    </row>
    <row r="91" spans="3:21" ht="16.5" customHeight="1">
      <c r="C91" s="263"/>
      <c r="D91" s="263"/>
      <c r="E91" s="264"/>
      <c r="F91" s="274" t="s">
        <v>62</v>
      </c>
      <c r="G91" s="263"/>
      <c r="H91" s="264"/>
      <c r="I91" s="109">
        <f>[1]작업!I143</f>
        <v>8105.0705806532696</v>
      </c>
      <c r="J91" s="248"/>
      <c r="K91" s="109">
        <f>[1]작업!K143</f>
        <v>28348.09</v>
      </c>
      <c r="L91" s="109">
        <f>[1]작업!L143</f>
        <v>56918.93</v>
      </c>
      <c r="M91" s="109">
        <f>[1]작업!M143</f>
        <v>46124.52</v>
      </c>
      <c r="N91" s="109"/>
      <c r="O91" s="109">
        <f>[1]작업!O143</f>
        <v>18110.61</v>
      </c>
      <c r="P91" s="248"/>
      <c r="Q91" s="109">
        <f>[1]작업!Q143</f>
        <v>50553.821437910003</v>
      </c>
      <c r="R91" s="109">
        <f>[1]작업!R143</f>
        <v>59561.27</v>
      </c>
      <c r="S91" s="109">
        <f>[1]작업!S143</f>
        <v>60598.25</v>
      </c>
      <c r="T91" s="109">
        <f>[1]작업!T143</f>
        <v>73000.14</v>
      </c>
      <c r="U91" s="80"/>
    </row>
    <row r="92" spans="3:21" ht="16.5" customHeight="1">
      <c r="C92" s="110" t="s">
        <v>31</v>
      </c>
      <c r="D92" s="82"/>
      <c r="E92" s="79"/>
      <c r="F92" s="79"/>
      <c r="G92" s="79"/>
      <c r="H92" s="79"/>
      <c r="I92" s="111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80"/>
    </row>
    <row r="93" spans="3:21" ht="16.5" customHeight="1">
      <c r="C93" s="88" t="s">
        <v>75</v>
      </c>
      <c r="D93" s="82"/>
      <c r="E93" s="79"/>
      <c r="F93" s="79"/>
      <c r="G93" s="79"/>
      <c r="H93" s="79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80"/>
    </row>
    <row r="94" spans="3:21" ht="16.5" customHeight="1">
      <c r="C94" s="81"/>
      <c r="D94" s="82"/>
      <c r="E94" s="79"/>
      <c r="F94" s="79"/>
      <c r="G94" s="79"/>
      <c r="H94" s="79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80"/>
    </row>
    <row r="95" spans="3:21">
      <c r="C95" s="83" t="s">
        <v>131</v>
      </c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</row>
    <row r="96" spans="3:21"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0"/>
      <c r="P96" s="84"/>
      <c r="Q96" s="84"/>
      <c r="R96" s="80"/>
      <c r="S96" s="80"/>
      <c r="T96" s="80"/>
      <c r="U96" s="80"/>
    </row>
    <row r="97" spans="3:21" ht="21" customHeight="1">
      <c r="C97" s="259" t="s">
        <v>16</v>
      </c>
      <c r="D97" s="259"/>
      <c r="E97" s="259"/>
      <c r="F97" s="259"/>
      <c r="G97" s="259"/>
      <c r="H97" s="260"/>
      <c r="I97" s="86" t="s">
        <v>48</v>
      </c>
      <c r="J97" s="86" t="s">
        <v>49</v>
      </c>
      <c r="K97" s="86" t="s">
        <v>50</v>
      </c>
      <c r="L97" s="86" t="s">
        <v>51</v>
      </c>
      <c r="M97" s="86" t="s">
        <v>17</v>
      </c>
      <c r="N97" s="86" t="s">
        <v>52</v>
      </c>
      <c r="O97" s="87" t="s">
        <v>15</v>
      </c>
      <c r="P97" s="87" t="s">
        <v>46</v>
      </c>
      <c r="Q97" s="87" t="s">
        <v>45</v>
      </c>
      <c r="R97" s="87" t="s">
        <v>44</v>
      </c>
      <c r="S97" s="87" t="s">
        <v>53</v>
      </c>
      <c r="T97" s="87" t="s">
        <v>47</v>
      </c>
      <c r="U97" s="80"/>
    </row>
    <row r="98" spans="3:21" ht="21" customHeight="1">
      <c r="C98" s="266" t="s">
        <v>68</v>
      </c>
      <c r="D98" s="266"/>
      <c r="E98" s="266"/>
      <c r="F98" s="266"/>
      <c r="G98" s="266"/>
      <c r="H98" s="267"/>
      <c r="I98" s="113">
        <f>[1]작업!I154</f>
        <v>5.0062889689894245E-2</v>
      </c>
      <c r="J98" s="113">
        <f>[1]작업!J154</f>
        <v>3.9117562802144935E-2</v>
      </c>
      <c r="K98" s="113">
        <f>[1]작업!K154</f>
        <v>0.10202680347700592</v>
      </c>
      <c r="L98" s="113">
        <f>[1]작업!L154</f>
        <v>2.7463561060208107E-2</v>
      </c>
      <c r="M98" s="113">
        <f>[1]작업!M154</f>
        <v>7.7572044738090068E-2</v>
      </c>
      <c r="N98" s="113">
        <f>[1]작업!N154</f>
        <v>3.7123381945339193E-2</v>
      </c>
      <c r="O98" s="114">
        <f>[1]작업!O154</f>
        <v>6.0734516510643419E-2</v>
      </c>
      <c r="P98" s="114">
        <f>[1]작업!P154</f>
        <v>9.4137420432397853E-2</v>
      </c>
      <c r="Q98" s="114">
        <f>[1]작업!Q154</f>
        <v>0.11438736036484801</v>
      </c>
      <c r="R98" s="114">
        <f>[1]작업!R154</f>
        <v>0.28997163979926222</v>
      </c>
      <c r="S98" s="114">
        <f>[1]작업!S154</f>
        <v>0.13497475952970858</v>
      </c>
      <c r="T98" s="114">
        <f>[1]작업!T154</f>
        <v>0.16801361728212622</v>
      </c>
      <c r="U98" s="80"/>
    </row>
    <row r="99" spans="3:21" ht="21" customHeight="1">
      <c r="C99" s="272" t="s">
        <v>100</v>
      </c>
      <c r="D99" s="272"/>
      <c r="E99" s="272"/>
      <c r="F99" s="272"/>
      <c r="G99" s="272"/>
      <c r="H99" s="273"/>
      <c r="I99" s="115">
        <f>[1]작업!I155</f>
        <v>0.19819234766755159</v>
      </c>
      <c r="J99" s="152">
        <f>[1]작업!J155</f>
        <v>7.0875663058957775E-2</v>
      </c>
      <c r="K99" s="152">
        <f>[1]작업!K155</f>
        <v>0.11455652486784716</v>
      </c>
      <c r="L99" s="115">
        <f>[1]작업!L155</f>
        <v>0.10932301935418141</v>
      </c>
      <c r="M99" s="115">
        <f>[1]작업!M155</f>
        <v>0.26413941956656051</v>
      </c>
      <c r="N99" s="115">
        <f>[1]작업!N155</f>
        <v>0.18031496744542164</v>
      </c>
      <c r="O99" s="98">
        <f>[1]작업!O155</f>
        <v>0.17998352320022626</v>
      </c>
      <c r="P99" s="98">
        <f>[1]작업!P155</f>
        <v>0.20002270501629033</v>
      </c>
      <c r="Q99" s="98">
        <f>[1]작업!Q155</f>
        <v>0.21351228495243993</v>
      </c>
      <c r="R99" s="98">
        <f>[1]작업!R155</f>
        <v>0.22082966285493097</v>
      </c>
      <c r="S99" s="98">
        <f>[1]작업!S155</f>
        <v>0.21052108445063766</v>
      </c>
      <c r="T99" s="98">
        <f>[1]작업!T155</f>
        <v>0.22841606535405248</v>
      </c>
      <c r="U99" s="80"/>
    </row>
    <row r="100" spans="3:21" ht="21" customHeight="1">
      <c r="C100" s="302" t="s">
        <v>5</v>
      </c>
      <c r="D100" s="302"/>
      <c r="E100" s="304" t="s">
        <v>66</v>
      </c>
      <c r="F100" s="305"/>
      <c r="G100" s="305"/>
      <c r="H100" s="306"/>
      <c r="I100" s="116">
        <f>[1]작업!I156</f>
        <v>0.84482733666131826</v>
      </c>
      <c r="J100" s="153">
        <f>[1]작업!J156</f>
        <v>0.23428961737737231</v>
      </c>
      <c r="K100" s="153">
        <f>[1]작업!K156</f>
        <v>0.85057685776580771</v>
      </c>
      <c r="L100" s="116">
        <f>[1]작업!L156</f>
        <v>0.69883780091967329</v>
      </c>
      <c r="M100" s="116">
        <f>[1]작업!M156</f>
        <v>1.210671271461162</v>
      </c>
      <c r="N100" s="116">
        <f>[1]작업!N156</f>
        <v>1.6017871263537578</v>
      </c>
      <c r="O100" s="116">
        <f>[1]작업!O156</f>
        <v>0.77366526430170479</v>
      </c>
      <c r="P100" s="116">
        <f>[1]작업!P156</f>
        <v>0.6868245587736489</v>
      </c>
      <c r="Q100" s="116">
        <f>[1]작업!Q156</f>
        <v>1.8384079268899987</v>
      </c>
      <c r="R100" s="116">
        <f>[1]작업!R156</f>
        <v>1.896667465783634</v>
      </c>
      <c r="S100" s="116">
        <f>[1]작업!S156</f>
        <v>1.6240428500914954</v>
      </c>
      <c r="T100" s="116">
        <f>[1]작업!T156</f>
        <v>1.2385048819871454</v>
      </c>
      <c r="U100" s="80"/>
    </row>
    <row r="101" spans="3:21" ht="21" customHeight="1">
      <c r="C101" s="303"/>
      <c r="D101" s="303"/>
      <c r="E101" s="296" t="s">
        <v>137</v>
      </c>
      <c r="F101" s="297"/>
      <c r="G101" s="297"/>
      <c r="H101" s="298"/>
      <c r="I101" s="117">
        <f>[1]작업!I157</f>
        <v>0.75565891459795553</v>
      </c>
      <c r="J101" s="154">
        <f>[1]작업!J157</f>
        <v>0.30620498699767745</v>
      </c>
      <c r="K101" s="154">
        <f>[1]작업!K157</f>
        <v>0.5835640595665893</v>
      </c>
      <c r="L101" s="117">
        <f>[1]작업!L157</f>
        <v>0.46102797726208516</v>
      </c>
      <c r="M101" s="117">
        <f>[1]작업!M157</f>
        <v>1.2121757829111537</v>
      </c>
      <c r="N101" s="117">
        <f>[1]작업!N157</f>
        <v>0.83731659573661832</v>
      </c>
      <c r="O101" s="117">
        <f>[1]작업!O157</f>
        <v>1.1638438120908814</v>
      </c>
      <c r="P101" s="117">
        <f>[1]작업!P157</f>
        <v>0.97774176874147278</v>
      </c>
      <c r="Q101" s="117">
        <f>[1]작업!Q157</f>
        <v>0.94077149999045406</v>
      </c>
      <c r="R101" s="117">
        <f>[1]작업!R157</f>
        <v>1.5439294006717446</v>
      </c>
      <c r="S101" s="117">
        <f>[1]작업!S157</f>
        <v>1.1221910515679583</v>
      </c>
      <c r="T101" s="117">
        <f>[1]작업!T157</f>
        <v>0.95062675307528832</v>
      </c>
      <c r="U101" s="80"/>
    </row>
    <row r="102" spans="3:21" ht="21" customHeight="1">
      <c r="C102" s="118"/>
      <c r="D102" s="118"/>
      <c r="E102" s="317" t="s">
        <v>67</v>
      </c>
      <c r="F102" s="318"/>
      <c r="G102" s="318"/>
      <c r="H102" s="319"/>
      <c r="I102" s="119">
        <f>[1]작업!I158</f>
        <v>0.65490439265156142</v>
      </c>
      <c r="J102" s="155">
        <f>[1]작업!J158</f>
        <v>0.26537765539798713</v>
      </c>
      <c r="K102" s="155">
        <f>[1]작업!K158</f>
        <v>0.50575551829104415</v>
      </c>
      <c r="L102" s="119">
        <f>[1]작업!L158</f>
        <v>0.39955758029380717</v>
      </c>
      <c r="M102" s="119">
        <f>[1]작업!M158</f>
        <v>1.0505523451896666</v>
      </c>
      <c r="N102" s="119">
        <f>[1]작업!N158</f>
        <v>0.72567438297173581</v>
      </c>
      <c r="O102" s="119">
        <f>[1]작업!O158</f>
        <v>1.0086646371454306</v>
      </c>
      <c r="P102" s="119">
        <f>[1]작업!P158</f>
        <v>0.84737619957594312</v>
      </c>
      <c r="Q102" s="119">
        <f>[1]작업!Q158</f>
        <v>0.81533529999172683</v>
      </c>
      <c r="R102" s="119">
        <f>[1]작업!R158</f>
        <v>1.3380721472488453</v>
      </c>
      <c r="S102" s="119">
        <f>[1]작업!S158</f>
        <v>0.97256557802556387</v>
      </c>
      <c r="T102" s="119">
        <f>[1]작업!T158</f>
        <v>0.82387651933191675</v>
      </c>
      <c r="U102" s="80"/>
    </row>
    <row r="103" spans="3:21" ht="21" customHeight="1">
      <c r="C103" s="283" t="s">
        <v>101</v>
      </c>
      <c r="D103" s="314"/>
      <c r="E103" s="299" t="s">
        <v>65</v>
      </c>
      <c r="F103" s="300"/>
      <c r="G103" s="300"/>
      <c r="H103" s="301"/>
      <c r="I103" s="116">
        <f>[1]작업!I159</f>
        <v>8.4478289490968153E-2</v>
      </c>
      <c r="J103" s="153">
        <f>[1]작업!J159</f>
        <v>2.6226205786342244E-2</v>
      </c>
      <c r="K103" s="153">
        <f>[1]작업!K159</f>
        <v>7.6814434928862863E-2</v>
      </c>
      <c r="L103" s="116">
        <f>[1]작업!L159</f>
        <v>6.3140920969307651E-2</v>
      </c>
      <c r="M103" s="116">
        <f>[1]작업!M159</f>
        <v>0.11783849262432576</v>
      </c>
      <c r="N103" s="116">
        <f>[1]작업!N159</f>
        <v>0.16085766940835258</v>
      </c>
      <c r="O103" s="116">
        <f>[1]작업!O159</f>
        <v>7.0546353424415939E-2</v>
      </c>
      <c r="P103" s="116">
        <f>[1]작업!P159</f>
        <v>7.8572741080937078E-2</v>
      </c>
      <c r="Q103" s="116">
        <f>[1]작업!Q159</f>
        <v>0.19737971328315634</v>
      </c>
      <c r="R103" s="116">
        <f>[1]작업!R159</f>
        <v>0.19938511039751697</v>
      </c>
      <c r="S103" s="116">
        <f>[1]작업!S159</f>
        <v>0.14927428193423606</v>
      </c>
      <c r="T103" s="116">
        <f>[1]작업!T159</f>
        <v>0.13039988935454552</v>
      </c>
      <c r="U103" s="80"/>
    </row>
    <row r="104" spans="3:21" ht="21" customHeight="1">
      <c r="C104" s="261"/>
      <c r="D104" s="315"/>
      <c r="E104" s="296" t="s">
        <v>137</v>
      </c>
      <c r="F104" s="297"/>
      <c r="G104" s="297"/>
      <c r="H104" s="298"/>
      <c r="I104" s="117">
        <f>[1]작업!I160</f>
        <v>7.5561916350995517E-2</v>
      </c>
      <c r="J104" s="154">
        <f>[1]작업!J160</f>
        <v>3.4276358857466535E-2</v>
      </c>
      <c r="K104" s="154">
        <f>[1]작업!K160</f>
        <v>5.2700873614342988E-2</v>
      </c>
      <c r="L104" s="117">
        <f>[1]작업!L160</f>
        <v>4.16544884072335E-2</v>
      </c>
      <c r="M104" s="117">
        <f>[1]작업!M160</f>
        <v>0.11798493151784066</v>
      </c>
      <c r="N104" s="117">
        <f>[1]작업!N160</f>
        <v>8.4086576756131251E-2</v>
      </c>
      <c r="O104" s="117">
        <f>[1]작업!O160</f>
        <v>0.10612462609742364</v>
      </c>
      <c r="P104" s="117">
        <f>[1]작업!P160</f>
        <v>0.11185367479653475</v>
      </c>
      <c r="Q104" s="117">
        <f>[1]작업!Q160</f>
        <v>0.10100544401329242</v>
      </c>
      <c r="R104" s="117">
        <f>[1]작업!R160</f>
        <v>0.16230390384838553</v>
      </c>
      <c r="S104" s="117">
        <f>[1]작업!S160</f>
        <v>0.10314645540688461</v>
      </c>
      <c r="T104" s="117">
        <f>[1]작업!T160</f>
        <v>0.10008973337238336</v>
      </c>
      <c r="U104" s="80"/>
    </row>
    <row r="105" spans="3:21" ht="21" customHeight="1">
      <c r="C105" s="262"/>
      <c r="D105" s="316"/>
      <c r="E105" s="311" t="s">
        <v>67</v>
      </c>
      <c r="F105" s="312"/>
      <c r="G105" s="312"/>
      <c r="H105" s="313"/>
      <c r="I105" s="119">
        <f>[1]작업!I161</f>
        <v>6.5486994170862789E-2</v>
      </c>
      <c r="J105" s="155">
        <f>[1]작업!J161</f>
        <v>2.9706177676470998E-2</v>
      </c>
      <c r="K105" s="155">
        <f>[1]작업!K161</f>
        <v>4.5674090465763928E-2</v>
      </c>
      <c r="L105" s="119">
        <f>[1]작업!L161</f>
        <v>3.6100556619602368E-2</v>
      </c>
      <c r="M105" s="119">
        <f>[1]작업!M161</f>
        <v>0.1022536073154619</v>
      </c>
      <c r="N105" s="119">
        <f>[1]작업!N161</f>
        <v>7.2875033188647076E-2</v>
      </c>
      <c r="O105" s="119">
        <f>[1]작업!O161</f>
        <v>9.1974675951100496E-2</v>
      </c>
      <c r="P105" s="119">
        <f>[1]작업!P161</f>
        <v>9.6939851490330117E-2</v>
      </c>
      <c r="Q105" s="119">
        <f>[1]작업!Q161</f>
        <v>8.7538051478186774E-2</v>
      </c>
      <c r="R105" s="119">
        <f>[1]작업!R161</f>
        <v>0.14066338333526746</v>
      </c>
      <c r="S105" s="119">
        <f>[1]작업!S161</f>
        <v>8.9393594685966665E-2</v>
      </c>
      <c r="T105" s="119">
        <f>[1]작업!T161</f>
        <v>8.6744435589398927E-2</v>
      </c>
      <c r="U105" s="80"/>
    </row>
    <row r="106" spans="3:21">
      <c r="C106" s="110" t="s">
        <v>138</v>
      </c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3:21">
      <c r="C107" s="215"/>
      <c r="D107" s="4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3:21">
      <c r="C108" s="215"/>
      <c r="D108" s="4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</row>
    <row r="111" spans="3:21">
      <c r="O111" s="43"/>
      <c r="T111" s="43"/>
    </row>
    <row r="112" spans="3:21" hidden="1">
      <c r="I112" s="42"/>
      <c r="O112" s="43"/>
      <c r="T112" s="43"/>
    </row>
    <row r="113" spans="3:20" hidden="1">
      <c r="C113" t="s">
        <v>87</v>
      </c>
    </row>
    <row r="114" spans="3:20" hidden="1">
      <c r="D114" s="1"/>
      <c r="E114" s="41"/>
      <c r="F114" s="41"/>
      <c r="G114" s="41"/>
      <c r="H114" s="41"/>
      <c r="I114" s="41" t="s">
        <v>88</v>
      </c>
      <c r="J114" s="41" t="s">
        <v>90</v>
      </c>
      <c r="K114" s="41" t="s">
        <v>96</v>
      </c>
      <c r="L114" s="41" t="s">
        <v>86</v>
      </c>
    </row>
    <row r="115" spans="3:20" hidden="1">
      <c r="D115" s="1"/>
      <c r="E115" s="1" t="s">
        <v>89</v>
      </c>
      <c r="F115" s="1"/>
      <c r="G115" s="1"/>
      <c r="H115" s="1"/>
      <c r="I115" s="44">
        <f>+[2]실적!$S$33/100</f>
        <v>20214.508548020003</v>
      </c>
      <c r="J115" s="45">
        <f>[2]실적!$T$6/([2]실적!$S$33+[2]실적!$T$6)</f>
        <v>8.9114807860608783E-2</v>
      </c>
      <c r="K115" s="44">
        <f>+I115*J115</f>
        <v>1801.4120452534364</v>
      </c>
      <c r="L115" s="44">
        <f>[3]SUMMARY!$I$35*10</f>
        <v>17750.818817921601</v>
      </c>
    </row>
    <row r="116" spans="3:20" hidden="1">
      <c r="D116" s="1"/>
      <c r="E116" s="1"/>
      <c r="F116" s="1"/>
      <c r="G116" s="1"/>
      <c r="H116" s="1"/>
      <c r="I116" s="1"/>
      <c r="J116" s="1"/>
      <c r="K116" s="1"/>
      <c r="L116" s="1"/>
    </row>
    <row r="117" spans="3:20" hidden="1">
      <c r="C117" s="307" t="s">
        <v>16</v>
      </c>
      <c r="D117" s="308"/>
      <c r="E117" s="308"/>
      <c r="F117" s="308"/>
      <c r="G117" s="308"/>
      <c r="H117" s="308"/>
      <c r="I117" s="48" t="s">
        <v>48</v>
      </c>
      <c r="J117" s="48" t="s">
        <v>49</v>
      </c>
      <c r="K117" s="48" t="s">
        <v>50</v>
      </c>
      <c r="L117" s="48" t="s">
        <v>51</v>
      </c>
      <c r="M117" s="48" t="s">
        <v>17</v>
      </c>
      <c r="N117" s="48" t="s">
        <v>52</v>
      </c>
      <c r="O117" s="48" t="s">
        <v>15</v>
      </c>
      <c r="P117" s="48" t="s">
        <v>46</v>
      </c>
      <c r="Q117" s="48" t="s">
        <v>45</v>
      </c>
      <c r="R117" s="48" t="s">
        <v>44</v>
      </c>
      <c r="S117" s="48" t="s">
        <v>53</v>
      </c>
      <c r="T117" s="49" t="s">
        <v>47</v>
      </c>
    </row>
    <row r="118" spans="3:20" hidden="1">
      <c r="C118" s="309" t="s">
        <v>85</v>
      </c>
      <c r="D118" s="309"/>
      <c r="E118" s="309"/>
      <c r="F118" s="309"/>
      <c r="G118" s="309"/>
      <c r="H118" s="310"/>
      <c r="I118" s="50">
        <f>K115</f>
        <v>1801.4120452534364</v>
      </c>
      <c r="J118" s="51">
        <f t="shared" ref="J118:T118" si="8">+J81*J86</f>
        <v>13306.473264163165</v>
      </c>
      <c r="K118" s="51">
        <f t="shared" si="8"/>
        <v>5392.9316999046478</v>
      </c>
      <c r="L118" s="51">
        <f t="shared" si="8"/>
        <v>7220.5167477919558</v>
      </c>
      <c r="M118" s="51">
        <f t="shared" si="8"/>
        <v>6700.1436670497869</v>
      </c>
      <c r="N118" s="51">
        <f t="shared" si="8"/>
        <v>2242.3268497725094</v>
      </c>
      <c r="O118" s="51">
        <f t="shared" si="8"/>
        <v>2727.3662173465855</v>
      </c>
      <c r="P118" s="51">
        <f t="shared" si="8"/>
        <v>14543.978603075857</v>
      </c>
      <c r="Q118" s="51">
        <f t="shared" si="8"/>
        <v>8704.4633662944998</v>
      </c>
      <c r="R118" s="51">
        <f t="shared" si="8"/>
        <v>10562.290650237634</v>
      </c>
      <c r="S118" s="51">
        <f t="shared" si="8"/>
        <v>7815.9546805222762</v>
      </c>
      <c r="T118" s="52">
        <f t="shared" si="8"/>
        <v>11626.633276866602</v>
      </c>
    </row>
    <row r="119" spans="3:20" hidden="1">
      <c r="C119" s="53" t="s">
        <v>91</v>
      </c>
      <c r="D119" s="54"/>
      <c r="E119" s="54"/>
      <c r="F119" s="54"/>
      <c r="G119" s="54"/>
      <c r="H119" s="54"/>
      <c r="I119" s="55">
        <f>+I115/(L115*150%)</f>
        <v>0.75919534587369786</v>
      </c>
      <c r="J119" s="55">
        <f t="shared" ref="J119:T119" si="9">+J81/(J53*150%)</f>
        <v>0.26537765539798713</v>
      </c>
      <c r="K119" s="55">
        <f t="shared" si="9"/>
        <v>0.50575551829104415</v>
      </c>
      <c r="L119" s="55">
        <f t="shared" si="9"/>
        <v>0.39955758029380717</v>
      </c>
      <c r="M119" s="55">
        <f t="shared" si="9"/>
        <v>1.0505523451896666</v>
      </c>
      <c r="N119" s="55">
        <f t="shared" si="9"/>
        <v>0.72567438297173581</v>
      </c>
      <c r="O119" s="55">
        <f t="shared" si="9"/>
        <v>1.0086646371454306</v>
      </c>
      <c r="P119" s="55">
        <f t="shared" si="9"/>
        <v>0.84737619957594312</v>
      </c>
      <c r="Q119" s="55">
        <f t="shared" si="9"/>
        <v>0.81533529999172683</v>
      </c>
      <c r="R119" s="55">
        <f t="shared" si="9"/>
        <v>1.3380721472488453</v>
      </c>
      <c r="S119" s="55">
        <f t="shared" si="9"/>
        <v>0.97256557802556387</v>
      </c>
      <c r="T119" s="56">
        <f t="shared" si="9"/>
        <v>0.82387651933191675</v>
      </c>
    </row>
    <row r="120" spans="3:20" hidden="1">
      <c r="C120" s="1"/>
      <c r="D120" s="1"/>
      <c r="E120" s="1"/>
      <c r="F120" s="1"/>
      <c r="G120" s="46" t="s">
        <v>93</v>
      </c>
      <c r="H120" s="1"/>
      <c r="I120" s="47">
        <f>+I119</f>
        <v>0.75919534587369786</v>
      </c>
      <c r="J120" s="46"/>
      <c r="K120" s="46" t="s">
        <v>94</v>
      </c>
      <c r="L120" s="47">
        <f>AVERAGE(J119:O119)</f>
        <v>0.6592636865482786</v>
      </c>
      <c r="M120" s="46"/>
      <c r="N120" s="46" t="s">
        <v>95</v>
      </c>
      <c r="O120" s="47">
        <f>AVERAGE(P119:T119)</f>
        <v>0.95944514883479903</v>
      </c>
      <c r="P120" s="46"/>
      <c r="Q120" s="1"/>
      <c r="R120" s="1"/>
      <c r="S120" s="1"/>
      <c r="T120" s="1"/>
    </row>
    <row r="121" spans="3:20" hidden="1">
      <c r="C121" s="53" t="s">
        <v>92</v>
      </c>
      <c r="D121" s="54"/>
      <c r="E121" s="54"/>
      <c r="F121" s="54"/>
      <c r="G121" s="54"/>
      <c r="H121" s="54"/>
      <c r="I121" s="55">
        <f>+I118/(L115*150%)</f>
        <v>6.7655547376203024E-2</v>
      </c>
      <c r="J121" s="55">
        <f t="shared" ref="J121:T121" si="10">J118/(J53*150%)</f>
        <v>2.6715647890573187E-2</v>
      </c>
      <c r="K121" s="55">
        <f t="shared" si="10"/>
        <v>4.1890973805456318E-2</v>
      </c>
      <c r="L121" s="55">
        <f t="shared" si="10"/>
        <v>3.3109105117104326E-2</v>
      </c>
      <c r="M121" s="55">
        <f t="shared" si="10"/>
        <v>9.3183737242095707E-2</v>
      </c>
      <c r="N121" s="55">
        <f t="shared" si="10"/>
        <v>6.622451118616178E-2</v>
      </c>
      <c r="O121" s="55">
        <f t="shared" si="10"/>
        <v>8.4288832900019123E-2</v>
      </c>
      <c r="P121" s="55">
        <f t="shared" si="10"/>
        <v>8.6988379420829376E-2</v>
      </c>
      <c r="Q121" s="55">
        <f t="shared" si="10"/>
        <v>7.9050803023990882E-2</v>
      </c>
      <c r="R121" s="55">
        <f t="shared" si="10"/>
        <v>0.12728290589214503</v>
      </c>
      <c r="S121" s="55">
        <f t="shared" si="10"/>
        <v>8.1868621055883786E-2</v>
      </c>
      <c r="T121" s="56">
        <f t="shared" si="10"/>
        <v>7.848128607031768E-2</v>
      </c>
    </row>
    <row r="122" spans="3:20" hidden="1">
      <c r="C122" s="1"/>
      <c r="D122" s="1"/>
      <c r="E122" s="1"/>
      <c r="F122" s="1"/>
      <c r="G122" s="46" t="s">
        <v>93</v>
      </c>
      <c r="H122" s="1"/>
      <c r="I122" s="47">
        <f>+I121</f>
        <v>6.7655547376203024E-2</v>
      </c>
      <c r="J122" s="46"/>
      <c r="K122" s="46" t="s">
        <v>94</v>
      </c>
      <c r="L122" s="47">
        <f>AVERAGE(J121:O121)</f>
        <v>5.7568801356901733E-2</v>
      </c>
      <c r="M122" s="46"/>
      <c r="N122" s="46" t="s">
        <v>95</v>
      </c>
      <c r="O122" s="47">
        <f>AVERAGE(P121:T121)</f>
        <v>9.0734399092633339E-2</v>
      </c>
      <c r="P122" s="1"/>
      <c r="Q122" s="1"/>
      <c r="R122" s="1"/>
      <c r="S122" s="1"/>
      <c r="T122" s="1"/>
    </row>
  </sheetData>
  <mergeCells count="82">
    <mergeCell ref="C117:H117"/>
    <mergeCell ref="C118:H118"/>
    <mergeCell ref="C10:H10"/>
    <mergeCell ref="C17:H17"/>
    <mergeCell ref="E105:H105"/>
    <mergeCell ref="C103:D105"/>
    <mergeCell ref="E102:H102"/>
    <mergeCell ref="C82:H82"/>
    <mergeCell ref="C81:H81"/>
    <mergeCell ref="C80:H80"/>
    <mergeCell ref="C73:H73"/>
    <mergeCell ref="C72:H72"/>
    <mergeCell ref="C71:H71"/>
    <mergeCell ref="C70:H70"/>
    <mergeCell ref="C38:H38"/>
    <mergeCell ref="C44:H44"/>
    <mergeCell ref="E104:H104"/>
    <mergeCell ref="E103:H103"/>
    <mergeCell ref="E101:H101"/>
    <mergeCell ref="C100:D101"/>
    <mergeCell ref="E100:H100"/>
    <mergeCell ref="C7:H7"/>
    <mergeCell ref="C18:H18"/>
    <mergeCell ref="C15:H15"/>
    <mergeCell ref="C14:H14"/>
    <mergeCell ref="C13:H13"/>
    <mergeCell ref="C12:H12"/>
    <mergeCell ref="C11:H11"/>
    <mergeCell ref="C9:H9"/>
    <mergeCell ref="C8:H8"/>
    <mergeCell ref="C16:H16"/>
    <mergeCell ref="C99:H99"/>
    <mergeCell ref="C98:H98"/>
    <mergeCell ref="C97:H97"/>
    <mergeCell ref="F91:H91"/>
    <mergeCell ref="C40:H40"/>
    <mergeCell ref="C42:H42"/>
    <mergeCell ref="D65:H65"/>
    <mergeCell ref="C53:H53"/>
    <mergeCell ref="F90:H90"/>
    <mergeCell ref="F89:H89"/>
    <mergeCell ref="C88:E91"/>
    <mergeCell ref="F88:H88"/>
    <mergeCell ref="C87:H87"/>
    <mergeCell ref="C60:H60"/>
    <mergeCell ref="C59:H59"/>
    <mergeCell ref="C45:H45"/>
    <mergeCell ref="C52:H52"/>
    <mergeCell ref="C51:H51"/>
    <mergeCell ref="C50:H50"/>
    <mergeCell ref="C26:H26"/>
    <mergeCell ref="C27:H27"/>
    <mergeCell ref="C33:H33"/>
    <mergeCell ref="C34:H34"/>
    <mergeCell ref="C35:H35"/>
    <mergeCell ref="C36:H36"/>
    <mergeCell ref="C37:H37"/>
    <mergeCell ref="C39:H39"/>
    <mergeCell ref="C41:H41"/>
    <mergeCell ref="C43:H43"/>
    <mergeCell ref="C24:H24"/>
    <mergeCell ref="C22:H22"/>
    <mergeCell ref="C19:H19"/>
    <mergeCell ref="C25:H25"/>
    <mergeCell ref="C20:H20"/>
    <mergeCell ref="C21:H21"/>
    <mergeCell ref="C23:H23"/>
    <mergeCell ref="J90:J91"/>
    <mergeCell ref="P90:P91"/>
    <mergeCell ref="C86:H86"/>
    <mergeCell ref="C85:H85"/>
    <mergeCell ref="C84:H84"/>
    <mergeCell ref="C83:H83"/>
    <mergeCell ref="C69:H69"/>
    <mergeCell ref="D62:H62"/>
    <mergeCell ref="D63:H63"/>
    <mergeCell ref="C61:H61"/>
    <mergeCell ref="D66:E67"/>
    <mergeCell ref="F66:H66"/>
    <mergeCell ref="D64:H64"/>
    <mergeCell ref="C68:H68"/>
    <mergeCell ref="F67:H67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0" fitToHeight="0" orientation="landscape" r:id="rId1"/>
  <rowBreaks count="3" manualBreakCount="3">
    <brk id="30" min="2" max="19" man="1"/>
    <brk id="56" min="2" max="19" man="1"/>
    <brk id="93" min="2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0000"/>
  </sheetPr>
  <dimension ref="B2:U113"/>
  <sheetViews>
    <sheetView showGridLines="0" zoomScaleNormal="100" zoomScaleSheetLayoutView="100" workbookViewId="0">
      <selection activeCell="I43" sqref="I43"/>
    </sheetView>
  </sheetViews>
  <sheetFormatPr defaultRowHeight="16.5"/>
  <cols>
    <col min="1" max="1" width="2" customWidth="1"/>
    <col min="2" max="2" width="1.5" customWidth="1"/>
    <col min="3" max="8" width="3.875" customWidth="1"/>
    <col min="9" max="10" width="12" customWidth="1"/>
    <col min="11" max="11" width="15.125" customWidth="1"/>
    <col min="12" max="20" width="12" customWidth="1"/>
    <col min="22" max="22" width="9.75" bestFit="1" customWidth="1"/>
  </cols>
  <sheetData>
    <row r="2" spans="2:21" ht="10.5" customHeight="1"/>
    <row r="3" spans="2:21" ht="16.5" customHeight="1">
      <c r="C3" s="4" t="s">
        <v>102</v>
      </c>
      <c r="S3" s="41" t="s">
        <v>103</v>
      </c>
    </row>
    <row r="4" spans="2:21" ht="16.5" customHeight="1"/>
    <row r="5" spans="2:21" ht="16.5" customHeight="1">
      <c r="C5" s="3" t="s">
        <v>19</v>
      </c>
    </row>
    <row r="6" spans="2:21" ht="16.5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P6" s="1"/>
      <c r="Q6" s="1"/>
      <c r="T6" s="9" t="s">
        <v>18</v>
      </c>
    </row>
    <row r="7" spans="2:21" ht="16.5" customHeight="1">
      <c r="B7" s="1"/>
      <c r="C7" s="288" t="s">
        <v>16</v>
      </c>
      <c r="D7" s="288"/>
      <c r="E7" s="288"/>
      <c r="F7" s="288"/>
      <c r="G7" s="288"/>
      <c r="H7" s="289"/>
      <c r="I7" s="19" t="s">
        <v>48</v>
      </c>
      <c r="J7" s="15" t="s">
        <v>49</v>
      </c>
      <c r="K7" s="15" t="s">
        <v>50</v>
      </c>
      <c r="L7" s="15" t="s">
        <v>51</v>
      </c>
      <c r="M7" s="15" t="s">
        <v>17</v>
      </c>
      <c r="N7" s="15" t="s">
        <v>52</v>
      </c>
      <c r="O7" s="27" t="s">
        <v>15</v>
      </c>
      <c r="P7" s="27" t="s">
        <v>46</v>
      </c>
      <c r="Q7" s="27" t="s">
        <v>45</v>
      </c>
      <c r="R7" s="27" t="s">
        <v>44</v>
      </c>
      <c r="S7" s="27" t="s">
        <v>53</v>
      </c>
      <c r="T7" s="12" t="s">
        <v>47</v>
      </c>
      <c r="U7" s="1"/>
    </row>
    <row r="8" spans="2:21" ht="16.5" customHeight="1">
      <c r="B8" s="1"/>
      <c r="C8" s="290" t="s">
        <v>54</v>
      </c>
      <c r="D8" s="290"/>
      <c r="E8" s="290"/>
      <c r="F8" s="290"/>
      <c r="G8" s="290"/>
      <c r="H8" s="291"/>
      <c r="I8" s="20">
        <v>321110.59738975001</v>
      </c>
      <c r="J8" s="16">
        <v>2614976.58</v>
      </c>
      <c r="K8" s="16">
        <v>1047988.41212419</v>
      </c>
      <c r="L8" s="16">
        <v>1093896.1829025499</v>
      </c>
      <c r="M8" s="16">
        <v>561464.91</v>
      </c>
      <c r="N8" s="16">
        <v>308939.10511638998</v>
      </c>
      <c r="O8" s="16">
        <v>293906.89</v>
      </c>
      <c r="P8" s="16">
        <v>793478.20790381997</v>
      </c>
      <c r="Q8" s="16">
        <v>415398.04344535002</v>
      </c>
      <c r="R8" s="16">
        <v>358121.19</v>
      </c>
      <c r="S8" s="16">
        <v>352791.42</v>
      </c>
      <c r="T8" s="20">
        <v>445600.30647598999</v>
      </c>
      <c r="U8" s="1"/>
    </row>
    <row r="9" spans="2:21" ht="16.5" customHeight="1">
      <c r="C9" s="294" t="s">
        <v>0</v>
      </c>
      <c r="D9" s="294"/>
      <c r="E9" s="294"/>
      <c r="F9" s="294"/>
      <c r="G9" s="294"/>
      <c r="H9" s="295"/>
      <c r="I9" s="23">
        <v>160083.01186497998</v>
      </c>
      <c r="J9" s="17">
        <v>357891.44</v>
      </c>
      <c r="K9" s="17">
        <v>308165.16415748</v>
      </c>
      <c r="L9" s="17">
        <v>273744.48083616002</v>
      </c>
      <c r="M9" s="17">
        <v>115452.58</v>
      </c>
      <c r="N9" s="17">
        <v>59042.454002029997</v>
      </c>
      <c r="O9" s="17">
        <v>79716.800000000003</v>
      </c>
      <c r="P9" s="17">
        <v>105911.38902685999</v>
      </c>
      <c r="Q9" s="17">
        <v>87396.429546190004</v>
      </c>
      <c r="R9" s="17">
        <v>73819.83972874</v>
      </c>
      <c r="S9" s="17">
        <v>93301.91</v>
      </c>
      <c r="T9" s="23">
        <v>104012.010343</v>
      </c>
      <c r="U9" s="2"/>
    </row>
    <row r="10" spans="2:21" ht="16.5" customHeight="1">
      <c r="C10" s="294" t="s">
        <v>21</v>
      </c>
      <c r="D10" s="294"/>
      <c r="E10" s="294"/>
      <c r="F10" s="294"/>
      <c r="G10" s="294"/>
      <c r="H10" s="295"/>
      <c r="I10" s="29">
        <v>0.49852920821133229</v>
      </c>
      <c r="J10" s="30">
        <v>0.13686219706028876</v>
      </c>
      <c r="K10" s="30">
        <v>0.29405398055199244</v>
      </c>
      <c r="L10" s="30">
        <v>0.25024722191625626</v>
      </c>
      <c r="M10" s="30">
        <v>0.20562741846146715</v>
      </c>
      <c r="N10" s="30">
        <v>0.19111356582646374</v>
      </c>
      <c r="O10" s="30">
        <v>0.2712314774247041</v>
      </c>
      <c r="P10" s="30">
        <v>0.13347737590255013</v>
      </c>
      <c r="Q10" s="30">
        <v>0.21039201056730042</v>
      </c>
      <c r="R10" s="30">
        <v>0.20613089029649431</v>
      </c>
      <c r="S10" s="30">
        <v>0.26446762792587192</v>
      </c>
      <c r="T10" s="29">
        <v>0.2334199703891012</v>
      </c>
      <c r="U10" s="2"/>
    </row>
    <row r="11" spans="2:21" ht="16.5" customHeight="1">
      <c r="C11" s="294" t="s">
        <v>1</v>
      </c>
      <c r="D11" s="294"/>
      <c r="E11" s="294"/>
      <c r="F11" s="294"/>
      <c r="G11" s="294"/>
      <c r="H11" s="295"/>
      <c r="I11" s="23">
        <v>110327.22029202999</v>
      </c>
      <c r="J11" s="17">
        <v>1523490.76</v>
      </c>
      <c r="K11" s="17">
        <v>459395.98863206996</v>
      </c>
      <c r="L11" s="17">
        <v>357619.81774668</v>
      </c>
      <c r="M11" s="17">
        <v>329341.32</v>
      </c>
      <c r="N11" s="17">
        <v>169083.56090856</v>
      </c>
      <c r="O11" s="17">
        <v>179334.07</v>
      </c>
      <c r="P11" s="17">
        <v>351672.46735861001</v>
      </c>
      <c r="Q11" s="17">
        <v>178954.75981995001</v>
      </c>
      <c r="R11" s="17">
        <v>244173.18072640002</v>
      </c>
      <c r="S11" s="17">
        <v>161889.04999999999</v>
      </c>
      <c r="T11" s="23">
        <v>180715.06053587998</v>
      </c>
      <c r="U11" s="2"/>
    </row>
    <row r="12" spans="2:21" ht="16.5" customHeight="1">
      <c r="C12" s="292" t="s">
        <v>2</v>
      </c>
      <c r="D12" s="292"/>
      <c r="E12" s="292"/>
      <c r="F12" s="292"/>
      <c r="G12" s="292"/>
      <c r="H12" s="293"/>
      <c r="I12" s="24">
        <v>42227.439167280005</v>
      </c>
      <c r="J12" s="18">
        <v>499554.55</v>
      </c>
      <c r="K12" s="18">
        <v>215462.50164418999</v>
      </c>
      <c r="L12" s="18">
        <v>298387.82335094997</v>
      </c>
      <c r="M12" s="18">
        <v>90919.09</v>
      </c>
      <c r="N12" s="18">
        <v>70614.244867310001</v>
      </c>
      <c r="O12" s="18">
        <v>18750.22</v>
      </c>
      <c r="P12" s="18">
        <v>292416.19511332997</v>
      </c>
      <c r="Q12" s="18">
        <v>110481.67284933999</v>
      </c>
      <c r="R12" s="18">
        <v>11822.190741729999</v>
      </c>
      <c r="S12" s="18">
        <v>61680.19</v>
      </c>
      <c r="T12" s="24">
        <v>108505.79488975</v>
      </c>
      <c r="U12" s="2"/>
    </row>
    <row r="13" spans="2:21" ht="16.5" customHeight="1">
      <c r="C13" s="290" t="s">
        <v>20</v>
      </c>
      <c r="D13" s="290"/>
      <c r="E13" s="290"/>
      <c r="F13" s="290"/>
      <c r="G13" s="290"/>
      <c r="H13" s="291"/>
      <c r="I13" s="20">
        <v>291407.83776516002</v>
      </c>
      <c r="J13" s="16">
        <v>2234584.7599999998</v>
      </c>
      <c r="K13" s="16">
        <v>943395.52688121004</v>
      </c>
      <c r="L13" s="16">
        <v>968620.01985437004</v>
      </c>
      <c r="M13" s="16">
        <v>474500.48</v>
      </c>
      <c r="N13" s="16">
        <v>276237.21672019997</v>
      </c>
      <c r="O13" s="16">
        <v>236253.33</v>
      </c>
      <c r="P13" s="16">
        <v>647263.51328828</v>
      </c>
      <c r="Q13" s="16">
        <v>348741.62843074003</v>
      </c>
      <c r="R13" s="16">
        <v>305450.17022144003</v>
      </c>
      <c r="S13" s="16">
        <v>291862.96000000002</v>
      </c>
      <c r="T13" s="20">
        <v>360987.84536044998</v>
      </c>
      <c r="U13" s="2"/>
    </row>
    <row r="14" spans="2:21" ht="16.5" customHeight="1">
      <c r="C14" s="237" t="s">
        <v>3</v>
      </c>
      <c r="D14" s="237"/>
      <c r="E14" s="237"/>
      <c r="F14" s="237"/>
      <c r="G14" s="237"/>
      <c r="H14" s="238"/>
      <c r="I14" s="21">
        <v>217069.01</v>
      </c>
      <c r="J14" s="25">
        <v>1601576.53</v>
      </c>
      <c r="K14" s="25">
        <v>721055.68</v>
      </c>
      <c r="L14" s="25">
        <v>710209.3</v>
      </c>
      <c r="M14" s="25">
        <v>331951.96000000002</v>
      </c>
      <c r="N14" s="25">
        <v>212771.12</v>
      </c>
      <c r="O14" s="25">
        <v>175880.24</v>
      </c>
      <c r="P14" s="25">
        <v>280559.18</v>
      </c>
      <c r="Q14" s="25">
        <v>142348.21015</v>
      </c>
      <c r="R14" s="25">
        <v>54554.49</v>
      </c>
      <c r="S14" s="25">
        <v>78378.06</v>
      </c>
      <c r="T14" s="21">
        <v>68541.67</v>
      </c>
      <c r="U14" s="2"/>
    </row>
    <row r="15" spans="2:21" ht="16.5" customHeight="1">
      <c r="C15" s="237" t="s">
        <v>5</v>
      </c>
      <c r="D15" s="237"/>
      <c r="E15" s="237"/>
      <c r="F15" s="237"/>
      <c r="G15" s="237"/>
      <c r="H15" s="238"/>
      <c r="I15" s="21">
        <v>19439.84</v>
      </c>
      <c r="J15" s="28">
        <v>116519.94</v>
      </c>
      <c r="K15" s="25">
        <v>63948.39</v>
      </c>
      <c r="L15" s="25">
        <v>97991.15</v>
      </c>
      <c r="M15" s="25">
        <v>72029.59</v>
      </c>
      <c r="N15" s="25">
        <v>25748.3</v>
      </c>
      <c r="O15" s="25">
        <v>32139.54</v>
      </c>
      <c r="P15" s="25">
        <v>132593.41</v>
      </c>
      <c r="Q15" s="25">
        <v>89036.625930000009</v>
      </c>
      <c r="R15" s="25">
        <v>102857.92</v>
      </c>
      <c r="S15" s="25">
        <v>91843.19</v>
      </c>
      <c r="T15" s="21">
        <v>115694.16</v>
      </c>
      <c r="U15" s="2"/>
    </row>
    <row r="16" spans="2:21" ht="16.5" customHeight="1">
      <c r="C16" s="237" t="s">
        <v>21</v>
      </c>
      <c r="D16" s="237"/>
      <c r="E16" s="237"/>
      <c r="F16" s="237"/>
      <c r="G16" s="237"/>
      <c r="H16" s="238"/>
      <c r="I16" s="31">
        <v>6.6710079416828161E-2</v>
      </c>
      <c r="J16" s="120">
        <v>5.2143889140280369E-2</v>
      </c>
      <c r="K16" s="121">
        <v>6.7785343663233438E-2</v>
      </c>
      <c r="L16" s="121">
        <v>0.10116572855342465</v>
      </c>
      <c r="M16" s="121">
        <v>0.15180087910553852</v>
      </c>
      <c r="N16" s="121">
        <v>9.3210829104466375E-2</v>
      </c>
      <c r="O16" s="121">
        <v>0.13603846345784842</v>
      </c>
      <c r="P16" s="121">
        <v>0.20485228547240109</v>
      </c>
      <c r="Q16" s="121">
        <v>0.25530828175186621</v>
      </c>
      <c r="R16" s="121">
        <v>0.33674206148070512</v>
      </c>
      <c r="S16" s="121">
        <v>0.31467915627251913</v>
      </c>
      <c r="T16" s="31">
        <v>0.32049322847554113</v>
      </c>
      <c r="U16" s="2"/>
    </row>
    <row r="17" spans="3:21" ht="16.5" customHeight="1">
      <c r="C17" s="325" t="s">
        <v>4</v>
      </c>
      <c r="D17" s="325"/>
      <c r="E17" s="325"/>
      <c r="F17" s="325"/>
      <c r="G17" s="325"/>
      <c r="H17" s="326"/>
      <c r="I17" s="22">
        <v>3951</v>
      </c>
      <c r="J17" s="26">
        <v>31505.09</v>
      </c>
      <c r="K17" s="26">
        <v>12229.51</v>
      </c>
      <c r="L17" s="26">
        <v>16501.439999999999</v>
      </c>
      <c r="M17" s="26">
        <v>11426.02</v>
      </c>
      <c r="N17" s="26">
        <v>4524.79</v>
      </c>
      <c r="O17" s="26">
        <v>4563.5</v>
      </c>
      <c r="P17" s="26">
        <v>14685.45</v>
      </c>
      <c r="Q17" s="26">
        <v>17108.185249999999</v>
      </c>
      <c r="R17" s="26">
        <v>18488.77</v>
      </c>
      <c r="S17" s="26">
        <v>11274.2</v>
      </c>
      <c r="T17" s="22">
        <v>15492.69</v>
      </c>
      <c r="U17" s="2"/>
    </row>
    <row r="18" spans="3:21" ht="16.5" customHeight="1">
      <c r="C18" s="290" t="s">
        <v>29</v>
      </c>
      <c r="D18" s="290"/>
      <c r="E18" s="290"/>
      <c r="F18" s="290"/>
      <c r="G18" s="290"/>
      <c r="H18" s="291"/>
      <c r="I18" s="20">
        <v>29702.759624589999</v>
      </c>
      <c r="J18" s="16">
        <v>380391.82</v>
      </c>
      <c r="K18" s="16">
        <v>104592.88524297999</v>
      </c>
      <c r="L18" s="16">
        <v>125276.16304818001</v>
      </c>
      <c r="M18" s="16">
        <v>86964.43</v>
      </c>
      <c r="N18" s="16">
        <v>32701.888396189999</v>
      </c>
      <c r="O18" s="16">
        <v>57653.56</v>
      </c>
      <c r="P18" s="16">
        <v>146214.69461554001</v>
      </c>
      <c r="Q18" s="16">
        <v>66656.41501461</v>
      </c>
      <c r="R18" s="16">
        <v>52671.015109849999</v>
      </c>
      <c r="S18" s="16">
        <v>60928.46</v>
      </c>
      <c r="T18" s="20">
        <v>84612.4611554</v>
      </c>
      <c r="U18" s="2"/>
    </row>
    <row r="19" spans="3:21" ht="16.5" customHeight="1">
      <c r="C19" s="294" t="s">
        <v>8</v>
      </c>
      <c r="D19" s="294"/>
      <c r="E19" s="294"/>
      <c r="F19" s="294"/>
      <c r="G19" s="294"/>
      <c r="H19" s="295"/>
      <c r="I19" s="23">
        <v>17474.676120559998</v>
      </c>
      <c r="J19" s="17">
        <v>129211.15</v>
      </c>
      <c r="K19" s="17">
        <v>63900.321621449999</v>
      </c>
      <c r="L19" s="17">
        <v>62389.553773490006</v>
      </c>
      <c r="M19" s="17">
        <v>65811.03</v>
      </c>
      <c r="N19" s="17">
        <v>12833.32432557</v>
      </c>
      <c r="O19" s="17">
        <v>57653.56</v>
      </c>
      <c r="P19" s="17">
        <v>118642.32258758</v>
      </c>
      <c r="Q19" s="17">
        <v>64848.325430140001</v>
      </c>
      <c r="R19" s="17">
        <v>42792.261232930003</v>
      </c>
      <c r="S19" s="17">
        <v>55711.75</v>
      </c>
      <c r="T19" s="23">
        <v>83284.896476210008</v>
      </c>
      <c r="U19" s="2"/>
    </row>
    <row r="20" spans="3:21" ht="16.5" customHeight="1">
      <c r="C20" s="292" t="s">
        <v>55</v>
      </c>
      <c r="D20" s="292"/>
      <c r="E20" s="292"/>
      <c r="F20" s="292"/>
      <c r="G20" s="292"/>
      <c r="H20" s="293"/>
      <c r="I20" s="24">
        <v>4218.8457045799996</v>
      </c>
      <c r="J20" s="18">
        <v>271223.05</v>
      </c>
      <c r="K20" s="18">
        <v>21907.943306300003</v>
      </c>
      <c r="L20" s="18">
        <v>20853.84</v>
      </c>
      <c r="M20" s="18">
        <v>4161.3100000000004</v>
      </c>
      <c r="N20" s="18">
        <v>4324.8238950599998</v>
      </c>
      <c r="O20" s="18">
        <v>16727.07</v>
      </c>
      <c r="P20" s="18">
        <v>32750.341222450003</v>
      </c>
      <c r="Q20" s="18">
        <v>923.55707308000001</v>
      </c>
      <c r="R20" s="18">
        <v>5427.4458928599997</v>
      </c>
      <c r="S20" s="18">
        <v>1399.67</v>
      </c>
      <c r="T20" s="24">
        <v>2119.3569227500002</v>
      </c>
      <c r="U20" s="2"/>
    </row>
    <row r="21" spans="3:21" ht="16.5" customHeight="1">
      <c r="C21" s="5" t="s">
        <v>104</v>
      </c>
      <c r="D21" s="1"/>
      <c r="E21" s="1"/>
      <c r="F21" s="1"/>
      <c r="G21" s="1"/>
      <c r="H21" s="1"/>
      <c r="I21" s="1"/>
    </row>
    <row r="22" spans="3:21" ht="16.5" customHeight="1">
      <c r="C22" s="5"/>
      <c r="D22" s="1"/>
      <c r="E22" s="1"/>
      <c r="F22" s="1"/>
      <c r="G22" s="1"/>
      <c r="H22" s="1"/>
      <c r="I22" s="1"/>
    </row>
    <row r="23" spans="3:21" ht="16.5" customHeight="1">
      <c r="C23" s="3" t="s">
        <v>32</v>
      </c>
      <c r="D23" s="1"/>
      <c r="E23" s="1"/>
      <c r="F23" s="1"/>
      <c r="G23" s="1"/>
      <c r="H23" s="1"/>
      <c r="I23" s="1"/>
    </row>
    <row r="24" spans="3:21" ht="16.5" customHeight="1">
      <c r="C24" s="5"/>
      <c r="D24" s="1"/>
      <c r="E24" s="1"/>
      <c r="F24" s="1"/>
      <c r="G24" s="1"/>
      <c r="H24" s="1"/>
      <c r="I24" s="1"/>
      <c r="R24" s="9" t="s">
        <v>18</v>
      </c>
    </row>
    <row r="25" spans="3:21" ht="16.5" customHeight="1">
      <c r="C25" s="288" t="s">
        <v>16</v>
      </c>
      <c r="D25" s="288"/>
      <c r="E25" s="288"/>
      <c r="F25" s="288"/>
      <c r="G25" s="288"/>
      <c r="H25" s="289"/>
      <c r="I25" s="327" t="s">
        <v>42</v>
      </c>
      <c r="J25" s="328"/>
      <c r="K25" s="327" t="s">
        <v>33</v>
      </c>
      <c r="L25" s="328"/>
      <c r="M25" s="327" t="s">
        <v>41</v>
      </c>
      <c r="N25" s="328"/>
      <c r="O25" s="327" t="s">
        <v>40</v>
      </c>
      <c r="P25" s="328"/>
      <c r="Q25" s="327" t="s">
        <v>7</v>
      </c>
      <c r="R25" s="331"/>
    </row>
    <row r="26" spans="3:21" ht="16.5" customHeight="1">
      <c r="C26" s="336"/>
      <c r="D26" s="336"/>
      <c r="E26" s="336"/>
      <c r="F26" s="336"/>
      <c r="G26" s="336"/>
      <c r="H26" s="337"/>
      <c r="I26" s="329"/>
      <c r="J26" s="330"/>
      <c r="K26" s="329"/>
      <c r="L26" s="330"/>
      <c r="M26" s="329"/>
      <c r="N26" s="330"/>
      <c r="O26" s="329"/>
      <c r="P26" s="330"/>
      <c r="Q26" s="329"/>
      <c r="R26" s="332"/>
    </row>
    <row r="27" spans="3:21" ht="16.5" customHeight="1">
      <c r="C27" s="290" t="s">
        <v>39</v>
      </c>
      <c r="D27" s="290"/>
      <c r="E27" s="290"/>
      <c r="F27" s="290"/>
      <c r="G27" s="290"/>
      <c r="H27" s="291"/>
      <c r="I27" s="333">
        <v>37902.564360210003</v>
      </c>
      <c r="J27" s="334"/>
      <c r="K27" s="333">
        <v>110246.01310245</v>
      </c>
      <c r="L27" s="334"/>
      <c r="M27" s="333">
        <v>9896.9648676300003</v>
      </c>
      <c r="N27" s="334"/>
      <c r="O27" s="333">
        <v>1619.1822816599999</v>
      </c>
      <c r="P27" s="334"/>
      <c r="Q27" s="333">
        <v>159664.72461194999</v>
      </c>
      <c r="R27" s="335"/>
    </row>
    <row r="28" spans="3:21" ht="16.5" customHeight="1">
      <c r="C28" s="8"/>
      <c r="D28" s="344" t="s">
        <v>34</v>
      </c>
      <c r="E28" s="345"/>
      <c r="F28" s="345"/>
      <c r="G28" s="345"/>
      <c r="H28" s="346"/>
      <c r="I28" s="347">
        <v>2374.25207632</v>
      </c>
      <c r="J28" s="348"/>
      <c r="K28" s="347">
        <v>2171.8152590300001</v>
      </c>
      <c r="L28" s="348"/>
      <c r="M28" s="347">
        <v>100.86711591</v>
      </c>
      <c r="N28" s="348"/>
      <c r="O28" s="347">
        <v>0</v>
      </c>
      <c r="P28" s="348"/>
      <c r="Q28" s="347">
        <v>4646.9344512600001</v>
      </c>
      <c r="R28" s="349"/>
    </row>
    <row r="29" spans="3:21" ht="16.5" customHeight="1">
      <c r="C29" s="32"/>
      <c r="D29" s="338" t="s">
        <v>21</v>
      </c>
      <c r="E29" s="339"/>
      <c r="F29" s="339"/>
      <c r="G29" s="339"/>
      <c r="H29" s="340"/>
      <c r="I29" s="341">
        <v>6.2640935155629809E-2</v>
      </c>
      <c r="J29" s="342"/>
      <c r="K29" s="341">
        <v>1.9699717004838663E-2</v>
      </c>
      <c r="L29" s="342"/>
      <c r="M29" s="341">
        <v>1.0191722134925025E-2</v>
      </c>
      <c r="N29" s="342"/>
      <c r="O29" s="341">
        <v>0</v>
      </c>
      <c r="P29" s="342"/>
      <c r="Q29" s="341">
        <v>2.9104327599937523E-2</v>
      </c>
      <c r="R29" s="343"/>
    </row>
    <row r="30" spans="3:21" ht="16.5" customHeight="1">
      <c r="C30" s="32"/>
      <c r="D30" s="350" t="s">
        <v>35</v>
      </c>
      <c r="E30" s="232"/>
      <c r="F30" s="232"/>
      <c r="G30" s="232"/>
      <c r="H30" s="233"/>
      <c r="I30" s="351">
        <v>20.074932329999999</v>
      </c>
      <c r="J30" s="352"/>
      <c r="K30" s="351">
        <v>21961.149260630002</v>
      </c>
      <c r="L30" s="352"/>
      <c r="M30" s="351">
        <v>0</v>
      </c>
      <c r="N30" s="352"/>
      <c r="O30" s="351">
        <v>439.47110871000001</v>
      </c>
      <c r="P30" s="352"/>
      <c r="Q30" s="351">
        <v>22420.695301669999</v>
      </c>
      <c r="R30" s="353"/>
    </row>
    <row r="31" spans="3:21" ht="16.5" customHeight="1">
      <c r="C31" s="32"/>
      <c r="D31" s="338" t="s">
        <v>21</v>
      </c>
      <c r="E31" s="339"/>
      <c r="F31" s="339"/>
      <c r="G31" s="339"/>
      <c r="H31" s="340"/>
      <c r="I31" s="341">
        <v>5.2964575534299738E-4</v>
      </c>
      <c r="J31" s="342"/>
      <c r="K31" s="341">
        <v>0.19920130118648216</v>
      </c>
      <c r="L31" s="342"/>
      <c r="M31" s="341">
        <v>0</v>
      </c>
      <c r="N31" s="342"/>
      <c r="O31" s="341">
        <v>0.27141546303202524</v>
      </c>
      <c r="P31" s="342"/>
      <c r="Q31" s="341">
        <v>0.14042359923997852</v>
      </c>
      <c r="R31" s="343"/>
    </row>
    <row r="32" spans="3:21" ht="16.5" customHeight="1">
      <c r="C32" s="32"/>
      <c r="D32" s="350" t="s">
        <v>36</v>
      </c>
      <c r="E32" s="232"/>
      <c r="F32" s="232"/>
      <c r="G32" s="232"/>
      <c r="H32" s="233"/>
      <c r="I32" s="351">
        <v>583.43622096000001</v>
      </c>
      <c r="J32" s="352"/>
      <c r="K32" s="351">
        <v>0</v>
      </c>
      <c r="L32" s="352"/>
      <c r="M32" s="351">
        <v>165.35053026</v>
      </c>
      <c r="N32" s="352"/>
      <c r="O32" s="351">
        <v>0</v>
      </c>
      <c r="P32" s="352"/>
      <c r="Q32" s="356">
        <v>748.78675122000004</v>
      </c>
      <c r="R32" s="357"/>
    </row>
    <row r="33" spans="3:21" ht="16.5" customHeight="1">
      <c r="C33" s="32"/>
      <c r="D33" s="338" t="s">
        <v>21</v>
      </c>
      <c r="E33" s="339"/>
      <c r="F33" s="339"/>
      <c r="G33" s="339"/>
      <c r="H33" s="340"/>
      <c r="I33" s="341">
        <v>1.5393054027038064E-2</v>
      </c>
      <c r="J33" s="342"/>
      <c r="K33" s="341">
        <v>0</v>
      </c>
      <c r="L33" s="342"/>
      <c r="M33" s="341">
        <v>1.6707195839485288E-2</v>
      </c>
      <c r="N33" s="342"/>
      <c r="O33" s="341">
        <v>0</v>
      </c>
      <c r="P33" s="342"/>
      <c r="Q33" s="354">
        <v>4.6897444193753843E-3</v>
      </c>
      <c r="R33" s="355"/>
    </row>
    <row r="34" spans="3:21" ht="16.5" customHeight="1">
      <c r="C34" s="32"/>
      <c r="D34" s="350" t="s">
        <v>37</v>
      </c>
      <c r="E34" s="232"/>
      <c r="F34" s="232"/>
      <c r="G34" s="232"/>
      <c r="H34" s="233"/>
      <c r="I34" s="351">
        <v>0</v>
      </c>
      <c r="J34" s="352"/>
      <c r="K34" s="351">
        <v>0</v>
      </c>
      <c r="L34" s="352"/>
      <c r="M34" s="351">
        <v>704.26409193999996</v>
      </c>
      <c r="N34" s="352"/>
      <c r="O34" s="351">
        <v>0</v>
      </c>
      <c r="P34" s="352"/>
      <c r="Q34" s="356">
        <v>704.26409193999996</v>
      </c>
      <c r="R34" s="357"/>
    </row>
    <row r="35" spans="3:21" ht="16.5" customHeight="1">
      <c r="C35" s="32"/>
      <c r="D35" s="338" t="s">
        <v>21</v>
      </c>
      <c r="E35" s="339"/>
      <c r="F35" s="339"/>
      <c r="G35" s="339"/>
      <c r="H35" s="340"/>
      <c r="I35" s="341">
        <v>0</v>
      </c>
      <c r="J35" s="342"/>
      <c r="K35" s="341">
        <v>0</v>
      </c>
      <c r="L35" s="342"/>
      <c r="M35" s="341">
        <v>7.1159603106547981E-2</v>
      </c>
      <c r="N35" s="342"/>
      <c r="O35" s="341">
        <v>0</v>
      </c>
      <c r="P35" s="342"/>
      <c r="Q35" s="354">
        <v>4.4108934747587305E-3</v>
      </c>
      <c r="R35" s="355"/>
    </row>
    <row r="36" spans="3:21" ht="16.5" customHeight="1">
      <c r="C36" s="32"/>
      <c r="D36" s="350" t="s">
        <v>6</v>
      </c>
      <c r="E36" s="232"/>
      <c r="F36" s="232"/>
      <c r="G36" s="232"/>
      <c r="H36" s="233"/>
      <c r="I36" s="351">
        <v>34394.896550669997</v>
      </c>
      <c r="J36" s="352"/>
      <c r="K36" s="351">
        <v>54697.309766170001</v>
      </c>
      <c r="L36" s="352"/>
      <c r="M36" s="351">
        <v>8926.4831295200001</v>
      </c>
      <c r="N36" s="352"/>
      <c r="O36" s="351">
        <v>754.55833212000005</v>
      </c>
      <c r="P36" s="352"/>
      <c r="Q36" s="351">
        <v>98773.247778479999</v>
      </c>
      <c r="R36" s="353"/>
    </row>
    <row r="37" spans="3:21" ht="16.5" customHeight="1">
      <c r="C37" s="32"/>
      <c r="D37" s="338" t="s">
        <v>21</v>
      </c>
      <c r="E37" s="339"/>
      <c r="F37" s="339"/>
      <c r="G37" s="339"/>
      <c r="H37" s="340"/>
      <c r="I37" s="341">
        <v>0.90745565982806309</v>
      </c>
      <c r="J37" s="342"/>
      <c r="K37" s="341">
        <v>0.49613866503581039</v>
      </c>
      <c r="L37" s="342"/>
      <c r="M37" s="341">
        <v>0.90194147891904164</v>
      </c>
      <c r="N37" s="342"/>
      <c r="O37" s="341">
        <v>0.46601197448036563</v>
      </c>
      <c r="P37" s="342"/>
      <c r="Q37" s="341">
        <v>0.61862911810068899</v>
      </c>
      <c r="R37" s="343"/>
    </row>
    <row r="38" spans="3:21" ht="16.5" customHeight="1">
      <c r="C38" s="32"/>
      <c r="D38" s="350" t="s">
        <v>38</v>
      </c>
      <c r="E38" s="232"/>
      <c r="F38" s="232"/>
      <c r="G38" s="232"/>
      <c r="H38" s="233"/>
      <c r="I38" s="351">
        <v>0</v>
      </c>
      <c r="J38" s="352"/>
      <c r="K38" s="351">
        <v>31415.722779619999</v>
      </c>
      <c r="L38" s="352"/>
      <c r="M38" s="351">
        <v>0</v>
      </c>
      <c r="N38" s="352"/>
      <c r="O38" s="351">
        <v>425.15284083</v>
      </c>
      <c r="P38" s="352"/>
      <c r="Q38" s="351">
        <v>31840.875620449999</v>
      </c>
      <c r="R38" s="353"/>
    </row>
    <row r="39" spans="3:21" ht="16.5" customHeight="1">
      <c r="C39" s="32"/>
      <c r="D39" s="338" t="s">
        <v>21</v>
      </c>
      <c r="E39" s="339"/>
      <c r="F39" s="339"/>
      <c r="G39" s="339"/>
      <c r="H39" s="340"/>
      <c r="I39" s="341">
        <v>0</v>
      </c>
      <c r="J39" s="342"/>
      <c r="K39" s="341">
        <v>0.28496017130729101</v>
      </c>
      <c r="L39" s="342"/>
      <c r="M39" s="341">
        <v>0</v>
      </c>
      <c r="N39" s="342"/>
      <c r="O39" s="341">
        <v>0.26257256248760924</v>
      </c>
      <c r="P39" s="342"/>
      <c r="Q39" s="341">
        <v>0.19942335852729046</v>
      </c>
      <c r="R39" s="343"/>
    </row>
    <row r="40" spans="3:21" ht="16.5" customHeight="1">
      <c r="C40" s="32"/>
      <c r="D40" s="350" t="s">
        <v>80</v>
      </c>
      <c r="E40" s="232"/>
      <c r="F40" s="232"/>
      <c r="G40" s="232"/>
      <c r="H40" s="233"/>
      <c r="I40" s="351">
        <v>529.90457992999995</v>
      </c>
      <c r="J40" s="352"/>
      <c r="K40" s="351">
        <v>1.6036999999999999E-2</v>
      </c>
      <c r="L40" s="352"/>
      <c r="M40" s="351">
        <v>0</v>
      </c>
      <c r="N40" s="352"/>
      <c r="O40" s="351">
        <v>0</v>
      </c>
      <c r="P40" s="352"/>
      <c r="Q40" s="351">
        <v>529.92061693000005</v>
      </c>
      <c r="R40" s="353"/>
    </row>
    <row r="41" spans="3:21" ht="16.5" customHeight="1">
      <c r="C41" s="33"/>
      <c r="D41" s="361" t="s">
        <v>21</v>
      </c>
      <c r="E41" s="325"/>
      <c r="F41" s="325"/>
      <c r="G41" s="325"/>
      <c r="H41" s="326"/>
      <c r="I41" s="358">
        <v>1.3980705233925866E-2</v>
      </c>
      <c r="J41" s="359"/>
      <c r="K41" s="358">
        <v>1.454655778354275E-7</v>
      </c>
      <c r="L41" s="359"/>
      <c r="M41" s="358">
        <v>0</v>
      </c>
      <c r="N41" s="359"/>
      <c r="O41" s="358">
        <v>0</v>
      </c>
      <c r="P41" s="359"/>
      <c r="Q41" s="358">
        <v>3.318958637970422E-3</v>
      </c>
      <c r="R41" s="360"/>
    </row>
    <row r="42" spans="3:21" ht="16.5" customHeight="1">
      <c r="C42" s="34" t="s">
        <v>43</v>
      </c>
      <c r="D42" s="59"/>
      <c r="E42" s="59"/>
      <c r="F42" s="59"/>
      <c r="G42" s="59"/>
      <c r="H42" s="35"/>
      <c r="I42" s="35"/>
      <c r="J42" s="35"/>
      <c r="K42" s="36"/>
      <c r="L42" s="36"/>
      <c r="M42" s="36"/>
      <c r="N42" s="36"/>
      <c r="O42" s="36"/>
      <c r="P42" s="36"/>
      <c r="Q42" s="37"/>
      <c r="R42" s="37"/>
    </row>
    <row r="43" spans="3:21" ht="16.5" customHeight="1">
      <c r="C43" s="10" t="s">
        <v>105</v>
      </c>
      <c r="D43" s="58"/>
      <c r="E43" s="7"/>
      <c r="F43" s="7"/>
      <c r="G43" s="7"/>
      <c r="H43" s="7"/>
      <c r="I43" s="7"/>
    </row>
    <row r="44" spans="3:21" ht="16.5" customHeight="1">
      <c r="C44" s="6"/>
      <c r="D44" s="58"/>
      <c r="E44" s="7"/>
      <c r="F44" s="7"/>
      <c r="G44" s="7"/>
      <c r="H44" s="7"/>
      <c r="I44" s="7"/>
      <c r="U44" s="80"/>
    </row>
    <row r="45" spans="3:21" ht="16.5" customHeight="1">
      <c r="C45" s="39" t="s">
        <v>83</v>
      </c>
      <c r="D45" s="40"/>
      <c r="E45" s="40"/>
      <c r="F45" s="40"/>
      <c r="G45" s="40"/>
      <c r="H45" s="40"/>
      <c r="I45" s="40"/>
      <c r="U45" s="80"/>
    </row>
    <row r="46" spans="3:21" ht="16.5" customHeight="1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P46" s="1"/>
      <c r="Q46" s="1"/>
      <c r="T46" s="9" t="s">
        <v>18</v>
      </c>
      <c r="U46" s="80"/>
    </row>
    <row r="47" spans="3:21" ht="16.5" customHeight="1">
      <c r="C47" s="288" t="s">
        <v>16</v>
      </c>
      <c r="D47" s="288"/>
      <c r="E47" s="288"/>
      <c r="F47" s="288"/>
      <c r="G47" s="288"/>
      <c r="H47" s="289"/>
      <c r="I47" s="15" t="s">
        <v>48</v>
      </c>
      <c r="J47" s="15" t="s">
        <v>49</v>
      </c>
      <c r="K47" s="15" t="s">
        <v>50</v>
      </c>
      <c r="L47" s="15" t="s">
        <v>51</v>
      </c>
      <c r="M47" s="15" t="s">
        <v>17</v>
      </c>
      <c r="N47" s="15" t="s">
        <v>52</v>
      </c>
      <c r="O47" s="12" t="s">
        <v>15</v>
      </c>
      <c r="P47" s="12" t="s">
        <v>46</v>
      </c>
      <c r="Q47" s="12" t="s">
        <v>45</v>
      </c>
      <c r="R47" s="12" t="s">
        <v>44</v>
      </c>
      <c r="S47" s="12" t="s">
        <v>53</v>
      </c>
      <c r="T47" s="12" t="s">
        <v>47</v>
      </c>
      <c r="U47" s="80"/>
    </row>
    <row r="48" spans="3:21" ht="16.5" customHeight="1">
      <c r="C48" s="290" t="s">
        <v>12</v>
      </c>
      <c r="D48" s="290"/>
      <c r="E48" s="290"/>
      <c r="F48" s="290"/>
      <c r="G48" s="290"/>
      <c r="H48" s="291"/>
      <c r="I48" s="122">
        <v>2.044</v>
      </c>
      <c r="J48" s="122">
        <v>2.2050000000000001</v>
      </c>
      <c r="K48" s="122">
        <v>1.8322999999999998</v>
      </c>
      <c r="L48" s="122">
        <v>1.8430000000000002</v>
      </c>
      <c r="M48" s="122">
        <v>2.0939999999999999</v>
      </c>
      <c r="N48" s="122">
        <v>1.837</v>
      </c>
      <c r="O48" s="122">
        <v>2.7695999999999996</v>
      </c>
      <c r="P48" s="122">
        <v>2.6326000000000001</v>
      </c>
      <c r="Q48" s="122">
        <v>1.7209999999999999</v>
      </c>
      <c r="R48" s="122">
        <v>2.3080000000000003</v>
      </c>
      <c r="S48" s="122">
        <v>1.9402000000000001</v>
      </c>
      <c r="T48" s="122">
        <v>2.145</v>
      </c>
      <c r="U48" s="80"/>
    </row>
    <row r="49" spans="3:21" ht="16.5" customHeight="1">
      <c r="C49" s="294" t="s">
        <v>56</v>
      </c>
      <c r="D49" s="294"/>
      <c r="E49" s="294"/>
      <c r="F49" s="294"/>
      <c r="G49" s="294"/>
      <c r="H49" s="295"/>
      <c r="I49" s="17">
        <v>40861.03</v>
      </c>
      <c r="J49" s="17">
        <v>531537.68000000005</v>
      </c>
      <c r="K49" s="17">
        <v>147913.9</v>
      </c>
      <c r="L49" s="17">
        <v>219935.35999999999</v>
      </c>
      <c r="M49" s="17">
        <v>112728</v>
      </c>
      <c r="N49" s="17">
        <v>44461.95</v>
      </c>
      <c r="O49" s="23">
        <v>71335.199999999997</v>
      </c>
      <c r="P49" s="23">
        <v>227007</v>
      </c>
      <c r="Q49" s="23">
        <v>126717.2</v>
      </c>
      <c r="R49" s="23">
        <v>132224.14000000001</v>
      </c>
      <c r="S49" s="23">
        <v>117784.5</v>
      </c>
      <c r="T49" s="23">
        <v>192607.51</v>
      </c>
      <c r="U49" s="80"/>
    </row>
    <row r="50" spans="3:21" ht="16.5" customHeight="1">
      <c r="C50" s="292" t="s">
        <v>57</v>
      </c>
      <c r="D50" s="292"/>
      <c r="E50" s="292"/>
      <c r="F50" s="292"/>
      <c r="G50" s="292"/>
      <c r="H50" s="293"/>
      <c r="I50" s="18">
        <v>19986.71</v>
      </c>
      <c r="J50" s="18">
        <v>241047.3</v>
      </c>
      <c r="K50" s="18">
        <v>80727.25</v>
      </c>
      <c r="L50" s="18">
        <v>119331.91</v>
      </c>
      <c r="M50" s="18">
        <v>53843</v>
      </c>
      <c r="N50" s="18">
        <v>24205.39</v>
      </c>
      <c r="O50" s="24">
        <v>25756.43</v>
      </c>
      <c r="P50" s="24">
        <v>86228</v>
      </c>
      <c r="Q50" s="24">
        <v>73627.22</v>
      </c>
      <c r="R50" s="24">
        <v>57297.11</v>
      </c>
      <c r="S50" s="24">
        <v>60708.639999999999</v>
      </c>
      <c r="T50" s="24">
        <v>89780.27</v>
      </c>
      <c r="U50" s="80"/>
    </row>
    <row r="51" spans="3:21" ht="16.5" customHeight="1">
      <c r="C51" s="10" t="s">
        <v>84</v>
      </c>
      <c r="D51" s="58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U51" s="80"/>
    </row>
    <row r="52" spans="3:21" ht="16.5" customHeight="1">
      <c r="C52" s="6"/>
      <c r="D52" s="58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U52" s="80"/>
    </row>
    <row r="53" spans="3:21" ht="16.5" customHeight="1">
      <c r="C53" s="6"/>
      <c r="D53" s="58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U53" s="80"/>
    </row>
    <row r="54" spans="3:21" ht="16.5" customHeight="1">
      <c r="C54" s="3" t="s">
        <v>27</v>
      </c>
      <c r="J54" s="7"/>
      <c r="K54" s="7"/>
      <c r="L54" s="7"/>
      <c r="M54" s="7"/>
      <c r="N54" s="7"/>
      <c r="O54" s="7"/>
      <c r="P54" s="7"/>
      <c r="Q54" s="7"/>
      <c r="U54" s="80"/>
    </row>
    <row r="55" spans="3:21" ht="16.5" customHeight="1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P55" s="1"/>
      <c r="Q55" s="1"/>
      <c r="T55" s="9" t="s">
        <v>18</v>
      </c>
      <c r="U55" s="80"/>
    </row>
    <row r="56" spans="3:21" ht="16.5" customHeight="1">
      <c r="C56" s="288" t="s">
        <v>16</v>
      </c>
      <c r="D56" s="288"/>
      <c r="E56" s="288"/>
      <c r="F56" s="288"/>
      <c r="G56" s="288"/>
      <c r="H56" s="289"/>
      <c r="I56" s="15" t="s">
        <v>48</v>
      </c>
      <c r="J56" s="15" t="s">
        <v>49</v>
      </c>
      <c r="K56" s="15" t="s">
        <v>50</v>
      </c>
      <c r="L56" s="15" t="s">
        <v>51</v>
      </c>
      <c r="M56" s="15" t="s">
        <v>17</v>
      </c>
      <c r="N56" s="15" t="s">
        <v>52</v>
      </c>
      <c r="O56" s="12" t="s">
        <v>15</v>
      </c>
      <c r="P56" s="12" t="s">
        <v>46</v>
      </c>
      <c r="Q56" s="12" t="s">
        <v>45</v>
      </c>
      <c r="R56" s="12" t="s">
        <v>44</v>
      </c>
      <c r="S56" s="12" t="s">
        <v>53</v>
      </c>
      <c r="T56" s="12" t="s">
        <v>47</v>
      </c>
      <c r="U56" s="80"/>
    </row>
    <row r="57" spans="3:21" ht="16.5" customHeight="1">
      <c r="C57" s="285" t="s">
        <v>14</v>
      </c>
      <c r="D57" s="285"/>
      <c r="E57" s="285"/>
      <c r="F57" s="285"/>
      <c r="G57" s="285"/>
      <c r="H57" s="286"/>
      <c r="I57" s="123">
        <v>1116.0610744000001</v>
      </c>
      <c r="J57" s="123">
        <v>12060.65</v>
      </c>
      <c r="K57" s="123">
        <v>1879.1409519200001</v>
      </c>
      <c r="L57" s="123">
        <v>5645.3875843199994</v>
      </c>
      <c r="M57" s="123">
        <v>4953.5600000000004</v>
      </c>
      <c r="N57" s="123">
        <v>1834.40046108</v>
      </c>
      <c r="O57" s="124">
        <v>2070.7800000000002</v>
      </c>
      <c r="P57" s="124">
        <v>16862.539033770001</v>
      </c>
      <c r="Q57" s="124">
        <v>7544.7937671199998</v>
      </c>
      <c r="R57" s="124">
        <v>12337.046268669999</v>
      </c>
      <c r="S57" s="124">
        <v>7819.76</v>
      </c>
      <c r="T57" s="124">
        <v>12897.223419009999</v>
      </c>
      <c r="U57" s="80"/>
    </row>
    <row r="58" spans="3:21" ht="16.5" customHeight="1">
      <c r="C58" s="59"/>
      <c r="D58" s="231" t="s">
        <v>69</v>
      </c>
      <c r="E58" s="232"/>
      <c r="F58" s="232"/>
      <c r="G58" s="232"/>
      <c r="H58" s="233"/>
      <c r="I58" s="125">
        <v>0.90859773833763935</v>
      </c>
      <c r="J58" s="125">
        <v>0.78874348217670187</v>
      </c>
      <c r="K58" s="125"/>
      <c r="L58" s="125">
        <v>0.84644249600985466</v>
      </c>
      <c r="M58" s="125"/>
      <c r="N58" s="125">
        <v>0.88256563982520808</v>
      </c>
      <c r="O58" s="125"/>
      <c r="P58" s="125">
        <v>0.87135108285726715</v>
      </c>
      <c r="Q58" s="125"/>
      <c r="R58" s="125">
        <v>0.76300000000000001</v>
      </c>
      <c r="S58" s="125">
        <v>0.81699999999999995</v>
      </c>
      <c r="T58" s="125"/>
      <c r="U58" s="80"/>
    </row>
    <row r="59" spans="3:21" ht="16.5" customHeight="1">
      <c r="C59" s="59"/>
      <c r="D59" s="364" t="s">
        <v>71</v>
      </c>
      <c r="E59" s="232"/>
      <c r="F59" s="231" t="s">
        <v>70</v>
      </c>
      <c r="G59" s="232"/>
      <c r="H59" s="233"/>
      <c r="I59" s="125">
        <v>-0.19863067124145545</v>
      </c>
      <c r="J59" s="125">
        <v>-8.3916458022442283E-2</v>
      </c>
      <c r="K59" s="125"/>
      <c r="L59" s="125">
        <v>8.5431519867211356E-2</v>
      </c>
      <c r="M59" s="125"/>
      <c r="N59" s="125">
        <v>3.3607869092407219E-2</v>
      </c>
      <c r="O59" s="125"/>
      <c r="P59" s="125">
        <v>-3.2911172937010694E-2</v>
      </c>
      <c r="Q59" s="125">
        <v>-2.5992475379634878E-3</v>
      </c>
      <c r="R59" s="125">
        <v>3.9935682006777603E-3</v>
      </c>
      <c r="S59" s="125"/>
      <c r="T59" s="125">
        <v>6.0452743134247915E-2</v>
      </c>
      <c r="U59" s="80"/>
    </row>
    <row r="60" spans="3:21" ht="16.5" customHeight="1">
      <c r="C60" s="61"/>
      <c r="D60" s="365"/>
      <c r="E60" s="339"/>
      <c r="F60" s="366" t="s">
        <v>72</v>
      </c>
      <c r="G60" s="367"/>
      <c r="H60" s="368"/>
      <c r="I60" s="126">
        <v>-9.5972396609712546E-2</v>
      </c>
      <c r="J60" s="126">
        <v>-0.1095626382220853</v>
      </c>
      <c r="K60" s="126"/>
      <c r="L60" s="126">
        <v>5.8287661593649502E-2</v>
      </c>
      <c r="M60" s="126"/>
      <c r="N60" s="126">
        <v>2.2985172934605853E-2</v>
      </c>
      <c r="O60" s="126"/>
      <c r="P60" s="126">
        <v>-2.1798493722193699E-2</v>
      </c>
      <c r="Q60" s="126">
        <v>-1.8941930250177099E-3</v>
      </c>
      <c r="R60" s="126">
        <v>1.4711336856734528E-3</v>
      </c>
      <c r="S60" s="126"/>
      <c r="T60" s="126">
        <v>2.8179084750012812E-2</v>
      </c>
      <c r="U60" s="80"/>
    </row>
    <row r="61" spans="3:21" ht="16.5" customHeight="1">
      <c r="C61" s="278" t="s">
        <v>9</v>
      </c>
      <c r="D61" s="278"/>
      <c r="E61" s="278"/>
      <c r="F61" s="278"/>
      <c r="G61" s="278"/>
      <c r="H61" s="279"/>
      <c r="I61" s="127">
        <v>967.74421069999994</v>
      </c>
      <c r="J61" s="127">
        <v>-1211.28</v>
      </c>
      <c r="K61" s="127">
        <v>6083.7882698000003</v>
      </c>
      <c r="L61" s="127">
        <v>966.92340461000003</v>
      </c>
      <c r="M61" s="127">
        <v>973.91</v>
      </c>
      <c r="N61" s="127">
        <v>906.94454788000007</v>
      </c>
      <c r="O61" s="128">
        <v>1898.78</v>
      </c>
      <c r="P61" s="128">
        <v>4391.4048134200002</v>
      </c>
      <c r="Q61" s="128">
        <v>3146.5537742700003</v>
      </c>
      <c r="R61" s="128">
        <v>5091.2465210999999</v>
      </c>
      <c r="S61" s="128">
        <v>1758.96</v>
      </c>
      <c r="T61" s="128">
        <v>3747.0362249999998</v>
      </c>
      <c r="U61" s="80"/>
    </row>
    <row r="62" spans="3:21" ht="16.5" customHeight="1">
      <c r="C62" s="278" t="s">
        <v>10</v>
      </c>
      <c r="D62" s="278"/>
      <c r="E62" s="278"/>
      <c r="F62" s="278"/>
      <c r="G62" s="278"/>
      <c r="H62" s="279"/>
      <c r="I62" s="129">
        <v>2083.8052851000002</v>
      </c>
      <c r="J62" s="129">
        <v>10849.369999999999</v>
      </c>
      <c r="K62" s="129">
        <v>7962.92922172</v>
      </c>
      <c r="L62" s="129">
        <v>6612.3109889299994</v>
      </c>
      <c r="M62" s="129">
        <v>5927.47</v>
      </c>
      <c r="N62" s="129">
        <v>2741.3450089600001</v>
      </c>
      <c r="O62" s="130">
        <v>3969.5600000000004</v>
      </c>
      <c r="P62" s="130">
        <v>21253.943847189999</v>
      </c>
      <c r="Q62" s="130">
        <v>10691.34754139</v>
      </c>
      <c r="R62" s="130">
        <v>17428.292789769999</v>
      </c>
      <c r="S62" s="130">
        <v>9578.7200000000012</v>
      </c>
      <c r="T62" s="130">
        <v>16644.259644009999</v>
      </c>
      <c r="U62" s="80"/>
    </row>
    <row r="63" spans="3:21" ht="16.5" customHeight="1">
      <c r="C63" s="362" t="s">
        <v>11</v>
      </c>
      <c r="D63" s="362"/>
      <c r="E63" s="362"/>
      <c r="F63" s="362"/>
      <c r="G63" s="362"/>
      <c r="H63" s="363"/>
      <c r="I63" s="131">
        <v>-34.85659441</v>
      </c>
      <c r="J63" s="131">
        <v>2616.87</v>
      </c>
      <c r="K63" s="131">
        <v>122.87801725999999</v>
      </c>
      <c r="L63" s="131">
        <v>96.671788610000007</v>
      </c>
      <c r="M63" s="131">
        <v>-160.5</v>
      </c>
      <c r="N63" s="131">
        <v>2.7193717900000003</v>
      </c>
      <c r="O63" s="132">
        <v>-7.04</v>
      </c>
      <c r="P63" s="132">
        <v>201.25759234</v>
      </c>
      <c r="Q63" s="132">
        <v>-221.25009366999998</v>
      </c>
      <c r="R63" s="132">
        <v>114.54872496</v>
      </c>
      <c r="S63" s="132">
        <v>1.04</v>
      </c>
      <c r="T63" s="132">
        <v>55.20833133</v>
      </c>
      <c r="U63" s="80"/>
    </row>
    <row r="64" spans="3:21" ht="16.5" customHeight="1">
      <c r="C64" s="290" t="s">
        <v>28</v>
      </c>
      <c r="D64" s="290"/>
      <c r="E64" s="290"/>
      <c r="F64" s="290"/>
      <c r="G64" s="290"/>
      <c r="H64" s="291"/>
      <c r="I64" s="133">
        <v>2048.9486906900001</v>
      </c>
      <c r="J64" s="133">
        <v>13466.24</v>
      </c>
      <c r="K64" s="133">
        <v>8085.8072389800009</v>
      </c>
      <c r="L64" s="133">
        <v>6708.982777539999</v>
      </c>
      <c r="M64" s="133">
        <v>5766.97</v>
      </c>
      <c r="N64" s="133">
        <v>2744.0643807500001</v>
      </c>
      <c r="O64" s="133">
        <v>3962.52</v>
      </c>
      <c r="P64" s="133">
        <v>21455.201439530003</v>
      </c>
      <c r="Q64" s="133">
        <v>10470.09744772</v>
      </c>
      <c r="R64" s="133">
        <v>17542.84151473</v>
      </c>
      <c r="S64" s="133">
        <v>9579.76</v>
      </c>
      <c r="T64" s="133">
        <v>16699.467975339998</v>
      </c>
      <c r="U64" s="80"/>
    </row>
    <row r="65" spans="3:21" ht="16.5" customHeight="1">
      <c r="C65" s="325" t="s">
        <v>13</v>
      </c>
      <c r="D65" s="325"/>
      <c r="E65" s="325"/>
      <c r="F65" s="325"/>
      <c r="G65" s="325"/>
      <c r="H65" s="326"/>
      <c r="I65" s="134">
        <v>1592.3133945999998</v>
      </c>
      <c r="J65" s="134">
        <v>11260.63</v>
      </c>
      <c r="K65" s="134">
        <v>6028.5886655200002</v>
      </c>
      <c r="L65" s="134">
        <v>5778.9258940899999</v>
      </c>
      <c r="M65" s="134">
        <v>4303.3100000000004</v>
      </c>
      <c r="N65" s="134">
        <v>2174.9350493799998</v>
      </c>
      <c r="O65" s="134">
        <v>2968.74</v>
      </c>
      <c r="P65" s="134">
        <v>15877.320505009999</v>
      </c>
      <c r="Q65" s="134">
        <v>7863.5530677799998</v>
      </c>
      <c r="R65" s="134">
        <v>12960.693216240001</v>
      </c>
      <c r="S65" s="134">
        <v>7088.43</v>
      </c>
      <c r="T65" s="134">
        <v>12624.19309191</v>
      </c>
      <c r="U65" s="80"/>
    </row>
    <row r="66" spans="3:21" ht="16.5" customHeight="1">
      <c r="C66" s="11" t="s">
        <v>77</v>
      </c>
      <c r="D66" s="58"/>
      <c r="E66" s="7"/>
      <c r="F66" s="7"/>
      <c r="G66" s="7"/>
      <c r="H66" s="7"/>
      <c r="I66" s="7"/>
      <c r="U66" s="80"/>
    </row>
    <row r="67" spans="3:21" ht="16.5" customHeight="1">
      <c r="C67" s="10" t="s">
        <v>73</v>
      </c>
      <c r="D67" s="58"/>
      <c r="E67" s="7"/>
      <c r="F67" s="7"/>
      <c r="G67" s="7"/>
      <c r="H67" s="7"/>
      <c r="I67" s="7"/>
      <c r="U67" s="80"/>
    </row>
    <row r="68" spans="3:21" ht="16.5" customHeight="1">
      <c r="C68" s="6"/>
      <c r="D68" s="58"/>
      <c r="E68" s="7"/>
      <c r="F68" s="7"/>
      <c r="G68" s="7"/>
      <c r="H68" s="7"/>
      <c r="I68" s="7"/>
      <c r="U68" s="80"/>
    </row>
    <row r="69" spans="3:21" ht="16.5" customHeight="1">
      <c r="C69" s="3" t="s">
        <v>58</v>
      </c>
      <c r="D69" s="58"/>
      <c r="E69" s="7"/>
      <c r="F69" s="7"/>
      <c r="G69" s="7"/>
      <c r="H69" s="7"/>
      <c r="I69" s="7"/>
      <c r="U69" s="80"/>
    </row>
    <row r="70" spans="3:21" ht="16.5" customHeight="1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P70" s="1"/>
      <c r="Q70" s="1"/>
      <c r="T70" s="9" t="s">
        <v>18</v>
      </c>
      <c r="U70" s="80"/>
    </row>
    <row r="71" spans="3:21" ht="16.5" customHeight="1">
      <c r="C71" s="288" t="s">
        <v>16</v>
      </c>
      <c r="D71" s="288"/>
      <c r="E71" s="288"/>
      <c r="F71" s="288"/>
      <c r="G71" s="288"/>
      <c r="H71" s="289"/>
      <c r="I71" s="19" t="s">
        <v>48</v>
      </c>
      <c r="J71" s="15" t="s">
        <v>49</v>
      </c>
      <c r="K71" s="15" t="s">
        <v>50</v>
      </c>
      <c r="L71" s="15" t="s">
        <v>51</v>
      </c>
      <c r="M71" s="15" t="s">
        <v>17</v>
      </c>
      <c r="N71" s="15" t="s">
        <v>52</v>
      </c>
      <c r="O71" s="12" t="s">
        <v>15</v>
      </c>
      <c r="P71" s="12" t="s">
        <v>46</v>
      </c>
      <c r="Q71" s="12" t="s">
        <v>45</v>
      </c>
      <c r="R71" s="12" t="s">
        <v>44</v>
      </c>
      <c r="S71" s="12" t="s">
        <v>53</v>
      </c>
      <c r="T71" s="12" t="s">
        <v>47</v>
      </c>
      <c r="U71" s="80"/>
    </row>
    <row r="72" spans="3:21" ht="16.5" customHeight="1">
      <c r="C72" s="290" t="s">
        <v>5</v>
      </c>
      <c r="D72" s="290"/>
      <c r="E72" s="290"/>
      <c r="F72" s="290"/>
      <c r="G72" s="290"/>
      <c r="H72" s="291"/>
      <c r="I72" s="133">
        <v>19439.84</v>
      </c>
      <c r="J72" s="135">
        <v>116519.94</v>
      </c>
      <c r="K72" s="135">
        <v>63948.39</v>
      </c>
      <c r="L72" s="135">
        <v>97991.15</v>
      </c>
      <c r="M72" s="135">
        <v>72029.59</v>
      </c>
      <c r="N72" s="135">
        <v>25748.3</v>
      </c>
      <c r="O72" s="133">
        <v>32139.54</v>
      </c>
      <c r="P72" s="133">
        <v>132593.40726708999</v>
      </c>
      <c r="Q72" s="133">
        <v>89036.625930000009</v>
      </c>
      <c r="R72" s="133">
        <v>102857.92</v>
      </c>
      <c r="S72" s="133">
        <v>91843.19</v>
      </c>
      <c r="T72" s="133">
        <v>115694.16</v>
      </c>
      <c r="U72" s="80"/>
    </row>
    <row r="73" spans="3:21" ht="16.5" customHeight="1">
      <c r="C73" s="294" t="s">
        <v>22</v>
      </c>
      <c r="D73" s="294"/>
      <c r="E73" s="294"/>
      <c r="F73" s="294"/>
      <c r="G73" s="294"/>
      <c r="H73" s="295"/>
      <c r="I73" s="136">
        <v>-355.11000000000058</v>
      </c>
      <c r="J73" s="137">
        <v>9033.0400000000081</v>
      </c>
      <c r="K73" s="137">
        <v>10477.57</v>
      </c>
      <c r="L73" s="137">
        <v>361.68999999998778</v>
      </c>
      <c r="M73" s="137">
        <v>2780.4599999999919</v>
      </c>
      <c r="N73" s="137">
        <v>2006.0200000000004</v>
      </c>
      <c r="O73" s="136">
        <v>938.28000000000247</v>
      </c>
      <c r="P73" s="136">
        <v>10580.254570470002</v>
      </c>
      <c r="Q73" s="136">
        <v>5521.2341600000073</v>
      </c>
      <c r="R73" s="136">
        <v>6939.0899999999965</v>
      </c>
      <c r="S73" s="136">
        <v>12391.369999999995</v>
      </c>
      <c r="T73" s="136">
        <v>-1654.6999999999971</v>
      </c>
      <c r="U73" s="80"/>
    </row>
    <row r="74" spans="3:21" ht="16.5" customHeight="1">
      <c r="C74" s="375" t="s">
        <v>23</v>
      </c>
      <c r="D74" s="375"/>
      <c r="E74" s="375"/>
      <c r="F74" s="375"/>
      <c r="G74" s="375"/>
      <c r="H74" s="376"/>
      <c r="I74" s="138">
        <v>-1.8267125655355217E-2</v>
      </c>
      <c r="J74" s="139">
        <v>7.7523555195788879E-2</v>
      </c>
      <c r="K74" s="139">
        <v>0.16195519694563273</v>
      </c>
      <c r="L74" s="139">
        <v>3.6910476099115868E-3</v>
      </c>
      <c r="M74" s="139">
        <v>3.8601635799953772E-2</v>
      </c>
      <c r="N74" s="139">
        <v>7.7908832816147106E-2</v>
      </c>
      <c r="O74" s="140">
        <v>2.9193946148575942E-2</v>
      </c>
      <c r="P74" s="140">
        <v>7.9794724115399118E-2</v>
      </c>
      <c r="Q74" s="140">
        <v>6.2010819730980868E-2</v>
      </c>
      <c r="R74" s="140">
        <v>6.7462865280573409E-2</v>
      </c>
      <c r="S74" s="140">
        <v>0.13491876752103227</v>
      </c>
      <c r="T74" s="140">
        <v>-1.4302364095128027E-2</v>
      </c>
      <c r="U74" s="80"/>
    </row>
    <row r="75" spans="3:21" ht="16.5" customHeight="1">
      <c r="C75" s="290" t="s">
        <v>24</v>
      </c>
      <c r="D75" s="290"/>
      <c r="E75" s="290"/>
      <c r="F75" s="290"/>
      <c r="G75" s="290"/>
      <c r="H75" s="291"/>
      <c r="I75" s="133">
        <v>2116.44</v>
      </c>
      <c r="J75" s="135">
        <v>27723.599999999999</v>
      </c>
      <c r="K75" s="133">
        <v>10255.1</v>
      </c>
      <c r="L75" s="133">
        <v>18559.47</v>
      </c>
      <c r="M75" s="133">
        <v>7260.66</v>
      </c>
      <c r="N75" s="133">
        <v>5608.86</v>
      </c>
      <c r="O75" s="133">
        <v>4539.34</v>
      </c>
      <c r="P75" s="133">
        <v>26067.811503320001</v>
      </c>
      <c r="Q75" s="133">
        <v>13221.355800000001</v>
      </c>
      <c r="R75" s="133">
        <v>12197.58</v>
      </c>
      <c r="S75" s="133">
        <v>13987.21</v>
      </c>
      <c r="T75" s="133">
        <v>21253.14</v>
      </c>
      <c r="U75" s="80"/>
    </row>
    <row r="76" spans="3:21" ht="16.5" customHeight="1">
      <c r="C76" s="237" t="s">
        <v>25</v>
      </c>
      <c r="D76" s="237"/>
      <c r="E76" s="237"/>
      <c r="F76" s="237"/>
      <c r="G76" s="237"/>
      <c r="H76" s="238"/>
      <c r="I76" s="141">
        <v>1483.65</v>
      </c>
      <c r="J76" s="142">
        <v>9870.89</v>
      </c>
      <c r="K76" s="141">
        <v>3217.86</v>
      </c>
      <c r="L76" s="141">
        <v>6683.41</v>
      </c>
      <c r="M76" s="141">
        <v>5171.1099999999997</v>
      </c>
      <c r="N76" s="141">
        <v>1949.87</v>
      </c>
      <c r="O76" s="141">
        <v>2130.5</v>
      </c>
      <c r="P76" s="141">
        <v>11548.624830090001</v>
      </c>
      <c r="Q76" s="141">
        <v>6403.79115</v>
      </c>
      <c r="R76" s="141">
        <v>7842.8</v>
      </c>
      <c r="S76" s="141">
        <v>6127.24</v>
      </c>
      <c r="T76" s="141">
        <v>9411.68</v>
      </c>
      <c r="U76" s="80"/>
    </row>
    <row r="77" spans="3:21" ht="16.5" customHeight="1">
      <c r="C77" s="237" t="s">
        <v>30</v>
      </c>
      <c r="D77" s="237"/>
      <c r="E77" s="237"/>
      <c r="F77" s="237"/>
      <c r="G77" s="237"/>
      <c r="H77" s="238"/>
      <c r="I77" s="143">
        <v>9.454445697156616E-2</v>
      </c>
      <c r="J77" s="144">
        <v>0.10413086666704088</v>
      </c>
      <c r="K77" s="143">
        <v>6.3878510412595457E-2</v>
      </c>
      <c r="L77" s="143">
        <v>8.513256070370212E-2</v>
      </c>
      <c r="M77" s="143">
        <v>8.9310243732677499E-2</v>
      </c>
      <c r="N77" s="143">
        <v>9.3862759404923155E-2</v>
      </c>
      <c r="O77" s="143">
        <v>8.28906726302817E-2</v>
      </c>
      <c r="P77" s="143">
        <v>0.10682634493274368</v>
      </c>
      <c r="Q77" s="143">
        <v>8.9463022702875816E-2</v>
      </c>
      <c r="R77" s="143">
        <v>9.4462499129785604E-2</v>
      </c>
      <c r="S77" s="143">
        <v>8.3388970869407344E-2</v>
      </c>
      <c r="T77" s="143">
        <v>0.1003063219643994</v>
      </c>
      <c r="U77" s="80"/>
    </row>
    <row r="78" spans="3:21" ht="16.5" customHeight="1">
      <c r="C78" s="325" t="s">
        <v>26</v>
      </c>
      <c r="D78" s="325"/>
      <c r="E78" s="325"/>
      <c r="F78" s="325"/>
      <c r="G78" s="325"/>
      <c r="H78" s="326"/>
      <c r="I78" s="145">
        <v>1.4265089475280557</v>
      </c>
      <c r="J78" s="146">
        <v>2.8086221201938226</v>
      </c>
      <c r="K78" s="145">
        <v>3.1869316875190346</v>
      </c>
      <c r="L78" s="145">
        <v>2.7769461996196556</v>
      </c>
      <c r="M78" s="145">
        <v>1.4040815221490164</v>
      </c>
      <c r="N78" s="145">
        <v>2.8765302302204763</v>
      </c>
      <c r="O78" s="145">
        <v>2.1306453884064775</v>
      </c>
      <c r="P78" s="145">
        <v>2.257222127036302</v>
      </c>
      <c r="Q78" s="145">
        <v>2.0646138342597262</v>
      </c>
      <c r="R78" s="145">
        <v>1.5552583261080226</v>
      </c>
      <c r="S78" s="145">
        <v>2.2827912730691144</v>
      </c>
      <c r="T78" s="145">
        <v>2.2581664484980362</v>
      </c>
      <c r="U78" s="80"/>
    </row>
    <row r="79" spans="3:21" ht="16.5" customHeight="1">
      <c r="C79" s="377" t="s">
        <v>63</v>
      </c>
      <c r="D79" s="285"/>
      <c r="E79" s="286"/>
      <c r="F79" s="378" t="s">
        <v>59</v>
      </c>
      <c r="G79" s="285"/>
      <c r="H79" s="286"/>
      <c r="I79" s="147">
        <v>1715.68</v>
      </c>
      <c r="J79" s="148">
        <v>10203.18</v>
      </c>
      <c r="K79" s="147">
        <v>4336.8599999999997</v>
      </c>
      <c r="L79" s="147">
        <v>5017</v>
      </c>
      <c r="M79" s="147">
        <v>6446.85</v>
      </c>
      <c r="N79" s="149" t="s">
        <v>74</v>
      </c>
      <c r="O79" s="147">
        <v>2584.96</v>
      </c>
      <c r="P79" s="147">
        <v>11073.61</v>
      </c>
      <c r="Q79" s="147">
        <v>5805.9344099999998</v>
      </c>
      <c r="R79" s="147">
        <v>10177.290000000001</v>
      </c>
      <c r="S79" s="147">
        <v>8261.8799999999992</v>
      </c>
      <c r="T79" s="147">
        <v>10892.12</v>
      </c>
      <c r="U79" s="80"/>
    </row>
    <row r="80" spans="3:21" ht="16.5" customHeight="1">
      <c r="C80" s="237"/>
      <c r="D80" s="237"/>
      <c r="E80" s="238"/>
      <c r="F80" s="379" t="s">
        <v>60</v>
      </c>
      <c r="G80" s="237"/>
      <c r="H80" s="238"/>
      <c r="I80" s="141">
        <v>5119.4399999999996</v>
      </c>
      <c r="J80" s="142">
        <v>26625.3</v>
      </c>
      <c r="K80" s="141">
        <v>11870.33</v>
      </c>
      <c r="L80" s="141">
        <v>15780.259999999998</v>
      </c>
      <c r="M80" s="141">
        <v>19117.46</v>
      </c>
      <c r="N80" s="141"/>
      <c r="O80" s="141">
        <v>8296.0499999999993</v>
      </c>
      <c r="P80" s="141">
        <v>30917</v>
      </c>
      <c r="Q80" s="141">
        <v>16782.217339999999</v>
      </c>
      <c r="R80" s="141">
        <v>29848.81</v>
      </c>
      <c r="S80" s="141">
        <v>26879</v>
      </c>
      <c r="T80" s="141">
        <v>32254.49</v>
      </c>
      <c r="U80" s="80"/>
    </row>
    <row r="81" spans="3:21" ht="16.5" customHeight="1">
      <c r="C81" s="237"/>
      <c r="D81" s="237"/>
      <c r="E81" s="238"/>
      <c r="F81" s="379" t="s">
        <v>61</v>
      </c>
      <c r="G81" s="237"/>
      <c r="H81" s="238"/>
      <c r="I81" s="141">
        <v>4258.03</v>
      </c>
      <c r="J81" s="369">
        <v>80260.98</v>
      </c>
      <c r="K81" s="141">
        <v>10865.09</v>
      </c>
      <c r="L81" s="141">
        <v>15294.5</v>
      </c>
      <c r="M81" s="141">
        <v>15908.7</v>
      </c>
      <c r="N81" s="141"/>
      <c r="O81" s="141">
        <v>6894.02</v>
      </c>
      <c r="P81" s="371">
        <v>90603.09</v>
      </c>
      <c r="Q81" s="141">
        <v>15238.28038</v>
      </c>
      <c r="R81" s="141">
        <v>23477.78</v>
      </c>
      <c r="S81" s="141">
        <v>23605.54</v>
      </c>
      <c r="T81" s="141">
        <v>26412.22</v>
      </c>
      <c r="U81" s="80"/>
    </row>
    <row r="82" spans="3:21" ht="16.5" customHeight="1">
      <c r="C82" s="325"/>
      <c r="D82" s="325"/>
      <c r="E82" s="326"/>
      <c r="F82" s="361" t="s">
        <v>62</v>
      </c>
      <c r="G82" s="325"/>
      <c r="H82" s="326"/>
      <c r="I82" s="134">
        <v>8346.7000000000007</v>
      </c>
      <c r="J82" s="370"/>
      <c r="K82" s="134">
        <v>36876.120000000003</v>
      </c>
      <c r="L82" s="134">
        <v>61899.41</v>
      </c>
      <c r="M82" s="134">
        <v>30556.58</v>
      </c>
      <c r="N82" s="134"/>
      <c r="O82" s="134">
        <v>14364.51</v>
      </c>
      <c r="P82" s="372"/>
      <c r="Q82" s="134">
        <v>51210.193800000001</v>
      </c>
      <c r="R82" s="134">
        <v>39879.07</v>
      </c>
      <c r="S82" s="134">
        <v>33096.769999999997</v>
      </c>
      <c r="T82" s="134">
        <v>56274.06</v>
      </c>
      <c r="U82" s="80"/>
    </row>
    <row r="83" spans="3:21" ht="16.5" customHeight="1">
      <c r="C83" s="5" t="s">
        <v>31</v>
      </c>
      <c r="D83" s="58"/>
      <c r="E83" s="7"/>
      <c r="F83" s="7"/>
      <c r="G83" s="7"/>
      <c r="H83" s="7"/>
      <c r="I83" s="38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80"/>
    </row>
    <row r="84" spans="3:21" ht="16.5" customHeight="1">
      <c r="C84" s="10" t="s">
        <v>75</v>
      </c>
      <c r="D84" s="58"/>
      <c r="E84" s="7"/>
      <c r="F84" s="7"/>
      <c r="G84" s="7"/>
      <c r="H84" s="7"/>
      <c r="I84" s="38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80"/>
    </row>
    <row r="85" spans="3:21" ht="16.5" customHeight="1">
      <c r="C85" s="6"/>
      <c r="D85" s="58"/>
      <c r="E85" s="7"/>
      <c r="F85" s="7"/>
      <c r="G85" s="7"/>
      <c r="H85" s="7"/>
      <c r="I85" s="38"/>
      <c r="J85" s="38"/>
      <c r="K85" s="38"/>
      <c r="L85" s="38"/>
      <c r="M85" s="38"/>
      <c r="N85" s="36"/>
      <c r="O85" s="38"/>
      <c r="P85" s="38"/>
      <c r="Q85" s="38"/>
      <c r="R85" s="38"/>
      <c r="S85" s="38"/>
      <c r="T85" s="38"/>
      <c r="U85" s="80"/>
    </row>
    <row r="86" spans="3:21">
      <c r="C86" s="39" t="s">
        <v>64</v>
      </c>
      <c r="U86" s="80"/>
    </row>
    <row r="87" spans="3:21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P87" s="1"/>
      <c r="Q87" s="1"/>
      <c r="U87" s="80"/>
    </row>
    <row r="88" spans="3:21">
      <c r="C88" s="288" t="s">
        <v>16</v>
      </c>
      <c r="D88" s="288"/>
      <c r="E88" s="288"/>
      <c r="F88" s="288"/>
      <c r="G88" s="288"/>
      <c r="H88" s="289"/>
      <c r="I88" s="15" t="s">
        <v>48</v>
      </c>
      <c r="J88" s="15" t="s">
        <v>49</v>
      </c>
      <c r="K88" s="15" t="s">
        <v>50</v>
      </c>
      <c r="L88" s="15" t="s">
        <v>51</v>
      </c>
      <c r="M88" s="15" t="s">
        <v>17</v>
      </c>
      <c r="N88" s="15" t="s">
        <v>52</v>
      </c>
      <c r="O88" s="12" t="s">
        <v>15</v>
      </c>
      <c r="P88" s="12" t="s">
        <v>46</v>
      </c>
      <c r="Q88" s="12" t="s">
        <v>45</v>
      </c>
      <c r="R88" s="12" t="s">
        <v>44</v>
      </c>
      <c r="S88" s="12" t="s">
        <v>53</v>
      </c>
      <c r="T88" s="12" t="s">
        <v>47</v>
      </c>
      <c r="U88" s="80"/>
    </row>
    <row r="89" spans="3:21">
      <c r="C89" s="285" t="s">
        <v>68</v>
      </c>
      <c r="D89" s="285"/>
      <c r="E89" s="285"/>
      <c r="F89" s="285"/>
      <c r="G89" s="285"/>
      <c r="H89" s="286"/>
      <c r="I89" s="150">
        <v>7.3703461050594068E-2</v>
      </c>
      <c r="J89" s="150">
        <v>4.288348899435504E-2</v>
      </c>
      <c r="K89" s="150">
        <v>7.8815877188618405E-2</v>
      </c>
      <c r="L89" s="150">
        <v>6.1872322126400404E-2</v>
      </c>
      <c r="M89" s="150">
        <v>6.8182918280111166E-2</v>
      </c>
      <c r="N89" s="150">
        <v>9.2274712430110484E-2</v>
      </c>
      <c r="O89" s="151">
        <v>7.1676110290077352E-2</v>
      </c>
      <c r="P89" s="151">
        <v>0.15880584274458384</v>
      </c>
      <c r="Q89" s="151">
        <v>0.16023299071032013</v>
      </c>
      <c r="R89" s="151">
        <v>0.38707740135825641</v>
      </c>
      <c r="S89" s="151">
        <v>0.15935928772877811</v>
      </c>
      <c r="T89" s="151">
        <v>0.21240707565268699</v>
      </c>
      <c r="U89" s="80"/>
    </row>
    <row r="90" spans="3:21">
      <c r="C90" s="373" t="s">
        <v>82</v>
      </c>
      <c r="D90" s="373"/>
      <c r="E90" s="373"/>
      <c r="F90" s="373"/>
      <c r="G90" s="373"/>
      <c r="H90" s="374"/>
      <c r="I90" s="152">
        <v>9.4126547090541662E-2</v>
      </c>
      <c r="J90" s="152">
        <v>0.10223387691959214</v>
      </c>
      <c r="K90" s="152">
        <v>0.11291905080929233</v>
      </c>
      <c r="L90" s="152">
        <v>0.13824723551870299</v>
      </c>
      <c r="M90" s="152">
        <v>0.11986553498133462</v>
      </c>
      <c r="N90" s="152">
        <v>0.20597285700967152</v>
      </c>
      <c r="O90" s="140">
        <v>0.15665870188100167</v>
      </c>
      <c r="P90" s="140">
        <v>0.26872231761088172</v>
      </c>
      <c r="Q90" s="140">
        <v>0.15961917707427589</v>
      </c>
      <c r="R90" s="140">
        <v>0.1892293229681799</v>
      </c>
      <c r="S90" s="140">
        <v>0.2047991118818599</v>
      </c>
      <c r="T90" s="140">
        <v>0.21042128743876576</v>
      </c>
      <c r="U90" s="80"/>
    </row>
    <row r="91" spans="3:21">
      <c r="C91" s="380" t="s">
        <v>5</v>
      </c>
      <c r="D91" s="380"/>
      <c r="E91" s="382" t="s">
        <v>66</v>
      </c>
      <c r="F91" s="383"/>
      <c r="G91" s="383"/>
      <c r="H91" s="384"/>
      <c r="I91" s="153">
        <v>0.65447925531829565</v>
      </c>
      <c r="J91" s="153">
        <v>0.30631557744853716</v>
      </c>
      <c r="K91" s="153">
        <v>0.61140286790484211</v>
      </c>
      <c r="L91" s="153">
        <v>0.78220107972426911</v>
      </c>
      <c r="M91" s="153">
        <v>0.82826495844335435</v>
      </c>
      <c r="N91" s="153">
        <v>0.78736431633715254</v>
      </c>
      <c r="O91" s="153">
        <v>0.55745976484366278</v>
      </c>
      <c r="P91" s="153">
        <v>0.9068405033826038</v>
      </c>
      <c r="Q91" s="153">
        <v>1.3357547943507708</v>
      </c>
      <c r="R91" s="153">
        <v>1.9528372442695632</v>
      </c>
      <c r="S91" s="153">
        <v>1.507393917390986</v>
      </c>
      <c r="T91" s="153">
        <v>1.3673418598179656</v>
      </c>
      <c r="U91" s="80"/>
    </row>
    <row r="92" spans="3:21">
      <c r="C92" s="381"/>
      <c r="D92" s="381"/>
      <c r="E92" s="385" t="s">
        <v>67</v>
      </c>
      <c r="F92" s="386"/>
      <c r="G92" s="386"/>
      <c r="H92" s="387"/>
      <c r="I92" s="154">
        <v>0.64842554544161268</v>
      </c>
      <c r="J92" s="154">
        <v>0.32226023689126576</v>
      </c>
      <c r="K92" s="154">
        <v>0.52810246849731657</v>
      </c>
      <c r="L92" s="154">
        <v>0.54744312173779275</v>
      </c>
      <c r="M92" s="154">
        <v>0.89184716057178581</v>
      </c>
      <c r="N92" s="154">
        <v>0.70916160959742158</v>
      </c>
      <c r="O92" s="154">
        <v>0.83188392180127446</v>
      </c>
      <c r="P92" s="154">
        <v>1.0251380624011535</v>
      </c>
      <c r="Q92" s="154">
        <v>0.80619301693042333</v>
      </c>
      <c r="R92" s="154">
        <v>1.1967784529912007</v>
      </c>
      <c r="S92" s="154">
        <v>1.008568028098362</v>
      </c>
      <c r="T92" s="154">
        <v>0.85909120121826321</v>
      </c>
      <c r="U92" s="80"/>
    </row>
    <row r="93" spans="3:21">
      <c r="C93" s="60"/>
      <c r="D93" s="60"/>
      <c r="E93" s="388" t="s">
        <v>78</v>
      </c>
      <c r="F93" s="389"/>
      <c r="G93" s="389"/>
      <c r="H93" s="390"/>
      <c r="I93" s="155">
        <v>0.54035462120134381</v>
      </c>
      <c r="J93" s="155">
        <v>0.26855019740938813</v>
      </c>
      <c r="K93" s="155">
        <v>0.44008539041443046</v>
      </c>
      <c r="L93" s="155">
        <v>0.45620260144816061</v>
      </c>
      <c r="M93" s="155">
        <v>0.74320596714315479</v>
      </c>
      <c r="N93" s="155">
        <v>0.59096800799785132</v>
      </c>
      <c r="O93" s="155">
        <v>0.69323660150106203</v>
      </c>
      <c r="P93" s="155">
        <v>0.85428171866762792</v>
      </c>
      <c r="Q93" s="155">
        <v>0.67182751410868602</v>
      </c>
      <c r="R93" s="155">
        <v>0.9973153774926673</v>
      </c>
      <c r="S93" s="155">
        <v>0.84047335674863488</v>
      </c>
      <c r="T93" s="155">
        <v>0.71590933434855264</v>
      </c>
      <c r="U93" s="80"/>
    </row>
    <row r="94" spans="3:21" ht="16.5" customHeight="1">
      <c r="C94" s="377" t="s">
        <v>79</v>
      </c>
      <c r="D94" s="391"/>
      <c r="E94" s="396" t="s">
        <v>65</v>
      </c>
      <c r="F94" s="397"/>
      <c r="G94" s="397"/>
      <c r="H94" s="398"/>
      <c r="I94" s="153">
        <v>6.6599872368839061E-2</v>
      </c>
      <c r="J94" s="153">
        <v>3.4599026516045128E-2</v>
      </c>
      <c r="K94" s="153">
        <v>4.1020763410749936E-2</v>
      </c>
      <c r="L94" s="153">
        <v>7.1132553204923482E-2</v>
      </c>
      <c r="M94" s="153">
        <v>7.9283142927899758E-2</v>
      </c>
      <c r="N94" s="153">
        <v>7.9500811548533223E-2</v>
      </c>
      <c r="O94" s="153">
        <v>4.9271314150707547E-2</v>
      </c>
      <c r="P94" s="153">
        <v>0.10531203091869981</v>
      </c>
      <c r="Q94" s="153">
        <v>0.12809552086064821</v>
      </c>
      <c r="R94" s="153">
        <v>0.19853550657524904</v>
      </c>
      <c r="S94" s="153">
        <v>0.13408599746872535</v>
      </c>
      <c r="T94" s="153">
        <v>0.1483103847271294</v>
      </c>
      <c r="U94" s="80"/>
    </row>
    <row r="95" spans="3:21">
      <c r="C95" s="392"/>
      <c r="D95" s="393"/>
      <c r="E95" s="385" t="s">
        <v>67</v>
      </c>
      <c r="F95" s="386"/>
      <c r="G95" s="386"/>
      <c r="H95" s="387"/>
      <c r="I95" s="154">
        <v>6.5983846265843651E-2</v>
      </c>
      <c r="J95" s="154">
        <v>3.6400011302530434E-2</v>
      </c>
      <c r="K95" s="154">
        <v>3.5431901867089485E-2</v>
      </c>
      <c r="L95" s="154">
        <v>4.9783908502670317E-2</v>
      </c>
      <c r="M95" s="154">
        <v>8.5369355760678667E-2</v>
      </c>
      <c r="N95" s="154">
        <v>7.1604621027704068E-2</v>
      </c>
      <c r="O95" s="154">
        <v>7.3526407882527872E-2</v>
      </c>
      <c r="P95" s="154">
        <v>0.11905001036105828</v>
      </c>
      <c r="Q95" s="154">
        <v>7.7311880035671576E-2</v>
      </c>
      <c r="R95" s="154">
        <v>0.121670670262039</v>
      </c>
      <c r="S95" s="154">
        <v>8.9714339763756118E-2</v>
      </c>
      <c r="T95" s="154">
        <v>9.3182363761857456E-2</v>
      </c>
      <c r="U95" s="80"/>
    </row>
    <row r="96" spans="3:21">
      <c r="C96" s="394"/>
      <c r="D96" s="395"/>
      <c r="E96" s="399" t="s">
        <v>78</v>
      </c>
      <c r="F96" s="400"/>
      <c r="G96" s="400"/>
      <c r="H96" s="401"/>
      <c r="I96" s="155">
        <v>5.4986538554869714E-2</v>
      </c>
      <c r="J96" s="155">
        <v>3.0333342752108694E-2</v>
      </c>
      <c r="K96" s="155">
        <v>2.9526584889241238E-2</v>
      </c>
      <c r="L96" s="155">
        <v>4.1486590418891925E-2</v>
      </c>
      <c r="M96" s="155">
        <v>7.1141129800565556E-2</v>
      </c>
      <c r="N96" s="155">
        <v>5.9670517523086719E-2</v>
      </c>
      <c r="O96" s="155">
        <v>6.1272006568773241E-2</v>
      </c>
      <c r="P96" s="155">
        <v>9.9208341967548574E-2</v>
      </c>
      <c r="Q96" s="155">
        <v>6.4426566696392989E-2</v>
      </c>
      <c r="R96" s="155">
        <v>0.10139222521836583</v>
      </c>
      <c r="S96" s="155">
        <v>7.4761949803130098E-2</v>
      </c>
      <c r="T96" s="155">
        <v>7.7651969801547871E-2</v>
      </c>
      <c r="U96" s="80"/>
    </row>
    <row r="97" spans="3:21">
      <c r="C97" s="5" t="s">
        <v>81</v>
      </c>
      <c r="U97" s="80"/>
    </row>
    <row r="98" spans="3:21"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</row>
    <row r="99" spans="3:21"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</row>
    <row r="102" spans="3:21">
      <c r="O102" s="43"/>
      <c r="T102" s="43"/>
    </row>
    <row r="103" spans="3:21" hidden="1">
      <c r="I103" s="42"/>
      <c r="O103" s="43"/>
      <c r="T103" s="43"/>
    </row>
    <row r="104" spans="3:21" hidden="1">
      <c r="C104" t="s">
        <v>87</v>
      </c>
    </row>
    <row r="105" spans="3:21" hidden="1">
      <c r="D105" s="1"/>
      <c r="E105" s="41"/>
      <c r="F105" s="41"/>
      <c r="G105" s="41"/>
      <c r="H105" s="41"/>
      <c r="I105" s="41" t="s">
        <v>88</v>
      </c>
      <c r="J105" s="41" t="s">
        <v>90</v>
      </c>
      <c r="K105" s="41" t="s">
        <v>96</v>
      </c>
      <c r="L105" s="41" t="s">
        <v>57</v>
      </c>
    </row>
    <row r="106" spans="3:21" hidden="1">
      <c r="D106" s="1"/>
      <c r="E106" s="1" t="s">
        <v>89</v>
      </c>
      <c r="F106" s="1"/>
      <c r="G106" s="1"/>
      <c r="H106" s="1"/>
      <c r="I106" s="44">
        <f>+[2]실적!$S$33/100</f>
        <v>20214.508548020003</v>
      </c>
      <c r="J106" s="45">
        <f>[2]실적!$T$6/([2]실적!$S$33+[2]실적!$T$6)</f>
        <v>8.9114807860608783E-2</v>
      </c>
      <c r="K106" s="44">
        <f>+I106*J106</f>
        <v>1801.4120452534364</v>
      </c>
      <c r="L106" s="44">
        <f>[3]SUMMARY!$I$35*10</f>
        <v>17750.818817921601</v>
      </c>
    </row>
    <row r="107" spans="3:21" hidden="1">
      <c r="D107" s="1"/>
      <c r="E107" s="1"/>
      <c r="F107" s="1"/>
      <c r="G107" s="1"/>
      <c r="H107" s="1"/>
      <c r="I107" s="1"/>
      <c r="J107" s="1"/>
      <c r="K107" s="1"/>
      <c r="L107" s="1"/>
    </row>
    <row r="108" spans="3:21" hidden="1">
      <c r="C108" s="307" t="s">
        <v>16</v>
      </c>
      <c r="D108" s="308"/>
      <c r="E108" s="308"/>
      <c r="F108" s="308"/>
      <c r="G108" s="308"/>
      <c r="H108" s="308"/>
      <c r="I108" s="57" t="s">
        <v>48</v>
      </c>
      <c r="J108" s="57" t="s">
        <v>49</v>
      </c>
      <c r="K108" s="57" t="s">
        <v>50</v>
      </c>
      <c r="L108" s="57" t="s">
        <v>51</v>
      </c>
      <c r="M108" s="57" t="s">
        <v>17</v>
      </c>
      <c r="N108" s="57" t="s">
        <v>52</v>
      </c>
      <c r="O108" s="57" t="s">
        <v>15</v>
      </c>
      <c r="P108" s="57" t="s">
        <v>46</v>
      </c>
      <c r="Q108" s="57" t="s">
        <v>45</v>
      </c>
      <c r="R108" s="57" t="s">
        <v>44</v>
      </c>
      <c r="S108" s="57" t="s">
        <v>53</v>
      </c>
      <c r="T108" s="49" t="s">
        <v>47</v>
      </c>
    </row>
    <row r="109" spans="3:21" hidden="1">
      <c r="C109" s="309" t="s">
        <v>85</v>
      </c>
      <c r="D109" s="309"/>
      <c r="E109" s="309"/>
      <c r="F109" s="309"/>
      <c r="G109" s="309"/>
      <c r="H109" s="310"/>
      <c r="I109" s="50">
        <f>K106</f>
        <v>1801.4120452534364</v>
      </c>
      <c r="J109" s="51">
        <f t="shared" ref="J109:T109" si="0">+J72*J77</f>
        <v>12133.322336191604</v>
      </c>
      <c r="K109" s="51">
        <f t="shared" si="0"/>
        <v>4084.9278964837154</v>
      </c>
      <c r="L109" s="51">
        <f t="shared" si="0"/>
        <v>8342.2375258005795</v>
      </c>
      <c r="M109" s="51">
        <f t="shared" si="0"/>
        <v>6432.9802388648295</v>
      </c>
      <c r="N109" s="51">
        <f t="shared" si="0"/>
        <v>2416.806487985783</v>
      </c>
      <c r="O109" s="51">
        <f t="shared" si="0"/>
        <v>2664.0680886278442</v>
      </c>
      <c r="P109" s="51">
        <f t="shared" si="0"/>
        <v>14164.469060521918</v>
      </c>
      <c r="Q109" s="51">
        <f t="shared" si="0"/>
        <v>7965.4856869630521</v>
      </c>
      <c r="R109" s="51">
        <f t="shared" si="0"/>
        <v>9716.216178491557</v>
      </c>
      <c r="S109" s="51">
        <f t="shared" si="0"/>
        <v>7658.7090954634441</v>
      </c>
      <c r="T109" s="52">
        <f t="shared" si="0"/>
        <v>11604.855662360738</v>
      </c>
    </row>
    <row r="110" spans="3:21" hidden="1">
      <c r="C110" s="53" t="s">
        <v>91</v>
      </c>
      <c r="D110" s="54"/>
      <c r="E110" s="54"/>
      <c r="F110" s="54"/>
      <c r="G110" s="54"/>
      <c r="H110" s="54"/>
      <c r="I110" s="55">
        <f>+I106/(L106*150%)</f>
        <v>0.75919534587369786</v>
      </c>
      <c r="J110" s="55">
        <f>+J72/(J50*150%)</f>
        <v>0.32226023689126576</v>
      </c>
      <c r="K110" s="55">
        <f t="shared" ref="K110:T110" si="1">+K72/(K50*150%)</f>
        <v>0.52810246849731657</v>
      </c>
      <c r="L110" s="55">
        <f t="shared" si="1"/>
        <v>0.54744312173779275</v>
      </c>
      <c r="M110" s="55">
        <f t="shared" si="1"/>
        <v>0.89184716057178581</v>
      </c>
      <c r="N110" s="55">
        <f t="shared" si="1"/>
        <v>0.70916160959742158</v>
      </c>
      <c r="O110" s="55">
        <f t="shared" si="1"/>
        <v>0.83188392180127446</v>
      </c>
      <c r="P110" s="55">
        <f t="shared" si="1"/>
        <v>1.0251380624011535</v>
      </c>
      <c r="Q110" s="55">
        <f t="shared" si="1"/>
        <v>0.80619301693042333</v>
      </c>
      <c r="R110" s="55">
        <f t="shared" si="1"/>
        <v>1.1967784529912007</v>
      </c>
      <c r="S110" s="55">
        <f t="shared" si="1"/>
        <v>1.008568028098362</v>
      </c>
      <c r="T110" s="56">
        <f t="shared" si="1"/>
        <v>0.85909120121826321</v>
      </c>
    </row>
    <row r="111" spans="3:21" hidden="1">
      <c r="C111" s="1"/>
      <c r="D111" s="1"/>
      <c r="E111" s="1"/>
      <c r="F111" s="1"/>
      <c r="G111" s="46" t="s">
        <v>93</v>
      </c>
      <c r="H111" s="1"/>
      <c r="I111" s="47">
        <f>+I110</f>
        <v>0.75919534587369786</v>
      </c>
      <c r="J111" s="46"/>
      <c r="K111" s="46" t="s">
        <v>94</v>
      </c>
      <c r="L111" s="47">
        <f>AVERAGE(J110:O110)</f>
        <v>0.63844975318280939</v>
      </c>
      <c r="M111" s="46"/>
      <c r="N111" s="46" t="s">
        <v>95</v>
      </c>
      <c r="O111" s="47">
        <f>AVERAGE(P110:T110)</f>
        <v>0.97915375232788049</v>
      </c>
      <c r="P111" s="46"/>
      <c r="Q111" s="1"/>
      <c r="R111" s="1"/>
      <c r="S111" s="1"/>
      <c r="T111" s="1"/>
    </row>
    <row r="112" spans="3:21" hidden="1">
      <c r="C112" s="53" t="s">
        <v>92</v>
      </c>
      <c r="D112" s="54"/>
      <c r="E112" s="54"/>
      <c r="F112" s="54"/>
      <c r="G112" s="54"/>
      <c r="H112" s="54"/>
      <c r="I112" s="55">
        <f>+I109/(L106*150%)</f>
        <v>6.7655547376203024E-2</v>
      </c>
      <c r="J112" s="55">
        <f>J109/(J50*150%)</f>
        <v>3.355723775981341E-2</v>
      </c>
      <c r="K112" s="55">
        <f t="shared" ref="K112:T112" si="2">K109/(K50*150%)</f>
        <v>3.3734399032823201E-2</v>
      </c>
      <c r="L112" s="55">
        <f t="shared" si="2"/>
        <v>4.6605234793166833E-2</v>
      </c>
      <c r="M112" s="55">
        <f t="shared" si="2"/>
        <v>7.9651087282962552E-2</v>
      </c>
      <c r="N112" s="55">
        <f t="shared" si="2"/>
        <v>6.6563865540850836E-2</v>
      </c>
      <c r="O112" s="55">
        <f t="shared" si="2"/>
        <v>6.8955417828424306E-2</v>
      </c>
      <c r="P112" s="55">
        <f t="shared" si="2"/>
        <v>0.10951175225775014</v>
      </c>
      <c r="Q112" s="55">
        <f t="shared" si="2"/>
        <v>7.2124464176546416E-2</v>
      </c>
      <c r="R112" s="55">
        <f t="shared" si="2"/>
        <v>0.11305068357422746</v>
      </c>
      <c r="S112" s="55">
        <f t="shared" si="2"/>
        <v>8.4103449914909909E-2</v>
      </c>
      <c r="T112" s="56">
        <f t="shared" si="2"/>
        <v>8.6172278626181736E-2</v>
      </c>
    </row>
    <row r="113" spans="3:20" hidden="1">
      <c r="C113" s="1"/>
      <c r="D113" s="1"/>
      <c r="E113" s="1"/>
      <c r="F113" s="1"/>
      <c r="G113" s="46" t="s">
        <v>93</v>
      </c>
      <c r="H113" s="1"/>
      <c r="I113" s="47">
        <f>+I112</f>
        <v>6.7655547376203024E-2</v>
      </c>
      <c r="J113" s="46"/>
      <c r="K113" s="46" t="s">
        <v>94</v>
      </c>
      <c r="L113" s="47">
        <f>AVERAGE(J112:O112)</f>
        <v>5.4844540373006852E-2</v>
      </c>
      <c r="M113" s="46"/>
      <c r="N113" s="46" t="s">
        <v>95</v>
      </c>
      <c r="O113" s="47">
        <f>AVERAGE(P112:T112)</f>
        <v>9.2992525709923141E-2</v>
      </c>
      <c r="P113" s="1"/>
      <c r="Q113" s="1"/>
      <c r="R113" s="1"/>
      <c r="S113" s="1"/>
      <c r="T113" s="1"/>
    </row>
  </sheetData>
  <mergeCells count="153">
    <mergeCell ref="C108:H108"/>
    <mergeCell ref="C109:H109"/>
    <mergeCell ref="C91:D92"/>
    <mergeCell ref="E91:H91"/>
    <mergeCell ref="E92:H92"/>
    <mergeCell ref="E93:H93"/>
    <mergeCell ref="C94:D96"/>
    <mergeCell ref="E94:H94"/>
    <mergeCell ref="E95:H95"/>
    <mergeCell ref="E96:H96"/>
    <mergeCell ref="J81:J82"/>
    <mergeCell ref="P81:P82"/>
    <mergeCell ref="F82:H82"/>
    <mergeCell ref="C88:H88"/>
    <mergeCell ref="C89:H89"/>
    <mergeCell ref="C90:H90"/>
    <mergeCell ref="C74:H74"/>
    <mergeCell ref="C75:H75"/>
    <mergeCell ref="C76:H76"/>
    <mergeCell ref="C77:H77"/>
    <mergeCell ref="C78:H78"/>
    <mergeCell ref="C79:E82"/>
    <mergeCell ref="F79:H79"/>
    <mergeCell ref="F80:H80"/>
    <mergeCell ref="F81:H81"/>
    <mergeCell ref="C63:H63"/>
    <mergeCell ref="C64:H64"/>
    <mergeCell ref="C65:H65"/>
    <mergeCell ref="C71:H71"/>
    <mergeCell ref="C72:H72"/>
    <mergeCell ref="C73:H73"/>
    <mergeCell ref="D58:H58"/>
    <mergeCell ref="D59:E60"/>
    <mergeCell ref="F59:H59"/>
    <mergeCell ref="F60:H60"/>
    <mergeCell ref="C61:H61"/>
    <mergeCell ref="C62:H62"/>
    <mergeCell ref="C47:H47"/>
    <mergeCell ref="C48:H48"/>
    <mergeCell ref="C49:H49"/>
    <mergeCell ref="C50:H50"/>
    <mergeCell ref="C56:H56"/>
    <mergeCell ref="C57:H57"/>
    <mergeCell ref="D41:H41"/>
    <mergeCell ref="I41:J41"/>
    <mergeCell ref="K41:L41"/>
    <mergeCell ref="M41:N41"/>
    <mergeCell ref="O41:P41"/>
    <mergeCell ref="Q41:R41"/>
    <mergeCell ref="D40:H40"/>
    <mergeCell ref="I40:J40"/>
    <mergeCell ref="K40:L40"/>
    <mergeCell ref="M40:N40"/>
    <mergeCell ref="O40:P40"/>
    <mergeCell ref="Q40:R40"/>
    <mergeCell ref="D39:H39"/>
    <mergeCell ref="I39:J39"/>
    <mergeCell ref="K39:L39"/>
    <mergeCell ref="M39:N39"/>
    <mergeCell ref="O39:P39"/>
    <mergeCell ref="Q39:R39"/>
    <mergeCell ref="D38:H38"/>
    <mergeCell ref="I38:J38"/>
    <mergeCell ref="K38:L38"/>
    <mergeCell ref="M38:N38"/>
    <mergeCell ref="O38:P38"/>
    <mergeCell ref="Q38:R38"/>
    <mergeCell ref="D37:H37"/>
    <mergeCell ref="I37:J37"/>
    <mergeCell ref="K37:L37"/>
    <mergeCell ref="M37:N37"/>
    <mergeCell ref="O37:P37"/>
    <mergeCell ref="Q37:R37"/>
    <mergeCell ref="D36:H36"/>
    <mergeCell ref="I36:J36"/>
    <mergeCell ref="K36:L36"/>
    <mergeCell ref="M36:N36"/>
    <mergeCell ref="O36:P36"/>
    <mergeCell ref="Q36:R36"/>
    <mergeCell ref="D35:H35"/>
    <mergeCell ref="I35:J35"/>
    <mergeCell ref="K35:L35"/>
    <mergeCell ref="M35:N35"/>
    <mergeCell ref="O35:P35"/>
    <mergeCell ref="Q35:R35"/>
    <mergeCell ref="D34:H34"/>
    <mergeCell ref="I34:J34"/>
    <mergeCell ref="K34:L34"/>
    <mergeCell ref="M34:N34"/>
    <mergeCell ref="O34:P34"/>
    <mergeCell ref="Q34:R34"/>
    <mergeCell ref="D33:H33"/>
    <mergeCell ref="I33:J33"/>
    <mergeCell ref="K33:L33"/>
    <mergeCell ref="M33:N33"/>
    <mergeCell ref="O33:P33"/>
    <mergeCell ref="Q33:R33"/>
    <mergeCell ref="D32:H32"/>
    <mergeCell ref="I32:J32"/>
    <mergeCell ref="K32:L32"/>
    <mergeCell ref="M32:N32"/>
    <mergeCell ref="O32:P32"/>
    <mergeCell ref="Q32:R32"/>
    <mergeCell ref="D31:H31"/>
    <mergeCell ref="I31:J31"/>
    <mergeCell ref="K31:L31"/>
    <mergeCell ref="M31:N31"/>
    <mergeCell ref="O31:P31"/>
    <mergeCell ref="Q31:R31"/>
    <mergeCell ref="D30:H30"/>
    <mergeCell ref="I30:J30"/>
    <mergeCell ref="K30:L30"/>
    <mergeCell ref="M30:N30"/>
    <mergeCell ref="O30:P30"/>
    <mergeCell ref="Q30:R30"/>
    <mergeCell ref="D29:H29"/>
    <mergeCell ref="I29:J29"/>
    <mergeCell ref="K29:L29"/>
    <mergeCell ref="M29:N29"/>
    <mergeCell ref="O29:P29"/>
    <mergeCell ref="Q29:R29"/>
    <mergeCell ref="D28:H28"/>
    <mergeCell ref="I28:J28"/>
    <mergeCell ref="K28:L28"/>
    <mergeCell ref="M28:N28"/>
    <mergeCell ref="O28:P28"/>
    <mergeCell ref="Q28:R28"/>
    <mergeCell ref="O25:P26"/>
    <mergeCell ref="Q25:R26"/>
    <mergeCell ref="C27:H27"/>
    <mergeCell ref="I27:J27"/>
    <mergeCell ref="K27:L27"/>
    <mergeCell ref="M27:N27"/>
    <mergeCell ref="O27:P27"/>
    <mergeCell ref="Q27:R27"/>
    <mergeCell ref="C19:H19"/>
    <mergeCell ref="C20:H20"/>
    <mergeCell ref="C25:H26"/>
    <mergeCell ref="I25:J26"/>
    <mergeCell ref="K25:L26"/>
    <mergeCell ref="M25:N26"/>
    <mergeCell ref="C13:H13"/>
    <mergeCell ref="C14:H14"/>
    <mergeCell ref="C15:H15"/>
    <mergeCell ref="C16:H16"/>
    <mergeCell ref="C17:H17"/>
    <mergeCell ref="C18:H18"/>
    <mergeCell ref="C7:H7"/>
    <mergeCell ref="C8:H8"/>
    <mergeCell ref="C9:H9"/>
    <mergeCell ref="C10:H10"/>
    <mergeCell ref="C11:H11"/>
    <mergeCell ref="C12:H12"/>
  </mergeCells>
  <phoneticPr fontId="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8" orientation="landscape" r:id="rId1"/>
  <rowBreaks count="1" manualBreakCount="1">
    <brk id="4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B2:U113"/>
  <sheetViews>
    <sheetView showGridLines="0" zoomScaleNormal="100" zoomScaleSheetLayoutView="100" workbookViewId="0">
      <selection activeCell="M28" sqref="M28:N28"/>
    </sheetView>
  </sheetViews>
  <sheetFormatPr defaultRowHeight="16.5"/>
  <cols>
    <col min="1" max="1" width="2" customWidth="1"/>
    <col min="2" max="2" width="1.5" customWidth="1"/>
    <col min="3" max="8" width="3.875" customWidth="1"/>
    <col min="9" max="20" width="12.25" customWidth="1"/>
    <col min="22" max="22" width="9.75" bestFit="1" customWidth="1"/>
  </cols>
  <sheetData>
    <row r="2" spans="2:21" ht="10.5" customHeight="1"/>
    <row r="3" spans="2:21" ht="16.5" customHeight="1">
      <c r="C3" s="4" t="s">
        <v>106</v>
      </c>
      <c r="S3" s="41" t="s">
        <v>97</v>
      </c>
    </row>
    <row r="4" spans="2:21" ht="16.5" customHeight="1"/>
    <row r="5" spans="2:21" ht="16.5" customHeight="1">
      <c r="C5" s="3" t="s">
        <v>19</v>
      </c>
    </row>
    <row r="6" spans="2:21" ht="16.5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P6" s="1"/>
      <c r="Q6" s="1"/>
      <c r="T6" s="9" t="s">
        <v>18</v>
      </c>
    </row>
    <row r="7" spans="2:21" ht="16.5" customHeight="1">
      <c r="B7" s="1"/>
      <c r="C7" s="288" t="s">
        <v>16</v>
      </c>
      <c r="D7" s="288"/>
      <c r="E7" s="288"/>
      <c r="F7" s="288"/>
      <c r="G7" s="288"/>
      <c r="H7" s="289"/>
      <c r="I7" s="19" t="s">
        <v>48</v>
      </c>
      <c r="J7" s="15" t="s">
        <v>49</v>
      </c>
      <c r="K7" s="15" t="s">
        <v>50</v>
      </c>
      <c r="L7" s="15" t="s">
        <v>51</v>
      </c>
      <c r="M7" s="15" t="s">
        <v>17</v>
      </c>
      <c r="N7" s="15" t="s">
        <v>52</v>
      </c>
      <c r="O7" s="27" t="s">
        <v>15</v>
      </c>
      <c r="P7" s="27" t="s">
        <v>46</v>
      </c>
      <c r="Q7" s="27" t="s">
        <v>45</v>
      </c>
      <c r="R7" s="27" t="s">
        <v>44</v>
      </c>
      <c r="S7" s="27" t="s">
        <v>53</v>
      </c>
      <c r="T7" s="12" t="s">
        <v>47</v>
      </c>
      <c r="U7" s="1"/>
    </row>
    <row r="8" spans="2:21" ht="16.5" customHeight="1">
      <c r="B8" s="1"/>
      <c r="C8" s="290" t="s">
        <v>54</v>
      </c>
      <c r="D8" s="290"/>
      <c r="E8" s="290"/>
      <c r="F8" s="290"/>
      <c r="G8" s="290"/>
      <c r="H8" s="291"/>
      <c r="I8" s="20">
        <f>'2512'!I8-'2309'!I8</f>
        <v>7441.2219613100169</v>
      </c>
      <c r="J8" s="16">
        <f>'2512'!J8-'2309'!J8</f>
        <v>484506.35999999987</v>
      </c>
      <c r="K8" s="16">
        <f>'2512'!K8-'2309'!K8</f>
        <v>233669.53061939008</v>
      </c>
      <c r="L8" s="16">
        <f>'2512'!L8-'2309'!L8</f>
        <v>163869.63709745021</v>
      </c>
      <c r="M8" s="16">
        <f>'2512'!M8-'2309'!M8</f>
        <v>33015.409999999916</v>
      </c>
      <c r="N8" s="16">
        <f>'2512'!N8-'2309'!N8</f>
        <v>44213.474883610033</v>
      </c>
      <c r="O8" s="16">
        <f>'2512'!O8-'2309'!O8</f>
        <v>58382.450000000012</v>
      </c>
      <c r="P8" s="16">
        <f>'2512'!P8-'2309'!P8</f>
        <v>144612.23688791005</v>
      </c>
      <c r="Q8" s="16">
        <f>'2512'!Q8-'2309'!Q8</f>
        <v>81060.702754459984</v>
      </c>
      <c r="R8" s="16">
        <f>'2512'!R8-'2309'!R8</f>
        <v>84306.732445629954</v>
      </c>
      <c r="S8" s="16">
        <f>'2512'!S8-'2309'!S8</f>
        <v>96128.549999999988</v>
      </c>
      <c r="T8" s="20">
        <f>'2512'!T8-'2309'!T8</f>
        <v>148487.97352401004</v>
      </c>
      <c r="U8" s="1"/>
    </row>
    <row r="9" spans="2:21" ht="16.5" customHeight="1">
      <c r="C9" s="294" t="s">
        <v>0</v>
      </c>
      <c r="D9" s="294"/>
      <c r="E9" s="294"/>
      <c r="F9" s="294"/>
      <c r="G9" s="294"/>
      <c r="H9" s="295"/>
      <c r="I9" s="23">
        <f>'2512'!I9-'2309'!I9</f>
        <v>9361.455854710046</v>
      </c>
      <c r="J9" s="17">
        <f>'2512'!J9-'2309'!J9</f>
        <v>24204.909999999974</v>
      </c>
      <c r="K9" s="17">
        <f>'2512'!K9-'2309'!K9</f>
        <v>33663.062943850004</v>
      </c>
      <c r="L9" s="17">
        <f>'2512'!L9-'2309'!L9</f>
        <v>49456.759163839975</v>
      </c>
      <c r="M9" s="17">
        <f>'2512'!M9-'2309'!M9</f>
        <v>17200.180000000008</v>
      </c>
      <c r="N9" s="17">
        <f>'2512'!N9-'2309'!N9</f>
        <v>-5291.4140020299965</v>
      </c>
      <c r="O9" s="17">
        <f>'2512'!O9-'2309'!O9</f>
        <v>12709.569999999992</v>
      </c>
      <c r="P9" s="17">
        <f>'2512'!P9-'2309'!P9</f>
        <v>21146.376361980016</v>
      </c>
      <c r="Q9" s="17">
        <f>'2512'!Q9-'2309'!Q9</f>
        <v>3010.1481063499959</v>
      </c>
      <c r="R9" s="17">
        <f>'2512'!R9-'2309'!R9</f>
        <v>1879.4216465299978</v>
      </c>
      <c r="S9" s="17">
        <f>'2512'!S9-'2309'!S9</f>
        <v>1145.5199999999895</v>
      </c>
      <c r="T9" s="23">
        <f>'2512'!T9-'2309'!T9</f>
        <v>73212.649657000002</v>
      </c>
      <c r="U9" s="2"/>
    </row>
    <row r="10" spans="2:21" ht="16.5" customHeight="1">
      <c r="C10" s="294" t="s">
        <v>21</v>
      </c>
      <c r="D10" s="294"/>
      <c r="E10" s="294"/>
      <c r="F10" s="294"/>
      <c r="G10" s="294"/>
      <c r="H10" s="295"/>
      <c r="I10" s="29">
        <f>'2512'!I10-'2309'!I10</f>
        <v>1.7202124685769649E-2</v>
      </c>
      <c r="J10" s="30">
        <f>'2512'!J10-'2309'!J10</f>
        <v>-1.3584748080363099E-2</v>
      </c>
      <c r="K10" s="30">
        <f>'2512'!K10-'2309'!K10</f>
        <v>-2.7346136203448335E-2</v>
      </c>
      <c r="L10" s="30">
        <f>'2512'!L10-'2309'!L10</f>
        <v>6.7173376708375976E-3</v>
      </c>
      <c r="M10" s="30">
        <f>'2512'!M10-'2309'!M10</f>
        <v>1.7513290384874508E-2</v>
      </c>
      <c r="N10" s="30">
        <f>'2512'!N10-'2309'!N10</f>
        <v>-3.8910118806481625E-2</v>
      </c>
      <c r="O10" s="30">
        <f>'2512'!O10-'2309'!O10</f>
        <v>-8.8722189810623298E-3</v>
      </c>
      <c r="P10" s="30">
        <f>'2512'!P10-'2309'!P10</f>
        <v>1.9656041365959942E-3</v>
      </c>
      <c r="Q10" s="30">
        <f>'2512'!Q10-'2309'!Q10</f>
        <v>-2.8289110085506886E-2</v>
      </c>
      <c r="R10" s="30">
        <f>'2512'!R10-'2309'!R10</f>
        <v>-3.5031243247041433E-2</v>
      </c>
      <c r="S10" s="30">
        <f>'2512'!S10-'2309'!S10</f>
        <v>-5.407950462630029E-2</v>
      </c>
      <c r="T10" s="29">
        <f>'2512'!T10-'2309'!T10</f>
        <v>6.4893707840672971E-2</v>
      </c>
      <c r="U10" s="2"/>
    </row>
    <row r="11" spans="2:21" ht="16.5" customHeight="1">
      <c r="C11" s="294" t="s">
        <v>1</v>
      </c>
      <c r="D11" s="294"/>
      <c r="E11" s="294"/>
      <c r="F11" s="294"/>
      <c r="G11" s="294"/>
      <c r="H11" s="295"/>
      <c r="I11" s="23">
        <f>'2512'!I11-'2309'!I11</f>
        <v>6308.3533681200061</v>
      </c>
      <c r="J11" s="17">
        <f>'2512'!J11-'2309'!J11</f>
        <v>445397.56000000006</v>
      </c>
      <c r="K11" s="17">
        <f>'2512'!K11-'2309'!K11</f>
        <v>148902.88790431008</v>
      </c>
      <c r="L11" s="17">
        <f>'2512'!L11-'2309'!L11</f>
        <v>124561.51225332002</v>
      </c>
      <c r="M11" s="17">
        <f>'2512'!M11-'2309'!M11</f>
        <v>23543.260000000009</v>
      </c>
      <c r="N11" s="17">
        <f>'2512'!N11-'2309'!N11</f>
        <v>59294.789091440005</v>
      </c>
      <c r="O11" s="17">
        <f>'2512'!O11-'2309'!O11</f>
        <v>42197.5</v>
      </c>
      <c r="P11" s="17">
        <f>'2512'!P11-'2309'!P11</f>
        <v>82634.346283669991</v>
      </c>
      <c r="Q11" s="17">
        <f>'2512'!Q11-'2309'!Q11</f>
        <v>74456.16258276999</v>
      </c>
      <c r="R11" s="17">
        <f>'2512'!R11-'2309'!R11</f>
        <v>71434.20765034997</v>
      </c>
      <c r="S11" s="17">
        <f>'2512'!S11-'2309'!S11</f>
        <v>57179.800000000017</v>
      </c>
      <c r="T11" s="23">
        <f>'2512'!T11-'2309'!T11</f>
        <v>20499.319464120024</v>
      </c>
      <c r="U11" s="2"/>
    </row>
    <row r="12" spans="2:21" ht="16.5" customHeight="1">
      <c r="C12" s="292" t="s">
        <v>2</v>
      </c>
      <c r="D12" s="292"/>
      <c r="E12" s="292"/>
      <c r="F12" s="292"/>
      <c r="G12" s="292"/>
      <c r="H12" s="293"/>
      <c r="I12" s="24">
        <f>'2512'!I12-'2309'!I12</f>
        <v>-14212.935169360004</v>
      </c>
      <c r="J12" s="18">
        <f>'2512'!J12-'2309'!J12</f>
        <v>-88398.289999999979</v>
      </c>
      <c r="K12" s="18">
        <f>'2512'!K12-'2309'!K12</f>
        <v>2.2387619700166397</v>
      </c>
      <c r="L12" s="18">
        <f>'2512'!L12-'2309'!L12</f>
        <v>-17673.623350949958</v>
      </c>
      <c r="M12" s="18">
        <f>'2512'!M12-'2309'!M12</f>
        <v>-51415.649999999994</v>
      </c>
      <c r="N12" s="18">
        <f>'2512'!N12-'2309'!N12</f>
        <v>-14388.214867310002</v>
      </c>
      <c r="O12" s="18">
        <f>'2512'!O12-'2309'!O12</f>
        <v>-1791.3700000000026</v>
      </c>
      <c r="P12" s="18">
        <f>'2512'!P12-'2309'!P12</f>
        <v>8441.2315356600448</v>
      </c>
      <c r="Q12" s="18">
        <f>'2512'!Q12-'2309'!Q12</f>
        <v>-6465.8452317799965</v>
      </c>
      <c r="R12" s="18">
        <f>'2512'!R12-'2309'!R12</f>
        <v>-2101.1542421799986</v>
      </c>
      <c r="S12" s="18">
        <f>'2512'!S12-'2309'!S12</f>
        <v>20715.190000000002</v>
      </c>
      <c r="T12" s="24">
        <f>'2512'!T12-'2309'!T12</f>
        <v>49127.935110250008</v>
      </c>
      <c r="U12" s="2"/>
    </row>
    <row r="13" spans="2:21" ht="16.5" customHeight="1">
      <c r="C13" s="290" t="s">
        <v>20</v>
      </c>
      <c r="D13" s="290"/>
      <c r="E13" s="290"/>
      <c r="F13" s="290"/>
      <c r="G13" s="290"/>
      <c r="H13" s="291"/>
      <c r="I13" s="20">
        <f>'2512'!I13-'2309'!I13</f>
        <v>12778.966029209958</v>
      </c>
      <c r="J13" s="16">
        <f>'2512'!J13-'2309'!J13</f>
        <v>300730.03000000026</v>
      </c>
      <c r="K13" s="16">
        <f>'2512'!K13-'2309'!K13</f>
        <v>261714.82418301003</v>
      </c>
      <c r="L13" s="16">
        <f>'2512'!L13-'2309'!L13</f>
        <v>164458.04014563002</v>
      </c>
      <c r="M13" s="16">
        <f>'2512'!M13-'2309'!M13</f>
        <v>57586.900000000023</v>
      </c>
      <c r="N13" s="16">
        <f>'2512'!N13-'2309'!N13</f>
        <v>61575.653279800026</v>
      </c>
      <c r="O13" s="16">
        <f>'2512'!O13-'2309'!O13</f>
        <v>73850.130000000034</v>
      </c>
      <c r="P13" s="16">
        <f>'2512'!P13-'2309'!P13</f>
        <v>84549.159123019897</v>
      </c>
      <c r="Q13" s="16">
        <f>'2512'!Q13-'2309'!Q13</f>
        <v>98882.243103849934</v>
      </c>
      <c r="R13" s="16">
        <f>'2512'!R13-'2309'!R13</f>
        <v>78434.564236239938</v>
      </c>
      <c r="S13" s="16">
        <f>'2512'!S13-'2309'!S13</f>
        <v>99884.669999999984</v>
      </c>
      <c r="T13" s="20">
        <f>'2512'!T13-'2309'!T13</f>
        <v>134551.42463955004</v>
      </c>
      <c r="U13" s="2"/>
    </row>
    <row r="14" spans="2:21" ht="16.5" customHeight="1">
      <c r="C14" s="237" t="s">
        <v>3</v>
      </c>
      <c r="D14" s="237"/>
      <c r="E14" s="237"/>
      <c r="F14" s="237"/>
      <c r="G14" s="237"/>
      <c r="H14" s="238"/>
      <c r="I14" s="21">
        <f>'2512'!I14-'2309'!I14</f>
        <v>28243.276342320023</v>
      </c>
      <c r="J14" s="25">
        <f>'2512'!J14-'2309'!J14</f>
        <v>243056.09000000008</v>
      </c>
      <c r="K14" s="25">
        <f>'2512'!K14-'2309'!K14</f>
        <v>168344</v>
      </c>
      <c r="L14" s="25">
        <f>'2512'!L14-'2309'!L14</f>
        <v>152015.58999999997</v>
      </c>
      <c r="M14" s="25">
        <f>'2512'!M14-'2309'!M14</f>
        <v>57649.56</v>
      </c>
      <c r="N14" s="25">
        <f>'2512'!N14-'2309'!N14</f>
        <v>39341.580000000016</v>
      </c>
      <c r="O14" s="25">
        <f>'2512'!O14-'2309'!O14</f>
        <v>70752.74000000002</v>
      </c>
      <c r="P14" s="25">
        <f>'2512'!P14-'2309'!P14</f>
        <v>-30084.389999999985</v>
      </c>
      <c r="Q14" s="25">
        <f>'2512'!Q14-'2309'!Q14</f>
        <v>39796.263885099994</v>
      </c>
      <c r="R14" s="25">
        <f>'2512'!R14-'2309'!R14</f>
        <v>41182.720000000008</v>
      </c>
      <c r="S14" s="25">
        <f>'2512'!S14-'2309'!S14</f>
        <v>35813.660000000003</v>
      </c>
      <c r="T14" s="21">
        <f>'2512'!T14-'2309'!T14</f>
        <v>52416.42</v>
      </c>
      <c r="U14" s="2"/>
    </row>
    <row r="15" spans="2:21" ht="16.5" customHeight="1">
      <c r="C15" s="237" t="s">
        <v>5</v>
      </c>
      <c r="D15" s="237"/>
      <c r="E15" s="237"/>
      <c r="F15" s="237"/>
      <c r="G15" s="237"/>
      <c r="H15" s="238"/>
      <c r="I15" s="21">
        <f>'2512'!I15-'2309'!I15</f>
        <v>1144.3912004699996</v>
      </c>
      <c r="J15" s="28">
        <f>'2512'!J15-'2309'!J15</f>
        <v>15658.799999999988</v>
      </c>
      <c r="K15" s="25">
        <f>'2512'!K15-'2309'!K15</f>
        <v>1161.2200000000012</v>
      </c>
      <c r="L15" s="25">
        <f>'2512'!L15-'2309'!L15</f>
        <v>-10854.62999999999</v>
      </c>
      <c r="M15" s="25">
        <f>'2512'!M15-'2309'!M15</f>
        <v>3507.75</v>
      </c>
      <c r="N15" s="25">
        <f>'2512'!N15-'2309'!N15</f>
        <v>-1177.3499999999985</v>
      </c>
      <c r="O15" s="25">
        <f>'2512'!O15-'2309'!O15</f>
        <v>498.20999999999913</v>
      </c>
      <c r="P15" s="25">
        <f>'2512'!P15-'2309'!P15</f>
        <v>9083.2300000000105</v>
      </c>
      <c r="Q15" s="25">
        <f>'2512'!Q15-'2309'!Q15</f>
        <v>741.79476322000846</v>
      </c>
      <c r="R15" s="25">
        <f>'2512'!R15-'2309'!R15</f>
        <v>8179.0400000000081</v>
      </c>
      <c r="S15" s="25">
        <f>'2512'!S15-'2309'!S15</f>
        <v>1007.1399999999994</v>
      </c>
      <c r="T15" s="21">
        <f>'2512'!T15-'2309'!T15</f>
        <v>6359.2699999999895</v>
      </c>
      <c r="U15" s="2"/>
    </row>
    <row r="16" spans="2:21" ht="16.5" customHeight="1">
      <c r="C16" s="237" t="s">
        <v>21</v>
      </c>
      <c r="D16" s="237"/>
      <c r="E16" s="237"/>
      <c r="F16" s="237"/>
      <c r="G16" s="237"/>
      <c r="H16" s="238"/>
      <c r="I16" s="31">
        <f>'2512'!I17-'2309'!I16</f>
        <v>9.5962532942020506E-4</v>
      </c>
      <c r="J16" s="31">
        <f>'2512'!J17-'2309'!J16</f>
        <v>-8.8483471802763836E-6</v>
      </c>
      <c r="K16" s="31">
        <f>'2512'!K17-'2309'!K16</f>
        <v>-1.3757420044037572E-2</v>
      </c>
      <c r="L16" s="31">
        <f>'2512'!L17-'2309'!L16</f>
        <v>-2.426324224105178E-2</v>
      </c>
      <c r="M16" s="31">
        <f>'2512'!M17-'2309'!M16</f>
        <v>-9.8367152495944243E-3</v>
      </c>
      <c r="N16" s="31">
        <f>'2512'!N17-'2309'!N16</f>
        <v>-2.0475441610200693E-2</v>
      </c>
      <c r="O16" s="31">
        <f>'2512'!O17-'2309'!O16</f>
        <v>-3.0790524592542001E-2</v>
      </c>
      <c r="P16" s="31">
        <f>'2512'!P17-'2309'!P16</f>
        <v>-1.1255419305571918E-2</v>
      </c>
      <c r="Q16" s="31">
        <f>'2512'!Q17-'2309'!Q16</f>
        <v>-5.4741631038104116E-2</v>
      </c>
      <c r="R16" s="31">
        <f>'2512'!R17-'2309'!R16</f>
        <v>-4.7496488439454421E-2</v>
      </c>
      <c r="S16" s="31">
        <f>'2512'!S17-'2309'!S16</f>
        <v>-7.7663478602688685E-2</v>
      </c>
      <c r="T16" s="31">
        <f>'2512'!T17-'2309'!T16</f>
        <v>-7.4188974929702084E-2</v>
      </c>
      <c r="U16" s="2"/>
    </row>
    <row r="17" spans="3:21" ht="16.5" customHeight="1">
      <c r="C17" s="325" t="s">
        <v>4</v>
      </c>
      <c r="D17" s="325"/>
      <c r="E17" s="325"/>
      <c r="F17" s="325"/>
      <c r="G17" s="325"/>
      <c r="H17" s="326"/>
      <c r="I17" s="22">
        <f>'2512'!I18-'2309'!I17</f>
        <v>109.44501044000026</v>
      </c>
      <c r="J17" s="26">
        <f>'2512'!J18-'2309'!J17</f>
        <v>147</v>
      </c>
      <c r="K17" s="26">
        <f>'2512'!K18-'2309'!K17</f>
        <v>1588.7800000000007</v>
      </c>
      <c r="L17" s="26">
        <f>'2512'!L18-'2309'!L17</f>
        <v>3437.59</v>
      </c>
      <c r="M17" s="26">
        <f>'2512'!M18-'2309'!M17</f>
        <v>2549.83</v>
      </c>
      <c r="N17" s="26">
        <f>'2512'!N18-'2309'!N17</f>
        <v>242.35000000000036</v>
      </c>
      <c r="O17" s="26">
        <f>'2512'!O18-'2309'!O17</f>
        <v>939.47000000000025</v>
      </c>
      <c r="P17" s="26">
        <f>'2512'!P18-'2309'!P17</f>
        <v>4271.4599999999991</v>
      </c>
      <c r="Q17" s="26">
        <f>'2512'!Q18-'2309'!Q17</f>
        <v>2237.2979044899985</v>
      </c>
      <c r="R17" s="26">
        <f>'2512'!R18-'2309'!R17</f>
        <v>-3808.75</v>
      </c>
      <c r="S17" s="26">
        <f>'2512'!S18-'2309'!S17</f>
        <v>3610.83</v>
      </c>
      <c r="T17" s="22">
        <f>'2512'!T18-'2309'!T17</f>
        <v>2874.8399999999983</v>
      </c>
      <c r="U17" s="2"/>
    </row>
    <row r="18" spans="3:21" ht="16.5" customHeight="1">
      <c r="C18" s="290" t="s">
        <v>29</v>
      </c>
      <c r="D18" s="290"/>
      <c r="E18" s="290"/>
      <c r="F18" s="290"/>
      <c r="G18" s="290"/>
      <c r="H18" s="291"/>
      <c r="I18" s="20">
        <f>'2512'!I19-'2309'!I18</f>
        <v>-5337.7440678999992</v>
      </c>
      <c r="J18" s="16">
        <f>'2512'!J19-'2309'!J18</f>
        <v>183776.33000000002</v>
      </c>
      <c r="K18" s="16">
        <f>'2512'!K19-'2309'!K18</f>
        <v>-50102.555645949986</v>
      </c>
      <c r="L18" s="16">
        <f>'2512'!L19-'2309'!L18</f>
        <v>-31272.933048180013</v>
      </c>
      <c r="M18" s="16">
        <f>'2512'!M19-'2309'!M18</f>
        <v>-24571.489999999991</v>
      </c>
      <c r="N18" s="16">
        <f>'2512'!N19-'2309'!N18</f>
        <v>-17362.17839619</v>
      </c>
      <c r="O18" s="16">
        <f>'2512'!O19-'2309'!O18</f>
        <v>-15965.68</v>
      </c>
      <c r="P18" s="16">
        <f>'2512'!P19-'2309'!P18</f>
        <v>60063.077764889982</v>
      </c>
      <c r="Q18" s="16">
        <f>'2512'!Q19-'2309'!Q18</f>
        <v>-17821.540349390001</v>
      </c>
      <c r="R18" s="16">
        <f>'2512'!R19-'2309'!R18</f>
        <v>4080.2196780999948</v>
      </c>
      <c r="S18" s="16">
        <f>'2512'!S19-'2309'!S18</f>
        <v>-3756.1200000000026</v>
      </c>
      <c r="T18" s="20">
        <f>'2512'!T19-'2309'!T18</f>
        <v>5286.4888445999968</v>
      </c>
      <c r="U18" s="2"/>
    </row>
    <row r="19" spans="3:21" ht="16.5" customHeight="1">
      <c r="C19" s="294" t="s">
        <v>8</v>
      </c>
      <c r="D19" s="294"/>
      <c r="E19" s="294"/>
      <c r="F19" s="294"/>
      <c r="G19" s="294"/>
      <c r="H19" s="295"/>
      <c r="I19" s="23">
        <f>'2512'!I22-'2309'!I19</f>
        <v>3203.5685616400006</v>
      </c>
      <c r="J19" s="17">
        <f>'2512'!J22-'2309'!J19</f>
        <v>21418.290000000008</v>
      </c>
      <c r="K19" s="17">
        <f>'2512'!K22-'2309'!K19</f>
        <v>11857.502718139993</v>
      </c>
      <c r="L19" s="17">
        <f>'2512'!L22-'2309'!L19</f>
        <v>8463.8062265099943</v>
      </c>
      <c r="M19" s="17">
        <f>'2512'!M22-'2309'!M19</f>
        <v>3872.9400000000023</v>
      </c>
      <c r="N19" s="17">
        <f>'2512'!N22-'2309'!N19</f>
        <v>3210.8456744300001</v>
      </c>
      <c r="O19" s="17">
        <f>'2512'!O22-'2309'!O19</f>
        <v>-26063.379999999997</v>
      </c>
      <c r="P19" s="17">
        <f>'2512'!P22-'2309'!P19</f>
        <v>22256.291713330007</v>
      </c>
      <c r="Q19" s="17">
        <f>'2512'!Q22-'2309'!Q19</f>
        <v>14678.193123670004</v>
      </c>
      <c r="R19" s="17">
        <f>'2512'!R22-'2309'!R19</f>
        <v>19937.473470769997</v>
      </c>
      <c r="S19" s="17">
        <f>'2512'!S22-'2309'!S19</f>
        <v>13877.809999999998</v>
      </c>
      <c r="T19" s="23">
        <f>'2512'!T22-'2309'!T19</f>
        <v>28726.493523789992</v>
      </c>
      <c r="U19" s="2"/>
    </row>
    <row r="20" spans="3:21" ht="16.5" customHeight="1">
      <c r="C20" s="292" t="s">
        <v>55</v>
      </c>
      <c r="D20" s="292"/>
      <c r="E20" s="292"/>
      <c r="F20" s="292"/>
      <c r="G20" s="292"/>
      <c r="H20" s="293"/>
      <c r="I20" s="24">
        <f>'2512'!I24-'2309'!I20</f>
        <v>-8541.3126295399998</v>
      </c>
      <c r="J20" s="18">
        <f>'2512'!J24-'2309'!J20</f>
        <v>162358.04000000004</v>
      </c>
      <c r="K20" s="18">
        <f>'2512'!K24-'2309'!K20</f>
        <v>-45887.753529959999</v>
      </c>
      <c r="L20" s="18">
        <f>'2512'!L24-'2309'!L20</f>
        <v>-34915.19</v>
      </c>
      <c r="M20" s="18">
        <f>'2512'!M24-'2309'!M20</f>
        <v>-25444.22</v>
      </c>
      <c r="N20" s="18">
        <f>'2512'!N24-'2309'!N20</f>
        <v>-16564.95389506</v>
      </c>
      <c r="O20" s="18">
        <f>'2512'!O24-'2309'!O20</f>
        <v>-16412.400000000001</v>
      </c>
      <c r="P20" s="18">
        <f>'2512'!P24-'2309'!P20</f>
        <v>35125.948007439991</v>
      </c>
      <c r="Q20" s="18">
        <f>'2512'!Q24-'2309'!Q20</f>
        <v>-32516.857101649999</v>
      </c>
      <c r="R20" s="18">
        <f>'2512'!R24-'2309'!R20</f>
        <v>-13020.02199974</v>
      </c>
      <c r="S20" s="18">
        <f>'2512'!S24-'2309'!S20</f>
        <v>-14481.89</v>
      </c>
      <c r="T20" s="24">
        <f>'2512'!T24-'2309'!T20</f>
        <v>-24412.356922750001</v>
      </c>
      <c r="U20" s="2"/>
    </row>
    <row r="21" spans="3:21" ht="16.5" customHeight="1">
      <c r="C21" s="5"/>
      <c r="D21" s="1"/>
      <c r="E21" s="1"/>
      <c r="F21" s="1"/>
      <c r="G21" s="1"/>
      <c r="H21" s="1"/>
      <c r="I21" s="1"/>
    </row>
    <row r="22" spans="3:21" ht="16.5" customHeight="1">
      <c r="C22" s="5"/>
      <c r="D22" s="1"/>
      <c r="E22" s="1"/>
      <c r="F22" s="1"/>
      <c r="G22" s="1"/>
      <c r="H22" s="1"/>
      <c r="I22" s="1"/>
    </row>
    <row r="23" spans="3:21" ht="16.5" customHeight="1">
      <c r="C23" s="3" t="s">
        <v>32</v>
      </c>
      <c r="D23" s="1"/>
      <c r="E23" s="1"/>
      <c r="F23" s="1"/>
      <c r="G23" s="1"/>
      <c r="H23" s="1"/>
      <c r="I23" s="1"/>
    </row>
    <row r="24" spans="3:21" ht="16.5" customHeight="1">
      <c r="C24" s="5"/>
      <c r="D24" s="1"/>
      <c r="E24" s="1"/>
      <c r="F24" s="1"/>
      <c r="G24" s="1"/>
      <c r="H24" s="1"/>
      <c r="I24" s="1"/>
      <c r="R24" s="9" t="s">
        <v>18</v>
      </c>
    </row>
    <row r="25" spans="3:21" ht="16.5" customHeight="1">
      <c r="C25" s="288" t="s">
        <v>16</v>
      </c>
      <c r="D25" s="288"/>
      <c r="E25" s="288"/>
      <c r="F25" s="288"/>
      <c r="G25" s="288"/>
      <c r="H25" s="289"/>
      <c r="I25" s="327" t="s">
        <v>42</v>
      </c>
      <c r="J25" s="328"/>
      <c r="K25" s="327" t="s">
        <v>33</v>
      </c>
      <c r="L25" s="328"/>
      <c r="M25" s="327" t="s">
        <v>41</v>
      </c>
      <c r="N25" s="328"/>
      <c r="O25" s="327" t="s">
        <v>40</v>
      </c>
      <c r="P25" s="328"/>
      <c r="Q25" s="327" t="s">
        <v>7</v>
      </c>
      <c r="R25" s="331"/>
    </row>
    <row r="26" spans="3:21" ht="16.5" customHeight="1">
      <c r="C26" s="336"/>
      <c r="D26" s="336"/>
      <c r="E26" s="336"/>
      <c r="F26" s="336"/>
      <c r="G26" s="336"/>
      <c r="H26" s="337"/>
      <c r="I26" s="329"/>
      <c r="J26" s="330"/>
      <c r="K26" s="329"/>
      <c r="L26" s="330"/>
      <c r="M26" s="329"/>
      <c r="N26" s="330"/>
      <c r="O26" s="329"/>
      <c r="P26" s="330"/>
      <c r="Q26" s="329"/>
      <c r="R26" s="332"/>
    </row>
    <row r="27" spans="3:21" ht="16.5" customHeight="1">
      <c r="C27" s="290" t="s">
        <v>39</v>
      </c>
      <c r="D27" s="290"/>
      <c r="E27" s="290"/>
      <c r="F27" s="290"/>
      <c r="G27" s="290"/>
      <c r="H27" s="291"/>
      <c r="I27" s="333"/>
      <c r="J27" s="334"/>
      <c r="K27" s="333"/>
      <c r="L27" s="334"/>
      <c r="M27" s="333"/>
      <c r="N27" s="334"/>
      <c r="O27" s="333"/>
      <c r="P27" s="334"/>
      <c r="Q27" s="333"/>
      <c r="R27" s="335"/>
    </row>
    <row r="28" spans="3:21" ht="16.5" customHeight="1">
      <c r="C28" s="8"/>
      <c r="D28" s="344" t="s">
        <v>34</v>
      </c>
      <c r="E28" s="345"/>
      <c r="F28" s="345"/>
      <c r="G28" s="345"/>
      <c r="H28" s="346"/>
      <c r="I28" s="347"/>
      <c r="J28" s="348"/>
      <c r="K28" s="347"/>
      <c r="L28" s="348"/>
      <c r="M28" s="347"/>
      <c r="N28" s="348"/>
      <c r="O28" s="347"/>
      <c r="P28" s="348"/>
      <c r="Q28" s="347"/>
      <c r="R28" s="349"/>
    </row>
    <row r="29" spans="3:21" ht="16.5" customHeight="1">
      <c r="C29" s="32"/>
      <c r="D29" s="338" t="s">
        <v>21</v>
      </c>
      <c r="E29" s="339"/>
      <c r="F29" s="339"/>
      <c r="G29" s="339"/>
      <c r="H29" s="340"/>
      <c r="I29" s="341"/>
      <c r="J29" s="342"/>
      <c r="K29" s="341"/>
      <c r="L29" s="342"/>
      <c r="M29" s="341"/>
      <c r="N29" s="342"/>
      <c r="O29" s="341"/>
      <c r="P29" s="342"/>
      <c r="Q29" s="341"/>
      <c r="R29" s="343"/>
    </row>
    <row r="30" spans="3:21" ht="16.5" customHeight="1">
      <c r="C30" s="32"/>
      <c r="D30" s="350" t="s">
        <v>35</v>
      </c>
      <c r="E30" s="232"/>
      <c r="F30" s="232"/>
      <c r="G30" s="232"/>
      <c r="H30" s="233"/>
      <c r="I30" s="351"/>
      <c r="J30" s="352"/>
      <c r="K30" s="351"/>
      <c r="L30" s="352"/>
      <c r="M30" s="351"/>
      <c r="N30" s="352"/>
      <c r="O30" s="351"/>
      <c r="P30" s="352"/>
      <c r="Q30" s="351"/>
      <c r="R30" s="353"/>
    </row>
    <row r="31" spans="3:21" ht="16.5" customHeight="1">
      <c r="C31" s="32"/>
      <c r="D31" s="338" t="s">
        <v>21</v>
      </c>
      <c r="E31" s="339"/>
      <c r="F31" s="339"/>
      <c r="G31" s="339"/>
      <c r="H31" s="340"/>
      <c r="I31" s="341"/>
      <c r="J31" s="342"/>
      <c r="K31" s="341"/>
      <c r="L31" s="342"/>
      <c r="M31" s="341"/>
      <c r="N31" s="342"/>
      <c r="O31" s="341"/>
      <c r="P31" s="342"/>
      <c r="Q31" s="341"/>
      <c r="R31" s="343"/>
    </row>
    <row r="32" spans="3:21" ht="16.5" customHeight="1">
      <c r="C32" s="32"/>
      <c r="D32" s="350" t="s">
        <v>36</v>
      </c>
      <c r="E32" s="232"/>
      <c r="F32" s="232"/>
      <c r="G32" s="232"/>
      <c r="H32" s="233"/>
      <c r="I32" s="351"/>
      <c r="J32" s="352"/>
      <c r="K32" s="351"/>
      <c r="L32" s="352"/>
      <c r="M32" s="351"/>
      <c r="N32" s="352"/>
      <c r="O32" s="351"/>
      <c r="P32" s="352"/>
      <c r="Q32" s="356"/>
      <c r="R32" s="357"/>
    </row>
    <row r="33" spans="3:21" ht="16.5" customHeight="1">
      <c r="C33" s="32"/>
      <c r="D33" s="338" t="s">
        <v>21</v>
      </c>
      <c r="E33" s="339"/>
      <c r="F33" s="339"/>
      <c r="G33" s="339"/>
      <c r="H33" s="340"/>
      <c r="I33" s="341"/>
      <c r="J33" s="342"/>
      <c r="K33" s="341"/>
      <c r="L33" s="342"/>
      <c r="M33" s="341"/>
      <c r="N33" s="342"/>
      <c r="O33" s="341"/>
      <c r="P33" s="342"/>
      <c r="Q33" s="354"/>
      <c r="R33" s="355"/>
    </row>
    <row r="34" spans="3:21" ht="16.5" customHeight="1">
      <c r="C34" s="32"/>
      <c r="D34" s="350" t="s">
        <v>37</v>
      </c>
      <c r="E34" s="232"/>
      <c r="F34" s="232"/>
      <c r="G34" s="232"/>
      <c r="H34" s="233"/>
      <c r="I34" s="351"/>
      <c r="J34" s="352"/>
      <c r="K34" s="351"/>
      <c r="L34" s="352"/>
      <c r="M34" s="351"/>
      <c r="N34" s="352"/>
      <c r="O34" s="351"/>
      <c r="P34" s="352"/>
      <c r="Q34" s="356"/>
      <c r="R34" s="357"/>
    </row>
    <row r="35" spans="3:21" ht="16.5" customHeight="1">
      <c r="C35" s="32"/>
      <c r="D35" s="338" t="s">
        <v>21</v>
      </c>
      <c r="E35" s="339"/>
      <c r="F35" s="339"/>
      <c r="G35" s="339"/>
      <c r="H35" s="340"/>
      <c r="I35" s="341"/>
      <c r="J35" s="342"/>
      <c r="K35" s="341"/>
      <c r="L35" s="342"/>
      <c r="M35" s="341"/>
      <c r="N35" s="342"/>
      <c r="O35" s="341"/>
      <c r="P35" s="342"/>
      <c r="Q35" s="354"/>
      <c r="R35" s="355"/>
    </row>
    <row r="36" spans="3:21" ht="16.5" customHeight="1">
      <c r="C36" s="32"/>
      <c r="D36" s="350" t="s">
        <v>6</v>
      </c>
      <c r="E36" s="232"/>
      <c r="F36" s="232"/>
      <c r="G36" s="232"/>
      <c r="H36" s="233"/>
      <c r="I36" s="351"/>
      <c r="J36" s="352"/>
      <c r="K36" s="351"/>
      <c r="L36" s="352"/>
      <c r="M36" s="351"/>
      <c r="N36" s="352"/>
      <c r="O36" s="351"/>
      <c r="P36" s="352"/>
      <c r="Q36" s="351"/>
      <c r="R36" s="353"/>
    </row>
    <row r="37" spans="3:21" ht="16.5" customHeight="1">
      <c r="C37" s="32"/>
      <c r="D37" s="338" t="s">
        <v>21</v>
      </c>
      <c r="E37" s="339"/>
      <c r="F37" s="339"/>
      <c r="G37" s="339"/>
      <c r="H37" s="340"/>
      <c r="I37" s="341"/>
      <c r="J37" s="342"/>
      <c r="K37" s="341"/>
      <c r="L37" s="342"/>
      <c r="M37" s="341"/>
      <c r="N37" s="342"/>
      <c r="O37" s="341"/>
      <c r="P37" s="342"/>
      <c r="Q37" s="341"/>
      <c r="R37" s="343"/>
    </row>
    <row r="38" spans="3:21" ht="16.5" customHeight="1">
      <c r="C38" s="32"/>
      <c r="D38" s="350" t="s">
        <v>38</v>
      </c>
      <c r="E38" s="232"/>
      <c r="F38" s="232"/>
      <c r="G38" s="232"/>
      <c r="H38" s="233"/>
      <c r="I38" s="351"/>
      <c r="J38" s="352"/>
      <c r="K38" s="351"/>
      <c r="L38" s="352"/>
      <c r="M38" s="351"/>
      <c r="N38" s="352"/>
      <c r="O38" s="351"/>
      <c r="P38" s="352"/>
      <c r="Q38" s="351"/>
      <c r="R38" s="353"/>
    </row>
    <row r="39" spans="3:21" ht="16.5" customHeight="1">
      <c r="C39" s="32"/>
      <c r="D39" s="338" t="s">
        <v>21</v>
      </c>
      <c r="E39" s="339"/>
      <c r="F39" s="339"/>
      <c r="G39" s="339"/>
      <c r="H39" s="340"/>
      <c r="I39" s="341"/>
      <c r="J39" s="342"/>
      <c r="K39" s="341"/>
      <c r="L39" s="342"/>
      <c r="M39" s="341"/>
      <c r="N39" s="342"/>
      <c r="O39" s="341"/>
      <c r="P39" s="342"/>
      <c r="Q39" s="341"/>
      <c r="R39" s="343"/>
    </row>
    <row r="40" spans="3:21" ht="16.5" customHeight="1">
      <c r="C40" s="32"/>
      <c r="D40" s="350" t="s">
        <v>80</v>
      </c>
      <c r="E40" s="232"/>
      <c r="F40" s="232"/>
      <c r="G40" s="232"/>
      <c r="H40" s="233"/>
      <c r="I40" s="351"/>
      <c r="J40" s="352"/>
      <c r="K40" s="351"/>
      <c r="L40" s="352"/>
      <c r="M40" s="351"/>
      <c r="N40" s="352"/>
      <c r="O40" s="351"/>
      <c r="P40" s="352"/>
      <c r="Q40" s="351"/>
      <c r="R40" s="353"/>
    </row>
    <row r="41" spans="3:21" ht="16.5" customHeight="1">
      <c r="C41" s="33"/>
      <c r="D41" s="361" t="s">
        <v>21</v>
      </c>
      <c r="E41" s="325"/>
      <c r="F41" s="325"/>
      <c r="G41" s="325"/>
      <c r="H41" s="326"/>
      <c r="I41" s="358"/>
      <c r="J41" s="359"/>
      <c r="K41" s="358"/>
      <c r="L41" s="359"/>
      <c r="M41" s="358"/>
      <c r="N41" s="359"/>
      <c r="O41" s="358"/>
      <c r="P41" s="359"/>
      <c r="Q41" s="358"/>
      <c r="R41" s="360"/>
    </row>
    <row r="42" spans="3:21" ht="16.5" customHeight="1">
      <c r="C42" s="34" t="s">
        <v>43</v>
      </c>
      <c r="D42" s="59"/>
      <c r="E42" s="59"/>
      <c r="F42" s="59"/>
      <c r="G42" s="59"/>
      <c r="H42" s="35"/>
      <c r="I42" s="35"/>
      <c r="J42" s="35"/>
      <c r="K42" s="36"/>
      <c r="L42" s="36"/>
      <c r="M42" s="36"/>
      <c r="N42" s="36"/>
      <c r="O42" s="36"/>
      <c r="P42" s="36"/>
      <c r="Q42" s="37"/>
      <c r="R42" s="37"/>
    </row>
    <row r="43" spans="3:21" ht="16.5" customHeight="1">
      <c r="C43" s="10"/>
      <c r="D43" s="58"/>
      <c r="E43" s="7"/>
      <c r="F43" s="7"/>
      <c r="G43" s="7"/>
      <c r="H43" s="7"/>
      <c r="I43" s="7"/>
    </row>
    <row r="44" spans="3:21" ht="16.5" customHeight="1">
      <c r="C44" s="81"/>
      <c r="D44" s="82"/>
      <c r="E44" s="79"/>
      <c r="F44" s="79"/>
      <c r="G44" s="79"/>
      <c r="H44" s="79"/>
      <c r="I44" s="79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</row>
    <row r="45" spans="3:21" ht="16.5" customHeight="1">
      <c r="C45" s="83" t="s">
        <v>98</v>
      </c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</row>
    <row r="46" spans="3:21" ht="16.5" customHeight="1"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0"/>
      <c r="P46" s="84"/>
      <c r="Q46" s="84"/>
      <c r="R46" s="80"/>
      <c r="S46" s="80"/>
      <c r="T46" s="85" t="s">
        <v>18</v>
      </c>
      <c r="U46" s="80"/>
    </row>
    <row r="47" spans="3:21" ht="16.5" customHeight="1">
      <c r="C47" s="259" t="s">
        <v>16</v>
      </c>
      <c r="D47" s="259"/>
      <c r="E47" s="259"/>
      <c r="F47" s="259"/>
      <c r="G47" s="259"/>
      <c r="H47" s="260"/>
      <c r="I47" s="86" t="s">
        <v>48</v>
      </c>
      <c r="J47" s="86" t="s">
        <v>49</v>
      </c>
      <c r="K47" s="86" t="s">
        <v>50</v>
      </c>
      <c r="L47" s="86" t="s">
        <v>51</v>
      </c>
      <c r="M47" s="86" t="s">
        <v>17</v>
      </c>
      <c r="N47" s="86" t="s">
        <v>52</v>
      </c>
      <c r="O47" s="87" t="s">
        <v>15</v>
      </c>
      <c r="P47" s="87" t="s">
        <v>46</v>
      </c>
      <c r="Q47" s="87" t="s">
        <v>45</v>
      </c>
      <c r="R47" s="87" t="s">
        <v>44</v>
      </c>
      <c r="S47" s="87" t="s">
        <v>53</v>
      </c>
      <c r="T47" s="87" t="s">
        <v>47</v>
      </c>
      <c r="U47" s="80"/>
    </row>
    <row r="48" spans="3:21" ht="16.5" customHeight="1">
      <c r="C48" s="251" t="s">
        <v>12</v>
      </c>
      <c r="D48" s="251"/>
      <c r="E48" s="251"/>
      <c r="F48" s="251"/>
      <c r="G48" s="251"/>
      <c r="H48" s="252"/>
      <c r="I48" s="62">
        <f>'2512'!I51-'2309'!I48</f>
        <v>-0.27700000000000014</v>
      </c>
      <c r="J48" s="62"/>
      <c r="K48" s="62"/>
      <c r="L48" s="62">
        <f>'2512'!L51-'2309'!L48</f>
        <v>-0.26800000000000024</v>
      </c>
      <c r="M48" s="62">
        <f>'2512'!M51-'2309'!M48</f>
        <v>-3.3999999999999808E-2</v>
      </c>
      <c r="N48" s="62">
        <f>'2512'!N51-'2309'!N48</f>
        <v>-3.8999999999999924E-2</v>
      </c>
      <c r="O48" s="62">
        <f>'2512'!O51-'2309'!O48</f>
        <v>-4.769999999999941E-2</v>
      </c>
      <c r="P48" s="62">
        <f>'2512'!P51-'2309'!P48</f>
        <v>-3.9000000000002366E-3</v>
      </c>
      <c r="Q48" s="62">
        <f>'2512'!Q51-'2309'!Q48</f>
        <v>0.18000000000000016</v>
      </c>
      <c r="R48" s="62">
        <f>'2512'!R51-'2309'!R48</f>
        <v>0.10499999999999954</v>
      </c>
      <c r="S48" s="62">
        <f>'2512'!S51-'2309'!S48</f>
        <v>-2.4800000000000155E-2</v>
      </c>
      <c r="T48" s="62">
        <f>'2512'!T51-'2309'!T48</f>
        <v>3.6999999999999922E-2</v>
      </c>
      <c r="U48" s="80"/>
    </row>
    <row r="49" spans="3:21" ht="16.5" customHeight="1">
      <c r="C49" s="253" t="s">
        <v>56</v>
      </c>
      <c r="D49" s="253"/>
      <c r="E49" s="253"/>
      <c r="F49" s="253"/>
      <c r="G49" s="253"/>
      <c r="H49" s="254"/>
      <c r="I49" s="63">
        <f>'2512'!I52-'2309'!I49</f>
        <v>-3838.6399999999994</v>
      </c>
      <c r="J49" s="63"/>
      <c r="K49" s="63"/>
      <c r="L49" s="63">
        <f>'2512'!L52-'2309'!L49</f>
        <v>9075.4800000000105</v>
      </c>
      <c r="M49" s="63">
        <f>'2512'!M52-'2309'!M49</f>
        <v>-13990</v>
      </c>
      <c r="N49" s="63">
        <f>'2512'!N52-'2309'!N49</f>
        <v>-3866.989999999998</v>
      </c>
      <c r="O49" s="64">
        <f>'2512'!O52-'2309'!O49</f>
        <v>-12618.579999999994</v>
      </c>
      <c r="P49" s="64">
        <f>'2512'!P52-'2309'!P49</f>
        <v>65993</v>
      </c>
      <c r="Q49" s="64">
        <f>'2512'!Q52-'2309'!Q49</f>
        <v>12867.560000000012</v>
      </c>
      <c r="R49" s="64">
        <f>'2512'!R52-'2309'!R49</f>
        <v>1282.0799999999872</v>
      </c>
      <c r="S49" s="64">
        <f>'2512'!S52-'2309'!S49</f>
        <v>4124.1600000000035</v>
      </c>
      <c r="T49" s="64">
        <f>'2512'!T52-'2309'!T49</f>
        <v>22914.839999999997</v>
      </c>
      <c r="U49" s="80"/>
    </row>
    <row r="50" spans="3:21" ht="16.5" customHeight="1">
      <c r="C50" s="280" t="s">
        <v>57</v>
      </c>
      <c r="D50" s="280"/>
      <c r="E50" s="280"/>
      <c r="F50" s="280"/>
      <c r="G50" s="280"/>
      <c r="H50" s="281"/>
      <c r="I50" s="65">
        <f>'2512'!I53-'2309'!I50</f>
        <v>967.22000000000116</v>
      </c>
      <c r="J50" s="65"/>
      <c r="K50" s="65"/>
      <c r="L50" s="65">
        <f>'2512'!L53-'2309'!L50</f>
        <v>26056.429999999993</v>
      </c>
      <c r="M50" s="65">
        <f>'2512'!M53-'2309'!M50</f>
        <v>-5908</v>
      </c>
      <c r="N50" s="65">
        <f>'2512'!N53-'2309'!N50</f>
        <v>-1632.4099999999999</v>
      </c>
      <c r="O50" s="66">
        <f>'2512'!O53-'2309'!O50</f>
        <v>-4184.84</v>
      </c>
      <c r="P50" s="66">
        <f>'2512'!P53-'2309'!P50</f>
        <v>25235</v>
      </c>
      <c r="Q50" s="66">
        <f>'2512'!Q53-'2309'!Q50</f>
        <v>-219.04000000000815</v>
      </c>
      <c r="R50" s="66">
        <f>'2512'!R53-'2309'!R50</f>
        <v>-1975.25</v>
      </c>
      <c r="S50" s="66">
        <f>'2512'!S53-'2309'!S50</f>
        <v>2937.6800000000003</v>
      </c>
      <c r="T50" s="66">
        <f>'2512'!T53-'2309'!T50</f>
        <v>8983.2599999999948</v>
      </c>
      <c r="U50" s="80"/>
    </row>
    <row r="51" spans="3:21" ht="16.5" customHeight="1">
      <c r="C51" s="88" t="s">
        <v>84</v>
      </c>
      <c r="D51" s="82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80"/>
      <c r="U51" s="80"/>
    </row>
    <row r="52" spans="3:21" ht="16.5" customHeight="1">
      <c r="C52" s="81"/>
      <c r="D52" s="82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80"/>
      <c r="U52" s="80"/>
    </row>
    <row r="53" spans="3:21" ht="16.5" customHeight="1">
      <c r="C53" s="81"/>
      <c r="D53" s="82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80"/>
      <c r="S53" s="80"/>
      <c r="T53" s="80"/>
      <c r="U53" s="80"/>
    </row>
    <row r="54" spans="3:21" ht="16.5" customHeight="1">
      <c r="C54" s="83" t="s">
        <v>27</v>
      </c>
      <c r="D54" s="80"/>
      <c r="E54" s="80"/>
      <c r="F54" s="80"/>
      <c r="G54" s="80"/>
      <c r="H54" s="80"/>
      <c r="I54" s="80"/>
      <c r="J54" s="79"/>
      <c r="K54" s="79"/>
      <c r="L54" s="79"/>
      <c r="M54" s="79"/>
      <c r="N54" s="79"/>
      <c r="O54" s="79"/>
      <c r="P54" s="79"/>
      <c r="Q54" s="79"/>
      <c r="R54" s="80"/>
      <c r="S54" s="80"/>
      <c r="T54" s="80"/>
      <c r="U54" s="80"/>
    </row>
    <row r="55" spans="3:21" ht="16.5" customHeight="1"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0"/>
      <c r="P55" s="84"/>
      <c r="Q55" s="84"/>
      <c r="R55" s="80"/>
      <c r="S55" s="80"/>
      <c r="T55" s="85" t="s">
        <v>18</v>
      </c>
      <c r="U55" s="80"/>
    </row>
    <row r="56" spans="3:21" ht="16.5" customHeight="1">
      <c r="C56" s="259" t="s">
        <v>16</v>
      </c>
      <c r="D56" s="259"/>
      <c r="E56" s="259"/>
      <c r="F56" s="259"/>
      <c r="G56" s="259"/>
      <c r="H56" s="260"/>
      <c r="I56" s="86" t="s">
        <v>48</v>
      </c>
      <c r="J56" s="86" t="s">
        <v>49</v>
      </c>
      <c r="K56" s="86" t="s">
        <v>50</v>
      </c>
      <c r="L56" s="86" t="s">
        <v>51</v>
      </c>
      <c r="M56" s="86" t="s">
        <v>17</v>
      </c>
      <c r="N56" s="86" t="s">
        <v>52</v>
      </c>
      <c r="O56" s="87" t="s">
        <v>15</v>
      </c>
      <c r="P56" s="87" t="s">
        <v>46</v>
      </c>
      <c r="Q56" s="87" t="s">
        <v>45</v>
      </c>
      <c r="R56" s="87" t="s">
        <v>44</v>
      </c>
      <c r="S56" s="87" t="s">
        <v>53</v>
      </c>
      <c r="T56" s="87" t="s">
        <v>47</v>
      </c>
      <c r="U56" s="80"/>
    </row>
    <row r="57" spans="3:21" ht="16.5" customHeight="1">
      <c r="C57" s="266" t="s">
        <v>14</v>
      </c>
      <c r="D57" s="266"/>
      <c r="E57" s="266"/>
      <c r="F57" s="266"/>
      <c r="G57" s="266"/>
      <c r="H57" s="267"/>
      <c r="I57" s="67">
        <f>'2512'!I60-'2309'!I57</f>
        <v>3.8400214400001005</v>
      </c>
      <c r="J57" s="67">
        <f>'2512'!J60-'2309'!J57</f>
        <v>-2313.4899999999998</v>
      </c>
      <c r="K57" s="67">
        <f>'2512'!K60-'2309'!K57</f>
        <v>2036.7623464600001</v>
      </c>
      <c r="L57" s="67">
        <f>'2512'!L60-'2309'!L57</f>
        <v>-2201.1975843199994</v>
      </c>
      <c r="M57" s="67">
        <f>'2512'!M60-'2309'!M57</f>
        <v>2087.9699999999993</v>
      </c>
      <c r="N57" s="67">
        <f>'2512'!N60-'2309'!N57</f>
        <v>-696.69046107999998</v>
      </c>
      <c r="O57" s="68">
        <f>'2512'!O60-'2309'!O57</f>
        <v>548.06999999999971</v>
      </c>
      <c r="P57" s="68">
        <f>'2512'!P60-'2309'!P57</f>
        <v>-2395.5765209200017</v>
      </c>
      <c r="Q57" s="68">
        <f>'2512'!Q60-'2309'!Q57</f>
        <v>-3583.6807251799996</v>
      </c>
      <c r="R57" s="68">
        <f>'2512'!R60-'2309'!R57</f>
        <v>1917.0665202300006</v>
      </c>
      <c r="S57" s="68">
        <f>'2512'!S60-'2309'!S57</f>
        <v>-1552.8100000000004</v>
      </c>
      <c r="T57" s="68">
        <f>'2512'!T60-'2309'!T57</f>
        <v>-2537.7234190099989</v>
      </c>
      <c r="U57" s="80"/>
    </row>
    <row r="58" spans="3:21" ht="16.5" customHeight="1">
      <c r="C58" s="89"/>
      <c r="D58" s="242" t="s">
        <v>69</v>
      </c>
      <c r="E58" s="240"/>
      <c r="F58" s="240"/>
      <c r="G58" s="240"/>
      <c r="H58" s="243"/>
      <c r="I58" s="69">
        <f>'2512'!I64-'2309'!I58</f>
        <v>3.4022616623606838E-3</v>
      </c>
      <c r="J58" s="69">
        <f>'2512'!J64-'2309'!J58</f>
        <v>4.3870112200589118E-2</v>
      </c>
      <c r="K58" s="69"/>
      <c r="L58" s="69">
        <f>'2512'!L64-'2309'!L58</f>
        <v>2.3043325095008393E-2</v>
      </c>
      <c r="M58" s="69"/>
      <c r="N58" s="69">
        <f>'2512'!N64-'2309'!N58</f>
        <v>3.064991644233106E-2</v>
      </c>
      <c r="O58" s="69"/>
      <c r="P58" s="69">
        <f>'2512'!P64-'2309'!P58</f>
        <v>5.458663227093441E-2</v>
      </c>
      <c r="Q58" s="69"/>
      <c r="R58" s="69">
        <f>'2512'!R64-'2309'!R58</f>
        <v>0.16700000000000004</v>
      </c>
      <c r="S58" s="69">
        <f>'2512'!S64-'2309'!S58</f>
        <v>-0.81699999999999995</v>
      </c>
      <c r="T58" s="69"/>
      <c r="U58" s="80"/>
    </row>
    <row r="59" spans="3:21" ht="16.5" customHeight="1">
      <c r="C59" s="89"/>
      <c r="D59" s="239" t="s">
        <v>71</v>
      </c>
      <c r="E59" s="240"/>
      <c r="F59" s="242" t="s">
        <v>70</v>
      </c>
      <c r="G59" s="240"/>
      <c r="H59" s="243"/>
      <c r="I59" s="69">
        <f>'2512'!I66-'2309'!I59</f>
        <v>0.3458499679427478</v>
      </c>
      <c r="J59" s="69">
        <f>'2512'!J66-'2309'!J59</f>
        <v>0.12161109859291215</v>
      </c>
      <c r="K59" s="69"/>
      <c r="L59" s="69">
        <f>'2512'!L66-'2309'!L59</f>
        <v>9.4899587475451297E-3</v>
      </c>
      <c r="M59" s="69"/>
      <c r="N59" s="69">
        <f>'2512'!N66-'2309'!N59</f>
        <v>-4.846536245293398E-2</v>
      </c>
      <c r="O59" s="69"/>
      <c r="P59" s="69">
        <f>'2512'!P66-'2309'!P59</f>
        <v>-1.2240659777012539E-2</v>
      </c>
      <c r="Q59" s="69">
        <f>'2512'!Q66-'2309'!Q59</f>
        <v>2.5992475379634878E-3</v>
      </c>
      <c r="R59" s="69">
        <f>'2512'!R66-'2309'!R59</f>
        <v>5.8027313681672105E-3</v>
      </c>
      <c r="S59" s="69"/>
      <c r="T59" s="69">
        <f>'2512'!T66-'2309'!T59</f>
        <v>-6.0452743134247915E-2</v>
      </c>
      <c r="U59" s="80"/>
    </row>
    <row r="60" spans="3:21" ht="16.5" customHeight="1">
      <c r="C60" s="90"/>
      <c r="D60" s="241"/>
      <c r="E60" s="229"/>
      <c r="F60" s="244" t="s">
        <v>72</v>
      </c>
      <c r="G60" s="245"/>
      <c r="H60" s="246"/>
      <c r="I60" s="70">
        <f>'2512'!I67-'2309'!I60</f>
        <v>0.23326979587573005</v>
      </c>
      <c r="J60" s="70">
        <f>'2512'!J67-'2309'!J60</f>
        <v>0.15882260663244513</v>
      </c>
      <c r="K60" s="70"/>
      <c r="L60" s="70">
        <f>'2512'!L67-'2309'!L60</f>
        <v>3.1126575599760807E-2</v>
      </c>
      <c r="M60" s="70"/>
      <c r="N60" s="70">
        <f>'2512'!N67-'2309'!N60</f>
        <v>-3.541025556041031E-2</v>
      </c>
      <c r="O60" s="70"/>
      <c r="P60" s="70">
        <f>'2512'!P67-'2309'!P60</f>
        <v>-5.5751346557302781E-3</v>
      </c>
      <c r="Q60" s="70">
        <f>'2512'!Q67-'2309'!Q60</f>
        <v>1.8941930250177099E-3</v>
      </c>
      <c r="R60" s="70">
        <f>'2512'!R67-'2309'!R60</f>
        <v>2.509155413450656E-3</v>
      </c>
      <c r="S60" s="70"/>
      <c r="T60" s="70">
        <f>'2512'!T67-'2309'!T60</f>
        <v>-2.8179084750012812E-2</v>
      </c>
      <c r="U60" s="80"/>
    </row>
    <row r="61" spans="3:21" ht="16.5" customHeight="1">
      <c r="C61" s="322" t="s">
        <v>9</v>
      </c>
      <c r="D61" s="322"/>
      <c r="E61" s="322"/>
      <c r="F61" s="322"/>
      <c r="G61" s="322"/>
      <c r="H61" s="323"/>
      <c r="I61" s="71">
        <f>'2512'!I68-'2309'!I61</f>
        <v>-229.08264545999987</v>
      </c>
      <c r="J61" s="71">
        <f>'2512'!J68-'2309'!J61</f>
        <v>8128.73</v>
      </c>
      <c r="K61" s="71">
        <f>'2512'!K68-'2309'!K61</f>
        <v>616.56274572999973</v>
      </c>
      <c r="L61" s="71">
        <f>'2512'!L68-'2309'!L61</f>
        <v>-396.74340461000008</v>
      </c>
      <c r="M61" s="71">
        <f>'2512'!M68-'2309'!M61</f>
        <v>-48.579999999999927</v>
      </c>
      <c r="N61" s="71">
        <f>'2512'!N68-'2309'!N61</f>
        <v>4.6954521199999135</v>
      </c>
      <c r="O61" s="72">
        <f>'2512'!O68-'2309'!O61</f>
        <v>-380.49</v>
      </c>
      <c r="P61" s="72">
        <f>'2512'!P68-'2309'!P61</f>
        <v>4448.459644210001</v>
      </c>
      <c r="Q61" s="72">
        <f>'2512'!Q68-'2309'!Q61</f>
        <v>160.95907890999979</v>
      </c>
      <c r="R61" s="72">
        <f>'2512'!R68-'2309'!R61</f>
        <v>3532.2704643799989</v>
      </c>
      <c r="S61" s="72">
        <f>'2512'!S68-'2309'!S61</f>
        <v>3523.8500000000004</v>
      </c>
      <c r="T61" s="72">
        <f>'2512'!T68-'2309'!T61</f>
        <v>6771.2637749999994</v>
      </c>
      <c r="U61" s="80"/>
    </row>
    <row r="62" spans="3:21" ht="16.5" customHeight="1">
      <c r="C62" s="322" t="s">
        <v>10</v>
      </c>
      <c r="D62" s="322"/>
      <c r="E62" s="322"/>
      <c r="F62" s="322"/>
      <c r="G62" s="322"/>
      <c r="H62" s="323"/>
      <c r="I62" s="73">
        <f>'2512'!I70-'2309'!I62</f>
        <v>-225.24262401999999</v>
      </c>
      <c r="J62" s="73">
        <f>'2512'!J70-'2309'!J62</f>
        <v>5815.2400000000016</v>
      </c>
      <c r="K62" s="73">
        <f>'2512'!K70-'2309'!K62</f>
        <v>2653.3250921899999</v>
      </c>
      <c r="L62" s="73">
        <f>'2512'!L70-'2309'!L62</f>
        <v>-2597.9409889299995</v>
      </c>
      <c r="M62" s="73">
        <f>'2512'!M70-'2309'!M62</f>
        <v>2039.3899999999994</v>
      </c>
      <c r="N62" s="73">
        <f>'2512'!N70-'2309'!N62</f>
        <v>-691.99500896000018</v>
      </c>
      <c r="O62" s="74">
        <f>'2512'!O70-'2309'!O62</f>
        <v>167.57999999999902</v>
      </c>
      <c r="P62" s="74">
        <f>'2512'!P70-'2309'!P62</f>
        <v>2052.8831232900011</v>
      </c>
      <c r="Q62" s="74">
        <f>'2512'!Q70-'2309'!Q62</f>
        <v>-3422.7216462699998</v>
      </c>
      <c r="R62" s="74">
        <f>'2512'!R70-'2309'!R62</f>
        <v>5449.3369846099995</v>
      </c>
      <c r="S62" s="74">
        <f>'2512'!S70-'2309'!S62</f>
        <v>1971.0399999999991</v>
      </c>
      <c r="T62" s="74">
        <f>'2512'!T70-'2309'!T62</f>
        <v>4233.5403559900005</v>
      </c>
      <c r="U62" s="80"/>
    </row>
    <row r="63" spans="3:21" ht="16.5" customHeight="1">
      <c r="C63" s="320" t="s">
        <v>11</v>
      </c>
      <c r="D63" s="320"/>
      <c r="E63" s="320"/>
      <c r="F63" s="320"/>
      <c r="G63" s="320"/>
      <c r="H63" s="321"/>
      <c r="I63" s="75">
        <f>'2512'!I71-'2309'!I63</f>
        <v>68.861702140000006</v>
      </c>
      <c r="J63" s="75">
        <f>'2512'!J71-'2309'!J63</f>
        <v>788.57999999999993</v>
      </c>
      <c r="K63" s="75">
        <f>'2512'!K71-'2309'!K63</f>
        <v>-1118.15097702</v>
      </c>
      <c r="L63" s="75">
        <f>'2512'!L71-'2309'!L63</f>
        <v>15.458211389999988</v>
      </c>
      <c r="M63" s="75">
        <f>'2512'!M71-'2309'!M63</f>
        <v>159.02000000000001</v>
      </c>
      <c r="N63" s="75">
        <f>'2512'!N71-'2309'!N63</f>
        <v>-938.18937179</v>
      </c>
      <c r="O63" s="76">
        <f>'2512'!O71-'2309'!O63</f>
        <v>51.82</v>
      </c>
      <c r="P63" s="76">
        <f>'2512'!P71-'2309'!P63</f>
        <v>-173.29050963</v>
      </c>
      <c r="Q63" s="76">
        <f>'2512'!Q71-'2309'!Q63</f>
        <v>-104.59860552000001</v>
      </c>
      <c r="R63" s="76">
        <f>'2512'!R71-'2309'!R63</f>
        <v>-51.903933120000005</v>
      </c>
      <c r="S63" s="76">
        <f>'2512'!S71-'2309'!S63</f>
        <v>-143.20999999999998</v>
      </c>
      <c r="T63" s="76">
        <f>'2512'!T71-'2309'!T63</f>
        <v>146.53166867000002</v>
      </c>
      <c r="U63" s="80"/>
    </row>
    <row r="64" spans="3:21" ht="16.5" customHeight="1">
      <c r="C64" s="251" t="s">
        <v>28</v>
      </c>
      <c r="D64" s="251"/>
      <c r="E64" s="251"/>
      <c r="F64" s="251"/>
      <c r="G64" s="251"/>
      <c r="H64" s="252"/>
      <c r="I64" s="77">
        <f>'2512'!I72-'2309'!I64</f>
        <v>-156.38092188000019</v>
      </c>
      <c r="J64" s="77">
        <f>'2512'!J72-'2309'!J64</f>
        <v>6603.8200000000015</v>
      </c>
      <c r="K64" s="77">
        <f>'2512'!K72-'2309'!K64</f>
        <v>1535.1741151699998</v>
      </c>
      <c r="L64" s="77">
        <f>'2512'!L72-'2309'!L64</f>
        <v>-2582.482777539999</v>
      </c>
      <c r="M64" s="77">
        <f>'2512'!M72-'2309'!M64</f>
        <v>2198.41</v>
      </c>
      <c r="N64" s="77">
        <f>'2512'!N72-'2309'!N64</f>
        <v>-1630.1843807499999</v>
      </c>
      <c r="O64" s="77">
        <f>'2512'!O72-'2309'!O64</f>
        <v>219.40000000000009</v>
      </c>
      <c r="P64" s="77">
        <f>'2512'!P72-'2309'!P64</f>
        <v>1879.5926136599992</v>
      </c>
      <c r="Q64" s="77">
        <f>'2512'!Q72-'2309'!Q64</f>
        <v>-3527.3202517899981</v>
      </c>
      <c r="R64" s="77">
        <f>'2512'!R72-'2309'!R64</f>
        <v>5397.4330514899993</v>
      </c>
      <c r="S64" s="77">
        <f>'2512'!S72-'2309'!S64</f>
        <v>1827.83</v>
      </c>
      <c r="T64" s="77">
        <f>'2512'!T72-'2309'!T64</f>
        <v>4380.0720246600031</v>
      </c>
      <c r="U64" s="80"/>
    </row>
    <row r="65" spans="3:21" ht="16.5" customHeight="1">
      <c r="C65" s="263" t="s">
        <v>13</v>
      </c>
      <c r="D65" s="263"/>
      <c r="E65" s="263"/>
      <c r="F65" s="263"/>
      <c r="G65" s="263"/>
      <c r="H65" s="264"/>
      <c r="I65" s="78">
        <f>'2512'!I73-'2309'!I65</f>
        <v>-343.30950238999981</v>
      </c>
      <c r="J65" s="78">
        <f>'2512'!J73-'2309'!J65</f>
        <v>5736.99</v>
      </c>
      <c r="K65" s="78">
        <f>'2512'!K73-'2309'!K65</f>
        <v>1603.5161104699991</v>
      </c>
      <c r="L65" s="78">
        <f>'2512'!L73-'2309'!L65</f>
        <v>-2645.7258940900001</v>
      </c>
      <c r="M65" s="78">
        <f>'2512'!M73-'2309'!M65</f>
        <v>855.84999999999945</v>
      </c>
      <c r="N65" s="78">
        <f>'2512'!N73-'2309'!N65</f>
        <v>-1516.5650493799999</v>
      </c>
      <c r="O65" s="78">
        <f>'2512'!O73-'2309'!O65</f>
        <v>-309.85999999999967</v>
      </c>
      <c r="P65" s="78">
        <f>'2512'!P73-'2309'!P65</f>
        <v>1031.4616375700007</v>
      </c>
      <c r="Q65" s="78">
        <f>'2512'!Q73-'2309'!Q65</f>
        <v>-2252.4889927099994</v>
      </c>
      <c r="R65" s="78">
        <f>'2512'!R73-'2309'!R65</f>
        <v>3849.5500860499997</v>
      </c>
      <c r="S65" s="78">
        <f>'2512'!S73-'2309'!S65</f>
        <v>722.34000000000015</v>
      </c>
      <c r="T65" s="78">
        <f>'2512'!T73-'2309'!T65</f>
        <v>2724.6069080899997</v>
      </c>
      <c r="U65" s="80"/>
    </row>
    <row r="66" spans="3:21" ht="16.5" customHeight="1">
      <c r="C66" s="91" t="s">
        <v>77</v>
      </c>
      <c r="D66" s="82"/>
      <c r="E66" s="79"/>
      <c r="F66" s="79"/>
      <c r="G66" s="79"/>
      <c r="H66" s="79"/>
      <c r="I66" s="79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</row>
    <row r="67" spans="3:21" ht="16.5" customHeight="1">
      <c r="C67" s="88" t="s">
        <v>73</v>
      </c>
      <c r="D67" s="82"/>
      <c r="E67" s="79"/>
      <c r="F67" s="79"/>
      <c r="G67" s="79"/>
      <c r="H67" s="79"/>
      <c r="I67" s="79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</row>
    <row r="68" spans="3:21" ht="16.5" customHeight="1">
      <c r="C68" s="81"/>
      <c r="D68" s="82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80"/>
    </row>
    <row r="69" spans="3:21" ht="16.5" customHeight="1">
      <c r="C69" s="83" t="s">
        <v>58</v>
      </c>
      <c r="D69" s="82"/>
      <c r="E69" s="79"/>
      <c r="F69" s="79"/>
      <c r="G69" s="79"/>
      <c r="H69" s="79"/>
      <c r="I69" s="79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</row>
    <row r="70" spans="3:21" ht="16.5" customHeight="1"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0"/>
      <c r="P70" s="84"/>
      <c r="Q70" s="84"/>
      <c r="R70" s="80"/>
      <c r="S70" s="80"/>
      <c r="T70" s="85" t="s">
        <v>18</v>
      </c>
      <c r="U70" s="80"/>
    </row>
    <row r="71" spans="3:21" ht="16.5" customHeight="1">
      <c r="C71" s="259" t="s">
        <v>16</v>
      </c>
      <c r="D71" s="259"/>
      <c r="E71" s="259"/>
      <c r="F71" s="259"/>
      <c r="G71" s="259"/>
      <c r="H71" s="260"/>
      <c r="I71" s="92" t="s">
        <v>48</v>
      </c>
      <c r="J71" s="86" t="s">
        <v>49</v>
      </c>
      <c r="K71" s="86" t="s">
        <v>50</v>
      </c>
      <c r="L71" s="86" t="s">
        <v>51</v>
      </c>
      <c r="M71" s="86" t="s">
        <v>17</v>
      </c>
      <c r="N71" s="86" t="s">
        <v>52</v>
      </c>
      <c r="O71" s="87" t="s">
        <v>15</v>
      </c>
      <c r="P71" s="87" t="s">
        <v>46</v>
      </c>
      <c r="Q71" s="87" t="s">
        <v>45</v>
      </c>
      <c r="R71" s="87" t="s">
        <v>44</v>
      </c>
      <c r="S71" s="87" t="s">
        <v>53</v>
      </c>
      <c r="T71" s="87" t="s">
        <v>47</v>
      </c>
      <c r="U71" s="80"/>
    </row>
    <row r="72" spans="3:21" ht="16.5" customHeight="1">
      <c r="C72" s="251" t="s">
        <v>5</v>
      </c>
      <c r="D72" s="251"/>
      <c r="E72" s="251"/>
      <c r="F72" s="251"/>
      <c r="G72" s="251"/>
      <c r="H72" s="252"/>
      <c r="I72" s="77">
        <f>'2512'!I81-'2309'!I72</f>
        <v>1144.3912004699996</v>
      </c>
      <c r="J72" s="93">
        <f>'2512'!J81-'2309'!J72</f>
        <v>15658.799999999988</v>
      </c>
      <c r="K72" s="93">
        <f>'2512'!K81-'2309'!K72</f>
        <v>1161.2200000000012</v>
      </c>
      <c r="L72" s="93">
        <f>'2512'!L81-'2309'!L72</f>
        <v>-10854.62999999999</v>
      </c>
      <c r="M72" s="93">
        <f>'2512'!M81-'2309'!M72</f>
        <v>3507.75</v>
      </c>
      <c r="N72" s="93">
        <f>'2512'!N81-'2309'!N72</f>
        <v>-1177.3499999999985</v>
      </c>
      <c r="O72" s="77">
        <f>'2512'!O81-'2309'!O72</f>
        <v>498.20999999999913</v>
      </c>
      <c r="P72" s="77">
        <f>'2512'!P81-'2309'!P72</f>
        <v>9083.2327329100226</v>
      </c>
      <c r="Q72" s="77">
        <f>'2512'!Q81-'2309'!Q72</f>
        <v>741.79476322000846</v>
      </c>
      <c r="R72" s="77">
        <f>'2512'!R81-'2309'!R72</f>
        <v>8179.0400000000081</v>
      </c>
      <c r="S72" s="77">
        <f>'2512'!S81-'2309'!S72</f>
        <v>1007.1399999999994</v>
      </c>
      <c r="T72" s="77">
        <f>'2512'!T81-'2309'!T72</f>
        <v>6359.2699999999895</v>
      </c>
      <c r="U72" s="80"/>
    </row>
    <row r="73" spans="3:21" ht="16.5" customHeight="1">
      <c r="C73" s="253" t="s">
        <v>22</v>
      </c>
      <c r="D73" s="253"/>
      <c r="E73" s="253"/>
      <c r="F73" s="253"/>
      <c r="G73" s="253"/>
      <c r="H73" s="254"/>
      <c r="I73" s="94">
        <f>'2512'!I82-'2309'!I73</f>
        <v>157.22120047000135</v>
      </c>
      <c r="J73" s="95">
        <f>'2512'!J82-'2309'!J73</f>
        <v>-5874.5300000000134</v>
      </c>
      <c r="K73" s="95">
        <f>'2512'!K82-'2309'!K73</f>
        <v>-9748.5400000000009</v>
      </c>
      <c r="L73" s="95">
        <f>'2512'!L82-'2309'!L73</f>
        <v>-4316.5799999999872</v>
      </c>
      <c r="M73" s="95">
        <f>'2512'!M82-'2309'!M73</f>
        <v>515.74000000000524</v>
      </c>
      <c r="N73" s="95">
        <f>'2512'!N82-'2309'!N73</f>
        <v>-4145.9500000000007</v>
      </c>
      <c r="O73" s="94">
        <f>'2512'!O82-'2309'!O73</f>
        <v>1594.3799999999974</v>
      </c>
      <c r="P73" s="94">
        <f>'2512'!P82-'2309'!P73</f>
        <v>-9642.7045704699849</v>
      </c>
      <c r="Q73" s="94">
        <f>'2512'!Q82-'2309'!Q73</f>
        <v>1202.3139153400116</v>
      </c>
      <c r="R73" s="94">
        <f>'2512'!R82-'2309'!R73</f>
        <v>-7781.0199999999895</v>
      </c>
      <c r="S73" s="94">
        <f>'2512'!S82-'2309'!S73</f>
        <v>-7745.8600000000006</v>
      </c>
      <c r="T73" s="94">
        <f>'2512'!T82-'2309'!T73</f>
        <v>1390.5499999999884</v>
      </c>
      <c r="U73" s="80"/>
    </row>
    <row r="74" spans="3:21" ht="16.5" customHeight="1">
      <c r="C74" s="227" t="s">
        <v>23</v>
      </c>
      <c r="D74" s="227"/>
      <c r="E74" s="227"/>
      <c r="F74" s="227"/>
      <c r="G74" s="227"/>
      <c r="H74" s="228"/>
      <c r="I74" s="96">
        <f>'2512'!I83-'2309'!I74</f>
        <v>8.7450557447782771E-3</v>
      </c>
      <c r="J74" s="97">
        <f>'2512'!J83-'2309'!J74</f>
        <v>-5.30428206629176E-2</v>
      </c>
      <c r="K74" s="97">
        <f>'2512'!K83-'2309'!K74</f>
        <v>-0.15063144062035577</v>
      </c>
      <c r="L74" s="97">
        <f>'2512'!L83-'2309'!L74</f>
        <v>-4.7107764949120626E-2</v>
      </c>
      <c r="M74" s="97">
        <f>'2512'!M83-'2309'!M74</f>
        <v>7.0261048475498133E-3</v>
      </c>
      <c r="N74" s="97">
        <f>'2512'!N83-'2309'!N74</f>
        <v>-0.15802337790039744</v>
      </c>
      <c r="O74" s="98">
        <f>'2512'!O83-'2309'!O74</f>
        <v>5.493335591230479E-2</v>
      </c>
      <c r="P74" s="98">
        <f>'2512'!P83-'2309'!P74</f>
        <v>-7.3133106507952475E-2</v>
      </c>
      <c r="Q74" s="98">
        <f>'2512'!Q83-'2309'!Q74</f>
        <v>1.8942264217191696E-2</v>
      </c>
      <c r="R74" s="98">
        <f>'2512'!R83-'2309'!R74</f>
        <v>-7.4988234901240833E-2</v>
      </c>
      <c r="S74" s="98">
        <f>'2512'!S83-'2309'!S74</f>
        <v>-8.2251464305629823E-2</v>
      </c>
      <c r="T74" s="98">
        <f>'2512'!T83-'2309'!T74</f>
        <v>1.2142821697379406E-2</v>
      </c>
      <c r="U74" s="80"/>
    </row>
    <row r="75" spans="3:21" ht="16.5" customHeight="1">
      <c r="C75" s="251" t="s">
        <v>24</v>
      </c>
      <c r="D75" s="251"/>
      <c r="E75" s="251"/>
      <c r="F75" s="251"/>
      <c r="G75" s="251"/>
      <c r="H75" s="252"/>
      <c r="I75" s="77">
        <f>'2512'!I84-'2309'!I75</f>
        <v>3282.3411534300008</v>
      </c>
      <c r="J75" s="93">
        <f>'2512'!J84-'2309'!J75</f>
        <v>2871.1200000000026</v>
      </c>
      <c r="K75" s="77">
        <f>'2512'!K84-'2309'!K75</f>
        <v>2526.2399999999998</v>
      </c>
      <c r="L75" s="77">
        <f>'2512'!L84-'2309'!L75</f>
        <v>2103.1100000000006</v>
      </c>
      <c r="M75" s="77">
        <f>'2512'!M84-'2309'!M75</f>
        <v>9199.32</v>
      </c>
      <c r="N75" s="77">
        <f>'2512'!N84-'2309'!N75</f>
        <v>-317.53999999999996</v>
      </c>
      <c r="O75" s="77">
        <f>'2512'!O84-'2309'!O75</f>
        <v>507.94999999999982</v>
      </c>
      <c r="P75" s="77">
        <f>'2512'!P84-'2309'!P75</f>
        <v>2915.8584966799972</v>
      </c>
      <c r="Q75" s="77">
        <f>'2512'!Q84-'2309'!Q75</f>
        <v>7154.2569197999983</v>
      </c>
      <c r="R75" s="77">
        <f>'2512'!R84-'2309'!R75</f>
        <v>3684.1399999999994</v>
      </c>
      <c r="S75" s="77">
        <f>'2512'!S84-'2309'!S75</f>
        <v>3431.3500000000022</v>
      </c>
      <c r="T75" s="77">
        <f>'2512'!T84-'2309'!T75</f>
        <v>8073.7900000000009</v>
      </c>
      <c r="U75" s="80"/>
    </row>
    <row r="76" spans="3:21" ht="16.5" customHeight="1">
      <c r="C76" s="249" t="s">
        <v>25</v>
      </c>
      <c r="D76" s="249"/>
      <c r="E76" s="249"/>
      <c r="F76" s="249"/>
      <c r="G76" s="249"/>
      <c r="H76" s="250"/>
      <c r="I76" s="99">
        <f>'2512'!I85-'2309'!I76</f>
        <v>574.66483765000021</v>
      </c>
      <c r="J76" s="100">
        <f>'2512'!J85-'2309'!J76</f>
        <v>4925.1000000000004</v>
      </c>
      <c r="K76" s="99">
        <f>'2512'!K85-'2309'!K76</f>
        <v>2662.1</v>
      </c>
      <c r="L76" s="99">
        <f>'2512'!L85-'2309'!L76</f>
        <v>1189.4899999999998</v>
      </c>
      <c r="M76" s="99">
        <f>'2512'!M85-'2309'!M76</f>
        <v>2181.1800000000003</v>
      </c>
      <c r="N76" s="99">
        <f>'2512'!N85-'2309'!N76</f>
        <v>517.64000000000033</v>
      </c>
      <c r="O76" s="99">
        <f>'2512'!O85-'2309'!O76</f>
        <v>845.56</v>
      </c>
      <c r="P76" s="99">
        <f>'2512'!P85-'2309'!P76</f>
        <v>4659.1851699099989</v>
      </c>
      <c r="Q76" s="99">
        <f>'2512'!Q85-'2309'!Q76</f>
        <v>3235.2224096399996</v>
      </c>
      <c r="R76" s="99">
        <f>'2512'!R85-'2309'!R76</f>
        <v>3829.8399999999992</v>
      </c>
      <c r="S76" s="99">
        <f>'2512'!S85-'2309'!S76</f>
        <v>2407.1200000000008</v>
      </c>
      <c r="T76" s="99">
        <f>'2512'!T85-'2309'!T76</f>
        <v>3439.1000000000004</v>
      </c>
      <c r="U76" s="80"/>
    </row>
    <row r="77" spans="3:21" ht="16.5" customHeight="1">
      <c r="C77" s="249" t="s">
        <v>30</v>
      </c>
      <c r="D77" s="249"/>
      <c r="E77" s="249"/>
      <c r="F77" s="249"/>
      <c r="G77" s="249"/>
      <c r="H77" s="250"/>
      <c r="I77" s="101">
        <f>'2512'!I86-'2309'!I77</f>
        <v>-3.6397135657357527E-3</v>
      </c>
      <c r="J77" s="102">
        <f>'2512'!J86-'2309'!J77</f>
        <v>-3.4605677659984985E-3</v>
      </c>
      <c r="K77" s="101">
        <f>'2512'!K86-'2309'!K77</f>
        <v>1.8949995239713746E-2</v>
      </c>
      <c r="L77" s="101">
        <f>'2512'!L86-'2309'!L77</f>
        <v>-2.2681457856866261E-3</v>
      </c>
      <c r="M77" s="101">
        <f>'2512'!M86-'2309'!M77</f>
        <v>-6.1048720101002096E-4</v>
      </c>
      <c r="N77" s="101">
        <f>'2512'!N86-'2309'!N77</f>
        <v>-2.603493899417289E-3</v>
      </c>
      <c r="O77" s="101">
        <f>'2512'!O86-'2309'!O77</f>
        <v>6.7410182097751847E-4</v>
      </c>
      <c r="P77" s="101">
        <f>'2512'!P86-'2309'!P77</f>
        <v>-4.1701935511478383E-3</v>
      </c>
      <c r="Q77" s="101">
        <f>'2512'!Q86-'2309'!Q77</f>
        <v>7.4919392922604272E-3</v>
      </c>
      <c r="R77" s="101">
        <f>'2512'!R86-'2309'!R77</f>
        <v>6.6159874030767563E-4</v>
      </c>
      <c r="S77" s="101">
        <f>'2512'!S86-'2309'!S77</f>
        <v>7.8902484177942322E-4</v>
      </c>
      <c r="T77" s="101">
        <f>'2512'!T86-'2309'!T77</f>
        <v>-5.0477677650901109E-3</v>
      </c>
      <c r="U77" s="80"/>
    </row>
    <row r="78" spans="3:21" ht="16.5" customHeight="1">
      <c r="C78" s="263" t="s">
        <v>26</v>
      </c>
      <c r="D78" s="263"/>
      <c r="E78" s="263"/>
      <c r="F78" s="263"/>
      <c r="G78" s="263"/>
      <c r="H78" s="264"/>
      <c r="I78" s="103">
        <f>'2512'!I87-'2309'!I78</f>
        <v>1.1964042505295582</v>
      </c>
      <c r="J78" s="104">
        <f>'2512'!J87-'2309'!J78</f>
        <v>-0.7408510551958063</v>
      </c>
      <c r="K78" s="103">
        <f>'2512'!K87-'2309'!K78</f>
        <v>-1.013219621450558</v>
      </c>
      <c r="L78" s="103">
        <f>'2512'!L87-'2309'!L78</f>
        <v>-0.15242664519879368</v>
      </c>
      <c r="M78" s="103">
        <f>'2512'!M87-'2309'!M78</f>
        <v>0.83467402204197705</v>
      </c>
      <c r="N78" s="103">
        <f>'2512'!N87-'2309'!N78</f>
        <v>-0.7321336522937405</v>
      </c>
      <c r="O78" s="103">
        <f>'2512'!O87-'2309'!O78</f>
        <v>-0.43468159735387779</v>
      </c>
      <c r="P78" s="103">
        <f>'2512'!P87-'2309'!P78</f>
        <v>-0.46896880965412646</v>
      </c>
      <c r="Q78" s="103">
        <f>'2512'!Q87-'2309'!Q78</f>
        <v>4.9255245156839322E-2</v>
      </c>
      <c r="R78" s="103">
        <f>'2512'!R87-'2309'!R78</f>
        <v>-0.19466466434855767</v>
      </c>
      <c r="S78" s="103">
        <f>'2512'!S87-'2309'!S78</f>
        <v>-0.2417993299122756</v>
      </c>
      <c r="T78" s="103">
        <f>'2512'!T87-'2309'!T78</f>
        <v>2.394638823249684E-2</v>
      </c>
      <c r="U78" s="80"/>
    </row>
    <row r="79" spans="3:21" ht="16.5" customHeight="1">
      <c r="C79" s="283" t="s">
        <v>63</v>
      </c>
      <c r="D79" s="266"/>
      <c r="E79" s="267"/>
      <c r="F79" s="284" t="s">
        <v>59</v>
      </c>
      <c r="G79" s="266"/>
      <c r="H79" s="267"/>
      <c r="I79" s="105">
        <f>'2512'!I88-'2309'!I79</f>
        <v>298.47235655952159</v>
      </c>
      <c r="J79" s="106">
        <f>'2512'!J88-'2309'!J79</f>
        <v>-1711.2900000000009</v>
      </c>
      <c r="K79" s="105">
        <f>'2512'!K88-'2309'!K79</f>
        <v>1370.8000000000002</v>
      </c>
      <c r="L79" s="105">
        <f>'2512'!L88-'2309'!L79</f>
        <v>-772.89000000000033</v>
      </c>
      <c r="M79" s="105">
        <f>'2512'!M88-'2309'!M79</f>
        <v>-2031.6200000000008</v>
      </c>
      <c r="N79" s="105" t="e">
        <f>'2512'!N88-'2309'!N79</f>
        <v>#VALUE!</v>
      </c>
      <c r="O79" s="105">
        <f>'2512'!O88-'2309'!O79</f>
        <v>-535.42000000000007</v>
      </c>
      <c r="P79" s="105">
        <f>'2512'!P88-'2309'!P79</f>
        <v>-594.1200000000008</v>
      </c>
      <c r="Q79" s="105">
        <f>'2512'!Q88-'2309'!Q79</f>
        <v>421.23420134000025</v>
      </c>
      <c r="R79" s="105">
        <f>'2512'!R88-'2309'!R79</f>
        <v>-2308.8100000000013</v>
      </c>
      <c r="S79" s="105">
        <f>'2512'!S88-'2309'!S79</f>
        <v>-3242.4099999999989</v>
      </c>
      <c r="T79" s="105">
        <f>'2512'!T88-'2309'!T79</f>
        <v>-2940.3000000000011</v>
      </c>
      <c r="U79" s="80"/>
    </row>
    <row r="80" spans="3:21" ht="16.5" customHeight="1">
      <c r="C80" s="249"/>
      <c r="D80" s="249"/>
      <c r="E80" s="250"/>
      <c r="F80" s="282" t="s">
        <v>60</v>
      </c>
      <c r="G80" s="249"/>
      <c r="H80" s="250"/>
      <c r="I80" s="107">
        <f>'2512'!I89-'2309'!I80</f>
        <v>774.74028602954968</v>
      </c>
      <c r="J80" s="108">
        <f>'2512'!J89-'2309'!J80</f>
        <v>-1563.0299999999988</v>
      </c>
      <c r="K80" s="107">
        <f>'2512'!K89-'2309'!K80</f>
        <v>5070.3399999999983</v>
      </c>
      <c r="L80" s="107">
        <f>'2512'!L89-'2309'!L80</f>
        <v>-2447.7599999999984</v>
      </c>
      <c r="M80" s="107">
        <f>'2512'!M89-'2309'!M80</f>
        <v>-5654.6100000000006</v>
      </c>
      <c r="N80" s="107">
        <f>'2512'!N89-'2309'!N80</f>
        <v>0</v>
      </c>
      <c r="O80" s="107">
        <f>'2512'!O89-'2309'!O80</f>
        <v>-1747.1599999999989</v>
      </c>
      <c r="P80" s="107">
        <f>'2512'!P89-'2309'!P80</f>
        <v>-2341.8499999999985</v>
      </c>
      <c r="Q80" s="107">
        <f>'2512'!Q89-'2309'!Q80</f>
        <v>982.32472682000298</v>
      </c>
      <c r="R80" s="107">
        <f>'2512'!R89-'2309'!R80</f>
        <v>-6435.2900000000045</v>
      </c>
      <c r="S80" s="107">
        <f>'2512'!S89-'2309'!S80</f>
        <v>-12145.49</v>
      </c>
      <c r="T80" s="107">
        <f>'2512'!T89-'2309'!T80</f>
        <v>-10027.799999999999</v>
      </c>
      <c r="U80" s="80"/>
    </row>
    <row r="81" spans="3:21" ht="16.5" customHeight="1">
      <c r="C81" s="249"/>
      <c r="D81" s="249"/>
      <c r="E81" s="250"/>
      <c r="F81" s="282" t="s">
        <v>61</v>
      </c>
      <c r="G81" s="249"/>
      <c r="H81" s="250"/>
      <c r="I81" s="107">
        <f>'2512'!I90-'2309'!I81</f>
        <v>312.79797722766125</v>
      </c>
      <c r="J81" s="247">
        <f>'2512'!J90-'2309'!J81</f>
        <v>18363.600000000006</v>
      </c>
      <c r="K81" s="107">
        <f>'2512'!K90-'2309'!K81</f>
        <v>3248.1000000000004</v>
      </c>
      <c r="L81" s="107">
        <f>'2512'!L90-'2309'!L81</f>
        <v>-2653.5200000000004</v>
      </c>
      <c r="M81" s="107">
        <f>'2512'!M90-'2309'!M81</f>
        <v>-4373.9400000000005</v>
      </c>
      <c r="N81" s="107">
        <f>'2512'!N90-'2309'!N81</f>
        <v>0</v>
      </c>
      <c r="O81" s="107">
        <f>'2512'!O90-'2309'!O81</f>
        <v>-965.3100000000004</v>
      </c>
      <c r="P81" s="247">
        <f>'2512'!P90-'2309'!P81</f>
        <v>12018.910000000003</v>
      </c>
      <c r="Q81" s="107">
        <f>'2512'!Q90-'2309'!Q81</f>
        <v>-5.3918028400003095</v>
      </c>
      <c r="R81" s="107">
        <f>'2512'!R90-'2309'!R81</f>
        <v>-3284.0599999999977</v>
      </c>
      <c r="S81" s="107">
        <f>'2512'!S90-'2309'!S81</f>
        <v>-11106.44</v>
      </c>
      <c r="T81" s="107">
        <f>'2512'!T90-'2309'!T81</f>
        <v>-7537.4400000000023</v>
      </c>
      <c r="U81" s="80"/>
    </row>
    <row r="82" spans="3:21" ht="16.5" customHeight="1">
      <c r="C82" s="263"/>
      <c r="D82" s="263"/>
      <c r="E82" s="264"/>
      <c r="F82" s="274" t="s">
        <v>62</v>
      </c>
      <c r="G82" s="263"/>
      <c r="H82" s="264"/>
      <c r="I82" s="109">
        <f>'2512'!I91-'2309'!I82</f>
        <v>-241.62941934673108</v>
      </c>
      <c r="J82" s="248">
        <f>'2512'!J91-'2309'!J82</f>
        <v>0</v>
      </c>
      <c r="K82" s="109">
        <f>'2512'!K91-'2309'!K82</f>
        <v>-8528.0300000000025</v>
      </c>
      <c r="L82" s="109">
        <f>'2512'!L91-'2309'!L82</f>
        <v>-4980.4800000000032</v>
      </c>
      <c r="M82" s="109">
        <f>'2512'!M91-'2309'!M82</f>
        <v>15567.939999999995</v>
      </c>
      <c r="N82" s="109">
        <f>'2512'!N91-'2309'!N82</f>
        <v>0</v>
      </c>
      <c r="O82" s="109">
        <f>'2512'!O91-'2309'!O82</f>
        <v>3746.1000000000004</v>
      </c>
      <c r="P82" s="248">
        <f>'2512'!P91-'2309'!P82</f>
        <v>0</v>
      </c>
      <c r="Q82" s="109">
        <f>'2512'!Q91-'2309'!Q82</f>
        <v>-656.37236208999821</v>
      </c>
      <c r="R82" s="109">
        <f>'2512'!R91-'2309'!R82</f>
        <v>19682.199999999997</v>
      </c>
      <c r="S82" s="109">
        <f>'2512'!S91-'2309'!S82</f>
        <v>27501.480000000003</v>
      </c>
      <c r="T82" s="109">
        <f>'2512'!T91-'2309'!T82</f>
        <v>16726.080000000002</v>
      </c>
      <c r="U82" s="80"/>
    </row>
    <row r="83" spans="3:21" ht="16.5" customHeight="1">
      <c r="C83" s="110" t="s">
        <v>31</v>
      </c>
      <c r="D83" s="82"/>
      <c r="E83" s="79"/>
      <c r="F83" s="79"/>
      <c r="G83" s="79"/>
      <c r="H83" s="79"/>
      <c r="I83" s="111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80"/>
    </row>
    <row r="84" spans="3:21" ht="16.5" customHeight="1">
      <c r="C84" s="88" t="s">
        <v>75</v>
      </c>
      <c r="D84" s="82"/>
      <c r="E84" s="79"/>
      <c r="F84" s="79"/>
      <c r="G84" s="79"/>
      <c r="H84" s="79"/>
      <c r="I84" s="111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80"/>
    </row>
    <row r="85" spans="3:21" ht="16.5" customHeight="1">
      <c r="C85" s="81"/>
      <c r="D85" s="82"/>
      <c r="E85" s="79"/>
      <c r="F85" s="79"/>
      <c r="G85" s="79"/>
      <c r="H85" s="79"/>
      <c r="I85" s="111"/>
      <c r="J85" s="111"/>
      <c r="K85" s="111"/>
      <c r="L85" s="111"/>
      <c r="M85" s="111"/>
      <c r="N85" s="112"/>
      <c r="O85" s="111"/>
      <c r="P85" s="111"/>
      <c r="Q85" s="111"/>
      <c r="R85" s="111"/>
      <c r="S85" s="111"/>
      <c r="T85" s="111"/>
      <c r="U85" s="80"/>
    </row>
    <row r="86" spans="3:21">
      <c r="C86" s="83" t="s">
        <v>64</v>
      </c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</row>
    <row r="87" spans="3:21"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0"/>
      <c r="P87" s="84"/>
      <c r="Q87" s="84"/>
      <c r="R87" s="80"/>
      <c r="S87" s="80"/>
      <c r="T87" s="80"/>
      <c r="U87" s="80"/>
    </row>
    <row r="88" spans="3:21">
      <c r="C88" s="259" t="s">
        <v>16</v>
      </c>
      <c r="D88" s="259"/>
      <c r="E88" s="259"/>
      <c r="F88" s="259"/>
      <c r="G88" s="259"/>
      <c r="H88" s="260"/>
      <c r="I88" s="86" t="s">
        <v>48</v>
      </c>
      <c r="J88" s="86" t="s">
        <v>49</v>
      </c>
      <c r="K88" s="86" t="s">
        <v>50</v>
      </c>
      <c r="L88" s="86" t="s">
        <v>51</v>
      </c>
      <c r="M88" s="86" t="s">
        <v>17</v>
      </c>
      <c r="N88" s="86" t="s">
        <v>52</v>
      </c>
      <c r="O88" s="87" t="s">
        <v>15</v>
      </c>
      <c r="P88" s="87" t="s">
        <v>46</v>
      </c>
      <c r="Q88" s="87" t="s">
        <v>45</v>
      </c>
      <c r="R88" s="87" t="s">
        <v>44</v>
      </c>
      <c r="S88" s="87" t="s">
        <v>53</v>
      </c>
      <c r="T88" s="87" t="s">
        <v>47</v>
      </c>
      <c r="U88" s="80"/>
    </row>
    <row r="89" spans="3:21">
      <c r="C89" s="266" t="s">
        <v>68</v>
      </c>
      <c r="D89" s="266"/>
      <c r="E89" s="266"/>
      <c r="F89" s="266"/>
      <c r="G89" s="266"/>
      <c r="H89" s="267"/>
      <c r="I89" s="113">
        <f>'2512'!I98-'2309'!I89</f>
        <v>-2.3640571360699823E-2</v>
      </c>
      <c r="J89" s="113">
        <f>'2512'!J98-'2309'!J89</f>
        <v>-3.7659261922101048E-3</v>
      </c>
      <c r="K89" s="113">
        <f>'2512'!K98-'2309'!K89</f>
        <v>2.3210926288387515E-2</v>
      </c>
      <c r="L89" s="113">
        <f>'2512'!L98-'2309'!L89</f>
        <v>-3.4408761066192298E-2</v>
      </c>
      <c r="M89" s="113">
        <f>'2512'!M98-'2309'!M89</f>
        <v>9.3891264579789024E-3</v>
      </c>
      <c r="N89" s="113">
        <f>'2512'!N98-'2309'!N89</f>
        <v>-5.5151330484771291E-2</v>
      </c>
      <c r="O89" s="114">
        <f>'2512'!O98-'2309'!O89</f>
        <v>-1.0941593779433934E-2</v>
      </c>
      <c r="P89" s="114">
        <f>'2512'!P98-'2309'!P89</f>
        <v>-6.4668422312185989E-2</v>
      </c>
      <c r="Q89" s="114">
        <f>'2512'!Q98-'2309'!Q89</f>
        <v>-4.5845630345472121E-2</v>
      </c>
      <c r="R89" s="114">
        <f>'2512'!R98-'2309'!R89</f>
        <v>-9.7105761558994197E-2</v>
      </c>
      <c r="S89" s="114">
        <f>'2512'!S98-'2309'!S89</f>
        <v>-2.4384528199069527E-2</v>
      </c>
      <c r="T89" s="114">
        <f>'2512'!T98-'2309'!T89</f>
        <v>-4.4393458370560773E-2</v>
      </c>
      <c r="U89" s="80"/>
    </row>
    <row r="90" spans="3:21">
      <c r="C90" s="272" t="s">
        <v>100</v>
      </c>
      <c r="D90" s="272"/>
      <c r="E90" s="272"/>
      <c r="F90" s="272"/>
      <c r="G90" s="272"/>
      <c r="H90" s="273"/>
      <c r="I90" s="115">
        <f>'2512'!I99-'2309'!I90</f>
        <v>0.10406580057700993</v>
      </c>
      <c r="J90" s="115">
        <f>'2512'!J99-'2309'!J90</f>
        <v>-3.1358213860634365E-2</v>
      </c>
      <c r="K90" s="115">
        <f>'2512'!K99-'2309'!K90</f>
        <v>1.6374740585548275E-3</v>
      </c>
      <c r="L90" s="115">
        <f>'2512'!L99-'2309'!L90</f>
        <v>-2.892421616452158E-2</v>
      </c>
      <c r="M90" s="115">
        <f>'2512'!M99-'2309'!M90</f>
        <v>0.14427388458522589</v>
      </c>
      <c r="N90" s="115">
        <f>'2512'!N99-'2309'!N90</f>
        <v>-2.5657889564249886E-2</v>
      </c>
      <c r="O90" s="98">
        <f>'2512'!O99-'2309'!O90</f>
        <v>2.3324821319224587E-2</v>
      </c>
      <c r="P90" s="98">
        <f>'2512'!P99-'2309'!P90</f>
        <v>-6.8699612594591397E-2</v>
      </c>
      <c r="Q90" s="98">
        <f>'2512'!Q99-'2309'!Q90</f>
        <v>5.3893107878164037E-2</v>
      </c>
      <c r="R90" s="98">
        <f>'2512'!R99-'2309'!R90</f>
        <v>3.1600339886751067E-2</v>
      </c>
      <c r="S90" s="98">
        <f>'2512'!S99-'2309'!S90</f>
        <v>5.7219725687777667E-3</v>
      </c>
      <c r="T90" s="98">
        <f>'2512'!T99-'2309'!T90</f>
        <v>1.7994777915286725E-2</v>
      </c>
      <c r="U90" s="80"/>
    </row>
    <row r="91" spans="3:21">
      <c r="C91" s="302" t="s">
        <v>5</v>
      </c>
      <c r="D91" s="302"/>
      <c r="E91" s="304" t="s">
        <v>66</v>
      </c>
      <c r="F91" s="305"/>
      <c r="G91" s="305"/>
      <c r="H91" s="306"/>
      <c r="I91" s="116">
        <f>'2512'!I100-'2309'!I91</f>
        <v>0.19034808134302261</v>
      </c>
      <c r="J91" s="116">
        <f>'2512'!J100-'2309'!J91</f>
        <v>-7.2025960071164852E-2</v>
      </c>
      <c r="K91" s="116">
        <f>'2512'!K100-'2309'!K91</f>
        <v>0.23917398986096561</v>
      </c>
      <c r="L91" s="116">
        <f>'2512'!L100-'2309'!L91</f>
        <v>-8.336327880459582E-2</v>
      </c>
      <c r="M91" s="116">
        <f>'2512'!M100-'2309'!M91</f>
        <v>0.3824063130178077</v>
      </c>
      <c r="N91" s="116">
        <f>'2512'!N100-'2309'!N91</f>
        <v>0.81442281001660521</v>
      </c>
      <c r="O91" s="116">
        <f>'2512'!O100-'2309'!O91</f>
        <v>0.21620549945804202</v>
      </c>
      <c r="P91" s="116">
        <f>'2512'!P100-'2309'!P91</f>
        <v>-0.22001594460895491</v>
      </c>
      <c r="Q91" s="116">
        <f>'2512'!Q100-'2309'!Q91</f>
        <v>0.50265313253922783</v>
      </c>
      <c r="R91" s="116">
        <f>'2512'!R100-'2309'!R91</f>
        <v>-5.6169778485929189E-2</v>
      </c>
      <c r="S91" s="116">
        <f>'2512'!S100-'2309'!S91</f>
        <v>0.11664893270050936</v>
      </c>
      <c r="T91" s="116">
        <f>'2512'!T100-'2309'!T91</f>
        <v>-0.12883697783082027</v>
      </c>
      <c r="U91" s="80"/>
    </row>
    <row r="92" spans="3:21">
      <c r="C92" s="303"/>
      <c r="D92" s="303"/>
      <c r="E92" s="296" t="s">
        <v>67</v>
      </c>
      <c r="F92" s="297"/>
      <c r="G92" s="297"/>
      <c r="H92" s="298"/>
      <c r="I92" s="117">
        <f>'2512'!I101-'2309'!I92</f>
        <v>0.10723336915634285</v>
      </c>
      <c r="J92" s="117">
        <f>'2512'!J101-'2309'!J92</f>
        <v>-1.6055249893588308E-2</v>
      </c>
      <c r="K92" s="117">
        <f>'2512'!K101-'2309'!K92</f>
        <v>5.5461591069272731E-2</v>
      </c>
      <c r="L92" s="117">
        <f>'2512'!L101-'2309'!L92</f>
        <v>-8.6415144475707584E-2</v>
      </c>
      <c r="M92" s="117">
        <f>'2512'!M101-'2309'!M92</f>
        <v>0.32032862233936787</v>
      </c>
      <c r="N92" s="117">
        <f>'2512'!N101-'2309'!N92</f>
        <v>0.12815498613919674</v>
      </c>
      <c r="O92" s="117">
        <f>'2512'!O101-'2309'!O92</f>
        <v>0.33195989028960693</v>
      </c>
      <c r="P92" s="117">
        <f>'2512'!P101-'2309'!P92</f>
        <v>-4.7396293659680677E-2</v>
      </c>
      <c r="Q92" s="117">
        <f>'2512'!Q101-'2309'!Q92</f>
        <v>0.13457848306003073</v>
      </c>
      <c r="R92" s="117">
        <f>'2512'!R101-'2309'!R92</f>
        <v>0.34715094768054389</v>
      </c>
      <c r="S92" s="117">
        <f>'2512'!S101-'2309'!S92</f>
        <v>0.1136230234695963</v>
      </c>
      <c r="T92" s="117">
        <f>'2512'!T101-'2309'!T92</f>
        <v>9.153555185702511E-2</v>
      </c>
      <c r="U92" s="80"/>
    </row>
    <row r="93" spans="3:21">
      <c r="C93" s="118"/>
      <c r="D93" s="118"/>
      <c r="E93" s="317" t="s">
        <v>78</v>
      </c>
      <c r="F93" s="318"/>
      <c r="G93" s="318"/>
      <c r="H93" s="319"/>
      <c r="I93" s="119">
        <f>'2512'!I102-'2309'!I93</f>
        <v>0.11454977145021761</v>
      </c>
      <c r="J93" s="119">
        <f>'2512'!J102-'2309'!J93</f>
        <v>-3.1725420114009917E-3</v>
      </c>
      <c r="K93" s="119">
        <f>'2512'!K102-'2309'!K93</f>
        <v>6.5670127876613693E-2</v>
      </c>
      <c r="L93" s="119">
        <f>'2512'!L102-'2309'!L93</f>
        <v>-5.6645021154353437E-2</v>
      </c>
      <c r="M93" s="119">
        <f>'2512'!M102-'2309'!M93</f>
        <v>0.30734637804651177</v>
      </c>
      <c r="N93" s="119">
        <f>'2512'!N102-'2309'!N93</f>
        <v>0.13470637497388449</v>
      </c>
      <c r="O93" s="119">
        <f>'2512'!O102-'2309'!O93</f>
        <v>0.31542803564436861</v>
      </c>
      <c r="P93" s="119">
        <f>'2512'!P102-'2309'!P93</f>
        <v>-6.9055190916847975E-3</v>
      </c>
      <c r="Q93" s="119">
        <f>'2512'!Q102-'2309'!Q93</f>
        <v>0.14350778588304081</v>
      </c>
      <c r="R93" s="119">
        <f>'2512'!R102-'2309'!R93</f>
        <v>0.34075676975617797</v>
      </c>
      <c r="S93" s="119">
        <f>'2512'!S102-'2309'!S93</f>
        <v>0.13209222127692899</v>
      </c>
      <c r="T93" s="119">
        <f>'2512'!T102-'2309'!T93</f>
        <v>0.10796718498336411</v>
      </c>
      <c r="U93" s="80"/>
    </row>
    <row r="94" spans="3:21" ht="16.5" customHeight="1">
      <c r="C94" s="283" t="s">
        <v>101</v>
      </c>
      <c r="D94" s="314"/>
      <c r="E94" s="299" t="s">
        <v>65</v>
      </c>
      <c r="F94" s="300"/>
      <c r="G94" s="300"/>
      <c r="H94" s="301"/>
      <c r="I94" s="116">
        <f>'2512'!I103-'2309'!I94</f>
        <v>1.7878417122129092E-2</v>
      </c>
      <c r="J94" s="116">
        <f>'2512'!J103-'2309'!J94</f>
        <v>-8.3728207297028845E-3</v>
      </c>
      <c r="K94" s="116">
        <f>'2512'!K103-'2309'!K94</f>
        <v>3.5793671518112927E-2</v>
      </c>
      <c r="L94" s="116">
        <f>'2512'!L103-'2309'!L94</f>
        <v>-7.9916322356158309E-3</v>
      </c>
      <c r="M94" s="116">
        <f>'2512'!M103-'2309'!M94</f>
        <v>3.8555349696426003E-2</v>
      </c>
      <c r="N94" s="116">
        <f>'2512'!N103-'2309'!N94</f>
        <v>8.1356857859819359E-2</v>
      </c>
      <c r="O94" s="116">
        <f>'2512'!O103-'2309'!O94</f>
        <v>2.1275039273708392E-2</v>
      </c>
      <c r="P94" s="116">
        <f>'2512'!P103-'2309'!P94</f>
        <v>-2.6739289837762734E-2</v>
      </c>
      <c r="Q94" s="116">
        <f>'2512'!Q103-'2309'!Q94</f>
        <v>6.9284192422508134E-2</v>
      </c>
      <c r="R94" s="116">
        <f>'2512'!R103-'2309'!R94</f>
        <v>8.4960382226792475E-4</v>
      </c>
      <c r="S94" s="116">
        <f>'2512'!S103-'2309'!S94</f>
        <v>1.518828446551071E-2</v>
      </c>
      <c r="T94" s="116">
        <f>'2512'!T103-'2309'!T94</f>
        <v>-1.7910495372583879E-2</v>
      </c>
      <c r="U94" s="80"/>
    </row>
    <row r="95" spans="3:21">
      <c r="C95" s="261"/>
      <c r="D95" s="315"/>
      <c r="E95" s="296" t="s">
        <v>67</v>
      </c>
      <c r="F95" s="297"/>
      <c r="G95" s="297"/>
      <c r="H95" s="298"/>
      <c r="I95" s="117">
        <f>'2512'!I104-'2309'!I95</f>
        <v>9.5780700851518658E-3</v>
      </c>
      <c r="J95" s="117">
        <f>'2512'!J104-'2309'!J95</f>
        <v>-2.1236524450638991E-3</v>
      </c>
      <c r="K95" s="117">
        <f>'2512'!K104-'2309'!K95</f>
        <v>1.7268971747253503E-2</v>
      </c>
      <c r="L95" s="117">
        <f>'2512'!L104-'2309'!L95</f>
        <v>-8.1294200954368165E-3</v>
      </c>
      <c r="M95" s="117">
        <f>'2512'!M104-'2309'!M95</f>
        <v>3.2615575757161994E-2</v>
      </c>
      <c r="N95" s="117">
        <f>'2512'!N104-'2309'!N95</f>
        <v>1.2481955728427183E-2</v>
      </c>
      <c r="O95" s="117">
        <f>'2512'!O104-'2309'!O95</f>
        <v>3.2598218214895766E-2</v>
      </c>
      <c r="P95" s="117">
        <f>'2512'!P104-'2309'!P95</f>
        <v>-7.1963355645235233E-3</v>
      </c>
      <c r="Q95" s="117">
        <f>'2512'!Q104-'2309'!Q95</f>
        <v>2.3693563977620846E-2</v>
      </c>
      <c r="R95" s="117">
        <f>'2512'!R104-'2309'!R95</f>
        <v>4.0633233586346532E-2</v>
      </c>
      <c r="S95" s="117">
        <f>'2512'!S104-'2309'!S95</f>
        <v>1.3432115643128489E-2</v>
      </c>
      <c r="T95" s="117">
        <f>'2512'!T104-'2309'!T95</f>
        <v>6.9073696105259041E-3</v>
      </c>
      <c r="U95" s="80"/>
    </row>
    <row r="96" spans="3:21">
      <c r="C96" s="262"/>
      <c r="D96" s="316"/>
      <c r="E96" s="311" t="s">
        <v>78</v>
      </c>
      <c r="F96" s="312"/>
      <c r="G96" s="312"/>
      <c r="H96" s="313"/>
      <c r="I96" s="119">
        <f>'2512'!I105-'2309'!I96</f>
        <v>1.0500455615993075E-2</v>
      </c>
      <c r="J96" s="119">
        <f>'2512'!J105-'2309'!J96</f>
        <v>-6.2716507563769647E-4</v>
      </c>
      <c r="K96" s="119">
        <f>'2512'!K105-'2309'!K96</f>
        <v>1.614750557652269E-2</v>
      </c>
      <c r="L96" s="119">
        <f>'2512'!L105-'2309'!L96</f>
        <v>-5.3860337992895566E-3</v>
      </c>
      <c r="M96" s="119">
        <f>'2512'!M105-'2309'!M96</f>
        <v>3.1112477514896347E-2</v>
      </c>
      <c r="N96" s="119">
        <f>'2512'!N105-'2309'!N96</f>
        <v>1.3204515665560357E-2</v>
      </c>
      <c r="O96" s="119">
        <f>'2512'!O105-'2309'!O96</f>
        <v>3.0702669382327255E-2</v>
      </c>
      <c r="P96" s="119">
        <f>'2512'!P105-'2309'!P96</f>
        <v>-2.2684904772184572E-3</v>
      </c>
      <c r="Q96" s="119">
        <f>'2512'!Q105-'2309'!Q96</f>
        <v>2.3111484781793784E-2</v>
      </c>
      <c r="R96" s="119">
        <f>'2512'!R105-'2309'!R96</f>
        <v>3.9271158116901628E-2</v>
      </c>
      <c r="S96" s="119">
        <f>'2512'!S105-'2309'!S96</f>
        <v>1.4631644882836567E-2</v>
      </c>
      <c r="T96" s="119">
        <f>'2512'!T105-'2309'!T96</f>
        <v>9.0924657878510562E-3</v>
      </c>
      <c r="U96" s="80"/>
    </row>
    <row r="97" spans="3:21">
      <c r="C97" s="110" t="s">
        <v>99</v>
      </c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</row>
    <row r="98" spans="3:21"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</row>
    <row r="99" spans="3:21"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</row>
    <row r="102" spans="3:21">
      <c r="O102" s="43"/>
      <c r="T102" s="43"/>
    </row>
    <row r="103" spans="3:21" hidden="1">
      <c r="I103" s="42"/>
      <c r="O103" s="43"/>
      <c r="T103" s="43"/>
    </row>
    <row r="104" spans="3:21" hidden="1">
      <c r="C104" t="s">
        <v>87</v>
      </c>
    </row>
    <row r="105" spans="3:21" hidden="1">
      <c r="D105" s="1"/>
      <c r="E105" s="41"/>
      <c r="F105" s="41"/>
      <c r="G105" s="41"/>
      <c r="H105" s="41"/>
      <c r="I105" s="41" t="s">
        <v>88</v>
      </c>
      <c r="J105" s="41" t="s">
        <v>90</v>
      </c>
      <c r="K105" s="41" t="s">
        <v>96</v>
      </c>
      <c r="L105" s="41" t="s">
        <v>57</v>
      </c>
    </row>
    <row r="106" spans="3:21" hidden="1">
      <c r="D106" s="1"/>
      <c r="E106" s="1" t="s">
        <v>89</v>
      </c>
      <c r="F106" s="1"/>
      <c r="G106" s="1"/>
      <c r="H106" s="1"/>
      <c r="I106" s="44">
        <f>+[2]실적!$S$33/100</f>
        <v>20214.508548020003</v>
      </c>
      <c r="J106" s="45">
        <f>[2]실적!$T$6/([2]실적!$S$33+[2]실적!$T$6)</f>
        <v>8.9114807860608783E-2</v>
      </c>
      <c r="K106" s="44">
        <f>+I106*J106</f>
        <v>1801.4120452534364</v>
      </c>
      <c r="L106" s="44">
        <f>[3]SUMMARY!$I$35*10</f>
        <v>17750.818817921601</v>
      </c>
    </row>
    <row r="107" spans="3:21" hidden="1">
      <c r="D107" s="1"/>
      <c r="E107" s="1"/>
      <c r="F107" s="1"/>
      <c r="G107" s="1"/>
      <c r="H107" s="1"/>
      <c r="I107" s="1"/>
      <c r="J107" s="1"/>
      <c r="K107" s="1"/>
      <c r="L107" s="1"/>
    </row>
    <row r="108" spans="3:21" hidden="1">
      <c r="C108" s="307" t="s">
        <v>16</v>
      </c>
      <c r="D108" s="308"/>
      <c r="E108" s="308"/>
      <c r="F108" s="308"/>
      <c r="G108" s="308"/>
      <c r="H108" s="308"/>
      <c r="I108" s="57" t="s">
        <v>48</v>
      </c>
      <c r="J108" s="57" t="s">
        <v>49</v>
      </c>
      <c r="K108" s="57" t="s">
        <v>50</v>
      </c>
      <c r="L108" s="57" t="s">
        <v>51</v>
      </c>
      <c r="M108" s="57" t="s">
        <v>17</v>
      </c>
      <c r="N108" s="57" t="s">
        <v>52</v>
      </c>
      <c r="O108" s="57" t="s">
        <v>15</v>
      </c>
      <c r="P108" s="57" t="s">
        <v>46</v>
      </c>
      <c r="Q108" s="57" t="s">
        <v>45</v>
      </c>
      <c r="R108" s="57" t="s">
        <v>44</v>
      </c>
      <c r="S108" s="57" t="s">
        <v>53</v>
      </c>
      <c r="T108" s="49" t="s">
        <v>47</v>
      </c>
    </row>
    <row r="109" spans="3:21" hidden="1">
      <c r="C109" s="309" t="s">
        <v>85</v>
      </c>
      <c r="D109" s="309"/>
      <c r="E109" s="309"/>
      <c r="F109" s="309"/>
      <c r="G109" s="309"/>
      <c r="H109" s="310"/>
      <c r="I109" s="50">
        <f>K106</f>
        <v>1801.4120452534364</v>
      </c>
      <c r="J109" s="51">
        <f t="shared" ref="J109:T109" si="0">+J72*J77</f>
        <v>-54.188338534217245</v>
      </c>
      <c r="K109" s="51">
        <f t="shared" si="0"/>
        <v>22.005113472260419</v>
      </c>
      <c r="L109" s="51">
        <f t="shared" si="0"/>
        <v>24.6198832896876</v>
      </c>
      <c r="M109" s="51">
        <f t="shared" si="0"/>
        <v>-2.141436479342901</v>
      </c>
      <c r="N109" s="51">
        <f t="shared" si="0"/>
        <v>3.0652235424789414</v>
      </c>
      <c r="O109" s="51">
        <f t="shared" si="0"/>
        <v>0.33584426822920888</v>
      </c>
      <c r="P109" s="51">
        <f t="shared" si="0"/>
        <v>-37.878838566356329</v>
      </c>
      <c r="Q109" s="51">
        <f t="shared" si="0"/>
        <v>5.5574813333610011</v>
      </c>
      <c r="R109" s="51">
        <f t="shared" si="0"/>
        <v>5.4112425609260963</v>
      </c>
      <c r="S109" s="51">
        <f t="shared" si="0"/>
        <v>0.79465847914972787</v>
      </c>
      <c r="T109" s="52">
        <f t="shared" si="0"/>
        <v>-32.100118115504536</v>
      </c>
    </row>
    <row r="110" spans="3:21" hidden="1">
      <c r="C110" s="53" t="s">
        <v>91</v>
      </c>
      <c r="D110" s="54"/>
      <c r="E110" s="54"/>
      <c r="F110" s="54"/>
      <c r="G110" s="54"/>
      <c r="H110" s="54"/>
      <c r="I110" s="55">
        <f>+I106/(L106*150%)</f>
        <v>0.75919534587369786</v>
      </c>
      <c r="J110" s="55" t="e">
        <f>+J72/(J50*150%)</f>
        <v>#DIV/0!</v>
      </c>
      <c r="K110" s="55" t="e">
        <f t="shared" ref="K110:T110" si="1">+K72/(K50*150%)</f>
        <v>#DIV/0!</v>
      </c>
      <c r="L110" s="55">
        <f t="shared" si="1"/>
        <v>-0.27772108458449585</v>
      </c>
      <c r="M110" s="55">
        <f t="shared" si="1"/>
        <v>-0.39581922816519971</v>
      </c>
      <c r="N110" s="55">
        <f t="shared" si="1"/>
        <v>0.48082283249918778</v>
      </c>
      <c r="O110" s="55">
        <f t="shared" si="1"/>
        <v>-7.9367431012894021E-2</v>
      </c>
      <c r="P110" s="55">
        <f t="shared" si="1"/>
        <v>0.23996387908090674</v>
      </c>
      <c r="Q110" s="55">
        <f t="shared" si="1"/>
        <v>-2.2577147650961189</v>
      </c>
      <c r="R110" s="55">
        <f t="shared" si="1"/>
        <v>-2.7605079525798448</v>
      </c>
      <c r="S110" s="55">
        <f t="shared" si="1"/>
        <v>0.22855677496073984</v>
      </c>
      <c r="T110" s="56">
        <f t="shared" si="1"/>
        <v>0.47193483583168344</v>
      </c>
    </row>
    <row r="111" spans="3:21" hidden="1">
      <c r="C111" s="1"/>
      <c r="D111" s="1"/>
      <c r="E111" s="1"/>
      <c r="F111" s="1"/>
      <c r="G111" s="46" t="s">
        <v>93</v>
      </c>
      <c r="H111" s="1"/>
      <c r="I111" s="47">
        <f>+I110</f>
        <v>0.75919534587369786</v>
      </c>
      <c r="J111" s="46"/>
      <c r="K111" s="46" t="s">
        <v>94</v>
      </c>
      <c r="L111" s="47" t="e">
        <f>AVERAGE(J110:O110)</f>
        <v>#DIV/0!</v>
      </c>
      <c r="M111" s="46"/>
      <c r="N111" s="46" t="s">
        <v>95</v>
      </c>
      <c r="O111" s="47">
        <f>AVERAGE(P110:T110)</f>
        <v>-0.81555344556052689</v>
      </c>
      <c r="P111" s="46"/>
      <c r="Q111" s="1"/>
      <c r="R111" s="1"/>
      <c r="S111" s="1"/>
      <c r="T111" s="1"/>
    </row>
    <row r="112" spans="3:21" hidden="1">
      <c r="C112" s="53" t="s">
        <v>92</v>
      </c>
      <c r="D112" s="54"/>
      <c r="E112" s="54"/>
      <c r="F112" s="54"/>
      <c r="G112" s="54"/>
      <c r="H112" s="54"/>
      <c r="I112" s="55">
        <f>+I109/(L106*150%)</f>
        <v>6.7655547376203024E-2</v>
      </c>
      <c r="J112" s="55" t="e">
        <f>J109/(J50*150%)</f>
        <v>#DIV/0!</v>
      </c>
      <c r="K112" s="55" t="e">
        <f t="shared" ref="K112:T112" si="2">K109/(K50*150%)</f>
        <v>#DIV/0!</v>
      </c>
      <c r="L112" s="55">
        <f t="shared" si="2"/>
        <v>6.2991190759664327E-4</v>
      </c>
      <c r="M112" s="55">
        <f t="shared" si="2"/>
        <v>2.4164257270851963E-4</v>
      </c>
      <c r="N112" s="55">
        <f t="shared" si="2"/>
        <v>-1.2518193111121763E-3</v>
      </c>
      <c r="O112" s="55">
        <f t="shared" si="2"/>
        <v>-5.3501729772099428E-5</v>
      </c>
      <c r="P112" s="55">
        <f t="shared" si="2"/>
        <v>-1.0006958210516169E-3</v>
      </c>
      <c r="Q112" s="55">
        <f t="shared" si="2"/>
        <v>-1.6914661959340133E-2</v>
      </c>
      <c r="R112" s="55">
        <f t="shared" si="2"/>
        <v>-1.826348584036146E-3</v>
      </c>
      <c r="S112" s="55">
        <f t="shared" si="2"/>
        <v>1.8033697320101298E-4</v>
      </c>
      <c r="T112" s="56">
        <f t="shared" si="2"/>
        <v>-2.3822174515342651E-3</v>
      </c>
    </row>
    <row r="113" spans="3:20" hidden="1">
      <c r="C113" s="1"/>
      <c r="D113" s="1"/>
      <c r="E113" s="1"/>
      <c r="F113" s="1"/>
      <c r="G113" s="46" t="s">
        <v>93</v>
      </c>
      <c r="H113" s="1"/>
      <c r="I113" s="47">
        <f>+I112</f>
        <v>6.7655547376203024E-2</v>
      </c>
      <c r="J113" s="46"/>
      <c r="K113" s="46" t="s">
        <v>94</v>
      </c>
      <c r="L113" s="47" t="e">
        <f>AVERAGE(J112:O112)</f>
        <v>#DIV/0!</v>
      </c>
      <c r="M113" s="46"/>
      <c r="N113" s="46" t="s">
        <v>95</v>
      </c>
      <c r="O113" s="47">
        <f>AVERAGE(P112:T112)</f>
        <v>-4.388717368552229E-3</v>
      </c>
      <c r="P113" s="1"/>
      <c r="Q113" s="1"/>
      <c r="R113" s="1"/>
      <c r="S113" s="1"/>
      <c r="T113" s="1"/>
    </row>
  </sheetData>
  <mergeCells count="153">
    <mergeCell ref="C108:H108"/>
    <mergeCell ref="C109:H109"/>
    <mergeCell ref="C91:D92"/>
    <mergeCell ref="E91:H91"/>
    <mergeCell ref="E92:H92"/>
    <mergeCell ref="E93:H93"/>
    <mergeCell ref="C94:D96"/>
    <mergeCell ref="E94:H94"/>
    <mergeCell ref="E95:H95"/>
    <mergeCell ref="E96:H96"/>
    <mergeCell ref="J81:J82"/>
    <mergeCell ref="P81:P82"/>
    <mergeCell ref="F82:H82"/>
    <mergeCell ref="C88:H88"/>
    <mergeCell ref="C89:H89"/>
    <mergeCell ref="C90:H90"/>
    <mergeCell ref="C74:H74"/>
    <mergeCell ref="C75:H75"/>
    <mergeCell ref="C76:H76"/>
    <mergeCell ref="C77:H77"/>
    <mergeCell ref="C78:H78"/>
    <mergeCell ref="C79:E82"/>
    <mergeCell ref="F79:H79"/>
    <mergeCell ref="F80:H80"/>
    <mergeCell ref="F81:H81"/>
    <mergeCell ref="C63:H63"/>
    <mergeCell ref="C64:H64"/>
    <mergeCell ref="C65:H65"/>
    <mergeCell ref="C71:H71"/>
    <mergeCell ref="C72:H72"/>
    <mergeCell ref="C73:H73"/>
    <mergeCell ref="D58:H58"/>
    <mergeCell ref="D59:E60"/>
    <mergeCell ref="F59:H59"/>
    <mergeCell ref="F60:H60"/>
    <mergeCell ref="C61:H61"/>
    <mergeCell ref="C62:H62"/>
    <mergeCell ref="C47:H47"/>
    <mergeCell ref="C48:H48"/>
    <mergeCell ref="C49:H49"/>
    <mergeCell ref="C50:H50"/>
    <mergeCell ref="C56:H56"/>
    <mergeCell ref="C57:H57"/>
    <mergeCell ref="D41:H41"/>
    <mergeCell ref="I41:J41"/>
    <mergeCell ref="K41:L41"/>
    <mergeCell ref="M41:N41"/>
    <mergeCell ref="O41:P41"/>
    <mergeCell ref="Q41:R41"/>
    <mergeCell ref="D40:H40"/>
    <mergeCell ref="I40:J40"/>
    <mergeCell ref="K40:L40"/>
    <mergeCell ref="M40:N40"/>
    <mergeCell ref="O40:P40"/>
    <mergeCell ref="Q40:R40"/>
    <mergeCell ref="D39:H39"/>
    <mergeCell ref="I39:J39"/>
    <mergeCell ref="K39:L39"/>
    <mergeCell ref="M39:N39"/>
    <mergeCell ref="O39:P39"/>
    <mergeCell ref="Q39:R39"/>
    <mergeCell ref="D38:H38"/>
    <mergeCell ref="I38:J38"/>
    <mergeCell ref="K38:L38"/>
    <mergeCell ref="M38:N38"/>
    <mergeCell ref="O38:P38"/>
    <mergeCell ref="Q38:R38"/>
    <mergeCell ref="D37:H37"/>
    <mergeCell ref="I37:J37"/>
    <mergeCell ref="K37:L37"/>
    <mergeCell ref="M37:N37"/>
    <mergeCell ref="O37:P37"/>
    <mergeCell ref="Q37:R37"/>
    <mergeCell ref="D36:H36"/>
    <mergeCell ref="I36:J36"/>
    <mergeCell ref="K36:L36"/>
    <mergeCell ref="M36:N36"/>
    <mergeCell ref="O36:P36"/>
    <mergeCell ref="Q36:R36"/>
    <mergeCell ref="D35:H35"/>
    <mergeCell ref="I35:J35"/>
    <mergeCell ref="K35:L35"/>
    <mergeCell ref="M35:N35"/>
    <mergeCell ref="O35:P35"/>
    <mergeCell ref="Q35:R35"/>
    <mergeCell ref="D34:H34"/>
    <mergeCell ref="I34:J34"/>
    <mergeCell ref="K34:L34"/>
    <mergeCell ref="M34:N34"/>
    <mergeCell ref="O34:P34"/>
    <mergeCell ref="Q34:R34"/>
    <mergeCell ref="D33:H33"/>
    <mergeCell ref="I33:J33"/>
    <mergeCell ref="K33:L33"/>
    <mergeCell ref="M33:N33"/>
    <mergeCell ref="O33:P33"/>
    <mergeCell ref="Q33:R33"/>
    <mergeCell ref="D32:H32"/>
    <mergeCell ref="I32:J32"/>
    <mergeCell ref="K32:L32"/>
    <mergeCell ref="M32:N32"/>
    <mergeCell ref="O32:P32"/>
    <mergeCell ref="Q32:R32"/>
    <mergeCell ref="D31:H31"/>
    <mergeCell ref="I31:J31"/>
    <mergeCell ref="K31:L31"/>
    <mergeCell ref="M31:N31"/>
    <mergeCell ref="O31:P31"/>
    <mergeCell ref="Q31:R31"/>
    <mergeCell ref="D30:H30"/>
    <mergeCell ref="I30:J30"/>
    <mergeCell ref="K30:L30"/>
    <mergeCell ref="M30:N30"/>
    <mergeCell ref="O30:P30"/>
    <mergeCell ref="Q30:R30"/>
    <mergeCell ref="D29:H29"/>
    <mergeCell ref="I29:J29"/>
    <mergeCell ref="K29:L29"/>
    <mergeCell ref="M29:N29"/>
    <mergeCell ref="O29:P29"/>
    <mergeCell ref="Q29:R29"/>
    <mergeCell ref="D28:H28"/>
    <mergeCell ref="I28:J28"/>
    <mergeCell ref="K28:L28"/>
    <mergeCell ref="M28:N28"/>
    <mergeCell ref="O28:P28"/>
    <mergeCell ref="Q28:R28"/>
    <mergeCell ref="O25:P26"/>
    <mergeCell ref="Q25:R26"/>
    <mergeCell ref="C27:H27"/>
    <mergeCell ref="I27:J27"/>
    <mergeCell ref="K27:L27"/>
    <mergeCell ref="M27:N27"/>
    <mergeCell ref="O27:P27"/>
    <mergeCell ref="Q27:R27"/>
    <mergeCell ref="C19:H19"/>
    <mergeCell ref="C20:H20"/>
    <mergeCell ref="C25:H26"/>
    <mergeCell ref="I25:J26"/>
    <mergeCell ref="K25:L26"/>
    <mergeCell ref="M25:N26"/>
    <mergeCell ref="C13:H13"/>
    <mergeCell ref="C14:H14"/>
    <mergeCell ref="C15:H15"/>
    <mergeCell ref="C16:H16"/>
    <mergeCell ref="C17:H17"/>
    <mergeCell ref="C18:H18"/>
    <mergeCell ref="C7:H7"/>
    <mergeCell ref="C8:H8"/>
    <mergeCell ref="C9:H9"/>
    <mergeCell ref="C10:H10"/>
    <mergeCell ref="C11:H11"/>
    <mergeCell ref="C12:H12"/>
  </mergeCells>
  <phoneticPr fontId="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8" orientation="landscape" r:id="rId1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2512</vt:lpstr>
      <vt:lpstr>2309</vt:lpstr>
      <vt:lpstr>전분기대비</vt:lpstr>
      <vt:lpstr>'2309'!Print_Area</vt:lpstr>
      <vt:lpstr>'2512'!Print_Area</vt:lpstr>
      <vt:lpstr>전분기대비!Print_Area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cp:lastPrinted>2025-04-02T07:12:00Z</cp:lastPrinted>
  <dcterms:created xsi:type="dcterms:W3CDTF">2023-05-16T00:13:00Z</dcterms:created>
  <dcterms:modified xsi:type="dcterms:W3CDTF">2026-04-02T07:57:31Z</dcterms:modified>
</cp:coreProperties>
</file>