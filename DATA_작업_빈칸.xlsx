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8C00"/>
        <bgColor rgb="FFFF8C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8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3" fillId="12" borderId="106" applyAlignment="1" pivotButton="0" quotePrefix="0" xfId="0">
      <alignment horizontal="center" vertical="center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3" fillId="12" borderId="111" applyAlignment="1" pivotButton="0" quotePrefix="0" xfId="0">
      <alignment horizontal="center" vertical="center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24" fillId="0" borderId="89" applyAlignment="1" pivotButton="0" quotePrefix="0" xfId="0">
      <alignment horizontal="center" vertical="center"/>
    </xf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4" fontId="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9" fontId="3" fillId="15" borderId="0" applyAlignment="1" pivotButton="0" quotePrefix="0" xfId="1">
      <alignment vertical="center"/>
    </xf>
    <xf numFmtId="164" fontId="35" fillId="15" borderId="0" applyAlignment="1" pivotButton="0" quotePrefix="0" xfId="1">
      <alignment vertical="center"/>
    </xf>
    <xf numFmtId="0" fontId="0" fillId="15" borderId="0" applyAlignment="1" pivotButton="0" quotePrefix="0" xfId="0">
      <alignment vertical="center"/>
    </xf>
    <xf numFmtId="164" fontId="11" fillId="15" borderId="0" applyAlignment="1" pivotButton="0" quotePrefix="0" xfId="1">
      <alignment vertical="center"/>
    </xf>
    <xf numFmtId="164" fontId="41" fillId="15" borderId="0" applyAlignment="1" pivotButton="0" quotePrefix="0" xfId="1">
      <alignment vertical="center"/>
    </xf>
    <xf numFmtId="164" fontId="3" fillId="15" borderId="0" applyAlignment="1" pivotButton="0" quotePrefix="0" xfId="0">
      <alignment vertical="center"/>
    </xf>
    <xf numFmtId="168" fontId="11" fillId="15" borderId="0" applyAlignment="1" pivotButton="0" quotePrefix="0" xfId="2">
      <alignment vertical="center"/>
    </xf>
    <xf numFmtId="168" fontId="4" fillId="15" borderId="0" applyAlignment="1" pivotButton="0" quotePrefix="0" xfId="2">
      <alignment vertical="center"/>
    </xf>
    <xf numFmtId="168" fontId="3" fillId="15" borderId="0" applyAlignment="1" pivotButton="0" quotePrefix="0" xfId="2">
      <alignment vertical="center"/>
    </xf>
    <xf numFmtId="10" fontId="11" fillId="15" borderId="0" applyAlignment="1" pivotButton="0" quotePrefix="0" xfId="1">
      <alignment vertical="center"/>
    </xf>
    <xf numFmtId="0" fontId="4" fillId="15" borderId="0" applyAlignment="1" pivotButton="0" quotePrefix="0" xfId="0">
      <alignment vertical="center"/>
    </xf>
    <xf numFmtId="9" fontId="3" fillId="15" borderId="0" applyAlignment="1" pivotButton="0" quotePrefix="0" xfId="2">
      <alignment vertical="center"/>
    </xf>
    <xf numFmtId="0" fontId="0" fillId="15" borderId="0" pivotButton="0" quotePrefix="0" xfId="0"/>
    <xf numFmtId="10" fontId="3" fillId="15" borderId="0" applyAlignment="1" pivotButton="0" quotePrefix="0" xfId="1">
      <alignment vertical="center"/>
    </xf>
    <xf numFmtId="168" fontId="3" fillId="15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2" authorId="0" shapeId="0">
      <text>
        <t>2024.11월 작업시 수정</t>
      </text>
    </comment>
    <comment ref="CS23" authorId="0" shapeId="0">
      <text>
        <t>경과조치전 기준으로 수정</t>
      </text>
    </comment>
    <comment ref="BC38" authorId="0" shapeId="0">
      <text>
        <t xml:space="preserve">표 오류 </t>
      </text>
    </comment>
    <comment ref="CF38" authorId="0" shapeId="0">
      <text>
        <t xml:space="preserve">1~2년
</t>
      </text>
    </comment>
    <comment ref="CG38" authorId="0" shapeId="0">
      <text>
        <t xml:space="preserve">2~5년
</t>
      </text>
    </comment>
    <comment ref="T54" authorId="0" shapeId="0">
      <text>
        <t>합병효과 반영</t>
      </text>
    </comment>
    <comment ref="W57" authorId="0" shapeId="0">
      <text>
        <t xml:space="preserve">경영공시
요약 재무상태표(총괄)
보고 계산함
1)총자산 - 특별계정자산
2)  1)-비운용자산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2512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202" t="n">
        <v>0</v>
      </c>
      <c r="J16" s="203" t="n">
        <v>0</v>
      </c>
      <c r="K16" s="204" t="n">
        <v>0</v>
      </c>
      <c r="L16" s="204" t="n">
        <v>0</v>
      </c>
      <c r="M16" s="204" t="n">
        <v>0</v>
      </c>
      <c r="N16" s="204" t="n">
        <v>0</v>
      </c>
      <c r="O16" s="204" t="n">
        <v>0</v>
      </c>
      <c r="P16" s="204" t="n">
        <v>0</v>
      </c>
      <c r="Q16" s="204" t="n">
        <v>0</v>
      </c>
      <c r="R16" s="204" t="n">
        <v>0</v>
      </c>
      <c r="S16" s="204" t="n">
        <v>0</v>
      </c>
      <c r="T16" s="202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  <c r="X36" s="786" t="e">
        <v>#DIV/0!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n"/>
      <c r="J57" s="787" t="n"/>
      <c r="K57" s="787" t="n"/>
      <c r="L57" s="787" t="n"/>
      <c r="M57" s="787" t="n"/>
      <c r="N57" s="787" t="n"/>
      <c r="O57" s="787" t="n"/>
      <c r="P57" s="787" t="n"/>
      <c r="Q57" s="787" t="n"/>
      <c r="R57" s="787" t="n"/>
      <c r="S57" s="787" t="n"/>
      <c r="T57" s="787" t="n"/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200" t="n">
        <v>0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201" t="n">
        <v>0</v>
      </c>
      <c r="P102" s="201" t="n">
        <v>0</v>
      </c>
      <c r="Q102" s="201" t="n">
        <v>0</v>
      </c>
      <c r="R102" s="201" t="n">
        <v>0</v>
      </c>
      <c r="S102" s="201" t="n">
        <v>0</v>
      </c>
      <c r="T102" s="201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(요구자본x130%)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(요구자본x150%)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(요구자본x130%)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(요구자본x150%)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n"/>
      <c r="J168" s="786" t="n"/>
      <c r="K168" s="843" t="n"/>
      <c r="L168" s="843" t="n"/>
      <c r="M168" s="843" t="n"/>
      <c r="N168" s="843" t="n"/>
      <c r="O168" s="786" t="n"/>
      <c r="P168" s="786" t="n"/>
      <c r="Q168" s="786" t="n"/>
      <c r="R168" s="786" t="n"/>
      <c r="S168" s="786" t="n"/>
      <c r="T168" s="786" t="n"/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  <row r="198" ht="16.5" customHeight="1" s="759">
      <c r="C198" s="651" t="inlineStr">
        <is>
          <t>구분</t>
        </is>
      </c>
      <c r="D198" s="649" t="n"/>
      <c r="E198" s="649" t="n"/>
      <c r="F198" s="649" t="n"/>
      <c r="G198" s="649" t="n"/>
      <c r="H198" s="650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7" t="n"/>
      <c r="C199" s="643" t="inlineStr">
        <is>
          <t>CSM조정액</t>
        </is>
      </c>
      <c r="I199" s="787" t="n">
        <v>0</v>
      </c>
      <c r="J199" s="787" t="n">
        <v>0</v>
      </c>
      <c r="K199" s="788" t="n">
        <v>0</v>
      </c>
      <c r="L199" s="788" t="n">
        <v>0</v>
      </c>
      <c r="M199" s="788" t="n">
        <v>0</v>
      </c>
      <c r="N199" s="788" t="n">
        <v>0</v>
      </c>
      <c r="O199" s="788" t="n">
        <v>0</v>
      </c>
      <c r="P199" s="788" t="n">
        <v>0</v>
      </c>
      <c r="Q199" s="788" t="n">
        <v>0</v>
      </c>
      <c r="R199" s="788" t="n">
        <v>0</v>
      </c>
      <c r="S199" s="788" t="n">
        <v>0</v>
      </c>
      <c r="T199" s="788" t="n">
        <v>0</v>
      </c>
    </row>
    <row r="200">
      <c r="A200" s="643" t="n">
        <v>153</v>
      </c>
      <c r="D200" s="643" t="inlineStr">
        <is>
          <t>해지율</t>
        </is>
      </c>
      <c r="I200" s="787" t="n">
        <v>0</v>
      </c>
      <c r="J200" s="787" t="n">
        <v>0</v>
      </c>
      <c r="K200" s="788" t="n">
        <v>0</v>
      </c>
      <c r="L200" s="788" t="n">
        <v>0</v>
      </c>
      <c r="M200" s="788" t="n">
        <v>0</v>
      </c>
      <c r="N200" s="788" t="n">
        <v>0</v>
      </c>
      <c r="O200" s="788" t="n">
        <v>0</v>
      </c>
      <c r="P200" s="788" t="n">
        <v>0</v>
      </c>
      <c r="Q200" s="788" t="n">
        <v>0</v>
      </c>
      <c r="R200" s="788" t="n">
        <v>0</v>
      </c>
      <c r="S200" s="788" t="n">
        <v>0</v>
      </c>
      <c r="T200" s="788" t="n">
        <v>0</v>
      </c>
    </row>
    <row r="201">
      <c r="A201" s="643" t="n">
        <v>154</v>
      </c>
      <c r="D201" s="643" t="inlineStr">
        <is>
          <t>위험률</t>
        </is>
      </c>
      <c r="I201" s="787" t="n">
        <v>0</v>
      </c>
      <c r="J201" s="787" t="n">
        <v>0</v>
      </c>
      <c r="K201" s="788" t="n">
        <v>0</v>
      </c>
      <c r="L201" s="788" t="n">
        <v>0</v>
      </c>
      <c r="M201" s="788" t="n">
        <v>0</v>
      </c>
      <c r="N201" s="788" t="n">
        <v>0</v>
      </c>
      <c r="O201" s="788" t="n">
        <v>0</v>
      </c>
      <c r="P201" s="788" t="n">
        <v>0</v>
      </c>
      <c r="Q201" s="788" t="n">
        <v>0</v>
      </c>
      <c r="R201" s="788" t="n">
        <v>0</v>
      </c>
      <c r="S201" s="788" t="n">
        <v>0</v>
      </c>
      <c r="T201" s="788" t="n">
        <v>0</v>
      </c>
    </row>
    <row r="202">
      <c r="A202" s="643" t="n">
        <v>155</v>
      </c>
      <c r="D202" s="643" t="inlineStr">
        <is>
          <t>사업비율</t>
        </is>
      </c>
      <c r="I202" s="787" t="n">
        <v>0</v>
      </c>
      <c r="J202" s="787" t="n">
        <v>0</v>
      </c>
      <c r="K202" s="788" t="n">
        <v>0</v>
      </c>
      <c r="L202" s="788" t="n">
        <v>0</v>
      </c>
      <c r="M202" s="788" t="n">
        <v>0</v>
      </c>
      <c r="N202" s="788" t="n">
        <v>0</v>
      </c>
      <c r="O202" s="788" t="n">
        <v>0</v>
      </c>
      <c r="P202" s="788" t="n">
        <v>0</v>
      </c>
      <c r="Q202" s="788" t="n">
        <v>0</v>
      </c>
      <c r="R202" s="788" t="n">
        <v>0</v>
      </c>
      <c r="S202" s="788" t="n">
        <v>0</v>
      </c>
      <c r="T202" s="788" t="n">
        <v>0</v>
      </c>
    </row>
    <row r="203">
      <c r="A203" s="643" t="n">
        <v>156</v>
      </c>
      <c r="D203" s="643" t="inlineStr">
        <is>
          <t>기타가정</t>
        </is>
      </c>
      <c r="I203" s="787" t="n">
        <v>0</v>
      </c>
      <c r="J203" s="787" t="n">
        <v>0</v>
      </c>
      <c r="K203" s="788" t="n">
        <v>0</v>
      </c>
      <c r="L203" s="788" t="n">
        <v>0</v>
      </c>
      <c r="M203" s="788" t="n">
        <v>0</v>
      </c>
      <c r="N203" s="788" t="n">
        <v>0</v>
      </c>
      <c r="O203" s="788" t="n">
        <v>0</v>
      </c>
      <c r="P203" s="788" t="n">
        <v>0</v>
      </c>
      <c r="Q203" s="788" t="n">
        <v>0</v>
      </c>
      <c r="R203" s="788" t="n">
        <v>0</v>
      </c>
      <c r="S203" s="788" t="n">
        <v>0</v>
      </c>
      <c r="T203" s="788" t="n">
        <v>0</v>
      </c>
    </row>
    <row r="204">
      <c r="A204" s="643" t="n">
        <v>157</v>
      </c>
      <c r="D204" s="643" t="inlineStr">
        <is>
          <t>물량,예실차 등</t>
        </is>
      </c>
      <c r="I204" s="787" t="n">
        <v>0</v>
      </c>
      <c r="J204" s="787" t="n">
        <v>0</v>
      </c>
      <c r="K204" s="788" t="n">
        <v>0</v>
      </c>
      <c r="L204" s="788" t="n">
        <v>0</v>
      </c>
      <c r="M204" s="788" t="n">
        <v>0</v>
      </c>
      <c r="N204" s="788" t="n">
        <v>0</v>
      </c>
      <c r="O204" s="788" t="n">
        <v>0</v>
      </c>
      <c r="P204" s="788" t="n">
        <v>0</v>
      </c>
      <c r="Q204" s="788" t="n">
        <v>0</v>
      </c>
      <c r="R204" s="788" t="n">
        <v>0</v>
      </c>
      <c r="S204" s="788" t="n">
        <v>0</v>
      </c>
      <c r="T204" s="788" t="n">
        <v>0</v>
      </c>
    </row>
    <row r="205">
      <c r="A205" s="643" t="n">
        <v>158</v>
      </c>
      <c r="D205" s="643" t="inlineStr">
        <is>
          <t>손실요소</t>
        </is>
      </c>
      <c r="I205" s="787" t="n">
        <v>0</v>
      </c>
      <c r="J205" s="787" t="n">
        <v>0</v>
      </c>
      <c r="K205" s="788" t="n">
        <v>0</v>
      </c>
      <c r="L205" s="788" t="n">
        <v>0</v>
      </c>
      <c r="M205" s="788" t="n">
        <v>0</v>
      </c>
      <c r="N205" s="788" t="n">
        <v>0</v>
      </c>
      <c r="O205" s="788" t="n">
        <v>0</v>
      </c>
      <c r="P205" s="788" t="n">
        <v>0</v>
      </c>
      <c r="Q205" s="788" t="n">
        <v>0</v>
      </c>
      <c r="R205" s="788" t="n">
        <v>0</v>
      </c>
      <c r="S205" s="788" t="n">
        <v>0</v>
      </c>
      <c r="T205" s="788" t="n">
        <v>0</v>
      </c>
    </row>
    <row r="206">
      <c r="I206" s="787" t="n"/>
      <c r="J206" s="787" t="n"/>
      <c r="K206" s="788" t="n"/>
      <c r="L206" s="788" t="n"/>
      <c r="M206" s="788" t="n"/>
      <c r="N206" s="788" t="n"/>
      <c r="O206" s="788" t="n"/>
      <c r="P206" s="788" t="n"/>
      <c r="Q206" s="788" t="n"/>
      <c r="R206" s="788" t="n"/>
      <c r="S206" s="788" t="n"/>
      <c r="T206" s="788" t="n"/>
    </row>
    <row r="207">
      <c r="I207" s="787" t="n"/>
      <c r="J207" s="787" t="n"/>
      <c r="K207" s="788" t="n"/>
      <c r="L207" s="788" t="n"/>
      <c r="M207" s="788" t="n"/>
      <c r="N207" s="788" t="n"/>
      <c r="O207" s="788" t="n"/>
      <c r="P207" s="788" t="n"/>
      <c r="Q207" s="788" t="n"/>
      <c r="R207" s="788" t="n"/>
      <c r="S207" s="788" t="n"/>
      <c r="T207" s="788" t="n"/>
    </row>
    <row r="208">
      <c r="I208" s="787" t="n"/>
      <c r="J208" s="787" t="n"/>
      <c r="K208" s="788" t="n"/>
      <c r="L208" s="788" t="n"/>
      <c r="M208" s="788" t="n"/>
      <c r="N208" s="788" t="n"/>
      <c r="O208" s="788" t="n"/>
      <c r="P208" s="788" t="n"/>
      <c r="Q208" s="788" t="n"/>
      <c r="R208" s="788" t="n"/>
      <c r="S208" s="788" t="n"/>
      <c r="T208" s="788" t="n"/>
    </row>
    <row r="209">
      <c r="I209" s="787" t="n"/>
      <c r="J209" s="787" t="n"/>
      <c r="K209" s="788" t="n"/>
      <c r="L209" s="788" t="n"/>
      <c r="M209" s="788" t="n"/>
      <c r="N209" s="788" t="n"/>
      <c r="O209" s="788" t="n"/>
      <c r="P209" s="788" t="n"/>
      <c r="Q209" s="788" t="n"/>
      <c r="R209" s="788" t="n"/>
      <c r="S209" s="788" t="n"/>
      <c r="T209" s="788" t="n"/>
    </row>
    <row r="210">
      <c r="I210" s="787" t="n"/>
      <c r="J210" s="787" t="n"/>
      <c r="K210" s="788" t="n"/>
      <c r="L210" s="788" t="n"/>
      <c r="M210" s="788" t="n"/>
      <c r="N210" s="788" t="n"/>
      <c r="O210" s="788" t="n"/>
      <c r="P210" s="788" t="n"/>
      <c r="Q210" s="788" t="n"/>
      <c r="R210" s="788" t="n"/>
      <c r="S210" s="788" t="n"/>
      <c r="T210" s="788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2312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2406</v>
      </c>
      <c r="J1" s="643" t="n">
        <v>2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D41" s="643" t="inlineStr">
        <is>
          <t>전기말 대비</t>
        </is>
      </c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D42" s="643" t="inlineStr">
        <is>
          <t>2Q</t>
        </is>
      </c>
      <c r="I42" s="787" t="e">
        <v>#N/A</v>
      </c>
      <c r="J42" s="787" t="e">
        <v>#N/A</v>
      </c>
      <c r="K42" s="787" t="e">
        <v>#N/A</v>
      </c>
      <c r="L42" s="787" t="e">
        <v>#N/A</v>
      </c>
      <c r="M42" s="787" t="e">
        <v>#N/A</v>
      </c>
      <c r="N42" s="787" t="e">
        <v>#N/A</v>
      </c>
      <c r="O42" s="787" t="e">
        <v>#N/A</v>
      </c>
      <c r="P42" s="787" t="e">
        <v>#N/A</v>
      </c>
      <c r="Q42" s="787" t="e">
        <v>#N/A</v>
      </c>
      <c r="R42" s="787" t="e">
        <v>#N/A</v>
      </c>
      <c r="S42" s="787" t="e">
        <v>#N/A</v>
      </c>
      <c r="T42" s="787" t="e">
        <v>#N/A</v>
      </c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6.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A83" s="643" t="n">
        <v>111</v>
      </c>
      <c r="C83" s="109" t="n"/>
      <c r="D83" s="207" t="n"/>
      <c r="E83" s="810" t="inlineStr">
        <is>
          <t>예실차</t>
        </is>
      </c>
      <c r="F83" s="810" t="n"/>
      <c r="G83" s="810" t="n"/>
      <c r="H83" s="810" t="n"/>
      <c r="I83" s="787" t="e">
        <v>#N/A</v>
      </c>
      <c r="J83" s="787" t="e">
        <v>#N/A</v>
      </c>
      <c r="K83" s="788" t="e">
        <v>#N/A</v>
      </c>
      <c r="L83" s="788" t="e">
        <v>#N/A</v>
      </c>
      <c r="M83" s="788" t="e">
        <v>#N/A</v>
      </c>
      <c r="N83" s="788" t="e">
        <v>#N/A</v>
      </c>
      <c r="O83" s="788" t="e">
        <v>#N/A</v>
      </c>
      <c r="P83" s="788" t="e">
        <v>#N/A</v>
      </c>
      <c r="Q83" s="788" t="e">
        <v>#N/A</v>
      </c>
      <c r="R83" s="788" t="e">
        <v>#N/A</v>
      </c>
      <c r="S83" s="788" t="e">
        <v>#N/A</v>
      </c>
      <c r="T83" s="788" t="e">
        <v>#N/A</v>
      </c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  <row r="124">
      <c r="I124" s="786" t="e">
        <v>#N/A</v>
      </c>
      <c r="J124" s="786" t="e">
        <v>#N/A</v>
      </c>
      <c r="K124" s="843" t="e">
        <v>#N/A</v>
      </c>
      <c r="L124" s="843" t="e">
        <v>#N/A</v>
      </c>
      <c r="M124" s="843" t="e">
        <v>#N/A</v>
      </c>
      <c r="N124" s="843" t="e">
        <v>#N/A</v>
      </c>
      <c r="O124" s="786" t="e">
        <v>#N/A</v>
      </c>
      <c r="P124" s="786" t="e">
        <v>#N/A</v>
      </c>
      <c r="Q124" s="786" t="e">
        <v>#N/A</v>
      </c>
      <c r="R124" s="786" t="e">
        <v>#N/A</v>
      </c>
      <c r="S124" s="786" t="e">
        <v>#N/A</v>
      </c>
      <c r="T124" s="786" t="e">
        <v>#N/A</v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E114:H114"/>
    <mergeCell ref="C112:D113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2403</v>
      </c>
      <c r="J1" s="643" t="n">
        <v>1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I42" s="789" t="n"/>
      <c r="J42" s="789" t="n"/>
      <c r="K42" s="789" t="n"/>
      <c r="L42" s="789" t="n"/>
      <c r="M42" s="789" t="n"/>
      <c r="N42" s="789" t="n"/>
      <c r="O42" s="789" t="n"/>
      <c r="P42" s="789" t="n"/>
      <c r="Q42" s="789" t="n"/>
      <c r="R42" s="789" t="n"/>
      <c r="S42" s="789" t="n"/>
      <c r="T42" s="789" t="n"/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5.7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C83" s="109" t="n"/>
      <c r="D83" s="207" t="n"/>
      <c r="E83" s="810" t="n"/>
      <c r="F83" s="810" t="n"/>
      <c r="G83" s="810" t="n"/>
      <c r="H83" s="810" t="n"/>
      <c r="I83" s="810" t="n"/>
      <c r="J83" s="810" t="n"/>
      <c r="K83" s="810" t="n"/>
      <c r="L83" s="810" t="n"/>
      <c r="M83" s="810" t="n"/>
      <c r="N83" s="810" t="n"/>
      <c r="O83" s="810" t="n"/>
      <c r="P83" s="810" t="n"/>
      <c r="Q83" s="810" t="n"/>
      <c r="R83" s="810" t="n"/>
      <c r="S83" s="810" t="n"/>
      <c r="T83" s="810" t="n"/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3" min="2" max="2"/>
    <col width="7" bestFit="1" customWidth="1" style="33" min="3" max="3"/>
    <col width="17.125" bestFit="1" customWidth="1" style="33" min="4" max="6"/>
    <col width="14.625" bestFit="1" customWidth="1" style="33" min="7" max="7"/>
    <col width="17.125" bestFit="1" customWidth="1" style="33" min="8" max="8"/>
    <col width="16.125" bestFit="1" customWidth="1" style="33" min="9" max="9"/>
    <col width="13.625" bestFit="1" customWidth="1" style="33" min="10" max="11"/>
    <col width="16.125" bestFit="1" customWidth="1" style="33" min="12" max="12"/>
    <col width="17.125" bestFit="1" customWidth="1" style="33" min="13" max="13"/>
    <col width="18.625" customWidth="1" style="14" min="14" max="17"/>
    <col width="9" customWidth="1" style="14" min="18" max="18"/>
    <col width="17.75" bestFit="1" customWidth="1" style="759" min="19" max="19"/>
    <col width="6.25" bestFit="1" customWidth="1" style="759" min="22" max="22"/>
    <col width="13" bestFit="1" customWidth="1" style="759" min="23" max="23"/>
    <col width="19.375" customWidth="1" style="759" min="24" max="24"/>
    <col width="13.625" customWidth="1" style="759" min="25" max="25"/>
    <col width="17.625" customWidth="1" style="759" min="26" max="27"/>
    <col width="19.375" bestFit="1" customWidth="1" style="759" min="28" max="28"/>
    <col width="15.125" bestFit="1" customWidth="1" style="759" min="29" max="29"/>
    <col width="44.375" customWidth="1" style="759" min="34" max="34"/>
    <col width="19" customWidth="1" style="759" min="35" max="35"/>
    <col width="51.75" bestFit="1" customWidth="1" style="759" min="38" max="38"/>
  </cols>
  <sheetData>
    <row r="1">
      <c r="A1" s="697" t="inlineStr">
        <is>
          <t>분류코드</t>
        </is>
      </c>
      <c r="B1" s="33" t="inlineStr">
        <is>
          <t>계정과목</t>
        </is>
      </c>
      <c r="C1" s="33" t="inlineStr">
        <is>
          <t>수식</t>
        </is>
      </c>
      <c r="D1" s="143" t="inlineStr">
        <is>
          <t>공시</t>
        </is>
      </c>
      <c r="E1" s="143" t="inlineStr">
        <is>
          <t>Conversion</t>
        </is>
      </c>
      <c r="F1" s="143" t="inlineStr">
        <is>
          <t>변액</t>
        </is>
      </c>
      <c r="G1" s="143" t="inlineStr">
        <is>
          <t>퇴직(실적)</t>
        </is>
      </c>
      <c r="H1" s="144" t="inlineStr">
        <is>
          <t>총괄</t>
        </is>
      </c>
      <c r="I1" s="143" t="inlineStr">
        <is>
          <t>신개인 연금</t>
        </is>
      </c>
      <c r="J1" s="143" t="inlineStr">
        <is>
          <t>자산연계형</t>
        </is>
      </c>
      <c r="K1" s="143" t="inlineStr">
        <is>
          <t>퇴직보험</t>
        </is>
      </c>
      <c r="L1" s="143" t="inlineStr">
        <is>
          <t>퇴직연금(원리)</t>
        </is>
      </c>
      <c r="M1" s="143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7" t="inlineStr">
        <is>
          <t>* 공시용</t>
        </is>
      </c>
    </row>
    <row r="2">
      <c r="A2" s="697" t="n">
        <v>1</v>
      </c>
      <c r="B2" s="33" t="inlineStr">
        <is>
          <t xml:space="preserve">  [자 산 총 계]</t>
        </is>
      </c>
      <c r="D2" s="32" t="n">
        <v>32855181935106</v>
      </c>
      <c r="E2" s="32" t="n">
        <v>13679774848594</v>
      </c>
      <c r="F2" s="32" t="n">
        <v>13323148118922</v>
      </c>
      <c r="G2" s="32" t="n">
        <v>356626729672</v>
      </c>
      <c r="H2" s="145" t="n">
        <v>32855181935106</v>
      </c>
      <c r="I2" s="32" t="n">
        <v>1505771962170</v>
      </c>
      <c r="J2" s="32" t="n">
        <v>34862287173</v>
      </c>
      <c r="K2" s="32" t="n">
        <v>17246396780</v>
      </c>
      <c r="L2" s="32" t="n">
        <v>1858720460727</v>
      </c>
      <c r="M2" s="32" t="n">
        <v>29438580828256</v>
      </c>
      <c r="N2" s="16" t="n">
        <v>30979215077599</v>
      </c>
      <c r="O2" s="16" t="n">
        <v>13323148118922</v>
      </c>
      <c r="P2" s="16" t="n">
        <v>1875966857507</v>
      </c>
      <c r="Q2" s="16" t="n">
        <v>356626729672</v>
      </c>
      <c r="R2" s="14" t="inlineStr">
        <is>
          <t>총자산</t>
        </is>
      </c>
      <c r="S2" s="15" t="n">
        <v>13679774848594</v>
      </c>
      <c r="AH2" s="17" t="inlineStr">
        <is>
          <t>계정과목</t>
        </is>
      </c>
      <c r="AI2" s="18" t="inlineStr">
        <is>
          <t xml:space="preserve">금    액 </t>
        </is>
      </c>
    </row>
    <row r="3">
      <c r="A3" s="697" t="n">
        <v>2</v>
      </c>
      <c r="B3" s="33" t="inlineStr">
        <is>
          <t xml:space="preserve">　  [현금및현금성자산]</t>
        </is>
      </c>
      <c r="D3" s="33" t="n">
        <v>0</v>
      </c>
      <c r="E3" s="33" t="n">
        <v>0</v>
      </c>
      <c r="F3" s="33" t="n">
        <v>0</v>
      </c>
      <c r="G3" s="33" t="n">
        <v>0</v>
      </c>
      <c r="H3" s="146" t="n">
        <v>0</v>
      </c>
      <c r="I3" s="33" t="n">
        <v>0</v>
      </c>
      <c r="J3" s="33" t="n">
        <v>0</v>
      </c>
      <c r="K3" s="33" t="n">
        <v>0</v>
      </c>
      <c r="L3" s="33" t="n">
        <v>0</v>
      </c>
      <c r="M3" s="33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S3" s="15" t="n">
        <v>0</v>
      </c>
      <c r="AH3" s="19" t="inlineStr">
        <is>
          <t xml:space="preserve">  I. 현금 및 현금성자산 </t>
        </is>
      </c>
      <c r="AI3" s="847" t="n">
        <v>713309680187</v>
      </c>
    </row>
    <row r="4">
      <c r="A4" s="697" t="n">
        <v>3</v>
      </c>
      <c r="B4" s="33" t="inlineStr">
        <is>
          <t xml:space="preserve">　  [당기손익-공정가치측정유가증권]</t>
        </is>
      </c>
      <c r="D4" s="33" t="n">
        <v>0</v>
      </c>
      <c r="E4" s="33" t="n">
        <v>0</v>
      </c>
      <c r="F4" s="33" t="n">
        <v>0</v>
      </c>
      <c r="G4" s="33" t="n">
        <v>0</v>
      </c>
      <c r="H4" s="146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S4" s="15" t="n">
        <v>0</v>
      </c>
      <c r="AH4" s="19" t="inlineStr">
        <is>
          <t xml:space="preserve">     1.현금 과 예금</t>
        </is>
      </c>
      <c r="AI4" s="847" t="n">
        <v>713309680187</v>
      </c>
    </row>
    <row r="5">
      <c r="A5" s="697" t="n">
        <v>4</v>
      </c>
      <c r="B5" s="33" t="inlineStr">
        <is>
          <t xml:space="preserve">　  [당기손익-공정가치측정지정금융자산]</t>
        </is>
      </c>
      <c r="D5" s="33" t="n">
        <v>0</v>
      </c>
      <c r="E5" s="33" t="n">
        <v>0</v>
      </c>
      <c r="F5" s="33" t="n">
        <v>0</v>
      </c>
      <c r="G5" s="33" t="n">
        <v>0</v>
      </c>
      <c r="H5" s="146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S5" s="15" t="n">
        <v>0</v>
      </c>
      <c r="AH5" s="19" t="inlineStr">
        <is>
          <t xml:space="preserve">        (1) 현    금 </t>
        </is>
      </c>
      <c r="AI5" s="848" t="n">
        <v>0</v>
      </c>
    </row>
    <row r="6">
      <c r="A6" s="697" t="n">
        <v>5</v>
      </c>
      <c r="B6" s="33" t="inlineStr">
        <is>
          <t xml:space="preserve">　  [기타포괄손익-공정가치측정유가증권]</t>
        </is>
      </c>
      <c r="D6" s="33" t="n">
        <v>0</v>
      </c>
      <c r="E6" s="33" t="n">
        <v>0</v>
      </c>
      <c r="F6" s="33" t="n">
        <v>0</v>
      </c>
      <c r="G6" s="33" t="n">
        <v>0</v>
      </c>
      <c r="H6" s="146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S6" s="15" t="n">
        <v>0</v>
      </c>
      <c r="AH6" s="19" t="inlineStr">
        <is>
          <t xml:space="preserve">        (2) 당좌예금</t>
        </is>
      </c>
      <c r="AI6" s="848" t="n">
        <v>7985571496</v>
      </c>
    </row>
    <row r="7">
      <c r="A7" s="697" t="n">
        <v>6</v>
      </c>
      <c r="B7" s="33" t="inlineStr">
        <is>
          <t xml:space="preserve">　  [상각후원가측정유가증권]</t>
        </is>
      </c>
      <c r="D7" s="33" t="n">
        <v>0</v>
      </c>
      <c r="E7" s="33" t="n">
        <v>0</v>
      </c>
      <c r="F7" s="33" t="n">
        <v>0</v>
      </c>
      <c r="G7" s="33" t="n">
        <v>0</v>
      </c>
      <c r="H7" s="146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S7" s="15" t="n">
        <v>0</v>
      </c>
      <c r="AH7" s="19" t="inlineStr">
        <is>
          <t xml:space="preserve">        (3) 보통예금</t>
        </is>
      </c>
      <c r="AI7" s="848" t="n">
        <v>7668430524</v>
      </c>
    </row>
    <row r="8">
      <c r="A8" s="697" t="n">
        <v>7</v>
      </c>
      <c r="B8" s="33" t="inlineStr">
        <is>
          <t xml:space="preserve">　  [관계·종속기업투자주식]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146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S8" s="15" t="n">
        <v>0</v>
      </c>
      <c r="AH8" s="19" t="inlineStr">
        <is>
          <t xml:space="preserve">        (4) 정기예금</t>
        </is>
      </c>
      <c r="AI8" s="848" t="n">
        <v>0</v>
      </c>
    </row>
    <row r="9">
      <c r="A9" s="697" t="n">
        <v>8</v>
      </c>
      <c r="B9" s="33" t="inlineStr">
        <is>
          <t xml:space="preserve">　  [상각후원가측정대출채권]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146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S9" s="15" t="n">
        <v>0</v>
      </c>
      <c r="AH9" s="19" t="inlineStr">
        <is>
          <t xml:space="preserve">        (5) 정기적금</t>
        </is>
      </c>
      <c r="AI9" s="848" t="n">
        <v>0</v>
      </c>
    </row>
    <row r="10">
      <c r="A10" s="697" t="n">
        <v>9</v>
      </c>
      <c r="B10" s="33" t="inlineStr">
        <is>
          <t xml:space="preserve">　  [당기손익-공정가치측정대출채권]</t>
        </is>
      </c>
      <c r="D10" s="33" t="n">
        <v>0</v>
      </c>
      <c r="E10" s="33" t="n">
        <v>0</v>
      </c>
      <c r="F10" s="33" t="n">
        <v>0</v>
      </c>
      <c r="G10" s="33" t="n">
        <v>0</v>
      </c>
      <c r="H10" s="146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S10" s="15" t="n">
        <v>0</v>
      </c>
      <c r="AH10" s="19" t="inlineStr">
        <is>
          <t xml:space="preserve">        (6) 해외제예금 </t>
        </is>
      </c>
      <c r="AI10" s="848" t="n">
        <v>0</v>
      </c>
    </row>
    <row r="11">
      <c r="A11" s="697" t="n">
        <v>10</v>
      </c>
      <c r="B11" s="33" t="inlineStr">
        <is>
          <t xml:space="preserve">　  [기타포괄손익-공정가치측정대출채권]</t>
        </is>
      </c>
      <c r="D11" s="33" t="n">
        <v>0</v>
      </c>
      <c r="E11" s="33" t="n">
        <v>0</v>
      </c>
      <c r="F11" s="33" t="n">
        <v>0</v>
      </c>
      <c r="G11" s="33" t="n">
        <v>0</v>
      </c>
      <c r="H11" s="146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S11" s="15" t="n">
        <v>0</v>
      </c>
      <c r="AH11" s="19" t="inlineStr">
        <is>
          <t xml:space="preserve">        (7) 기타예금</t>
        </is>
      </c>
      <c r="AI11" s="847" t="n">
        <v>697655678167</v>
      </c>
    </row>
    <row r="12">
      <c r="A12" s="697" t="n">
        <v>11</v>
      </c>
      <c r="B12" s="33" t="inlineStr">
        <is>
          <t xml:space="preserve">　  [위험회피회계적용파생상품자산]</t>
        </is>
      </c>
      <c r="D12" s="33" t="n">
        <v>0</v>
      </c>
      <c r="E12" s="33" t="n">
        <v>0</v>
      </c>
      <c r="F12" s="33" t="n">
        <v>0</v>
      </c>
      <c r="G12" s="33" t="n">
        <v>0</v>
      </c>
      <c r="H12" s="146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S12" s="15" t="n">
        <v>0</v>
      </c>
      <c r="AH12" s="19" t="inlineStr">
        <is>
          <t xml:space="preserve">     2.금 전 신 탁 </t>
        </is>
      </c>
      <c r="AI12" s="848" t="n">
        <v>0</v>
      </c>
    </row>
    <row r="13">
      <c r="A13" s="697" t="n">
        <v>12</v>
      </c>
      <c r="B13" s="33" t="inlineStr">
        <is>
          <t xml:space="preserve">　  [기타금융자산]</t>
        </is>
      </c>
      <c r="D13" s="33" t="n">
        <v>0</v>
      </c>
      <c r="E13" s="33" t="n">
        <v>0</v>
      </c>
      <c r="F13" s="33" t="n">
        <v>0</v>
      </c>
      <c r="G13" s="33" t="n">
        <v>0</v>
      </c>
      <c r="H13" s="146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S13" s="15" t="n">
        <v>0</v>
      </c>
      <c r="AH13" s="19" t="inlineStr">
        <is>
          <t xml:space="preserve">  II. 당기손익-공정가치측정 금융자산</t>
        </is>
      </c>
      <c r="AI13" s="848" t="n">
        <v>15919160828799</v>
      </c>
    </row>
    <row r="14">
      <c r="A14" s="697" t="n">
        <v>13</v>
      </c>
      <c r="B14" s="33" t="inlineStr">
        <is>
          <t xml:space="preserve">　  [비금융자산]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146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S14" s="15" t="n">
        <v>0</v>
      </c>
      <c r="W14" s="697" t="inlineStr">
        <is>
          <t>특별계정자산</t>
        </is>
      </c>
      <c r="X14" s="15" t="n">
        <v>13487230093769</v>
      </c>
      <c r="Y14" s="849" t="n">
        <v>134872.30093769</v>
      </c>
      <c r="AH14" s="19" t="inlineStr">
        <is>
          <t xml:space="preserve">     1.당기손익-공정가치측정 금융자산</t>
        </is>
      </c>
      <c r="AI14" s="848" t="n">
        <v>15874266089364</v>
      </c>
    </row>
    <row r="15">
      <c r="A15" s="697" t="n">
        <v>14</v>
      </c>
      <c r="B15" s="33" t="inlineStr">
        <is>
          <t xml:space="preserve">　  [매각예정처분자산집단에포함된자산]</t>
        </is>
      </c>
      <c r="D15" s="33" t="n">
        <v>0</v>
      </c>
      <c r="E15" s="33" t="n">
        <v>0</v>
      </c>
      <c r="F15" s="33" t="n">
        <v>0</v>
      </c>
      <c r="G15" s="33" t="n">
        <v>0</v>
      </c>
      <c r="H15" s="146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S15" s="15" t="n">
        <v>0</v>
      </c>
      <c r="W15" s="697" t="inlineStr">
        <is>
          <t>변액보험</t>
        </is>
      </c>
      <c r="X15" s="15" t="n">
        <v>13137087273425</v>
      </c>
      <c r="Y15" s="849" t="n">
        <v>131370.87273425</v>
      </c>
      <c r="AH15" s="19" t="inlineStr">
        <is>
          <t xml:space="preserve">        (1) 당기손익-공정가치측정 유가증권</t>
        </is>
      </c>
      <c r="AI15" s="848" t="n">
        <v>15605085009793</v>
      </c>
    </row>
    <row r="16">
      <c r="A16" s="697" t="n">
        <v>15</v>
      </c>
      <c r="B16" s="33" t="inlineStr">
        <is>
          <t xml:space="preserve">　  [특별계정자산)</t>
        </is>
      </c>
      <c r="D16" s="33" t="n">
        <v>0</v>
      </c>
      <c r="E16" s="33" t="n">
        <v>0</v>
      </c>
      <c r="F16" s="33" t="n">
        <v>0</v>
      </c>
      <c r="G16" s="33" t="n">
        <v>0</v>
      </c>
      <c r="H16" s="146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S16" s="15" t="n">
        <v>0</v>
      </c>
      <c r="W16" s="697" t="inlineStr">
        <is>
          <t>퇴직실적</t>
        </is>
      </c>
      <c r="X16" s="15" t="n">
        <v>350142820344</v>
      </c>
      <c r="Y16" s="849" t="n">
        <v>3501.42820344</v>
      </c>
      <c r="AH16" s="19" t="inlineStr">
        <is>
          <t xml:space="preserve">          1) 주식</t>
        </is>
      </c>
      <c r="AI16" s="848" t="n">
        <v>218209087000</v>
      </c>
    </row>
    <row r="17">
      <c r="A17" s="697" t="n">
        <v>16</v>
      </c>
      <c r="B17" s="33" t="inlineStr">
        <is>
          <t xml:space="preserve">　  Ⅰ.운 용 자 산</t>
        </is>
      </c>
      <c r="D17" s="32" t="n">
        <v>31995760390644</v>
      </c>
      <c r="E17" s="33" t="n">
        <v>0</v>
      </c>
      <c r="F17" s="32" t="n">
        <v>13106414567769</v>
      </c>
      <c r="G17" s="32" t="n">
        <v>348256525819</v>
      </c>
      <c r="H17" s="145" t="n">
        <v>18541089297056</v>
      </c>
      <c r="I17" s="32" t="n">
        <v>1468764624607</v>
      </c>
      <c r="J17" s="32" t="n">
        <v>33551993783</v>
      </c>
      <c r="K17" s="32" t="n">
        <v>17232912157</v>
      </c>
      <c r="L17" s="32" t="n">
        <v>1784148066674</v>
      </c>
      <c r="M17" s="32" t="n">
        <v>15237391699835</v>
      </c>
      <c r="N17" s="16" t="n">
        <v>16739708318225</v>
      </c>
      <c r="O17" s="16" t="n">
        <v>13106414567769</v>
      </c>
      <c r="P17" s="16" t="n">
        <v>1801380978831</v>
      </c>
      <c r="Q17" s="16" t="n">
        <v>348256525819</v>
      </c>
      <c r="S17" s="15" t="n">
        <v>13454671093588</v>
      </c>
      <c r="AH17" s="19" t="inlineStr">
        <is>
          <t xml:space="preserve">             (가) 상장주식</t>
        </is>
      </c>
      <c r="AI17" s="848" t="n">
        <v>132095366740</v>
      </c>
    </row>
    <row r="18">
      <c r="A18" s="697" t="n">
        <v>17</v>
      </c>
      <c r="B18" s="33" t="inlineStr">
        <is>
          <t xml:space="preserve">　　    1.현금 및 예치금</t>
        </is>
      </c>
      <c r="D18" s="32" t="n">
        <v>1062605988002</v>
      </c>
      <c r="E18" s="33" t="n">
        <v>0</v>
      </c>
      <c r="F18" s="32" t="n">
        <v>506578752068</v>
      </c>
      <c r="G18" s="32" t="n">
        <v>28856952837</v>
      </c>
      <c r="H18" s="145" t="n">
        <v>527170283097</v>
      </c>
      <c r="I18" s="32" t="n">
        <v>107645757960</v>
      </c>
      <c r="J18" s="32" t="n">
        <v>2630294803</v>
      </c>
      <c r="K18" s="32" t="n">
        <v>16235053757</v>
      </c>
      <c r="L18" s="32" t="n">
        <v>153504663422</v>
      </c>
      <c r="M18" s="32" t="n">
        <v>247154513155</v>
      </c>
      <c r="N18" s="16" t="n">
        <v>357430565918</v>
      </c>
      <c r="O18" s="16" t="n">
        <v>506578752068</v>
      </c>
      <c r="P18" s="16" t="n">
        <v>169739717179</v>
      </c>
      <c r="Q18" s="16" t="n">
        <v>28856952837</v>
      </c>
      <c r="S18" s="15" t="n">
        <v>535435704905</v>
      </c>
      <c r="AH18" s="19" t="inlineStr">
        <is>
          <t xml:space="preserve">             (나) 기타주식</t>
        </is>
      </c>
      <c r="AI18" s="848" t="n">
        <v>95383116265</v>
      </c>
    </row>
    <row r="19">
      <c r="A19" s="697" t="n">
        <v>18</v>
      </c>
      <c r="B19" s="33" t="inlineStr">
        <is>
          <t xml:space="preserve">　　　      가.현금과예금</t>
        </is>
      </c>
      <c r="D19" s="32" t="n">
        <v>1044694842300</v>
      </c>
      <c r="E19" s="33" t="n">
        <v>0</v>
      </c>
      <c r="F19" s="32" t="n">
        <v>505978752068</v>
      </c>
      <c r="G19" s="32" t="n">
        <v>28856952837</v>
      </c>
      <c r="H19" s="145" t="n">
        <v>509859137395</v>
      </c>
      <c r="I19" s="32" t="n">
        <v>107645757960</v>
      </c>
      <c r="J19" s="32" t="n">
        <v>2630294803</v>
      </c>
      <c r="K19" s="32" t="n">
        <v>16235053757</v>
      </c>
      <c r="L19" s="32" t="n">
        <v>153504663422</v>
      </c>
      <c r="M19" s="32" t="n">
        <v>229843367453</v>
      </c>
      <c r="N19" s="16" t="n">
        <v>340119420216</v>
      </c>
      <c r="O19" s="16" t="n">
        <v>505978752068</v>
      </c>
      <c r="P19" s="16" t="n">
        <v>169739717179</v>
      </c>
      <c r="Q19" s="16" t="n">
        <v>28856952837</v>
      </c>
      <c r="S19" s="15" t="n">
        <v>534835704905</v>
      </c>
      <c r="AH19" s="19" t="inlineStr">
        <is>
          <t xml:space="preserve">             (다) 평가이익조정</t>
        </is>
      </c>
      <c r="AI19" s="848" t="n">
        <v>-9269396005</v>
      </c>
    </row>
    <row r="20">
      <c r="A20" s="697" t="n">
        <v>19</v>
      </c>
      <c r="B20" s="33" t="inlineStr">
        <is>
          <t xml:space="preserve">　　　　       (1) 현금</t>
        </is>
      </c>
      <c r="D20" s="33" t="n">
        <v>0</v>
      </c>
      <c r="E20" s="33" t="n">
        <v>0</v>
      </c>
      <c r="F20" s="33" t="n">
        <v>0</v>
      </c>
      <c r="G20" s="33" t="n">
        <v>0</v>
      </c>
      <c r="H20" s="146" t="n">
        <v>0</v>
      </c>
      <c r="I20" s="33" t="n">
        <v>0</v>
      </c>
      <c r="J20" s="33" t="n">
        <v>0</v>
      </c>
      <c r="K20" s="33" t="n">
        <v>0</v>
      </c>
      <c r="L20" s="33" t="n">
        <v>0</v>
      </c>
      <c r="M20" s="33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S20" s="15" t="n">
        <v>0</v>
      </c>
      <c r="AH20" s="19" t="inlineStr">
        <is>
          <t xml:space="preserve">          2) 출자금 </t>
        </is>
      </c>
      <c r="AI20" s="848" t="n">
        <v>77810206123</v>
      </c>
    </row>
    <row r="21">
      <c r="A21" s="697" t="n">
        <v>20</v>
      </c>
      <c r="B21" s="33" t="inlineStr">
        <is>
          <t xml:space="preserve">　　　　       (2) 당좌예금</t>
        </is>
      </c>
      <c r="D21" s="32" t="n">
        <v>7333643458</v>
      </c>
      <c r="E21" s="33" t="n">
        <v>0</v>
      </c>
      <c r="F21" s="33" t="n">
        <v>0</v>
      </c>
      <c r="G21" s="33" t="n">
        <v>0</v>
      </c>
      <c r="H21" s="145" t="n">
        <v>7333643458</v>
      </c>
      <c r="I21" s="33" t="n">
        <v>0</v>
      </c>
      <c r="J21" s="33" t="n">
        <v>0</v>
      </c>
      <c r="K21" s="33" t="n">
        <v>0</v>
      </c>
      <c r="L21" s="33" t="n">
        <v>0</v>
      </c>
      <c r="M21" s="32" t="n">
        <v>7333643458</v>
      </c>
      <c r="N21" s="16" t="n">
        <v>7333643458</v>
      </c>
      <c r="O21" s="16" t="n">
        <v>0</v>
      </c>
      <c r="P21" s="16" t="n">
        <v>0</v>
      </c>
      <c r="Q21" s="16" t="n">
        <v>0</v>
      </c>
      <c r="S21" s="15" t="n">
        <v>0</v>
      </c>
      <c r="AH21" s="19" t="inlineStr">
        <is>
          <t xml:space="preserve">          3) 국ㆍ공채</t>
        </is>
      </c>
      <c r="AI21" s="848" t="n">
        <v>48558924704</v>
      </c>
      <c r="AJ21" s="697" t="inlineStr">
        <is>
          <t>국내채권</t>
        </is>
      </c>
    </row>
    <row r="22">
      <c r="A22" s="697" t="n">
        <v>21</v>
      </c>
      <c r="B22" s="33" t="inlineStr">
        <is>
          <t xml:space="preserve">　　　　       (3) 보통예금</t>
        </is>
      </c>
      <c r="D22" s="32" t="n">
        <v>24608927043</v>
      </c>
      <c r="E22" s="33" t="n">
        <v>0</v>
      </c>
      <c r="F22" s="33" t="n">
        <v>0</v>
      </c>
      <c r="G22" s="33" t="n">
        <v>0</v>
      </c>
      <c r="H22" s="145" t="n">
        <v>24608927043</v>
      </c>
      <c r="I22" s="33" t="n">
        <v>0</v>
      </c>
      <c r="J22" s="33" t="n">
        <v>0</v>
      </c>
      <c r="K22" s="33" t="n">
        <v>0</v>
      </c>
      <c r="L22" s="33" t="n">
        <v>0</v>
      </c>
      <c r="M22" s="32" t="n">
        <v>24608927043</v>
      </c>
      <c r="N22" s="16" t="n">
        <v>24608927043</v>
      </c>
      <c r="O22" s="16" t="n">
        <v>0</v>
      </c>
      <c r="P22" s="16" t="n">
        <v>0</v>
      </c>
      <c r="Q22" s="16" t="n">
        <v>0</v>
      </c>
      <c r="S22" s="15" t="n">
        <v>0</v>
      </c>
      <c r="AH22" s="19" t="inlineStr">
        <is>
          <t xml:space="preserve">             (가) 국 채 </t>
        </is>
      </c>
      <c r="AI22" s="848" t="n">
        <v>48558924704</v>
      </c>
    </row>
    <row r="23">
      <c r="A23" s="697" t="n">
        <v>22</v>
      </c>
      <c r="B23" s="33" t="inlineStr">
        <is>
          <t xml:space="preserve">　　　　       (4) 정기예금</t>
        </is>
      </c>
      <c r="D23" s="33" t="n">
        <v>0</v>
      </c>
      <c r="E23" s="33" t="n">
        <v>0</v>
      </c>
      <c r="F23" s="33" t="n">
        <v>0</v>
      </c>
      <c r="G23" s="33" t="n">
        <v>0</v>
      </c>
      <c r="H23" s="146" t="n">
        <v>0</v>
      </c>
      <c r="I23" s="33" t="n">
        <v>0</v>
      </c>
      <c r="J23" s="33" t="n">
        <v>0</v>
      </c>
      <c r="K23" s="33" t="n">
        <v>0</v>
      </c>
      <c r="L23" s="33" t="n">
        <v>0</v>
      </c>
      <c r="M23" s="33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S23" s="15" t="n">
        <v>0</v>
      </c>
      <c r="AH23" s="19" t="inlineStr">
        <is>
          <t xml:space="preserve">             (나) 공 채 </t>
        </is>
      </c>
      <c r="AI23" s="848" t="n">
        <v>0</v>
      </c>
    </row>
    <row r="24">
      <c r="A24" s="697" t="n">
        <v>23</v>
      </c>
      <c r="B24" s="33" t="inlineStr">
        <is>
          <t xml:space="preserve">　　　　       (5) 정기적금</t>
        </is>
      </c>
      <c r="D24" s="33" t="n">
        <v>0</v>
      </c>
      <c r="E24" s="33" t="n">
        <v>0</v>
      </c>
      <c r="F24" s="33" t="n">
        <v>0</v>
      </c>
      <c r="G24" s="33" t="n">
        <v>0</v>
      </c>
      <c r="H24" s="146" t="n">
        <v>0</v>
      </c>
      <c r="I24" s="33" t="n">
        <v>0</v>
      </c>
      <c r="J24" s="33" t="n">
        <v>0</v>
      </c>
      <c r="K24" s="33" t="n">
        <v>0</v>
      </c>
      <c r="L24" s="33" t="n">
        <v>0</v>
      </c>
      <c r="M24" s="33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S24" s="15" t="n">
        <v>0</v>
      </c>
      <c r="AH24" s="19" t="inlineStr">
        <is>
          <t xml:space="preserve">          4) 특 수 채 </t>
        </is>
      </c>
      <c r="AI24" s="848" t="n">
        <v>24987769998</v>
      </c>
      <c r="AJ24" s="697" t="inlineStr">
        <is>
          <t>국내채권</t>
        </is>
      </c>
    </row>
    <row r="25">
      <c r="A25" s="697" t="n">
        <v>24</v>
      </c>
      <c r="B25" s="33" t="inlineStr">
        <is>
          <t xml:space="preserve">　　　　       (6) 해외제예금</t>
        </is>
      </c>
      <c r="D25" s="33" t="n">
        <v>0</v>
      </c>
      <c r="E25" s="33" t="n">
        <v>0</v>
      </c>
      <c r="F25" s="33" t="n">
        <v>0</v>
      </c>
      <c r="G25" s="33" t="n">
        <v>0</v>
      </c>
      <c r="H25" s="146" t="n">
        <v>0</v>
      </c>
      <c r="I25" s="33" t="n">
        <v>0</v>
      </c>
      <c r="J25" s="33" t="n">
        <v>0</v>
      </c>
      <c r="K25" s="33" t="n">
        <v>0</v>
      </c>
      <c r="L25" s="33" t="n">
        <v>0</v>
      </c>
      <c r="M25" s="33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S25" s="15" t="n">
        <v>0</v>
      </c>
      <c r="AH25" s="19" t="inlineStr">
        <is>
          <t xml:space="preserve">          5) 금 융 채 </t>
        </is>
      </c>
      <c r="AI25" s="848" t="n">
        <v>0</v>
      </c>
      <c r="AJ25" s="697" t="inlineStr">
        <is>
          <t>국내채권</t>
        </is>
      </c>
    </row>
    <row r="26">
      <c r="A26" s="697" t="n">
        <v>25</v>
      </c>
      <c r="B26" s="33" t="inlineStr">
        <is>
          <t xml:space="preserve">　　　　       (7) 기타예금</t>
        </is>
      </c>
      <c r="D26" s="32" t="n">
        <v>1012752271799</v>
      </c>
      <c r="E26" s="33" t="n">
        <v>0</v>
      </c>
      <c r="F26" s="32" t="n">
        <v>505978752068</v>
      </c>
      <c r="G26" s="32" t="n">
        <v>28856952837</v>
      </c>
      <c r="H26" s="145" t="n">
        <v>477916566894</v>
      </c>
      <c r="I26" s="32" t="n">
        <v>107645757960</v>
      </c>
      <c r="J26" s="32" t="n">
        <v>2630294803</v>
      </c>
      <c r="K26" s="32" t="n">
        <v>16235053757</v>
      </c>
      <c r="L26" s="32" t="n">
        <v>153504663422</v>
      </c>
      <c r="M26" s="32" t="n">
        <v>197900796952</v>
      </c>
      <c r="N26" s="16" t="n">
        <v>308176849715</v>
      </c>
      <c r="O26" s="16" t="n">
        <v>505978752068</v>
      </c>
      <c r="P26" s="16" t="n">
        <v>169739717179</v>
      </c>
      <c r="Q26" s="16" t="n">
        <v>28856952837</v>
      </c>
      <c r="S26" s="15" t="n">
        <v>534835704905</v>
      </c>
      <c r="AH26" s="19" t="inlineStr">
        <is>
          <t xml:space="preserve">          6) 회 사 채 </t>
        </is>
      </c>
      <c r="AI26" s="848" t="n">
        <v>0</v>
      </c>
      <c r="AJ26" s="697" t="inlineStr">
        <is>
          <t>국내채권</t>
        </is>
      </c>
    </row>
    <row r="27">
      <c r="A27" s="697" t="n">
        <v>26</v>
      </c>
      <c r="B27" s="33" t="inlineStr">
        <is>
          <t xml:space="preserve">　　　      나.금전신탁</t>
        </is>
      </c>
      <c r="D27" s="33" t="n">
        <v>0</v>
      </c>
      <c r="E27" s="33" t="n">
        <v>0</v>
      </c>
      <c r="F27" s="33" t="n">
        <v>0</v>
      </c>
      <c r="G27" s="33" t="n">
        <v>0</v>
      </c>
      <c r="H27" s="146" t="n">
        <v>0</v>
      </c>
      <c r="I27" s="33" t="n">
        <v>0</v>
      </c>
      <c r="J27" s="33" t="n">
        <v>0</v>
      </c>
      <c r="K27" s="33" t="n">
        <v>0</v>
      </c>
      <c r="L27" s="33" t="n">
        <v>0</v>
      </c>
      <c r="M27" s="33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S27" s="15" t="n">
        <v>0</v>
      </c>
      <c r="AH27" s="19" t="inlineStr">
        <is>
          <t xml:space="preserve">            (가) 보증사채</t>
        </is>
      </c>
      <c r="AI27" s="848" t="n">
        <v>0</v>
      </c>
    </row>
    <row r="28" ht="33" customHeight="1" s="759">
      <c r="A28" s="697" t="n">
        <v>27</v>
      </c>
      <c r="B28" s="33" t="inlineStr">
        <is>
          <t xml:space="preserve">　　　      다.선물거래예치금</t>
        </is>
      </c>
      <c r="D28" s="33" t="n">
        <v>0</v>
      </c>
      <c r="E28" s="33" t="n">
        <v>0</v>
      </c>
      <c r="F28" s="33" t="n">
        <v>0</v>
      </c>
      <c r="G28" s="33" t="n">
        <v>0</v>
      </c>
      <c r="H28" s="146" t="n">
        <v>0</v>
      </c>
      <c r="I28" s="33" t="n">
        <v>0</v>
      </c>
      <c r="J28" s="33" t="n">
        <v>0</v>
      </c>
      <c r="K28" s="33" t="n">
        <v>0</v>
      </c>
      <c r="L28" s="33" t="n">
        <v>0</v>
      </c>
      <c r="M28" s="33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S28" s="15" t="n">
        <v>0</v>
      </c>
      <c r="X28" s="20" t="inlineStr">
        <is>
          <t>일반계정
(신개인 등 포함)</t>
        </is>
      </c>
      <c r="Y28" s="697" t="inlineStr">
        <is>
          <t>변액보험</t>
        </is>
      </c>
      <c r="Z28" s="697" t="inlineStr">
        <is>
          <t>퇴직연금/보험</t>
        </is>
      </c>
      <c r="AA28" s="697" t="inlineStr">
        <is>
          <t>퇴직실적</t>
        </is>
      </c>
      <c r="AB28" s="697" t="inlineStr">
        <is>
          <t>합계</t>
        </is>
      </c>
      <c r="AH28" s="19" t="inlineStr">
        <is>
          <t xml:space="preserve">            (나) 무보증사채 </t>
        </is>
      </c>
      <c r="AI28" s="848" t="n">
        <v>0</v>
      </c>
    </row>
    <row r="29">
      <c r="A29" s="697" t="n">
        <v>28</v>
      </c>
      <c r="B29" s="33" t="inlineStr">
        <is>
          <t xml:space="preserve">　　　      라.기타예치금</t>
        </is>
      </c>
      <c r="D29" s="32" t="n">
        <v>17911145702</v>
      </c>
      <c r="E29" s="33" t="n">
        <v>0</v>
      </c>
      <c r="F29" s="32" t="n">
        <v>600000000</v>
      </c>
      <c r="G29" s="33" t="n">
        <v>0</v>
      </c>
      <c r="H29" s="145" t="n">
        <v>17311145702</v>
      </c>
      <c r="I29" s="33" t="n">
        <v>0</v>
      </c>
      <c r="J29" s="33" t="n">
        <v>0</v>
      </c>
      <c r="K29" s="33" t="n">
        <v>0</v>
      </c>
      <c r="L29" s="33" t="n">
        <v>0</v>
      </c>
      <c r="M29" s="32" t="n">
        <v>17311145702</v>
      </c>
      <c r="N29" s="16" t="n">
        <v>17311145702</v>
      </c>
      <c r="O29" s="16" t="n">
        <v>600000000</v>
      </c>
      <c r="P29" s="16" t="n">
        <v>0</v>
      </c>
      <c r="Q29" s="16" t="n">
        <v>0</v>
      </c>
      <c r="S29" s="15" t="n">
        <v>600000000</v>
      </c>
      <c r="V29" s="697" t="inlineStr">
        <is>
          <t>당사</t>
        </is>
      </c>
      <c r="W29" s="697" t="inlineStr">
        <is>
          <t>FVPL</t>
        </is>
      </c>
      <c r="X29" s="849" t="n">
        <v>3701696333408</v>
      </c>
      <c r="Y29" s="849" t="n">
        <v>12409035815701</v>
      </c>
      <c r="Z29" s="849" t="n">
        <v>469243206190</v>
      </c>
      <c r="AA29" s="849" t="n">
        <v>319399572982</v>
      </c>
      <c r="AB29" s="849" t="n">
        <v>16899374928281</v>
      </c>
      <c r="AH29" s="19" t="inlineStr">
        <is>
          <t xml:space="preserve">          7) 수익증권</t>
        </is>
      </c>
      <c r="AI29" s="848" t="n">
        <v>9821858718633</v>
      </c>
      <c r="AJ29" s="697" t="inlineStr">
        <is>
          <t>수익증권</t>
        </is>
      </c>
    </row>
    <row r="30">
      <c r="A30" s="697" t="n">
        <v>29</v>
      </c>
      <c r="B30" s="33" t="inlineStr">
        <is>
          <t xml:space="preserve">　　    2.유가증권</t>
        </is>
      </c>
      <c r="D30" s="32" t="n">
        <v>28704975259799</v>
      </c>
      <c r="E30" s="33" t="n">
        <v>0</v>
      </c>
      <c r="F30" s="32" t="n">
        <v>12409035815701</v>
      </c>
      <c r="G30" s="32" t="n">
        <v>319399572982</v>
      </c>
      <c r="H30" s="145" t="n">
        <v>15976539871116</v>
      </c>
      <c r="I30" s="32" t="n">
        <v>1361118866647</v>
      </c>
      <c r="J30" s="32" t="n">
        <v>30921698980</v>
      </c>
      <c r="K30" s="32" t="n">
        <v>997858400</v>
      </c>
      <c r="L30" s="32" t="n">
        <v>1507609299992</v>
      </c>
      <c r="M30" s="32" t="n">
        <v>13075892147097</v>
      </c>
      <c r="N30" s="16" t="n">
        <v>14467932712724</v>
      </c>
      <c r="O30" s="16" t="n">
        <v>12409035815701</v>
      </c>
      <c r="P30" s="16" t="n">
        <v>1508607158392</v>
      </c>
      <c r="Q30" s="16" t="n">
        <v>319399572982</v>
      </c>
      <c r="R30" s="14" t="inlineStr">
        <is>
          <t>유가증권</t>
        </is>
      </c>
      <c r="S30" s="15" t="n">
        <v>12728435388683</v>
      </c>
      <c r="W30" s="697" t="inlineStr">
        <is>
          <t>주식/출자금</t>
        </is>
      </c>
      <c r="X30" s="849" t="n">
        <v>248300878226</v>
      </c>
      <c r="Y30" s="849" t="n">
        <v>0</v>
      </c>
      <c r="Z30" s="849" t="n">
        <v>5839049083</v>
      </c>
      <c r="AA30" s="849" t="n">
        <v>0</v>
      </c>
      <c r="AB30" s="849" t="n">
        <v>254139927309</v>
      </c>
      <c r="AH30" s="19" t="inlineStr">
        <is>
          <t xml:space="preserve">            (가) 수익증권</t>
        </is>
      </c>
      <c r="AI30" s="848" t="n">
        <v>9664671871963</v>
      </c>
    </row>
    <row r="31">
      <c r="A31" s="697" t="n">
        <v>30</v>
      </c>
      <c r="B31" s="33" t="inlineStr">
        <is>
          <t xml:space="preserve">　　　     2-1.당기손익-공정가치측정유가증권</t>
        </is>
      </c>
      <c r="D31" s="32" t="n">
        <v>16899374928281</v>
      </c>
      <c r="E31" s="33" t="n">
        <v>0</v>
      </c>
      <c r="F31" s="32" t="n">
        <v>12409035815701</v>
      </c>
      <c r="G31" s="32" t="n">
        <v>319399572982</v>
      </c>
      <c r="H31" s="145" t="n">
        <v>4170939539598</v>
      </c>
      <c r="I31" s="32" t="n">
        <v>43788959224</v>
      </c>
      <c r="J31" s="32" t="n">
        <v>30921698980</v>
      </c>
      <c r="K31" s="32" t="n">
        <v>997858400</v>
      </c>
      <c r="L31" s="32" t="n">
        <v>468245347790</v>
      </c>
      <c r="M31" s="32" t="n">
        <v>3626985675204</v>
      </c>
      <c r="N31" s="16" t="n">
        <v>3701696333408</v>
      </c>
      <c r="O31" s="16" t="n">
        <v>12409035815701</v>
      </c>
      <c r="P31" s="16" t="n">
        <v>469243206190</v>
      </c>
      <c r="Q31" s="16" t="n">
        <v>319399572982</v>
      </c>
      <c r="R31" s="14" t="inlineStr">
        <is>
          <t>FVPL</t>
        </is>
      </c>
      <c r="S31" s="15" t="n">
        <v>12728435388683</v>
      </c>
      <c r="W31" s="697" t="inlineStr">
        <is>
          <t>해외주식</t>
        </is>
      </c>
      <c r="X31" s="849" t="n">
        <v>2947581624</v>
      </c>
      <c r="Y31" s="849" t="n">
        <v>2639770186137</v>
      </c>
      <c r="Z31" s="849" t="n">
        <v>6505515182</v>
      </c>
      <c r="AA31" s="849" t="n">
        <v>111195885898</v>
      </c>
      <c r="AB31" s="849" t="n">
        <v>2760419168841</v>
      </c>
      <c r="AH31" s="19" t="inlineStr">
        <is>
          <t xml:space="preserve">            (나) 평가이익조정</t>
        </is>
      </c>
      <c r="AI31" s="848" t="n">
        <v>157186846670</v>
      </c>
    </row>
    <row r="32">
      <c r="A32" s="697" t="n">
        <v>31</v>
      </c>
      <c r="B32" s="33" t="inlineStr">
        <is>
          <t xml:space="preserve">　　　　      [당기손익-공정가치측정유가증권]</t>
        </is>
      </c>
      <c r="D32" s="32" t="n">
        <v>16899374928281</v>
      </c>
      <c r="E32" s="33" t="n">
        <v>0</v>
      </c>
      <c r="F32" s="32" t="n">
        <v>12409035815701</v>
      </c>
      <c r="G32" s="32" t="n">
        <v>319399572982</v>
      </c>
      <c r="H32" s="145" t="n">
        <v>4170939539598</v>
      </c>
      <c r="I32" s="32" t="n">
        <v>43788959224</v>
      </c>
      <c r="J32" s="32" t="n">
        <v>30921698980</v>
      </c>
      <c r="K32" s="32" t="n">
        <v>997858400</v>
      </c>
      <c r="L32" s="32" t="n">
        <v>468245347790</v>
      </c>
      <c r="M32" s="32" t="n">
        <v>3626985675204</v>
      </c>
      <c r="N32" s="16" t="n">
        <v>3701696333408</v>
      </c>
      <c r="O32" s="16" t="n">
        <v>12409035815701</v>
      </c>
      <c r="P32" s="16" t="n">
        <v>469243206190</v>
      </c>
      <c r="Q32" s="16" t="n">
        <v>319399572982</v>
      </c>
      <c r="S32" s="15" t="n">
        <v>12728435388683</v>
      </c>
      <c r="W32" s="697" t="inlineStr">
        <is>
          <t>국내채권</t>
        </is>
      </c>
      <c r="X32" s="849" t="n">
        <v>141074270673</v>
      </c>
      <c r="Y32" s="849" t="n">
        <v>0</v>
      </c>
      <c r="Z32" s="849" t="n">
        <v>997858400</v>
      </c>
      <c r="AA32" s="849" t="n">
        <v>0</v>
      </c>
      <c r="AB32" s="849" t="n">
        <v>142072129073</v>
      </c>
      <c r="AH32" s="19" t="inlineStr">
        <is>
          <t xml:space="preserve">          8) 외화 유가증권</t>
        </is>
      </c>
      <c r="AI32" s="848" t="n">
        <v>5413660303335</v>
      </c>
    </row>
    <row r="33">
      <c r="A33" s="697" t="n">
        <v>32</v>
      </c>
      <c r="B33" s="33" t="inlineStr">
        <is>
          <t xml:space="preserve">　　　　　         가.주 식</t>
        </is>
      </c>
      <c r="D33" s="32" t="n">
        <v>181359358667</v>
      </c>
      <c r="E33" s="33" t="n">
        <v>0</v>
      </c>
      <c r="F33" s="33" t="n">
        <v>0</v>
      </c>
      <c r="G33" s="33" t="n">
        <v>0</v>
      </c>
      <c r="H33" s="145" t="n">
        <v>181359358667</v>
      </c>
      <c r="I33" s="33" t="n">
        <v>0</v>
      </c>
      <c r="J33" s="33" t="n">
        <v>0</v>
      </c>
      <c r="K33" s="33" t="n">
        <v>0</v>
      </c>
      <c r="L33" s="33" t="n">
        <v>0</v>
      </c>
      <c r="M33" s="32" t="n">
        <v>181359358667</v>
      </c>
      <c r="N33" s="16" t="n">
        <v>181359358667</v>
      </c>
      <c r="O33" s="16" t="n">
        <v>0</v>
      </c>
      <c r="P33" s="16" t="n">
        <v>0</v>
      </c>
      <c r="Q33" s="16" t="n">
        <v>0</v>
      </c>
      <c r="R33" s="14" t="inlineStr">
        <is>
          <t>주식/출자금</t>
        </is>
      </c>
      <c r="S33" s="15" t="n">
        <v>0</v>
      </c>
      <c r="W33" s="697" t="inlineStr">
        <is>
          <t>해외채권</t>
        </is>
      </c>
      <c r="X33" s="849" t="n">
        <v>0</v>
      </c>
      <c r="Y33" s="849" t="n">
        <v>0</v>
      </c>
      <c r="Z33" s="849" t="n">
        <v>89223610169</v>
      </c>
      <c r="AA33" s="849" t="n">
        <v>0</v>
      </c>
      <c r="AB33" s="849" t="n">
        <v>89223610169</v>
      </c>
      <c r="AH33" s="19" t="inlineStr">
        <is>
          <t xml:space="preserve">            (가) 주 식 </t>
        </is>
      </c>
      <c r="AI33" s="848" t="n">
        <v>2248508865247</v>
      </c>
      <c r="AJ33" s="697" t="inlineStr">
        <is>
          <t>해외주식</t>
        </is>
      </c>
    </row>
    <row r="34">
      <c r="A34" s="697" t="n">
        <v>33</v>
      </c>
      <c r="B34" s="33" t="inlineStr">
        <is>
          <t xml:space="preserve">　　　　　　          (1) 상장주식</t>
        </is>
      </c>
      <c r="D34" s="32" t="n">
        <v>81407497870</v>
      </c>
      <c r="E34" s="33" t="n">
        <v>0</v>
      </c>
      <c r="F34" s="33" t="n">
        <v>0</v>
      </c>
      <c r="G34" s="33" t="n">
        <v>0</v>
      </c>
      <c r="H34" s="145" t="n">
        <v>81407497870</v>
      </c>
      <c r="I34" s="33" t="n">
        <v>0</v>
      </c>
      <c r="J34" s="33" t="n">
        <v>0</v>
      </c>
      <c r="K34" s="33" t="n">
        <v>0</v>
      </c>
      <c r="L34" s="33" t="n">
        <v>0</v>
      </c>
      <c r="M34" s="32" t="n">
        <v>81407497870</v>
      </c>
      <c r="N34" s="16" t="n">
        <v>81407497870</v>
      </c>
      <c r="O34" s="16" t="n">
        <v>0</v>
      </c>
      <c r="P34" s="16" t="n">
        <v>0</v>
      </c>
      <c r="Q34" s="16" t="n">
        <v>0</v>
      </c>
      <c r="S34" s="15" t="n">
        <v>0</v>
      </c>
      <c r="W34" s="697" t="inlineStr">
        <is>
          <t>수익증권</t>
        </is>
      </c>
      <c r="X34" s="849" t="n">
        <v>3309373602885</v>
      </c>
      <c r="Y34" s="849" t="n">
        <v>6168830802777</v>
      </c>
      <c r="Z34" s="849" t="n">
        <v>366677173356</v>
      </c>
      <c r="AA34" s="849" t="n">
        <v>91445068345</v>
      </c>
      <c r="AB34" s="849" t="n">
        <v>9936326647363</v>
      </c>
      <c r="AH34" s="19" t="inlineStr">
        <is>
          <t xml:space="preserve">            (나) 채 권 </t>
        </is>
      </c>
      <c r="AI34" s="848" t="n">
        <v>80054741433</v>
      </c>
      <c r="AJ34" s="697" t="inlineStr">
        <is>
          <t>해외채권</t>
        </is>
      </c>
    </row>
    <row r="35">
      <c r="A35" s="697" t="n">
        <v>34</v>
      </c>
      <c r="B35" s="33" t="inlineStr">
        <is>
          <t xml:space="preserve">　　　　　　          (2) 기타</t>
        </is>
      </c>
      <c r="D35" s="32" t="n">
        <v>99951860797</v>
      </c>
      <c r="E35" s="33" t="n">
        <v>0</v>
      </c>
      <c r="F35" s="33" t="n">
        <v>0</v>
      </c>
      <c r="G35" s="33" t="n">
        <v>0</v>
      </c>
      <c r="H35" s="145" t="n">
        <v>99951860797</v>
      </c>
      <c r="I35" s="33" t="n">
        <v>0</v>
      </c>
      <c r="J35" s="33" t="n">
        <v>0</v>
      </c>
      <c r="K35" s="33" t="n">
        <v>0</v>
      </c>
      <c r="L35" s="33" t="n">
        <v>0</v>
      </c>
      <c r="M35" s="32" t="n">
        <v>99951860797</v>
      </c>
      <c r="N35" s="16" t="n">
        <v>99951860797</v>
      </c>
      <c r="O35" s="16" t="n">
        <v>0</v>
      </c>
      <c r="P35" s="16" t="n">
        <v>0</v>
      </c>
      <c r="Q35" s="16" t="n">
        <v>0</v>
      </c>
      <c r="S35" s="15" t="n">
        <v>0</v>
      </c>
      <c r="W35" s="697" t="inlineStr">
        <is>
          <t>외화수익증권</t>
        </is>
      </c>
      <c r="X35" s="849" t="n">
        <v>0</v>
      </c>
      <c r="Y35" s="849" t="n">
        <v>3600434826787</v>
      </c>
      <c r="Z35" s="849" t="n">
        <v>0</v>
      </c>
      <c r="AA35" s="849" t="n">
        <v>116758618739</v>
      </c>
      <c r="AB35" s="849" t="n">
        <v>3717193445526</v>
      </c>
      <c r="AH35" s="19" t="inlineStr">
        <is>
          <t xml:space="preserve">            (다) 수익증권</t>
        </is>
      </c>
      <c r="AI35" s="848" t="n">
        <v>2469187361181</v>
      </c>
      <c r="AJ35" s="697" t="inlineStr">
        <is>
          <t>외화수익증권</t>
        </is>
      </c>
    </row>
    <row r="36">
      <c r="A36" s="697" t="n">
        <v>35</v>
      </c>
      <c r="B36" s="33" t="inlineStr">
        <is>
          <t xml:space="preserve">　　　　　         나.출 자 금</t>
        </is>
      </c>
      <c r="D36" s="32" t="n">
        <v>72780568642</v>
      </c>
      <c r="E36" s="33" t="n">
        <v>0</v>
      </c>
      <c r="F36" s="33" t="n">
        <v>0</v>
      </c>
      <c r="G36" s="33" t="n">
        <v>0</v>
      </c>
      <c r="H36" s="145" t="n">
        <v>72780568642</v>
      </c>
      <c r="I36" s="33" t="n">
        <v>0</v>
      </c>
      <c r="J36" s="33" t="n">
        <v>0</v>
      </c>
      <c r="K36" s="33" t="n">
        <v>0</v>
      </c>
      <c r="L36" s="32" t="n">
        <v>5839049083</v>
      </c>
      <c r="M36" s="32" t="n">
        <v>66941519559</v>
      </c>
      <c r="N36" s="16" t="n">
        <v>66941519559</v>
      </c>
      <c r="O36" s="16" t="n">
        <v>0</v>
      </c>
      <c r="P36" s="16" t="n">
        <v>5839049083</v>
      </c>
      <c r="Q36" s="16" t="n">
        <v>0</v>
      </c>
      <c r="R36" s="14" t="inlineStr">
        <is>
          <t>주식/출자금</t>
        </is>
      </c>
      <c r="S36" s="15" t="n">
        <v>0</v>
      </c>
      <c r="U36" s="643" t="n"/>
      <c r="V36" s="643" t="n"/>
      <c r="W36" s="643" t="inlineStr">
        <is>
          <t>기타</t>
        </is>
      </c>
      <c r="X36" s="787" t="n">
        <v>0</v>
      </c>
      <c r="Y36" s="787" t="n">
        <v>0</v>
      </c>
      <c r="Z36" s="787" t="n">
        <v>0</v>
      </c>
      <c r="AA36" s="787" t="n">
        <v>0</v>
      </c>
      <c r="AB36" s="787" t="n">
        <v>0</v>
      </c>
      <c r="AH36" s="19" t="inlineStr">
        <is>
          <t xml:space="preserve">            (라) 신종유가증권</t>
        </is>
      </c>
      <c r="AI36" s="848" t="n">
        <v>0</v>
      </c>
    </row>
    <row r="37">
      <c r="A37" s="697" t="n">
        <v>36</v>
      </c>
      <c r="B37" s="33" t="inlineStr">
        <is>
          <t xml:space="preserve">　　　　　         다.국·공채</t>
        </is>
      </c>
      <c r="D37" s="32" t="n">
        <v>116775029075</v>
      </c>
      <c r="E37" s="33" t="n">
        <v>0</v>
      </c>
      <c r="F37" s="33" t="n">
        <v>0</v>
      </c>
      <c r="G37" s="33" t="n">
        <v>0</v>
      </c>
      <c r="H37" s="145" t="n">
        <v>116775029075</v>
      </c>
      <c r="I37" s="33" t="n">
        <v>0</v>
      </c>
      <c r="J37" s="32" t="n">
        <v>27813370080</v>
      </c>
      <c r="K37" s="32" t="n">
        <v>997858400</v>
      </c>
      <c r="L37" s="33" t="n">
        <v>0</v>
      </c>
      <c r="M37" s="32" t="n">
        <v>87963800595</v>
      </c>
      <c r="N37" s="16" t="n">
        <v>115777170675</v>
      </c>
      <c r="O37" s="16" t="n">
        <v>0</v>
      </c>
      <c r="P37" s="16" t="n">
        <v>997858400</v>
      </c>
      <c r="Q37" s="16" t="n">
        <v>0</v>
      </c>
      <c r="R37" s="14" t="inlineStr">
        <is>
          <t>국내채권</t>
        </is>
      </c>
      <c r="S37" s="15" t="n">
        <v>0</v>
      </c>
      <c r="U37" s="643" t="n"/>
      <c r="V37" s="643" t="n"/>
      <c r="W37" s="643" t="inlineStr">
        <is>
          <t>FVOCI</t>
        </is>
      </c>
      <c r="X37" s="849" t="n">
        <v>10624193413813</v>
      </c>
      <c r="Y37" s="849" t="n">
        <v>0</v>
      </c>
      <c r="Z37" s="849" t="n">
        <v>1039363952202</v>
      </c>
      <c r="AA37" s="849" t="n">
        <v>0</v>
      </c>
      <c r="AB37" s="849" t="n">
        <v>11663557366015</v>
      </c>
      <c r="AH37" s="19" t="inlineStr">
        <is>
          <t xml:space="preserve">            (마) 기타유가증권</t>
        </is>
      </c>
      <c r="AI37" s="848" t="n">
        <v>0</v>
      </c>
    </row>
    <row r="38">
      <c r="A38" s="697" t="n">
        <v>37</v>
      </c>
      <c r="B38" s="33" t="inlineStr">
        <is>
          <t xml:space="preserve">　　　　　　          (1) 국  채</t>
        </is>
      </c>
      <c r="D38" s="32" t="n">
        <v>116775029075</v>
      </c>
      <c r="E38" s="33" t="n">
        <v>0</v>
      </c>
      <c r="F38" s="33" t="n">
        <v>0</v>
      </c>
      <c r="G38" s="33" t="n">
        <v>0</v>
      </c>
      <c r="H38" s="145" t="n">
        <v>116775029075</v>
      </c>
      <c r="I38" s="33" t="n">
        <v>0</v>
      </c>
      <c r="J38" s="32" t="n">
        <v>27813370080</v>
      </c>
      <c r="K38" s="32" t="n">
        <v>997858400</v>
      </c>
      <c r="L38" s="33" t="n">
        <v>0</v>
      </c>
      <c r="M38" s="32" t="n">
        <v>87963800595</v>
      </c>
      <c r="N38" s="16" t="n">
        <v>115777170675</v>
      </c>
      <c r="O38" s="16" t="n">
        <v>0</v>
      </c>
      <c r="P38" s="16" t="n">
        <v>997858400</v>
      </c>
      <c r="Q38" s="16" t="n">
        <v>0</v>
      </c>
      <c r="S38" s="15" t="n">
        <v>0</v>
      </c>
      <c r="U38" s="643" t="n"/>
      <c r="W38" s="697" t="inlineStr">
        <is>
          <t>AC</t>
        </is>
      </c>
      <c r="X38" s="849" t="n">
        <v>1845131053657</v>
      </c>
      <c r="Y38" s="849" t="n">
        <v>190800000000</v>
      </c>
      <c r="Z38" s="849" t="n">
        <v>123034103260</v>
      </c>
      <c r="AA38" s="849" t="n">
        <v>0</v>
      </c>
      <c r="AB38" s="849" t="n">
        <v>2158965156917</v>
      </c>
      <c r="AH38" s="19" t="inlineStr">
        <is>
          <t xml:space="preserve">            (바) 평가이익조정</t>
        </is>
      </c>
      <c r="AI38" s="848" t="n">
        <v>615909335474</v>
      </c>
    </row>
    <row r="39">
      <c r="A39" s="697" t="n">
        <v>38</v>
      </c>
      <c r="B39" s="33" t="inlineStr">
        <is>
          <t xml:space="preserve">　　　　　　          (2) 공  채</t>
        </is>
      </c>
      <c r="D39" s="33" t="n">
        <v>0</v>
      </c>
      <c r="E39" s="33" t="n">
        <v>0</v>
      </c>
      <c r="F39" s="33" t="n">
        <v>0</v>
      </c>
      <c r="G39" s="33" t="n">
        <v>0</v>
      </c>
      <c r="H39" s="146" t="n">
        <v>0</v>
      </c>
      <c r="I39" s="33" t="n">
        <v>0</v>
      </c>
      <c r="J39" s="33" t="n">
        <v>0</v>
      </c>
      <c r="K39" s="33" t="n">
        <v>0</v>
      </c>
      <c r="L39" s="33" t="n">
        <v>0</v>
      </c>
      <c r="M39" s="33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S39" s="15" t="n">
        <v>0</v>
      </c>
      <c r="U39" s="643" t="n"/>
      <c r="X39" s="849" t="n"/>
      <c r="Y39" s="849" t="n"/>
      <c r="Z39" s="849" t="n"/>
      <c r="AA39" s="849" t="n"/>
      <c r="AB39" s="849" t="n"/>
      <c r="AH39" s="19" t="inlineStr">
        <is>
          <t xml:space="preserve">          9) 기타 유가증권</t>
        </is>
      </c>
      <c r="AI39" s="848" t="n">
        <v>0</v>
      </c>
      <c r="AJ39" s="697" t="inlineStr">
        <is>
          <t>기타</t>
        </is>
      </c>
    </row>
    <row r="40">
      <c r="A40" s="697" t="n">
        <v>39</v>
      </c>
      <c r="B40" s="33" t="inlineStr">
        <is>
          <t xml:space="preserve">　　　　　         라.특 수 채</t>
        </is>
      </c>
      <c r="D40" s="32" t="n">
        <v>25297099998</v>
      </c>
      <c r="E40" s="33" t="n">
        <v>0</v>
      </c>
      <c r="F40" s="33" t="n">
        <v>0</v>
      </c>
      <c r="G40" s="33" t="n">
        <v>0</v>
      </c>
      <c r="H40" s="145" t="n">
        <v>25297099998</v>
      </c>
      <c r="I40" s="33" t="n">
        <v>0</v>
      </c>
      <c r="J40" s="33" t="n">
        <v>0</v>
      </c>
      <c r="K40" s="33" t="n">
        <v>0</v>
      </c>
      <c r="L40" s="33" t="n">
        <v>0</v>
      </c>
      <c r="M40" s="32" t="n">
        <v>25297099998</v>
      </c>
      <c r="N40" s="16" t="n">
        <v>25297099998</v>
      </c>
      <c r="O40" s="16" t="n">
        <v>0</v>
      </c>
      <c r="P40" s="16" t="n">
        <v>0</v>
      </c>
      <c r="Q40" s="16" t="n">
        <v>0</v>
      </c>
      <c r="R40" s="14" t="inlineStr">
        <is>
          <t>국내채권</t>
        </is>
      </c>
      <c r="S40" s="15" t="n">
        <v>0</v>
      </c>
      <c r="U40" s="643" t="n"/>
      <c r="X40" s="849" t="n"/>
      <c r="Y40" s="849" t="n"/>
      <c r="Z40" s="849" t="n"/>
      <c r="AA40" s="849" t="n"/>
      <c r="AB40" s="849" t="n"/>
      <c r="AH40" s="19" t="inlineStr">
        <is>
          <t xml:space="preserve">            (가) 기업어음 등 </t>
        </is>
      </c>
      <c r="AI40" s="848" t="n">
        <v>0</v>
      </c>
    </row>
    <row r="41">
      <c r="A41" s="697" t="n">
        <v>40</v>
      </c>
      <c r="B41" s="33" t="inlineStr">
        <is>
          <t xml:space="preserve">　　　　　         마.금 융 채</t>
        </is>
      </c>
      <c r="D41" s="33" t="n">
        <v>0</v>
      </c>
      <c r="E41" s="33" t="n">
        <v>0</v>
      </c>
      <c r="F41" s="33" t="n">
        <v>0</v>
      </c>
      <c r="G41" s="33" t="n">
        <v>0</v>
      </c>
      <c r="H41" s="146" t="n">
        <v>0</v>
      </c>
      <c r="I41" s="33" t="n">
        <v>0</v>
      </c>
      <c r="J41" s="33" t="n">
        <v>0</v>
      </c>
      <c r="K41" s="33" t="n">
        <v>0</v>
      </c>
      <c r="L41" s="33" t="n">
        <v>0</v>
      </c>
      <c r="M41" s="33" t="n">
        <v>0</v>
      </c>
      <c r="N41" s="16" t="n">
        <v>0</v>
      </c>
      <c r="O41" s="16" t="n">
        <v>0</v>
      </c>
      <c r="P41" s="16" t="n">
        <v>0</v>
      </c>
      <c r="Q41" s="16" t="n">
        <v>0</v>
      </c>
      <c r="R41" s="14" t="inlineStr">
        <is>
          <t>국내채권</t>
        </is>
      </c>
      <c r="S41" s="15" t="n">
        <v>0</v>
      </c>
      <c r="U41" s="643" t="n"/>
      <c r="AH41" s="19" t="inlineStr">
        <is>
          <t xml:space="preserve">        (2) 당기손익-공정가치측정지정금융자산 </t>
        </is>
      </c>
      <c r="AI41" s="848" t="n">
        <v>0</v>
      </c>
    </row>
    <row r="42">
      <c r="A42" s="697" t="n">
        <v>41</v>
      </c>
      <c r="B42" s="33" t="inlineStr">
        <is>
          <t xml:space="preserve">　　　　　         바.회 사 채</t>
        </is>
      </c>
      <c r="D42" s="33" t="n">
        <v>0</v>
      </c>
      <c r="E42" s="33" t="n">
        <v>0</v>
      </c>
      <c r="F42" s="33" t="n">
        <v>0</v>
      </c>
      <c r="G42" s="33" t="n">
        <v>0</v>
      </c>
      <c r="H42" s="146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16" t="n">
        <v>0</v>
      </c>
      <c r="O42" s="16" t="n">
        <v>0</v>
      </c>
      <c r="P42" s="16" t="n">
        <v>0</v>
      </c>
      <c r="Q42" s="16" t="n">
        <v>0</v>
      </c>
      <c r="R42" s="14" t="inlineStr">
        <is>
          <t>국내채권</t>
        </is>
      </c>
      <c r="S42" s="15" t="n">
        <v>0</v>
      </c>
      <c r="U42" s="643" t="n"/>
      <c r="AH42" s="19" t="inlineStr">
        <is>
          <t xml:space="preserve">          1) 주 식 </t>
        </is>
      </c>
      <c r="AI42" s="848" t="n">
        <v>0</v>
      </c>
    </row>
    <row r="43">
      <c r="A43" s="697" t="n">
        <v>42</v>
      </c>
      <c r="B43" s="33" t="inlineStr">
        <is>
          <t xml:space="preserve">　　　　　　          (1) 보증사채</t>
        </is>
      </c>
      <c r="D43" s="33" t="n">
        <v>0</v>
      </c>
      <c r="E43" s="33" t="n">
        <v>0</v>
      </c>
      <c r="F43" s="33" t="n">
        <v>0</v>
      </c>
      <c r="G43" s="33" t="n">
        <v>0</v>
      </c>
      <c r="H43" s="146" t="n">
        <v>0</v>
      </c>
      <c r="I43" s="33" t="n">
        <v>0</v>
      </c>
      <c r="J43" s="33" t="n">
        <v>0</v>
      </c>
      <c r="K43" s="33" t="n">
        <v>0</v>
      </c>
      <c r="L43" s="33" t="n">
        <v>0</v>
      </c>
      <c r="M43" s="33" t="n">
        <v>0</v>
      </c>
      <c r="N43" s="16" t="n">
        <v>0</v>
      </c>
      <c r="O43" s="16" t="n">
        <v>0</v>
      </c>
      <c r="P43" s="16" t="n">
        <v>0</v>
      </c>
      <c r="Q43" s="16" t="n">
        <v>0</v>
      </c>
      <c r="S43" s="15" t="n">
        <v>0</v>
      </c>
      <c r="U43" s="643" t="n"/>
      <c r="AH43" s="19" t="inlineStr">
        <is>
          <t xml:space="preserve">             (가) 상장주식</t>
        </is>
      </c>
      <c r="AI43" s="848" t="n">
        <v>0</v>
      </c>
    </row>
    <row r="44">
      <c r="A44" s="697" t="n">
        <v>43</v>
      </c>
      <c r="B44" s="33" t="inlineStr">
        <is>
          <t xml:space="preserve">　　　　　　          (2) 무보증사채</t>
        </is>
      </c>
      <c r="D44" s="33" t="n">
        <v>0</v>
      </c>
      <c r="E44" s="33" t="n">
        <v>0</v>
      </c>
      <c r="F44" s="33" t="n">
        <v>0</v>
      </c>
      <c r="G44" s="33" t="n">
        <v>0</v>
      </c>
      <c r="H44" s="146" t="n">
        <v>0</v>
      </c>
      <c r="I44" s="33" t="n">
        <v>0</v>
      </c>
      <c r="J44" s="33" t="n">
        <v>0</v>
      </c>
      <c r="K44" s="33" t="n">
        <v>0</v>
      </c>
      <c r="L44" s="33" t="n">
        <v>0</v>
      </c>
      <c r="M44" s="33" t="n">
        <v>0</v>
      </c>
      <c r="N44" s="16" t="n">
        <v>0</v>
      </c>
      <c r="O44" s="16" t="n">
        <v>0</v>
      </c>
      <c r="P44" s="16" t="n">
        <v>0</v>
      </c>
      <c r="Q44" s="16" t="n">
        <v>0</v>
      </c>
      <c r="S44" s="15" t="n">
        <v>0</v>
      </c>
      <c r="U44" s="643" t="n"/>
      <c r="AH44" s="19" t="inlineStr">
        <is>
          <t xml:space="preserve">             (나) 기타주식</t>
        </is>
      </c>
      <c r="AI44" s="848" t="n">
        <v>0</v>
      </c>
    </row>
    <row r="45">
      <c r="A45" s="697" t="n">
        <v>44</v>
      </c>
      <c r="B45" s="33" t="inlineStr">
        <is>
          <t xml:space="preserve">　　　　　         사.수익증권</t>
        </is>
      </c>
      <c r="D45" s="32" t="n">
        <v>9936326647363</v>
      </c>
      <c r="E45" s="33" t="n">
        <v>0</v>
      </c>
      <c r="F45" s="32" t="n">
        <v>6168830802777</v>
      </c>
      <c r="G45" s="32" t="n">
        <v>91445068345</v>
      </c>
      <c r="H45" s="145" t="n">
        <v>3676050776241</v>
      </c>
      <c r="I45" s="32" t="n">
        <v>43788959224</v>
      </c>
      <c r="J45" s="32" t="n">
        <v>3108328900</v>
      </c>
      <c r="K45" s="33" t="n">
        <v>0</v>
      </c>
      <c r="L45" s="32" t="n">
        <v>366677173356</v>
      </c>
      <c r="M45" s="32" t="n">
        <v>3262476314761</v>
      </c>
      <c r="N45" s="16" t="n">
        <v>3309373602885</v>
      </c>
      <c r="O45" s="16" t="n">
        <v>6168830802777</v>
      </c>
      <c r="P45" s="16" t="n">
        <v>366677173356</v>
      </c>
      <c r="Q45" s="16" t="n">
        <v>91445068345</v>
      </c>
      <c r="R45" s="14" t="inlineStr">
        <is>
          <t>수익증권</t>
        </is>
      </c>
      <c r="S45" s="15" t="n">
        <v>6260275871122</v>
      </c>
      <c r="U45" s="643" t="n"/>
      <c r="AH45" s="19" t="inlineStr">
        <is>
          <t xml:space="preserve">             (다) 단기매매기타주식-기타</t>
        </is>
      </c>
      <c r="AI45" s="848" t="n">
        <v>0</v>
      </c>
    </row>
    <row r="46">
      <c r="A46" s="697" t="n">
        <v>45</v>
      </c>
      <c r="B46" s="33" t="inlineStr">
        <is>
          <t xml:space="preserve">　　　　　         아.외화표시유가증권</t>
        </is>
      </c>
      <c r="D46" s="32" t="n">
        <v>6566836224536</v>
      </c>
      <c r="E46" s="33" t="n">
        <v>0</v>
      </c>
      <c r="F46" s="32" t="n">
        <v>6240205012924</v>
      </c>
      <c r="G46" s="32" t="n">
        <v>227954504637</v>
      </c>
      <c r="H46" s="145" t="n">
        <v>98676706975</v>
      </c>
      <c r="I46" s="33" t="n">
        <v>0</v>
      </c>
      <c r="J46" s="33" t="n">
        <v>0</v>
      </c>
      <c r="K46" s="33" t="n">
        <v>0</v>
      </c>
      <c r="L46" s="32" t="n">
        <v>95729125351</v>
      </c>
      <c r="M46" s="32" t="n">
        <v>2947581624</v>
      </c>
      <c r="N46" s="16" t="n">
        <v>2947581624</v>
      </c>
      <c r="O46" s="16" t="n">
        <v>6240205012924</v>
      </c>
      <c r="P46" s="16" t="n">
        <v>95729125351</v>
      </c>
      <c r="Q46" s="16" t="n">
        <v>227954504637</v>
      </c>
      <c r="S46" s="15" t="n">
        <v>6468159517561</v>
      </c>
      <c r="U46" s="643" t="n"/>
      <c r="AH46" s="19" t="inlineStr">
        <is>
          <t xml:space="preserve">          2) 국ㆍ 공채</t>
        </is>
      </c>
      <c r="AI46" s="848" t="n">
        <v>0</v>
      </c>
    </row>
    <row r="47">
      <c r="A47" s="697" t="n">
        <v>46</v>
      </c>
      <c r="B47" s="33" t="inlineStr">
        <is>
          <t xml:space="preserve">　　　　　　          (1) 주식</t>
        </is>
      </c>
      <c r="D47" s="32" t="n">
        <v>2760419168841</v>
      </c>
      <c r="E47" s="33" t="n">
        <v>0</v>
      </c>
      <c r="F47" s="32" t="n">
        <v>2639770186137</v>
      </c>
      <c r="G47" s="32" t="n">
        <v>111195885898</v>
      </c>
      <c r="H47" s="145" t="n">
        <v>9453096806</v>
      </c>
      <c r="I47" s="33" t="n">
        <v>0</v>
      </c>
      <c r="J47" s="33" t="n">
        <v>0</v>
      </c>
      <c r="K47" s="33" t="n">
        <v>0</v>
      </c>
      <c r="L47" s="32" t="n">
        <v>6505515182</v>
      </c>
      <c r="M47" s="32" t="n">
        <v>2947581624</v>
      </c>
      <c r="N47" s="16" t="n">
        <v>2947581624</v>
      </c>
      <c r="O47" s="16" t="n">
        <v>2639770186137</v>
      </c>
      <c r="P47" s="16" t="n">
        <v>6505515182</v>
      </c>
      <c r="Q47" s="16" t="n">
        <v>111195885898</v>
      </c>
      <c r="R47" s="14" t="inlineStr">
        <is>
          <t>해외주식</t>
        </is>
      </c>
      <c r="S47" s="15" t="n">
        <v>2750966072035</v>
      </c>
      <c r="U47" s="643" t="n"/>
      <c r="AH47" s="19" t="inlineStr">
        <is>
          <t xml:space="preserve">             (가) 국 채 </t>
        </is>
      </c>
      <c r="AI47" s="848" t="n">
        <v>0</v>
      </c>
    </row>
    <row r="48">
      <c r="A48" s="697" t="n">
        <v>47</v>
      </c>
      <c r="B48" s="33" t="inlineStr">
        <is>
          <t xml:space="preserve">　　　　　　          (2) 채권</t>
        </is>
      </c>
      <c r="D48" s="32" t="n">
        <v>89223610169</v>
      </c>
      <c r="E48" s="33" t="n">
        <v>0</v>
      </c>
      <c r="F48" s="33" t="n">
        <v>0</v>
      </c>
      <c r="G48" s="33" t="n">
        <v>0</v>
      </c>
      <c r="H48" s="145" t="n">
        <v>89223610169</v>
      </c>
      <c r="I48" s="33" t="n">
        <v>0</v>
      </c>
      <c r="J48" s="33" t="n">
        <v>0</v>
      </c>
      <c r="K48" s="33" t="n">
        <v>0</v>
      </c>
      <c r="L48" s="32" t="n">
        <v>89223610169</v>
      </c>
      <c r="M48" s="33" t="n">
        <v>0</v>
      </c>
      <c r="N48" s="16" t="n">
        <v>0</v>
      </c>
      <c r="O48" s="16" t="n">
        <v>0</v>
      </c>
      <c r="P48" s="16" t="n">
        <v>89223610169</v>
      </c>
      <c r="Q48" s="16" t="n">
        <v>0</v>
      </c>
      <c r="R48" s="14" t="inlineStr">
        <is>
          <t>해외채권</t>
        </is>
      </c>
      <c r="S48" s="15" t="n">
        <v>0</v>
      </c>
      <c r="U48" s="643" t="n"/>
      <c r="AH48" s="19" t="inlineStr">
        <is>
          <t xml:space="preserve">             (나) 공 채 </t>
        </is>
      </c>
      <c r="AI48" s="848" t="n">
        <v>0</v>
      </c>
    </row>
    <row r="49">
      <c r="A49" s="697" t="n">
        <v>48</v>
      </c>
      <c r="B49" s="33" t="inlineStr">
        <is>
          <t xml:space="preserve">　　　　　　          (3) 수익증권</t>
        </is>
      </c>
      <c r="D49" s="32" t="n">
        <v>3717193445526</v>
      </c>
      <c r="E49" s="33" t="n">
        <v>0</v>
      </c>
      <c r="F49" s="32" t="n">
        <v>3600434826787</v>
      </c>
      <c r="G49" s="32" t="n">
        <v>116758618739</v>
      </c>
      <c r="H49" s="146" t="n">
        <v>0</v>
      </c>
      <c r="I49" s="33" t="n">
        <v>0</v>
      </c>
      <c r="J49" s="33" t="n">
        <v>0</v>
      </c>
      <c r="K49" s="33" t="n">
        <v>0</v>
      </c>
      <c r="L49" s="33" t="n">
        <v>0</v>
      </c>
      <c r="M49" s="33" t="n">
        <v>0</v>
      </c>
      <c r="N49" s="16" t="n">
        <v>0</v>
      </c>
      <c r="O49" s="16" t="n">
        <v>3600434826787</v>
      </c>
      <c r="P49" s="16" t="n">
        <v>0</v>
      </c>
      <c r="Q49" s="16" t="n">
        <v>116758618739</v>
      </c>
      <c r="R49" s="14" t="inlineStr">
        <is>
          <t>외화수익증권</t>
        </is>
      </c>
      <c r="S49" s="15" t="n">
        <v>3717193445526</v>
      </c>
      <c r="U49" s="643" t="n"/>
      <c r="AH49" s="19" t="inlineStr">
        <is>
          <t xml:space="preserve">          3) 특 수 채 </t>
        </is>
      </c>
      <c r="AI49" s="848" t="n">
        <v>0</v>
      </c>
    </row>
    <row r="50">
      <c r="A50" s="697" t="n">
        <v>49</v>
      </c>
      <c r="B50" s="33" t="inlineStr">
        <is>
          <t xml:space="preserve">　　　　　　          (4) 신종유가증권</t>
        </is>
      </c>
      <c r="D50" s="33" t="n">
        <v>0</v>
      </c>
      <c r="E50" s="33" t="n">
        <v>0</v>
      </c>
      <c r="F50" s="33" t="n">
        <v>0</v>
      </c>
      <c r="G50" s="33" t="n">
        <v>0</v>
      </c>
      <c r="H50" s="146" t="n">
        <v>0</v>
      </c>
      <c r="I50" s="33" t="n">
        <v>0</v>
      </c>
      <c r="J50" s="33" t="n">
        <v>0</v>
      </c>
      <c r="K50" s="33" t="n">
        <v>0</v>
      </c>
      <c r="L50" s="33" t="n">
        <v>0</v>
      </c>
      <c r="M50" s="33" t="n">
        <v>0</v>
      </c>
      <c r="N50" s="16" t="n">
        <v>0</v>
      </c>
      <c r="O50" s="16" t="n">
        <v>0</v>
      </c>
      <c r="P50" s="16" t="n">
        <v>0</v>
      </c>
      <c r="Q50" s="16" t="n">
        <v>0</v>
      </c>
      <c r="S50" s="15" t="n">
        <v>0</v>
      </c>
      <c r="V50" s="643" t="n"/>
      <c r="W50" s="643" t="n"/>
      <c r="X50" s="643" t="n"/>
      <c r="Y50" s="643" t="n"/>
      <c r="Z50" s="643" t="n"/>
      <c r="AA50" s="643" t="n"/>
      <c r="AB50" s="643" t="n"/>
      <c r="AH50" s="19" t="inlineStr">
        <is>
          <t xml:space="preserve">          4) 금 융 채 </t>
        </is>
      </c>
      <c r="AI50" s="848" t="n">
        <v>0</v>
      </c>
    </row>
    <row r="51">
      <c r="A51" s="697" t="n">
        <v>50</v>
      </c>
      <c r="B51" s="33" t="inlineStr">
        <is>
          <t xml:space="preserve">　　　　　　          (5) 기타유가증권</t>
        </is>
      </c>
      <c r="D51" s="33" t="n">
        <v>0</v>
      </c>
      <c r="E51" s="33" t="n">
        <v>0</v>
      </c>
      <c r="F51" s="33" t="n">
        <v>0</v>
      </c>
      <c r="G51" s="33" t="n">
        <v>0</v>
      </c>
      <c r="H51" s="146" t="n">
        <v>0</v>
      </c>
      <c r="I51" s="33" t="n">
        <v>0</v>
      </c>
      <c r="J51" s="33" t="n">
        <v>0</v>
      </c>
      <c r="K51" s="33" t="n">
        <v>0</v>
      </c>
      <c r="L51" s="33" t="n">
        <v>0</v>
      </c>
      <c r="M51" s="33" t="n">
        <v>0</v>
      </c>
      <c r="N51" s="16" t="n">
        <v>0</v>
      </c>
      <c r="O51" s="16" t="n">
        <v>0</v>
      </c>
      <c r="P51" s="16" t="n">
        <v>0</v>
      </c>
      <c r="Q51" s="16" t="n">
        <v>0</v>
      </c>
      <c r="S51" s="15" t="n">
        <v>0</v>
      </c>
      <c r="AH51" s="19" t="inlineStr">
        <is>
          <t xml:space="preserve">          5) 회 사 채 </t>
        </is>
      </c>
      <c r="AI51" s="848" t="n">
        <v>0</v>
      </c>
    </row>
    <row r="52">
      <c r="A52" s="697" t="n">
        <v>51</v>
      </c>
      <c r="B52" s="33" t="inlineStr">
        <is>
          <t xml:space="preserve">　　　　　         자.기타유가증권</t>
        </is>
      </c>
      <c r="D52" s="33" t="n">
        <v>0</v>
      </c>
      <c r="E52" s="33" t="n">
        <v>0</v>
      </c>
      <c r="F52" s="33" t="n">
        <v>0</v>
      </c>
      <c r="G52" s="33" t="n">
        <v>0</v>
      </c>
      <c r="H52" s="146" t="n">
        <v>0</v>
      </c>
      <c r="I52" s="33" t="n">
        <v>0</v>
      </c>
      <c r="J52" s="33" t="n">
        <v>0</v>
      </c>
      <c r="K52" s="33" t="n">
        <v>0</v>
      </c>
      <c r="L52" s="33" t="n">
        <v>0</v>
      </c>
      <c r="M52" s="33" t="n">
        <v>0</v>
      </c>
      <c r="N52" s="16" t="n">
        <v>0</v>
      </c>
      <c r="O52" s="16" t="n">
        <v>0</v>
      </c>
      <c r="P52" s="16" t="n">
        <v>0</v>
      </c>
      <c r="Q52" s="16" t="n">
        <v>0</v>
      </c>
      <c r="R52" s="14" t="inlineStr">
        <is>
          <t>기타</t>
        </is>
      </c>
      <c r="S52" s="15" t="n">
        <v>0</v>
      </c>
      <c r="AH52" s="19" t="inlineStr">
        <is>
          <t xml:space="preserve">             (가) 보증사채</t>
        </is>
      </c>
      <c r="AI52" s="848" t="n">
        <v>0</v>
      </c>
    </row>
    <row r="53">
      <c r="A53" s="697" t="n">
        <v>52</v>
      </c>
      <c r="B53" s="33" t="inlineStr">
        <is>
          <t xml:space="preserve">　　　　      [당기손익-공정가치측정지정금융자산]</t>
        </is>
      </c>
      <c r="D53" s="33" t="n">
        <v>0</v>
      </c>
      <c r="E53" s="33" t="n">
        <v>0</v>
      </c>
      <c r="F53" s="33" t="n">
        <v>0</v>
      </c>
      <c r="G53" s="33" t="n">
        <v>0</v>
      </c>
      <c r="H53" s="146" t="n">
        <v>0</v>
      </c>
      <c r="I53" s="33" t="n">
        <v>0</v>
      </c>
      <c r="J53" s="33" t="n">
        <v>0</v>
      </c>
      <c r="K53" s="33" t="n">
        <v>0</v>
      </c>
      <c r="L53" s="33" t="n">
        <v>0</v>
      </c>
      <c r="M53" s="33" t="n">
        <v>0</v>
      </c>
      <c r="N53" s="16" t="n">
        <v>0</v>
      </c>
      <c r="O53" s="16" t="n">
        <v>0</v>
      </c>
      <c r="P53" s="16" t="n">
        <v>0</v>
      </c>
      <c r="Q53" s="16" t="n">
        <v>0</v>
      </c>
      <c r="S53" s="15" t="n">
        <v>0</v>
      </c>
      <c r="V53" s="21" t="inlineStr">
        <is>
          <t>□ 당사 FVPL 자산 현황</t>
        </is>
      </c>
      <c r="W53" s="643" t="n"/>
      <c r="X53" s="643" t="n"/>
      <c r="Y53" s="643" t="n"/>
      <c r="Z53" s="643" t="n"/>
      <c r="AA53" s="643" t="n"/>
      <c r="AB53" s="643" t="n"/>
      <c r="AH53" s="19" t="inlineStr">
        <is>
          <t xml:space="preserve">             (나) 무보증사채 </t>
        </is>
      </c>
      <c r="AI53" s="848" t="n">
        <v>0</v>
      </c>
    </row>
    <row r="54">
      <c r="A54" s="697" t="n">
        <v>53</v>
      </c>
      <c r="B54" s="33" t="inlineStr">
        <is>
          <t xml:space="preserve">　　　      2-2.기타포괄손익-공정가치측정유가증권</t>
        </is>
      </c>
      <c r="D54" s="32" t="n">
        <v>11663557366015</v>
      </c>
      <c r="E54" s="33" t="n">
        <v>0</v>
      </c>
      <c r="F54" s="33" t="n">
        <v>0</v>
      </c>
      <c r="G54" s="33" t="n">
        <v>0</v>
      </c>
      <c r="H54" s="145" t="n">
        <v>11663557366015</v>
      </c>
      <c r="I54" s="32" t="n">
        <v>1317329907423</v>
      </c>
      <c r="J54" s="33" t="n">
        <v>0</v>
      </c>
      <c r="K54" s="33" t="n">
        <v>0</v>
      </c>
      <c r="L54" s="32" t="n">
        <v>1039363952202</v>
      </c>
      <c r="M54" s="32" t="n">
        <v>9306863506390</v>
      </c>
      <c r="N54" s="16" t="n">
        <v>10624193413813</v>
      </c>
      <c r="O54" s="16" t="n">
        <v>0</v>
      </c>
      <c r="P54" s="16" t="n">
        <v>1039363952202</v>
      </c>
      <c r="Q54" s="16" t="n">
        <v>0</v>
      </c>
      <c r="R54" s="14" t="inlineStr">
        <is>
          <t>FVOCI</t>
        </is>
      </c>
      <c r="S54" s="15" t="n">
        <v>0</v>
      </c>
      <c r="W54" s="643" t="n"/>
      <c r="X54" s="643" t="n"/>
      <c r="Y54" s="643" t="n"/>
      <c r="Z54" s="643" t="n"/>
      <c r="AA54" s="643" t="n"/>
      <c r="AB54" s="209" t="inlineStr">
        <is>
          <t>(단위 :억원)</t>
        </is>
      </c>
      <c r="AH54" s="19" t="inlineStr">
        <is>
          <t xml:space="preserve">          6) 수익증권</t>
        </is>
      </c>
      <c r="AI54" s="848" t="n">
        <v>0</v>
      </c>
    </row>
    <row r="55" ht="30" customHeight="1" s="759">
      <c r="A55" s="697" t="n">
        <v>54</v>
      </c>
      <c r="B55" s="33" t="inlineStr">
        <is>
          <t xml:space="preserve">　　　　         가.주 식</t>
        </is>
      </c>
      <c r="D55" s="33" t="n">
        <v>0</v>
      </c>
      <c r="E55" s="33" t="n">
        <v>0</v>
      </c>
      <c r="F55" s="33" t="n">
        <v>0</v>
      </c>
      <c r="G55" s="33" t="n">
        <v>0</v>
      </c>
      <c r="H55" s="146" t="n">
        <v>0</v>
      </c>
      <c r="I55" s="33" t="n">
        <v>0</v>
      </c>
      <c r="J55" s="33" t="n">
        <v>0</v>
      </c>
      <c r="K55" s="33" t="n">
        <v>0</v>
      </c>
      <c r="L55" s="33" t="n">
        <v>0</v>
      </c>
      <c r="M55" s="33" t="n">
        <v>0</v>
      </c>
      <c r="N55" s="16" t="n">
        <v>0</v>
      </c>
      <c r="O55" s="16" t="n">
        <v>0</v>
      </c>
      <c r="P55" s="16" t="n">
        <v>0</v>
      </c>
      <c r="Q55" s="16" t="n">
        <v>0</v>
      </c>
      <c r="S55" s="15" t="n">
        <v>0</v>
      </c>
      <c r="V55" s="693" t="inlineStr">
        <is>
          <t>구분</t>
        </is>
      </c>
      <c r="W55" s="694" t="n"/>
      <c r="X55" s="22" t="inlineStr">
        <is>
          <t>일반계정
(신개인/자산연계 포함)</t>
        </is>
      </c>
      <c r="Y55" s="211" t="inlineStr">
        <is>
          <t>변액보험</t>
        </is>
      </c>
      <c r="Z55" s="22" t="inlineStr">
        <is>
          <t>퇴직보험/
퇴직연금(원리금보장)</t>
        </is>
      </c>
      <c r="AA55" s="22" t="inlineStr">
        <is>
          <t>퇴직연금
(실적배당형)</t>
        </is>
      </c>
      <c r="AB55" s="23" t="inlineStr">
        <is>
          <t>합계</t>
        </is>
      </c>
      <c r="AC55" s="697" t="inlineStr">
        <is>
          <t>공시용</t>
        </is>
      </c>
      <c r="AH55" s="19" t="inlineStr">
        <is>
          <t xml:space="preserve">          7) 외화 유가증권</t>
        </is>
      </c>
      <c r="AI55" s="848" t="n">
        <v>0</v>
      </c>
    </row>
    <row r="56" ht="18.75" customHeight="1" s="759">
      <c r="A56" s="697" t="n">
        <v>55</v>
      </c>
      <c r="B56" s="33" t="inlineStr">
        <is>
          <t xml:space="preserve">　　　　　          (1) 상장주식</t>
        </is>
      </c>
      <c r="D56" s="33" t="n">
        <v>0</v>
      </c>
      <c r="E56" s="33" t="n">
        <v>0</v>
      </c>
      <c r="F56" s="33" t="n">
        <v>0</v>
      </c>
      <c r="G56" s="33" t="n">
        <v>0</v>
      </c>
      <c r="H56" s="146" t="n">
        <v>0</v>
      </c>
      <c r="I56" s="33" t="n">
        <v>0</v>
      </c>
      <c r="J56" s="33" t="n">
        <v>0</v>
      </c>
      <c r="K56" s="33" t="n">
        <v>0</v>
      </c>
      <c r="L56" s="33" t="n">
        <v>0</v>
      </c>
      <c r="M56" s="33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S56" s="15" t="n">
        <v>0</v>
      </c>
      <c r="V56" s="695" t="inlineStr">
        <is>
          <t xml:space="preserve">FVPL </t>
        </is>
      </c>
      <c r="W56" s="696" t="n"/>
      <c r="X56" s="850" t="n">
        <v>37465.91072843</v>
      </c>
      <c r="Y56" s="851" t="n">
        <v>124090.35815701</v>
      </c>
      <c r="Z56" s="851" t="n">
        <v>4692.4320619</v>
      </c>
      <c r="AA56" s="851" t="n">
        <v>3193.99572982</v>
      </c>
      <c r="AB56" s="852" t="n">
        <v>169442.69667716</v>
      </c>
      <c r="AC56" s="849" t="n">
        <v>159191.60828799</v>
      </c>
      <c r="AH56" s="19" t="inlineStr">
        <is>
          <t xml:space="preserve">             (가) 주 식 </t>
        </is>
      </c>
      <c r="AI56" s="848" t="n">
        <v>0</v>
      </c>
    </row>
    <row r="57" ht="18.75" customHeight="1" s="759">
      <c r="A57" s="697" t="n">
        <v>56</v>
      </c>
      <c r="B57" s="33" t="inlineStr">
        <is>
          <t xml:space="preserve">　　　　　          (2) 기  타</t>
        </is>
      </c>
      <c r="D57" s="33" t="n">
        <v>0</v>
      </c>
      <c r="E57" s="33" t="n">
        <v>0</v>
      </c>
      <c r="F57" s="33" t="n">
        <v>0</v>
      </c>
      <c r="G57" s="33" t="n">
        <v>0</v>
      </c>
      <c r="H57" s="146" t="n">
        <v>0</v>
      </c>
      <c r="I57" s="33" t="n">
        <v>0</v>
      </c>
      <c r="J57" s="33" t="n">
        <v>0</v>
      </c>
      <c r="K57" s="33" t="n">
        <v>0</v>
      </c>
      <c r="L57" s="33" t="n">
        <v>0</v>
      </c>
      <c r="M57" s="33" t="n">
        <v>0</v>
      </c>
      <c r="N57" s="16" t="n">
        <v>0</v>
      </c>
      <c r="O57" s="16" t="n">
        <v>0</v>
      </c>
      <c r="P57" s="16" t="n">
        <v>0</v>
      </c>
      <c r="Q57" s="16" t="n">
        <v>0</v>
      </c>
      <c r="S57" s="15" t="n">
        <v>0</v>
      </c>
      <c r="V57" s="24" t="n"/>
      <c r="W57" s="25" t="inlineStr">
        <is>
          <t>주식/출자금</t>
        </is>
      </c>
      <c r="X57" s="853" t="n">
        <v>2483.00878226</v>
      </c>
      <c r="Y57" s="853" t="n">
        <v>0</v>
      </c>
      <c r="Z57" s="853" t="n">
        <v>58.39049083</v>
      </c>
      <c r="AA57" s="853" t="n">
        <v>0</v>
      </c>
      <c r="AB57" s="854" t="n">
        <v>2541.39927309</v>
      </c>
      <c r="AC57" s="855" t="n">
        <v>2960.19293123</v>
      </c>
      <c r="AH57" s="19" t="inlineStr">
        <is>
          <t xml:space="preserve">             (나) 채 권 </t>
        </is>
      </c>
      <c r="AI57" s="848" t="n">
        <v>0</v>
      </c>
    </row>
    <row r="58" ht="18.75" customHeight="1" s="759">
      <c r="A58" s="697" t="n">
        <v>57</v>
      </c>
      <c r="B58" s="33" t="inlineStr">
        <is>
          <t xml:space="preserve">　　　　         나.출 자 금</t>
        </is>
      </c>
      <c r="D58" s="33" t="n">
        <v>0</v>
      </c>
      <c r="E58" s="33" t="n">
        <v>0</v>
      </c>
      <c r="F58" s="33" t="n">
        <v>0</v>
      </c>
      <c r="G58" s="33" t="n">
        <v>0</v>
      </c>
      <c r="H58" s="146" t="n">
        <v>0</v>
      </c>
      <c r="I58" s="33" t="n">
        <v>0</v>
      </c>
      <c r="J58" s="33" t="n">
        <v>0</v>
      </c>
      <c r="K58" s="33" t="n">
        <v>0</v>
      </c>
      <c r="L58" s="33" t="n">
        <v>0</v>
      </c>
      <c r="M58" s="33" t="n">
        <v>0</v>
      </c>
      <c r="N58" s="16" t="n">
        <v>0</v>
      </c>
      <c r="O58" s="16" t="n">
        <v>0</v>
      </c>
      <c r="P58" s="16" t="n">
        <v>0</v>
      </c>
      <c r="Q58" s="16" t="n">
        <v>0</v>
      </c>
      <c r="V58" s="24" t="n"/>
      <c r="W58" s="26" t="inlineStr">
        <is>
          <t>(비중)</t>
        </is>
      </c>
      <c r="X58" s="856" t="n">
        <v>0.06627381355435291</v>
      </c>
      <c r="Y58" s="856" t="n">
        <v>0</v>
      </c>
      <c r="Z58" s="856" t="n">
        <v>0.01244354527881161</v>
      </c>
      <c r="AA58" s="856" t="n">
        <v>0</v>
      </c>
      <c r="AB58" s="857" t="n">
        <v>0.01499857664524863</v>
      </c>
      <c r="AH58" s="19" t="inlineStr">
        <is>
          <t xml:space="preserve">             (다) 수익증권</t>
        </is>
      </c>
      <c r="AI58" s="848" t="n">
        <v>0</v>
      </c>
    </row>
    <row r="59" ht="18.75" customHeight="1" s="759">
      <c r="A59" s="697" t="n">
        <v>58</v>
      </c>
      <c r="B59" s="33" t="inlineStr">
        <is>
          <t xml:space="preserve">　　　　         다.국·공채</t>
        </is>
      </c>
      <c r="D59" s="32" t="n">
        <v>7140769809852</v>
      </c>
      <c r="E59" s="33" t="n">
        <v>0</v>
      </c>
      <c r="F59" s="33" t="n">
        <v>0</v>
      </c>
      <c r="G59" s="33" t="n">
        <v>0</v>
      </c>
      <c r="H59" s="145" t="n">
        <v>7140769809852</v>
      </c>
      <c r="I59" s="32" t="n">
        <v>602763815753</v>
      </c>
      <c r="J59" s="33" t="n">
        <v>0</v>
      </c>
      <c r="K59" s="33" t="n">
        <v>0</v>
      </c>
      <c r="L59" s="32" t="n">
        <v>139387330087</v>
      </c>
      <c r="M59" s="32" t="n">
        <v>6398618664012</v>
      </c>
      <c r="N59" s="16" t="n">
        <v>7001382479765</v>
      </c>
      <c r="O59" s="16" t="n">
        <v>0</v>
      </c>
      <c r="P59" s="16" t="n">
        <v>139387330087</v>
      </c>
      <c r="Q59" s="16" t="n">
        <v>0</v>
      </c>
      <c r="V59" s="24" t="n"/>
      <c r="W59" s="25" t="inlineStr">
        <is>
          <t>해외주식</t>
        </is>
      </c>
      <c r="X59" s="853" t="n">
        <v>29.47581624</v>
      </c>
      <c r="Y59" s="853" t="n">
        <v>26397.70186137</v>
      </c>
      <c r="Z59" s="853" t="n">
        <v>65.05515182000001</v>
      </c>
      <c r="AA59" s="853" t="n">
        <v>1111.95885898</v>
      </c>
      <c r="AB59" s="854" t="n">
        <v>27604.19168841</v>
      </c>
      <c r="AC59" s="858" t="n">
        <v>22485.08865247</v>
      </c>
      <c r="AH59" s="19" t="inlineStr">
        <is>
          <t xml:space="preserve">             (라) 신종유가증권</t>
        </is>
      </c>
      <c r="AI59" s="848" t="n">
        <v>0</v>
      </c>
    </row>
    <row r="60" ht="18.75" customHeight="1" s="759">
      <c r="A60" s="697" t="n">
        <v>59</v>
      </c>
      <c r="B60" s="33" t="inlineStr">
        <is>
          <t xml:space="preserve">　　　　　           (1) 국 채</t>
        </is>
      </c>
      <c r="D60" s="32" t="n">
        <v>7140769809852</v>
      </c>
      <c r="E60" s="33" t="n">
        <v>0</v>
      </c>
      <c r="F60" s="33" t="n">
        <v>0</v>
      </c>
      <c r="G60" s="33" t="n">
        <v>0</v>
      </c>
      <c r="H60" s="145" t="n">
        <v>7140769809852</v>
      </c>
      <c r="I60" s="32" t="n">
        <v>602763815753</v>
      </c>
      <c r="J60" s="33" t="n">
        <v>0</v>
      </c>
      <c r="K60" s="33" t="n">
        <v>0</v>
      </c>
      <c r="L60" s="32" t="n">
        <v>139387330087</v>
      </c>
      <c r="M60" s="32" t="n">
        <v>6398618664012</v>
      </c>
      <c r="N60" s="16" t="n">
        <v>7001382479765</v>
      </c>
      <c r="O60" s="16" t="n">
        <v>0</v>
      </c>
      <c r="P60" s="16" t="n">
        <v>139387330087</v>
      </c>
      <c r="Q60" s="16" t="n">
        <v>0</v>
      </c>
      <c r="V60" s="24" t="n"/>
      <c r="W60" s="26" t="inlineStr">
        <is>
          <t>(비중)</t>
        </is>
      </c>
      <c r="X60" s="856" t="n">
        <v>0.000786736947452156</v>
      </c>
      <c r="Y60" s="856" t="n">
        <v>0.2127296774175582</v>
      </c>
      <c r="Z60" s="856" t="n">
        <v>0.0138638452218014</v>
      </c>
      <c r="AA60" s="856" t="n">
        <v>0.3481403711966344</v>
      </c>
      <c r="AB60" s="857" t="n">
        <v>0.1629116641185451</v>
      </c>
      <c r="AH60" s="19" t="inlineStr">
        <is>
          <t xml:space="preserve">             (마) 기타유가증권</t>
        </is>
      </c>
      <c r="AI60" s="848" t="n">
        <v>0</v>
      </c>
    </row>
    <row r="61" ht="18.75" customHeight="1" s="759">
      <c r="A61" s="697" t="n">
        <v>60</v>
      </c>
      <c r="B61" s="33" t="inlineStr">
        <is>
          <t xml:space="preserve">　　　　　           (2) 공 채</t>
        </is>
      </c>
      <c r="D61" s="33" t="n">
        <v>0</v>
      </c>
      <c r="E61" s="33" t="n">
        <v>0</v>
      </c>
      <c r="F61" s="33" t="n">
        <v>0</v>
      </c>
      <c r="G61" s="33" t="n">
        <v>0</v>
      </c>
      <c r="H61" s="146" t="n">
        <v>0</v>
      </c>
      <c r="I61" s="33" t="n">
        <v>0</v>
      </c>
      <c r="J61" s="33" t="n">
        <v>0</v>
      </c>
      <c r="K61" s="33" t="n">
        <v>0</v>
      </c>
      <c r="L61" s="33" t="n">
        <v>0</v>
      </c>
      <c r="M61" s="33" t="n">
        <v>0</v>
      </c>
      <c r="N61" s="16" t="n">
        <v>0</v>
      </c>
      <c r="O61" s="16" t="n">
        <v>0</v>
      </c>
      <c r="P61" s="16" t="n">
        <v>0</v>
      </c>
      <c r="Q61" s="16" t="n">
        <v>0</v>
      </c>
      <c r="V61" s="24" t="n"/>
      <c r="W61" s="25" t="inlineStr">
        <is>
          <t>국내채권</t>
        </is>
      </c>
      <c r="X61" s="853" t="n">
        <v>1410.74270673</v>
      </c>
      <c r="Y61" s="853" t="n">
        <v>0</v>
      </c>
      <c r="Z61" s="853" t="n">
        <v>9.978584</v>
      </c>
      <c r="AA61" s="853" t="n">
        <v>0</v>
      </c>
      <c r="AB61" s="854" t="n">
        <v>1420.72129073</v>
      </c>
      <c r="AC61" s="858" t="n">
        <v>735.46694702</v>
      </c>
      <c r="AH61" s="19" t="inlineStr">
        <is>
          <t xml:space="preserve">          8) 기타 유가증권</t>
        </is>
      </c>
      <c r="AI61" s="848" t="n">
        <v>0</v>
      </c>
    </row>
    <row r="62" ht="18.75" customHeight="1" s="759">
      <c r="A62" s="697" t="n">
        <v>61</v>
      </c>
      <c r="B62" s="33" t="inlineStr">
        <is>
          <t xml:space="preserve">　　　　         라.특 수 채</t>
        </is>
      </c>
      <c r="D62" s="32" t="n">
        <v>2590372890919</v>
      </c>
      <c r="E62" s="33" t="n">
        <v>0</v>
      </c>
      <c r="F62" s="33" t="n">
        <v>0</v>
      </c>
      <c r="G62" s="33" t="n">
        <v>0</v>
      </c>
      <c r="H62" s="145" t="n">
        <v>2590372890919</v>
      </c>
      <c r="I62" s="32" t="n">
        <v>485216719575</v>
      </c>
      <c r="J62" s="33" t="n">
        <v>0</v>
      </c>
      <c r="K62" s="33" t="n">
        <v>0</v>
      </c>
      <c r="L62" s="32" t="n">
        <v>571113739998</v>
      </c>
      <c r="M62" s="32" t="n">
        <v>1534042431346</v>
      </c>
      <c r="N62" s="16" t="n">
        <v>2019259150921</v>
      </c>
      <c r="O62" s="16" t="n">
        <v>0</v>
      </c>
      <c r="P62" s="16" t="n">
        <v>571113739998</v>
      </c>
      <c r="Q62" s="16" t="n">
        <v>0</v>
      </c>
      <c r="V62" s="24" t="n"/>
      <c r="W62" s="26" t="inlineStr">
        <is>
          <t>(비중)</t>
        </is>
      </c>
      <c r="X62" s="856" t="n">
        <v>0.03765403480928853</v>
      </c>
      <c r="Y62" s="856" t="n">
        <v>0</v>
      </c>
      <c r="Z62" s="856" t="n">
        <v>0.002126527111819195</v>
      </c>
      <c r="AA62" s="856" t="n">
        <v>0</v>
      </c>
      <c r="AB62" s="857" t="n">
        <v>0.008384671151905162</v>
      </c>
      <c r="AH62" s="19" t="inlineStr">
        <is>
          <t xml:space="preserve">             (가) 파생결합증권</t>
        </is>
      </c>
      <c r="AI62" s="848" t="n">
        <v>0</v>
      </c>
    </row>
    <row r="63" ht="18.75" customHeight="1" s="759">
      <c r="A63" s="697" t="n">
        <v>62</v>
      </c>
      <c r="B63" s="33" t="inlineStr">
        <is>
          <t xml:space="preserve">　　　　         마.금 융 채</t>
        </is>
      </c>
      <c r="D63" s="32" t="n">
        <v>140392002912</v>
      </c>
      <c r="E63" s="33" t="n">
        <v>0</v>
      </c>
      <c r="F63" s="33" t="n">
        <v>0</v>
      </c>
      <c r="G63" s="33" t="n">
        <v>0</v>
      </c>
      <c r="H63" s="145" t="n">
        <v>140392002912</v>
      </c>
      <c r="I63" s="32" t="n">
        <v>50093105406</v>
      </c>
      <c r="J63" s="33" t="n">
        <v>0</v>
      </c>
      <c r="K63" s="33" t="n">
        <v>0</v>
      </c>
      <c r="L63" s="32" t="n">
        <v>90298897506</v>
      </c>
      <c r="M63" s="33" t="n">
        <v>0</v>
      </c>
      <c r="N63" s="16" t="n">
        <v>50093105406</v>
      </c>
      <c r="O63" s="16" t="n">
        <v>0</v>
      </c>
      <c r="P63" s="16" t="n">
        <v>90298897506</v>
      </c>
      <c r="Q63" s="16" t="n">
        <v>0</v>
      </c>
      <c r="V63" s="24" t="n"/>
      <c r="W63" s="25" t="inlineStr">
        <is>
          <t>해외채권</t>
        </is>
      </c>
      <c r="X63" s="853" t="n">
        <v>0</v>
      </c>
      <c r="Y63" s="853" t="n">
        <v>0</v>
      </c>
      <c r="Z63" s="853" t="n">
        <v>892.2361016900001</v>
      </c>
      <c r="AA63" s="853" t="n">
        <v>0</v>
      </c>
      <c r="AB63" s="854" t="n">
        <v>892.2361016900001</v>
      </c>
      <c r="AC63" s="858" t="n">
        <v>800.54741433</v>
      </c>
      <c r="AH63" s="19" t="inlineStr">
        <is>
          <t xml:space="preserve">        (3) 파생상품자산</t>
        </is>
      </c>
      <c r="AI63" s="848" t="n">
        <v>269181079571</v>
      </c>
      <c r="AJ63" s="697" t="inlineStr">
        <is>
          <t>파생상품자산</t>
        </is>
      </c>
    </row>
    <row r="64" ht="18.75" customHeight="1" s="759">
      <c r="A64" s="697" t="n">
        <v>63</v>
      </c>
      <c r="B64" s="33" t="inlineStr">
        <is>
          <t xml:space="preserve">　　　　         바.회 사 채</t>
        </is>
      </c>
      <c r="D64" s="32" t="n">
        <v>464177002278</v>
      </c>
      <c r="E64" s="33" t="n">
        <v>0</v>
      </c>
      <c r="F64" s="33" t="n">
        <v>0</v>
      </c>
      <c r="G64" s="33" t="n">
        <v>0</v>
      </c>
      <c r="H64" s="145" t="n">
        <v>464177002278</v>
      </c>
      <c r="I64" s="32" t="n">
        <v>148859876002</v>
      </c>
      <c r="J64" s="33" t="n">
        <v>0</v>
      </c>
      <c r="K64" s="33" t="n">
        <v>0</v>
      </c>
      <c r="L64" s="32" t="n">
        <v>238563984611</v>
      </c>
      <c r="M64" s="32" t="n">
        <v>76753141665</v>
      </c>
      <c r="N64" s="16" t="n">
        <v>225613017667</v>
      </c>
      <c r="O64" s="16" t="n">
        <v>0</v>
      </c>
      <c r="P64" s="16" t="n">
        <v>238563984611</v>
      </c>
      <c r="Q64" s="16" t="n">
        <v>0</v>
      </c>
      <c r="V64" s="24" t="n"/>
      <c r="W64" s="26" t="inlineStr">
        <is>
          <t>(비중)</t>
        </is>
      </c>
      <c r="X64" s="856" t="n">
        <v>0</v>
      </c>
      <c r="Y64" s="856" t="n">
        <v>0</v>
      </c>
      <c r="Z64" s="856" t="n">
        <v>0.1901436376531634</v>
      </c>
      <c r="AA64" s="856" t="n">
        <v>0</v>
      </c>
      <c r="AB64" s="857" t="n">
        <v>0.00526570999628259</v>
      </c>
      <c r="AH64" s="19" t="inlineStr">
        <is>
          <t xml:space="preserve">          1) 채무증권</t>
        </is>
      </c>
      <c r="AI64" s="848" t="n">
        <v>269181079571</v>
      </c>
    </row>
    <row r="65" ht="18.75" customHeight="1" s="759">
      <c r="A65" s="697" t="n">
        <v>64</v>
      </c>
      <c r="B65" s="33" t="inlineStr">
        <is>
          <t xml:space="preserve">　　　　　           (1) 보증사채</t>
        </is>
      </c>
      <c r="D65" s="33" t="n">
        <v>0</v>
      </c>
      <c r="E65" s="33" t="n">
        <v>0</v>
      </c>
      <c r="F65" s="33" t="n">
        <v>0</v>
      </c>
      <c r="G65" s="33" t="n">
        <v>0</v>
      </c>
      <c r="H65" s="146" t="n">
        <v>0</v>
      </c>
      <c r="I65" s="33" t="n">
        <v>0</v>
      </c>
      <c r="J65" s="33" t="n">
        <v>0</v>
      </c>
      <c r="K65" s="33" t="n">
        <v>0</v>
      </c>
      <c r="L65" s="33" t="n">
        <v>0</v>
      </c>
      <c r="M65" s="33" t="n">
        <v>0</v>
      </c>
      <c r="N65" s="16" t="n">
        <v>0</v>
      </c>
      <c r="O65" s="16" t="n">
        <v>0</v>
      </c>
      <c r="P65" s="16" t="n">
        <v>0</v>
      </c>
      <c r="Q65" s="16" t="n">
        <v>0</v>
      </c>
      <c r="V65" s="24" t="n"/>
      <c r="W65" s="25" t="inlineStr">
        <is>
          <t>수익증권</t>
        </is>
      </c>
      <c r="X65" s="853" t="n">
        <v>33093.73602885</v>
      </c>
      <c r="Y65" s="853" t="n">
        <v>61688.30802777</v>
      </c>
      <c r="Z65" s="853" t="n">
        <v>3666.77173356</v>
      </c>
      <c r="AA65" s="853" t="n">
        <v>914.45068345</v>
      </c>
      <c r="AB65" s="854" t="n">
        <v>99363.26647363001</v>
      </c>
      <c r="AC65" s="858" t="n">
        <v>98218.58718633</v>
      </c>
      <c r="AH65" s="19" t="inlineStr">
        <is>
          <t xml:space="preserve">             (가) 통 화 </t>
        </is>
      </c>
      <c r="AI65" s="848" t="n">
        <v>57492384007</v>
      </c>
    </row>
    <row r="66" ht="18.75" customHeight="1" s="759">
      <c r="A66" s="697" t="n">
        <v>65</v>
      </c>
      <c r="B66" s="33" t="inlineStr">
        <is>
          <t xml:space="preserve">　　　　　           (2) 무보증사채</t>
        </is>
      </c>
      <c r="D66" s="32" t="n">
        <v>464177002278</v>
      </c>
      <c r="E66" s="33" t="n">
        <v>0</v>
      </c>
      <c r="F66" s="33" t="n">
        <v>0</v>
      </c>
      <c r="G66" s="33" t="n">
        <v>0</v>
      </c>
      <c r="H66" s="145" t="n">
        <v>464177002278</v>
      </c>
      <c r="I66" s="32" t="n">
        <v>148859876002</v>
      </c>
      <c r="J66" s="33" t="n">
        <v>0</v>
      </c>
      <c r="K66" s="33" t="n">
        <v>0</v>
      </c>
      <c r="L66" s="32" t="n">
        <v>238563984611</v>
      </c>
      <c r="M66" s="32" t="n">
        <v>76753141665</v>
      </c>
      <c r="N66" s="16" t="n">
        <v>225613017667</v>
      </c>
      <c r="O66" s="16" t="n">
        <v>0</v>
      </c>
      <c r="P66" s="16" t="n">
        <v>238563984611</v>
      </c>
      <c r="Q66" s="16" t="n">
        <v>0</v>
      </c>
      <c r="V66" s="24" t="n"/>
      <c r="W66" s="26" t="inlineStr">
        <is>
          <t>(비중)</t>
        </is>
      </c>
      <c r="X66" s="856" t="n">
        <v>0.8833025912202825</v>
      </c>
      <c r="Y66" s="856" t="n">
        <v>0.4971241033063709</v>
      </c>
      <c r="Z66" s="856" t="n">
        <v>0.7814224447344044</v>
      </c>
      <c r="AA66" s="856" t="n">
        <v>0.2863030388276488</v>
      </c>
      <c r="AB66" s="857" t="n">
        <v>0.5864122114566397</v>
      </c>
      <c r="AH66" s="19" t="inlineStr">
        <is>
          <t xml:space="preserve">                a)통화선도</t>
        </is>
      </c>
      <c r="AI66" s="848" t="n">
        <v>0</v>
      </c>
    </row>
    <row r="67" ht="18.75" customHeight="1" s="759">
      <c r="A67" s="697" t="n">
        <v>66</v>
      </c>
      <c r="B67" s="33" t="inlineStr">
        <is>
          <t xml:space="preserve">　　　　         사.수익증권</t>
        </is>
      </c>
      <c r="D67" s="33" t="n">
        <v>0</v>
      </c>
      <c r="E67" s="33" t="n">
        <v>0</v>
      </c>
      <c r="F67" s="33" t="n">
        <v>0</v>
      </c>
      <c r="G67" s="33" t="n">
        <v>0</v>
      </c>
      <c r="H67" s="146" t="n">
        <v>0</v>
      </c>
      <c r="I67" s="33" t="n">
        <v>0</v>
      </c>
      <c r="J67" s="33" t="n">
        <v>0</v>
      </c>
      <c r="K67" s="33" t="n">
        <v>0</v>
      </c>
      <c r="L67" s="33" t="n">
        <v>0</v>
      </c>
      <c r="M67" s="33" t="n">
        <v>0</v>
      </c>
      <c r="N67" s="16" t="n">
        <v>0</v>
      </c>
      <c r="O67" s="16" t="n">
        <v>0</v>
      </c>
      <c r="P67" s="16" t="n">
        <v>0</v>
      </c>
      <c r="Q67" s="16" t="n">
        <v>0</v>
      </c>
      <c r="V67" s="24" t="n"/>
      <c r="W67" s="25" t="inlineStr">
        <is>
          <t>외화수익증권</t>
        </is>
      </c>
      <c r="X67" s="853" t="n">
        <v>0</v>
      </c>
      <c r="Y67" s="853" t="n">
        <v>36004.34826787</v>
      </c>
      <c r="Z67" s="853" t="n">
        <v>0</v>
      </c>
      <c r="AA67" s="853" t="n">
        <v>1167.58618739</v>
      </c>
      <c r="AB67" s="854" t="n">
        <v>37171.93445526</v>
      </c>
      <c r="AC67" s="858" t="n">
        <v>24691.87361181</v>
      </c>
      <c r="AH67" s="19" t="inlineStr">
        <is>
          <t xml:space="preserve">                b)통화스왑</t>
        </is>
      </c>
      <c r="AI67" s="848" t="n">
        <v>9715857505</v>
      </c>
    </row>
    <row r="68" ht="18.75" customHeight="1" s="759">
      <c r="A68" s="697" t="n">
        <v>67</v>
      </c>
      <c r="B68" s="33" t="inlineStr">
        <is>
          <t xml:space="preserve">　　　　         아.외화표시유가증권</t>
        </is>
      </c>
      <c r="D68" s="32" t="n">
        <v>1327845660054</v>
      </c>
      <c r="E68" s="33" t="n">
        <v>0</v>
      </c>
      <c r="F68" s="33" t="n">
        <v>0</v>
      </c>
      <c r="G68" s="33" t="n">
        <v>0</v>
      </c>
      <c r="H68" s="145" t="n">
        <v>1327845660054</v>
      </c>
      <c r="I68" s="32" t="n">
        <v>30396390687</v>
      </c>
      <c r="J68" s="33" t="n">
        <v>0</v>
      </c>
      <c r="K68" s="33" t="n">
        <v>0</v>
      </c>
      <c r="L68" s="33" t="n">
        <v>0</v>
      </c>
      <c r="M68" s="32" t="n">
        <v>1297449269367</v>
      </c>
      <c r="N68" s="16" t="n">
        <v>1327845660054</v>
      </c>
      <c r="O68" s="16" t="n">
        <v>0</v>
      </c>
      <c r="P68" s="16" t="n">
        <v>0</v>
      </c>
      <c r="Q68" s="16" t="n">
        <v>0</v>
      </c>
      <c r="V68" s="24" t="n"/>
      <c r="W68" s="26" t="inlineStr">
        <is>
          <t>(비중)</t>
        </is>
      </c>
      <c r="X68" s="856" t="n">
        <v>0</v>
      </c>
      <c r="Y68" s="856" t="n">
        <v>0.2901462192760709</v>
      </c>
      <c r="Z68" s="856" t="n">
        <v>0</v>
      </c>
      <c r="AA68" s="856" t="n">
        <v>0.3655565899757168</v>
      </c>
      <c r="AB68" s="857" t="n">
        <v>0.219377613696056</v>
      </c>
      <c r="AH68" s="19" t="inlineStr">
        <is>
          <t xml:space="preserve">                C)평가이익조정</t>
        </is>
      </c>
      <c r="AI68" s="848" t="n">
        <v>47776526502</v>
      </c>
    </row>
    <row r="69" ht="18.75" customHeight="1" s="759">
      <c r="A69" s="697" t="n">
        <v>68</v>
      </c>
      <c r="B69" s="33" t="inlineStr">
        <is>
          <t xml:space="preserve">　　　　　          (1) 주식</t>
        </is>
      </c>
      <c r="D69" s="33" t="n">
        <v>0</v>
      </c>
      <c r="E69" s="33" t="n">
        <v>0</v>
      </c>
      <c r="F69" s="33" t="n">
        <v>0</v>
      </c>
      <c r="G69" s="33" t="n">
        <v>0</v>
      </c>
      <c r="H69" s="146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16" t="n">
        <v>0</v>
      </c>
      <c r="O69" s="16" t="n">
        <v>0</v>
      </c>
      <c r="P69" s="16" t="n">
        <v>0</v>
      </c>
      <c r="Q69" s="16" t="n">
        <v>0</v>
      </c>
      <c r="V69" s="24" t="n"/>
      <c r="W69" s="25" t="inlineStr">
        <is>
          <t>기타</t>
        </is>
      </c>
      <c r="X69" s="859" t="n">
        <v>448.94739435</v>
      </c>
      <c r="Y69" s="860" t="n">
        <v>0</v>
      </c>
      <c r="Z69" s="860" t="n">
        <v>0</v>
      </c>
      <c r="AA69" s="860" t="n">
        <v>0</v>
      </c>
      <c r="AB69" s="861" t="n">
        <v>448.94739435</v>
      </c>
      <c r="AC69" s="858" t="n">
        <v>0</v>
      </c>
      <c r="AH69" s="19" t="inlineStr">
        <is>
          <t xml:space="preserve">             (나) 이 자 율 </t>
        </is>
      </c>
      <c r="AI69" s="848" t="n">
        <v>211688695564</v>
      </c>
    </row>
    <row r="70" ht="18.75" customHeight="1" s="759">
      <c r="A70" s="697" t="n">
        <v>69</v>
      </c>
      <c r="B70" s="33" t="inlineStr">
        <is>
          <t xml:space="preserve">　　　　　          (2) 채권</t>
        </is>
      </c>
      <c r="D70" s="32" t="n">
        <v>1327845660054</v>
      </c>
      <c r="E70" s="33" t="n">
        <v>0</v>
      </c>
      <c r="F70" s="33" t="n">
        <v>0</v>
      </c>
      <c r="G70" s="33" t="n">
        <v>0</v>
      </c>
      <c r="H70" s="145" t="n">
        <v>1327845660054</v>
      </c>
      <c r="I70" s="32" t="n">
        <v>30396390687</v>
      </c>
      <c r="J70" s="33" t="n">
        <v>0</v>
      </c>
      <c r="K70" s="33" t="n">
        <v>0</v>
      </c>
      <c r="L70" s="33" t="n">
        <v>0</v>
      </c>
      <c r="M70" s="32" t="n">
        <v>1297449269367</v>
      </c>
      <c r="N70" s="16" t="n">
        <v>1327845660054</v>
      </c>
      <c r="O70" s="16" t="n">
        <v>0</v>
      </c>
      <c r="P70" s="16" t="n">
        <v>0</v>
      </c>
      <c r="Q70" s="16" t="n">
        <v>0</v>
      </c>
      <c r="V70" s="27" t="n"/>
      <c r="W70" s="28" t="inlineStr">
        <is>
          <t>(비중)</t>
        </is>
      </c>
      <c r="X70" s="862" t="n">
        <v>0.01198282346862393</v>
      </c>
      <c r="Y70" s="862" t="n">
        <v>0</v>
      </c>
      <c r="Z70" s="862" t="n">
        <v>0</v>
      </c>
      <c r="AA70" s="862" t="n">
        <v>0</v>
      </c>
      <c r="AB70" s="863" t="n">
        <v>0.002649552935322918</v>
      </c>
      <c r="AH70" s="19" t="inlineStr">
        <is>
          <t xml:space="preserve">             (다) 신 용 </t>
        </is>
      </c>
      <c r="AI70" s="848" t="n">
        <v>0</v>
      </c>
    </row>
    <row r="71">
      <c r="A71" s="697" t="n">
        <v>70</v>
      </c>
      <c r="B71" s="33" t="inlineStr">
        <is>
          <t xml:space="preserve">　　　　　          (3) 수익증권</t>
        </is>
      </c>
      <c r="D71" s="33" t="n">
        <v>0</v>
      </c>
      <c r="E71" s="33" t="n">
        <v>0</v>
      </c>
      <c r="F71" s="33" t="n">
        <v>0</v>
      </c>
      <c r="G71" s="33" t="n">
        <v>0</v>
      </c>
      <c r="H71" s="146" t="n">
        <v>0</v>
      </c>
      <c r="I71" s="33" t="n">
        <v>0</v>
      </c>
      <c r="J71" s="33" t="n">
        <v>0</v>
      </c>
      <c r="K71" s="33" t="n">
        <v>0</v>
      </c>
      <c r="L71" s="33" t="n">
        <v>0</v>
      </c>
      <c r="M71" s="33" t="n">
        <v>0</v>
      </c>
      <c r="N71" s="16" t="n">
        <v>0</v>
      </c>
      <c r="O71" s="16" t="n">
        <v>0</v>
      </c>
      <c r="P71" s="16" t="n">
        <v>0</v>
      </c>
      <c r="Q71" s="16" t="n">
        <v>0</v>
      </c>
      <c r="V71" s="643" t="inlineStr">
        <is>
          <t xml:space="preserve"> * 감독회계 기준</t>
        </is>
      </c>
      <c r="X71" s="643" t="n"/>
      <c r="Y71" s="643" t="n"/>
      <c r="Z71" s="643" t="n"/>
      <c r="AA71" s="643" t="n"/>
      <c r="AB71" s="643" t="n"/>
      <c r="AC71" s="858" t="n">
        <v>2691.81079571</v>
      </c>
      <c r="AD71" s="697" t="inlineStr">
        <is>
          <t>파생상품자산</t>
        </is>
      </c>
      <c r="AH71" s="19" t="inlineStr">
        <is>
          <t xml:space="preserve">             (라) 주 식 </t>
        </is>
      </c>
      <c r="AI71" s="848" t="n">
        <v>0</v>
      </c>
    </row>
    <row r="72">
      <c r="A72" s="697" t="n">
        <v>71</v>
      </c>
      <c r="B72" s="33" t="inlineStr">
        <is>
          <t xml:space="preserve">　　　　　          (4) 신종유가증권</t>
        </is>
      </c>
      <c r="D72" s="33" t="n">
        <v>0</v>
      </c>
      <c r="E72" s="33" t="n">
        <v>0</v>
      </c>
      <c r="F72" s="33" t="n">
        <v>0</v>
      </c>
      <c r="G72" s="33" t="n">
        <v>0</v>
      </c>
      <c r="H72" s="146" t="n">
        <v>0</v>
      </c>
      <c r="I72" s="33" t="n">
        <v>0</v>
      </c>
      <c r="J72" s="33" t="n">
        <v>0</v>
      </c>
      <c r="K72" s="33" t="n">
        <v>0</v>
      </c>
      <c r="L72" s="33" t="n">
        <v>0</v>
      </c>
      <c r="M72" s="33" t="n">
        <v>0</v>
      </c>
      <c r="N72" s="16" t="n">
        <v>0</v>
      </c>
      <c r="O72" s="16" t="n">
        <v>0</v>
      </c>
      <c r="P72" s="16" t="n">
        <v>0</v>
      </c>
      <c r="Q72" s="16" t="n">
        <v>0</v>
      </c>
      <c r="V72" s="643" t="inlineStr">
        <is>
          <t xml:space="preserve"> * 공시기준 FVPL자산 16조 4,320억(파생상품자산, 기타예금 분류 차이)</t>
        </is>
      </c>
      <c r="AC72" s="858" t="n">
        <v>448.94739435</v>
      </c>
      <c r="AD72" s="697" t="inlineStr">
        <is>
          <t>기타예금</t>
        </is>
      </c>
      <c r="AH72" s="19" t="inlineStr">
        <is>
          <t xml:space="preserve">             (마) 기 타</t>
        </is>
      </c>
      <c r="AI72" s="848" t="n">
        <v>0</v>
      </c>
    </row>
    <row r="73">
      <c r="A73" s="697" t="n">
        <v>72</v>
      </c>
      <c r="B73" s="33" t="inlineStr">
        <is>
          <t xml:space="preserve">　　　　　          (5) 기타유가증권</t>
        </is>
      </c>
      <c r="D73" s="33" t="n">
        <v>0</v>
      </c>
      <c r="E73" s="33" t="n">
        <v>0</v>
      </c>
      <c r="F73" s="33" t="n">
        <v>0</v>
      </c>
      <c r="G73" s="33" t="n">
        <v>0</v>
      </c>
      <c r="H73" s="146" t="n">
        <v>0</v>
      </c>
      <c r="I73" s="33" t="n">
        <v>0</v>
      </c>
      <c r="J73" s="33" t="n">
        <v>0</v>
      </c>
      <c r="K73" s="33" t="n">
        <v>0</v>
      </c>
      <c r="L73" s="33" t="n">
        <v>0</v>
      </c>
      <c r="M73" s="33" t="n">
        <v>0</v>
      </c>
      <c r="N73" s="16" t="n">
        <v>0</v>
      </c>
      <c r="O73" s="16" t="n">
        <v>0</v>
      </c>
      <c r="P73" s="16" t="n">
        <v>0</v>
      </c>
      <c r="Q73" s="16" t="n">
        <v>0</v>
      </c>
      <c r="AC73" s="864" t="n">
        <v>6159.093354739989</v>
      </c>
      <c r="AD73" s="697" t="inlineStr">
        <is>
          <t>CHECK</t>
        </is>
      </c>
      <c r="AH73" s="19" t="inlineStr">
        <is>
          <t xml:space="preserve">     2.당기손익-공정가치측정 대출채권 및 수취채권</t>
        </is>
      </c>
      <c r="AI73" s="848" t="n">
        <v>44894739435</v>
      </c>
    </row>
    <row r="74">
      <c r="A74" s="697" t="n">
        <v>73</v>
      </c>
      <c r="B74" s="33" t="inlineStr">
        <is>
          <t xml:space="preserve">　　　　         자.기타유가증권</t>
        </is>
      </c>
      <c r="D74" s="33" t="n">
        <v>0</v>
      </c>
      <c r="E74" s="33" t="n">
        <v>0</v>
      </c>
      <c r="F74" s="33" t="n">
        <v>0</v>
      </c>
      <c r="G74" s="33" t="n">
        <v>0</v>
      </c>
      <c r="H74" s="146" t="n">
        <v>0</v>
      </c>
      <c r="I74" s="33" t="n">
        <v>0</v>
      </c>
      <c r="J74" s="33" t="n">
        <v>0</v>
      </c>
      <c r="K74" s="33" t="n">
        <v>0</v>
      </c>
      <c r="L74" s="33" t="n">
        <v>0</v>
      </c>
      <c r="M74" s="33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X74" s="864" t="n">
        <v>-9.379164112033322e-12</v>
      </c>
      <c r="Y74" s="864" t="n">
        <v>1.455191522836685e-11</v>
      </c>
      <c r="Z74" s="864" t="n">
        <v>-4.547473508864641e-13</v>
      </c>
      <c r="AA74" s="864" t="n">
        <v>0</v>
      </c>
      <c r="AB74" s="864" t="n">
        <v>-4.575895218295045e-11</v>
      </c>
      <c r="AH74" s="19" t="inlineStr">
        <is>
          <t xml:space="preserve">       (1) 대출채권 </t>
        </is>
      </c>
      <c r="AI74" s="848" t="n">
        <v>0</v>
      </c>
    </row>
    <row r="75">
      <c r="A75" s="697" t="n">
        <v>74</v>
      </c>
      <c r="B75" s="33" t="inlineStr">
        <is>
          <t xml:space="preserve">　　　      2-3.상각후원가측정유가증권</t>
        </is>
      </c>
      <c r="D75" s="33" t="n">
        <v>0</v>
      </c>
      <c r="E75" s="33" t="n">
        <v>0</v>
      </c>
      <c r="F75" s="33" t="n">
        <v>0</v>
      </c>
      <c r="G75" s="33" t="n">
        <v>0</v>
      </c>
      <c r="H75" s="146" t="n">
        <v>0</v>
      </c>
      <c r="I75" s="33" t="n">
        <v>0</v>
      </c>
      <c r="J75" s="33" t="n">
        <v>0</v>
      </c>
      <c r="K75" s="33" t="n">
        <v>0</v>
      </c>
      <c r="L75" s="33" t="n">
        <v>0</v>
      </c>
      <c r="M75" s="33" t="n">
        <v>0</v>
      </c>
      <c r="N75" s="16" t="n">
        <v>0</v>
      </c>
      <c r="O75" s="16" t="n">
        <v>0</v>
      </c>
      <c r="P75" s="16" t="n">
        <v>0</v>
      </c>
      <c r="Q75" s="16" t="n">
        <v>0</v>
      </c>
      <c r="R75" s="14" t="inlineStr">
        <is>
          <t>AC</t>
        </is>
      </c>
      <c r="X75" s="29" t="n">
        <v>-3.642919299551295e-17</v>
      </c>
      <c r="Y75" s="29" t="n">
        <v>0</v>
      </c>
      <c r="Z75" s="29" t="n">
        <v>0</v>
      </c>
      <c r="AA75" s="29" t="n">
        <v>-5.551115123125783e-17</v>
      </c>
      <c r="AB75" s="29" t="n">
        <v>-7.112366251504909e-17</v>
      </c>
      <c r="AH75" s="19" t="inlineStr">
        <is>
          <t xml:space="preserve">          1) 콜   론 </t>
        </is>
      </c>
      <c r="AI75" s="848" t="n">
        <v>0</v>
      </c>
    </row>
    <row r="76">
      <c r="A76" s="697" t="n">
        <v>75</v>
      </c>
      <c r="B76" s="33" t="inlineStr">
        <is>
          <t xml:space="preserve">　　　　         (손실충당금)</t>
        </is>
      </c>
      <c r="D76" s="33" t="n">
        <v>0</v>
      </c>
      <c r="E76" s="33" t="n">
        <v>0</v>
      </c>
      <c r="F76" s="33" t="n">
        <v>0</v>
      </c>
      <c r="G76" s="33" t="n">
        <v>0</v>
      </c>
      <c r="H76" s="146" t="n">
        <v>0</v>
      </c>
      <c r="I76" s="33" t="n">
        <v>0</v>
      </c>
      <c r="J76" s="33" t="n">
        <v>0</v>
      </c>
      <c r="K76" s="33" t="n">
        <v>0</v>
      </c>
      <c r="L76" s="33" t="n">
        <v>0</v>
      </c>
      <c r="M76" s="33" t="n">
        <v>0</v>
      </c>
      <c r="N76" s="16" t="n">
        <v>0</v>
      </c>
      <c r="O76" s="16" t="n">
        <v>0</v>
      </c>
      <c r="P76" s="16" t="n">
        <v>0</v>
      </c>
      <c r="Q76" s="16" t="n">
        <v>0</v>
      </c>
      <c r="AH76" s="19" t="inlineStr">
        <is>
          <t xml:space="preserve">          2) 유가증권담보대출금</t>
        </is>
      </c>
      <c r="AI76" s="848" t="n">
        <v>0</v>
      </c>
    </row>
    <row r="77">
      <c r="A77" s="697" t="n">
        <v>76</v>
      </c>
      <c r="B77" s="33" t="inlineStr">
        <is>
          <t xml:space="preserve">　　　　         가.국·공채</t>
        </is>
      </c>
      <c r="D77" s="33" t="n">
        <v>0</v>
      </c>
      <c r="E77" s="33" t="n">
        <v>0</v>
      </c>
      <c r="F77" s="33" t="n">
        <v>0</v>
      </c>
      <c r="G77" s="33" t="n">
        <v>0</v>
      </c>
      <c r="H77" s="146" t="n">
        <v>0</v>
      </c>
      <c r="I77" s="33" t="n">
        <v>0</v>
      </c>
      <c r="J77" s="33" t="n">
        <v>0</v>
      </c>
      <c r="K77" s="33" t="n">
        <v>0</v>
      </c>
      <c r="L77" s="33" t="n">
        <v>0</v>
      </c>
      <c r="M77" s="33" t="n">
        <v>0</v>
      </c>
      <c r="N77" s="16" t="n">
        <v>0</v>
      </c>
      <c r="O77" s="16" t="n">
        <v>0</v>
      </c>
      <c r="P77" s="16" t="n">
        <v>0</v>
      </c>
      <c r="Q77" s="16" t="n">
        <v>0</v>
      </c>
      <c r="AH77" s="19" t="inlineStr">
        <is>
          <t xml:space="preserve">          3) 수익증권담보대출금</t>
        </is>
      </c>
      <c r="AI77" s="848" t="n">
        <v>0</v>
      </c>
    </row>
    <row r="78">
      <c r="A78" s="697" t="n">
        <v>77</v>
      </c>
      <c r="B78" s="33" t="inlineStr">
        <is>
          <t xml:space="preserve">　　　　　          (1) 국 채</t>
        </is>
      </c>
      <c r="D78" s="33" t="n">
        <v>0</v>
      </c>
      <c r="E78" s="33" t="n">
        <v>0</v>
      </c>
      <c r="F78" s="33" t="n">
        <v>0</v>
      </c>
      <c r="G78" s="33" t="n">
        <v>0</v>
      </c>
      <c r="H78" s="146" t="n">
        <v>0</v>
      </c>
      <c r="I78" s="33" t="n">
        <v>0</v>
      </c>
      <c r="J78" s="33" t="n">
        <v>0</v>
      </c>
      <c r="K78" s="33" t="n">
        <v>0</v>
      </c>
      <c r="L78" s="33" t="n">
        <v>0</v>
      </c>
      <c r="M78" s="33" t="n">
        <v>0</v>
      </c>
      <c r="N78" s="16" t="n">
        <v>0</v>
      </c>
      <c r="O78" s="16" t="n">
        <v>0</v>
      </c>
      <c r="P78" s="16" t="n">
        <v>0</v>
      </c>
      <c r="Q78" s="16" t="n">
        <v>0</v>
      </c>
      <c r="AH78" s="19" t="inlineStr">
        <is>
          <t xml:space="preserve">          4) 부동산담보대출금</t>
        </is>
      </c>
      <c r="AI78" s="848" t="n">
        <v>0</v>
      </c>
    </row>
    <row r="79">
      <c r="A79" s="697" t="n">
        <v>78</v>
      </c>
      <c r="B79" s="33" t="inlineStr">
        <is>
          <t xml:space="preserve">　　　　　          (2) 공 채</t>
        </is>
      </c>
      <c r="D79" s="33" t="n">
        <v>0</v>
      </c>
      <c r="E79" s="33" t="n">
        <v>0</v>
      </c>
      <c r="F79" s="33" t="n">
        <v>0</v>
      </c>
      <c r="G79" s="33" t="n">
        <v>0</v>
      </c>
      <c r="H79" s="146" t="n">
        <v>0</v>
      </c>
      <c r="I79" s="33" t="n">
        <v>0</v>
      </c>
      <c r="J79" s="33" t="n">
        <v>0</v>
      </c>
      <c r="K79" s="33" t="n">
        <v>0</v>
      </c>
      <c r="L79" s="33" t="n">
        <v>0</v>
      </c>
      <c r="M79" s="33" t="n">
        <v>0</v>
      </c>
      <c r="N79" s="16" t="n">
        <v>0</v>
      </c>
      <c r="O79" s="16" t="n">
        <v>0</v>
      </c>
      <c r="P79" s="16" t="n">
        <v>0</v>
      </c>
      <c r="Q79" s="16" t="n">
        <v>0</v>
      </c>
      <c r="AH79" s="19" t="inlineStr">
        <is>
          <t xml:space="preserve">          5) 신용대출금</t>
        </is>
      </c>
      <c r="AI79" s="848" t="n">
        <v>0</v>
      </c>
    </row>
    <row r="80">
      <c r="A80" s="697" t="n">
        <v>79</v>
      </c>
      <c r="B80" s="33" t="inlineStr">
        <is>
          <t xml:space="preserve">　　　　         나.특 수 채</t>
        </is>
      </c>
      <c r="D80" s="33" t="n">
        <v>0</v>
      </c>
      <c r="E80" s="33" t="n">
        <v>0</v>
      </c>
      <c r="F80" s="33" t="n">
        <v>0</v>
      </c>
      <c r="G80" s="33" t="n">
        <v>0</v>
      </c>
      <c r="H80" s="146" t="n">
        <v>0</v>
      </c>
      <c r="I80" s="33" t="n">
        <v>0</v>
      </c>
      <c r="J80" s="33" t="n">
        <v>0</v>
      </c>
      <c r="K80" s="33" t="n">
        <v>0</v>
      </c>
      <c r="L80" s="33" t="n">
        <v>0</v>
      </c>
      <c r="M80" s="33" t="n">
        <v>0</v>
      </c>
      <c r="N80" s="16" t="n">
        <v>0</v>
      </c>
      <c r="O80" s="16" t="n">
        <v>0</v>
      </c>
      <c r="P80" s="16" t="n">
        <v>0</v>
      </c>
      <c r="Q80" s="16" t="n">
        <v>0</v>
      </c>
      <c r="AH80" s="19" t="inlineStr">
        <is>
          <t xml:space="preserve">          6) 어음할인대출금</t>
        </is>
      </c>
      <c r="AI80" s="848" t="n">
        <v>0</v>
      </c>
    </row>
    <row r="81">
      <c r="A81" s="697" t="n">
        <v>80</v>
      </c>
      <c r="B81" s="33" t="inlineStr">
        <is>
          <t xml:space="preserve">　　　　         다.금 융 채</t>
        </is>
      </c>
      <c r="D81" s="33" t="n">
        <v>0</v>
      </c>
      <c r="E81" s="33" t="n">
        <v>0</v>
      </c>
      <c r="F81" s="33" t="n">
        <v>0</v>
      </c>
      <c r="G81" s="33" t="n">
        <v>0</v>
      </c>
      <c r="H81" s="146" t="n">
        <v>0</v>
      </c>
      <c r="I81" s="33" t="n">
        <v>0</v>
      </c>
      <c r="J81" s="33" t="n">
        <v>0</v>
      </c>
      <c r="K81" s="33" t="n">
        <v>0</v>
      </c>
      <c r="L81" s="33" t="n">
        <v>0</v>
      </c>
      <c r="M81" s="33" t="n">
        <v>0</v>
      </c>
      <c r="N81" s="16" t="n">
        <v>0</v>
      </c>
      <c r="O81" s="16" t="n">
        <v>0</v>
      </c>
      <c r="P81" s="16" t="n">
        <v>0</v>
      </c>
      <c r="Q81" s="16" t="n">
        <v>0</v>
      </c>
      <c r="AH81" s="19" t="inlineStr">
        <is>
          <t xml:space="preserve">          7) 지급보증대출금</t>
        </is>
      </c>
      <c r="AI81" s="848" t="n">
        <v>0</v>
      </c>
    </row>
    <row r="82">
      <c r="A82" s="697" t="n">
        <v>81</v>
      </c>
      <c r="B82" s="33" t="inlineStr">
        <is>
          <t xml:space="preserve">　　　　         라.회 사 채</t>
        </is>
      </c>
      <c r="D82" s="33" t="n">
        <v>0</v>
      </c>
      <c r="E82" s="33" t="n">
        <v>0</v>
      </c>
      <c r="F82" s="33" t="n">
        <v>0</v>
      </c>
      <c r="G82" s="33" t="n">
        <v>0</v>
      </c>
      <c r="H82" s="146" t="n">
        <v>0</v>
      </c>
      <c r="I82" s="33" t="n">
        <v>0</v>
      </c>
      <c r="J82" s="33" t="n">
        <v>0</v>
      </c>
      <c r="K82" s="33" t="n">
        <v>0</v>
      </c>
      <c r="L82" s="33" t="n">
        <v>0</v>
      </c>
      <c r="M82" s="33" t="n">
        <v>0</v>
      </c>
      <c r="N82" s="16" t="n">
        <v>0</v>
      </c>
      <c r="O82" s="16" t="n">
        <v>0</v>
      </c>
      <c r="P82" s="16" t="n">
        <v>0</v>
      </c>
      <c r="Q82" s="16" t="n">
        <v>0</v>
      </c>
      <c r="AH82" s="19" t="inlineStr">
        <is>
          <t xml:space="preserve">          8) 기타대출금</t>
        </is>
      </c>
      <c r="AI82" s="848" t="n">
        <v>0</v>
      </c>
    </row>
    <row r="83">
      <c r="A83" s="697" t="n">
        <v>82</v>
      </c>
      <c r="B83" s="33" t="inlineStr">
        <is>
          <t xml:space="preserve">　　　　　          (1) 보증사채</t>
        </is>
      </c>
      <c r="D83" s="33" t="n">
        <v>0</v>
      </c>
      <c r="E83" s="33" t="n">
        <v>0</v>
      </c>
      <c r="F83" s="33" t="n">
        <v>0</v>
      </c>
      <c r="G83" s="33" t="n">
        <v>0</v>
      </c>
      <c r="H83" s="146" t="n">
        <v>0</v>
      </c>
      <c r="I83" s="33" t="n">
        <v>0</v>
      </c>
      <c r="J83" s="33" t="n">
        <v>0</v>
      </c>
      <c r="K83" s="33" t="n">
        <v>0</v>
      </c>
      <c r="L83" s="33" t="n">
        <v>0</v>
      </c>
      <c r="M83" s="33" t="n">
        <v>0</v>
      </c>
      <c r="N83" s="16" t="n">
        <v>0</v>
      </c>
      <c r="O83" s="16" t="n">
        <v>0</v>
      </c>
      <c r="P83" s="16" t="n">
        <v>0</v>
      </c>
      <c r="Q83" s="16" t="n">
        <v>0</v>
      </c>
      <c r="AH83" s="19" t="inlineStr">
        <is>
          <t xml:space="preserve">            (가) 주택보험대출 </t>
        </is>
      </c>
      <c r="AI83" s="848" t="n">
        <v>0</v>
      </c>
    </row>
    <row r="84">
      <c r="A84" s="697" t="n">
        <v>83</v>
      </c>
      <c r="B84" s="33" t="inlineStr">
        <is>
          <t xml:space="preserve">　　　　　          (2) 무보증사채</t>
        </is>
      </c>
      <c r="D84" s="33" t="n">
        <v>0</v>
      </c>
      <c r="E84" s="33" t="n">
        <v>0</v>
      </c>
      <c r="F84" s="33" t="n">
        <v>0</v>
      </c>
      <c r="G84" s="33" t="n">
        <v>0</v>
      </c>
      <c r="H84" s="146" t="n">
        <v>0</v>
      </c>
      <c r="I84" s="33" t="n">
        <v>0</v>
      </c>
      <c r="J84" s="33" t="n">
        <v>0</v>
      </c>
      <c r="K84" s="33" t="n">
        <v>0</v>
      </c>
      <c r="L84" s="33" t="n">
        <v>0</v>
      </c>
      <c r="M84" s="33" t="n">
        <v>0</v>
      </c>
      <c r="N84" s="16" t="n">
        <v>0</v>
      </c>
      <c r="O84" s="16" t="n">
        <v>0</v>
      </c>
      <c r="P84" s="16" t="n">
        <v>0</v>
      </c>
      <c r="Q84" s="16" t="n">
        <v>0</v>
      </c>
      <c r="AH84" s="19" t="inlineStr">
        <is>
          <t xml:space="preserve">            (나) 사모사채</t>
        </is>
      </c>
      <c r="AI84" s="848" t="n">
        <v>0</v>
      </c>
    </row>
    <row r="85">
      <c r="A85" s="697" t="n">
        <v>84</v>
      </c>
      <c r="B85" s="33" t="inlineStr">
        <is>
          <t xml:space="preserve">　　　　         마.수익증권</t>
        </is>
      </c>
      <c r="D85" s="33" t="n">
        <v>0</v>
      </c>
      <c r="E85" s="33" t="n">
        <v>0</v>
      </c>
      <c r="F85" s="33" t="n">
        <v>0</v>
      </c>
      <c r="G85" s="33" t="n">
        <v>0</v>
      </c>
      <c r="H85" s="146" t="n">
        <v>0</v>
      </c>
      <c r="I85" s="33" t="n">
        <v>0</v>
      </c>
      <c r="J85" s="33" t="n">
        <v>0</v>
      </c>
      <c r="K85" s="33" t="n">
        <v>0</v>
      </c>
      <c r="L85" s="33" t="n">
        <v>0</v>
      </c>
      <c r="M85" s="33" t="n">
        <v>0</v>
      </c>
      <c r="N85" s="16" t="n">
        <v>0</v>
      </c>
      <c r="O85" s="16" t="n">
        <v>0</v>
      </c>
      <c r="P85" s="16" t="n">
        <v>0</v>
      </c>
      <c r="Q85" s="16" t="n">
        <v>0</v>
      </c>
      <c r="AH85" s="19" t="inlineStr">
        <is>
          <t xml:space="preserve">            (다) CP</t>
        </is>
      </c>
      <c r="AI85" s="848" t="n">
        <v>0</v>
      </c>
    </row>
    <row r="86">
      <c r="A86" s="697" t="n">
        <v>85</v>
      </c>
      <c r="B86" s="33" t="inlineStr">
        <is>
          <t xml:space="preserve">　　　　         바.외화표시유가증권</t>
        </is>
      </c>
      <c r="D86" s="33" t="n">
        <v>0</v>
      </c>
      <c r="E86" s="33" t="n">
        <v>0</v>
      </c>
      <c r="F86" s="33" t="n">
        <v>0</v>
      </c>
      <c r="G86" s="33" t="n">
        <v>0</v>
      </c>
      <c r="H86" s="146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16" t="n">
        <v>0</v>
      </c>
      <c r="O86" s="16" t="n">
        <v>0</v>
      </c>
      <c r="P86" s="16" t="n">
        <v>0</v>
      </c>
      <c r="Q86" s="16" t="n">
        <v>0</v>
      </c>
      <c r="AH86" s="19" t="inlineStr">
        <is>
          <t xml:space="preserve">            (라) RP</t>
        </is>
      </c>
      <c r="AI86" s="848" t="n">
        <v>0</v>
      </c>
    </row>
    <row r="87">
      <c r="A87" s="697" t="n">
        <v>86</v>
      </c>
      <c r="B87" s="33" t="inlineStr">
        <is>
          <t xml:space="preserve">　　　　　          (1) 채권</t>
        </is>
      </c>
      <c r="D87" s="33" t="n">
        <v>0</v>
      </c>
      <c r="E87" s="33" t="n">
        <v>0</v>
      </c>
      <c r="F87" s="33" t="n">
        <v>0</v>
      </c>
      <c r="G87" s="33" t="n">
        <v>0</v>
      </c>
      <c r="H87" s="146" t="n">
        <v>0</v>
      </c>
      <c r="I87" s="33" t="n">
        <v>0</v>
      </c>
      <c r="J87" s="33" t="n">
        <v>0</v>
      </c>
      <c r="K87" s="33" t="n">
        <v>0</v>
      </c>
      <c r="L87" s="33" t="n">
        <v>0</v>
      </c>
      <c r="M87" s="33" t="n">
        <v>0</v>
      </c>
      <c r="N87" s="16" t="n">
        <v>0</v>
      </c>
      <c r="O87" s="16" t="n">
        <v>0</v>
      </c>
      <c r="P87" s="16" t="n">
        <v>0</v>
      </c>
      <c r="Q87" s="16" t="n">
        <v>0</v>
      </c>
      <c r="AH87" s="19" t="inlineStr">
        <is>
          <t xml:space="preserve">            (마) 기   타</t>
        </is>
      </c>
      <c r="AI87" s="848" t="n">
        <v>0</v>
      </c>
    </row>
    <row r="88">
      <c r="A88" s="697" t="n">
        <v>87</v>
      </c>
      <c r="B88" s="33" t="inlineStr">
        <is>
          <t xml:space="preserve">　　　　　          (2) 수익증권</t>
        </is>
      </c>
      <c r="D88" s="33" t="n">
        <v>0</v>
      </c>
      <c r="E88" s="33" t="n">
        <v>0</v>
      </c>
      <c r="F88" s="33" t="n">
        <v>0</v>
      </c>
      <c r="G88" s="33" t="n">
        <v>0</v>
      </c>
      <c r="H88" s="146" t="n">
        <v>0</v>
      </c>
      <c r="I88" s="33" t="n">
        <v>0</v>
      </c>
      <c r="J88" s="33" t="n">
        <v>0</v>
      </c>
      <c r="K88" s="33" t="n">
        <v>0</v>
      </c>
      <c r="L88" s="33" t="n">
        <v>0</v>
      </c>
      <c r="M88" s="33" t="n">
        <v>0</v>
      </c>
      <c r="N88" s="16" t="n">
        <v>0</v>
      </c>
      <c r="O88" s="16" t="n">
        <v>0</v>
      </c>
      <c r="P88" s="16" t="n">
        <v>0</v>
      </c>
      <c r="Q88" s="16" t="n">
        <v>0</v>
      </c>
      <c r="AH88" s="19" t="inlineStr">
        <is>
          <t xml:space="preserve">       (2) 기타 수취채권</t>
        </is>
      </c>
      <c r="AI88" s="848" t="n">
        <v>44894739435</v>
      </c>
    </row>
    <row r="89">
      <c r="A89" s="697" t="n">
        <v>88</v>
      </c>
      <c r="B89" s="33" t="inlineStr">
        <is>
          <t xml:space="preserve">　　　　　          (3) 신종유가증권</t>
        </is>
      </c>
      <c r="D89" s="33" t="n">
        <v>0</v>
      </c>
      <c r="E89" s="33" t="n">
        <v>0</v>
      </c>
      <c r="F89" s="33" t="n">
        <v>0</v>
      </c>
      <c r="G89" s="33" t="n">
        <v>0</v>
      </c>
      <c r="H89" s="146" t="n">
        <v>0</v>
      </c>
      <c r="I89" s="33" t="n">
        <v>0</v>
      </c>
      <c r="J89" s="33" t="n">
        <v>0</v>
      </c>
      <c r="K89" s="33" t="n">
        <v>0</v>
      </c>
      <c r="L89" s="33" t="n">
        <v>0</v>
      </c>
      <c r="M89" s="33" t="n">
        <v>0</v>
      </c>
      <c r="N89" s="16" t="n">
        <v>0</v>
      </c>
      <c r="O89" s="16" t="n">
        <v>0</v>
      </c>
      <c r="P89" s="16" t="n">
        <v>0</v>
      </c>
      <c r="Q89" s="16" t="n">
        <v>0</v>
      </c>
      <c r="AH89" s="19" t="inlineStr">
        <is>
          <t xml:space="preserve">          1) 기타예금</t>
        </is>
      </c>
      <c r="AI89" s="848" t="n">
        <v>44894739435</v>
      </c>
      <c r="AJ89" s="697" t="inlineStr">
        <is>
          <t>기타예금</t>
        </is>
      </c>
    </row>
    <row r="90">
      <c r="A90" s="697" t="n">
        <v>89</v>
      </c>
      <c r="B90" s="33" t="inlineStr">
        <is>
          <t xml:space="preserve">　　　　　          (4) 기타유가증권</t>
        </is>
      </c>
      <c r="D90" s="33" t="n">
        <v>0</v>
      </c>
      <c r="E90" s="33" t="n">
        <v>0</v>
      </c>
      <c r="F90" s="33" t="n">
        <v>0</v>
      </c>
      <c r="G90" s="33" t="n">
        <v>0</v>
      </c>
      <c r="H90" s="146" t="n">
        <v>0</v>
      </c>
      <c r="I90" s="33" t="n">
        <v>0</v>
      </c>
      <c r="J90" s="33" t="n">
        <v>0</v>
      </c>
      <c r="K90" s="33" t="n">
        <v>0</v>
      </c>
      <c r="L90" s="33" t="n">
        <v>0</v>
      </c>
      <c r="M90" s="33" t="n">
        <v>0</v>
      </c>
      <c r="N90" s="16" t="n">
        <v>0</v>
      </c>
      <c r="O90" s="16" t="n">
        <v>0</v>
      </c>
      <c r="P90" s="16" t="n">
        <v>0</v>
      </c>
      <c r="Q90" s="16" t="n">
        <v>0</v>
      </c>
      <c r="AH90" s="19" t="inlineStr">
        <is>
          <t xml:space="preserve">  III. 기타포괄손익-공정가치측정 금융자산</t>
        </is>
      </c>
      <c r="AI90" s="848" t="n">
        <v>11814069090092</v>
      </c>
    </row>
    <row r="91">
      <c r="A91" s="697" t="n">
        <v>90</v>
      </c>
      <c r="B91" s="33" t="inlineStr">
        <is>
          <t xml:space="preserve">　　　　         사.기타유가증권</t>
        </is>
      </c>
      <c r="D91" s="33" t="n">
        <v>0</v>
      </c>
      <c r="E91" s="33" t="n">
        <v>0</v>
      </c>
      <c r="F91" s="33" t="n">
        <v>0</v>
      </c>
      <c r="G91" s="33" t="n">
        <v>0</v>
      </c>
      <c r="H91" s="146" t="n">
        <v>0</v>
      </c>
      <c r="I91" s="33" t="n">
        <v>0</v>
      </c>
      <c r="J91" s="33" t="n">
        <v>0</v>
      </c>
      <c r="K91" s="33" t="n">
        <v>0</v>
      </c>
      <c r="L91" s="33" t="n">
        <v>0</v>
      </c>
      <c r="M91" s="33" t="n">
        <v>0</v>
      </c>
      <c r="N91" s="16" t="n">
        <v>0</v>
      </c>
      <c r="O91" s="16" t="n">
        <v>0</v>
      </c>
      <c r="P91" s="16" t="n">
        <v>0</v>
      </c>
      <c r="Q91" s="16" t="n">
        <v>0</v>
      </c>
      <c r="AH91" s="19" t="inlineStr">
        <is>
          <t xml:space="preserve">     1.기타포괄손익-공정가치측정금융자산_유가증권</t>
        </is>
      </c>
      <c r="AI91" s="848" t="n">
        <v>11814069090092</v>
      </c>
    </row>
    <row r="92">
      <c r="A92" s="697" t="n">
        <v>91</v>
      </c>
      <c r="B92" s="33" t="inlineStr">
        <is>
          <t xml:space="preserve">　　　      2-4.관계·종속기업투자주식</t>
        </is>
      </c>
      <c r="D92" s="32" t="n">
        <v>142042965503</v>
      </c>
      <c r="E92" s="33" t="n">
        <v>0</v>
      </c>
      <c r="F92" s="33" t="n">
        <v>0</v>
      </c>
      <c r="G92" s="33" t="n">
        <v>0</v>
      </c>
      <c r="H92" s="145" t="n">
        <v>142042965503</v>
      </c>
      <c r="I92" s="33" t="n">
        <v>0</v>
      </c>
      <c r="J92" s="33" t="n">
        <v>0</v>
      </c>
      <c r="K92" s="33" t="n">
        <v>0</v>
      </c>
      <c r="L92" s="33" t="n">
        <v>0</v>
      </c>
      <c r="M92" s="32" t="n">
        <v>142042965503</v>
      </c>
      <c r="N92" s="16" t="n">
        <v>142042965503</v>
      </c>
      <c r="O92" s="16" t="n">
        <v>0</v>
      </c>
      <c r="P92" s="16" t="n">
        <v>0</v>
      </c>
      <c r="Q92" s="16" t="n">
        <v>0</v>
      </c>
      <c r="R92" s="14" t="inlineStr">
        <is>
          <t>관계종속기업투자주식</t>
        </is>
      </c>
      <c r="AH92" s="19" t="inlineStr">
        <is>
          <t xml:space="preserve">       (1) 주  식 </t>
        </is>
      </c>
      <c r="AI92" s="848" t="n">
        <v>0</v>
      </c>
    </row>
    <row r="93">
      <c r="A93" s="697" t="n">
        <v>92</v>
      </c>
      <c r="B93" s="33" t="inlineStr">
        <is>
          <t xml:space="preserve">　　　　         [종속기업투자자산]</t>
        </is>
      </c>
      <c r="D93" s="33" t="n">
        <v>0</v>
      </c>
      <c r="E93" s="33" t="n">
        <v>0</v>
      </c>
      <c r="F93" s="33" t="n">
        <v>0</v>
      </c>
      <c r="G93" s="33" t="n">
        <v>0</v>
      </c>
      <c r="H93" s="146" t="n">
        <v>0</v>
      </c>
      <c r="I93" s="33" t="n">
        <v>0</v>
      </c>
      <c r="J93" s="33" t="n">
        <v>0</v>
      </c>
      <c r="K93" s="33" t="n">
        <v>0</v>
      </c>
      <c r="L93" s="33" t="n">
        <v>0</v>
      </c>
      <c r="M93" s="33" t="n">
        <v>0</v>
      </c>
      <c r="N93" s="16" t="n">
        <v>0</v>
      </c>
      <c r="O93" s="16" t="n">
        <v>0</v>
      </c>
      <c r="P93" s="16" t="n">
        <v>0</v>
      </c>
      <c r="Q93" s="16" t="n">
        <v>0</v>
      </c>
      <c r="AH93" s="19" t="inlineStr">
        <is>
          <t xml:space="preserve">       (2) 출 자 금 </t>
        </is>
      </c>
      <c r="AI93" s="848" t="n">
        <v>0</v>
      </c>
    </row>
    <row r="94">
      <c r="A94" s="697" t="n">
        <v>93</v>
      </c>
      <c r="B94" s="33" t="inlineStr">
        <is>
          <t xml:space="preserve">　　　　         [관계기업투자자산]</t>
        </is>
      </c>
      <c r="D94" s="33" t="n">
        <v>0</v>
      </c>
      <c r="E94" s="33" t="n">
        <v>0</v>
      </c>
      <c r="F94" s="33" t="n">
        <v>0</v>
      </c>
      <c r="G94" s="33" t="n">
        <v>0</v>
      </c>
      <c r="H94" s="146" t="n">
        <v>0</v>
      </c>
      <c r="I94" s="33" t="n">
        <v>0</v>
      </c>
      <c r="J94" s="33" t="n">
        <v>0</v>
      </c>
      <c r="K94" s="33" t="n">
        <v>0</v>
      </c>
      <c r="L94" s="33" t="n">
        <v>0</v>
      </c>
      <c r="M94" s="33" t="n">
        <v>0</v>
      </c>
      <c r="N94" s="16" t="n">
        <v>0</v>
      </c>
      <c r="O94" s="16" t="n">
        <v>0</v>
      </c>
      <c r="P94" s="16" t="n">
        <v>0</v>
      </c>
      <c r="Q94" s="16" t="n">
        <v>0</v>
      </c>
      <c r="AH94" s="19" t="inlineStr">
        <is>
          <t xml:space="preserve">       (3) 국ㆍ공채</t>
        </is>
      </c>
      <c r="AI94" s="848" t="n">
        <v>7322635719612</v>
      </c>
    </row>
    <row r="95">
      <c r="A95" s="697" t="n">
        <v>94</v>
      </c>
      <c r="B95" s="33" t="inlineStr">
        <is>
          <t xml:space="preserve">　　　　         가.주 식</t>
        </is>
      </c>
      <c r="D95" s="32" t="n">
        <v>142042965503</v>
      </c>
      <c r="E95" s="33" t="n">
        <v>0</v>
      </c>
      <c r="F95" s="33" t="n">
        <v>0</v>
      </c>
      <c r="G95" s="33" t="n">
        <v>0</v>
      </c>
      <c r="H95" s="145" t="n">
        <v>142042965503</v>
      </c>
      <c r="I95" s="33" t="n">
        <v>0</v>
      </c>
      <c r="J95" s="33" t="n">
        <v>0</v>
      </c>
      <c r="K95" s="33" t="n">
        <v>0</v>
      </c>
      <c r="L95" s="33" t="n">
        <v>0</v>
      </c>
      <c r="M95" s="32" t="n">
        <v>142042965503</v>
      </c>
      <c r="N95" s="16" t="n">
        <v>142042965503</v>
      </c>
      <c r="O95" s="16" t="n">
        <v>0</v>
      </c>
      <c r="P95" s="16" t="n">
        <v>0</v>
      </c>
      <c r="Q95" s="16" t="n">
        <v>0</v>
      </c>
      <c r="AH95" s="19" t="inlineStr">
        <is>
          <t xml:space="preserve">           1) 국 채 </t>
        </is>
      </c>
      <c r="AI95" s="848" t="n">
        <v>7322635719612</v>
      </c>
    </row>
    <row r="96">
      <c r="A96" s="697" t="n">
        <v>95</v>
      </c>
      <c r="B96" s="33" t="inlineStr">
        <is>
          <t xml:space="preserve">　　　　         나.출 자 금</t>
        </is>
      </c>
      <c r="D96" s="33" t="n">
        <v>0</v>
      </c>
      <c r="E96" s="33" t="n">
        <v>0</v>
      </c>
      <c r="F96" s="33" t="n">
        <v>0</v>
      </c>
      <c r="G96" s="33" t="n">
        <v>0</v>
      </c>
      <c r="H96" s="146" t="n">
        <v>0</v>
      </c>
      <c r="I96" s="33" t="n">
        <v>0</v>
      </c>
      <c r="J96" s="33" t="n">
        <v>0</v>
      </c>
      <c r="K96" s="33" t="n">
        <v>0</v>
      </c>
      <c r="L96" s="33" t="n">
        <v>0</v>
      </c>
      <c r="M96" s="33" t="n">
        <v>0</v>
      </c>
      <c r="N96" s="16" t="n">
        <v>0</v>
      </c>
      <c r="O96" s="16" t="n">
        <v>0</v>
      </c>
      <c r="P96" s="16" t="n">
        <v>0</v>
      </c>
      <c r="Q96" s="16" t="n">
        <v>0</v>
      </c>
      <c r="AH96" s="19" t="inlineStr">
        <is>
          <t xml:space="preserve">           2) 공 채 </t>
        </is>
      </c>
      <c r="AI96" s="848" t="n">
        <v>0</v>
      </c>
    </row>
    <row r="97">
      <c r="A97" s="697" t="n">
        <v>96</v>
      </c>
      <c r="B97" s="33" t="inlineStr">
        <is>
          <t xml:space="preserve">　　　　         다.기 타</t>
        </is>
      </c>
      <c r="D97" s="33" t="n">
        <v>0</v>
      </c>
      <c r="E97" s="33" t="n">
        <v>0</v>
      </c>
      <c r="F97" s="33" t="n">
        <v>0</v>
      </c>
      <c r="G97" s="33" t="n">
        <v>0</v>
      </c>
      <c r="H97" s="146" t="n">
        <v>0</v>
      </c>
      <c r="I97" s="33" t="n">
        <v>0</v>
      </c>
      <c r="J97" s="33" t="n">
        <v>0</v>
      </c>
      <c r="K97" s="33" t="n">
        <v>0</v>
      </c>
      <c r="L97" s="33" t="n">
        <v>0</v>
      </c>
      <c r="M97" s="33" t="n">
        <v>0</v>
      </c>
      <c r="N97" s="16" t="n">
        <v>0</v>
      </c>
      <c r="O97" s="16" t="n">
        <v>0</v>
      </c>
      <c r="P97" s="16" t="n">
        <v>0</v>
      </c>
      <c r="Q97" s="16" t="n">
        <v>0</v>
      </c>
      <c r="AH97" s="19" t="inlineStr">
        <is>
          <t xml:space="preserve">       (4) 특 수 채 </t>
        </is>
      </c>
      <c r="AI97" s="848" t="n">
        <v>2689859205480</v>
      </c>
    </row>
    <row r="98">
      <c r="A98" s="697" t="n">
        <v>97</v>
      </c>
      <c r="B98" s="33" t="inlineStr">
        <is>
          <t xml:space="preserve">　　     3.대 출 채 권</t>
        </is>
      </c>
      <c r="D98" s="32" t="n">
        <v>2158965156917</v>
      </c>
      <c r="E98" s="33" t="n">
        <v>0</v>
      </c>
      <c r="F98" s="32" t="n">
        <v>190800000000</v>
      </c>
      <c r="G98" s="33" t="n">
        <v>0</v>
      </c>
      <c r="H98" s="145" t="n">
        <v>1968165156917</v>
      </c>
      <c r="I98" s="33" t="n">
        <v>0</v>
      </c>
      <c r="J98" s="33" t="n">
        <v>0</v>
      </c>
      <c r="K98" s="33" t="n">
        <v>0</v>
      </c>
      <c r="L98" s="32" t="n">
        <v>123034103260</v>
      </c>
      <c r="M98" s="32" t="n">
        <v>1845131053657</v>
      </c>
      <c r="N98" s="16" t="n">
        <v>1845131053657</v>
      </c>
      <c r="O98" s="16" t="n">
        <v>190800000000</v>
      </c>
      <c r="P98" s="16" t="n">
        <v>123034103260</v>
      </c>
      <c r="Q98" s="16" t="n">
        <v>0</v>
      </c>
      <c r="R98" s="14" t="inlineStr">
        <is>
          <t>AC</t>
        </is>
      </c>
      <c r="AH98" s="19" t="inlineStr">
        <is>
          <t xml:space="preserve">       (5) 금 융 채 </t>
        </is>
      </c>
      <c r="AI98" s="848" t="n">
        <v>91234155097</v>
      </c>
    </row>
    <row r="99">
      <c r="A99" s="697" t="n">
        <v>98</v>
      </c>
      <c r="B99" s="33" t="inlineStr">
        <is>
          <t xml:space="preserve">　　　      [당기손익-공정가치측정대출채권]</t>
        </is>
      </c>
      <c r="D99" s="33" t="n">
        <v>0</v>
      </c>
      <c r="E99" s="33" t="n">
        <v>0</v>
      </c>
      <c r="F99" s="33" t="n">
        <v>0</v>
      </c>
      <c r="G99" s="33" t="n">
        <v>0</v>
      </c>
      <c r="H99" s="146" t="n">
        <v>0</v>
      </c>
      <c r="I99" s="33" t="n">
        <v>0</v>
      </c>
      <c r="J99" s="33" t="n">
        <v>0</v>
      </c>
      <c r="K99" s="33" t="n">
        <v>0</v>
      </c>
      <c r="L99" s="33" t="n">
        <v>0</v>
      </c>
      <c r="M99" s="33" t="n">
        <v>0</v>
      </c>
      <c r="N99" s="16" t="n">
        <v>0</v>
      </c>
      <c r="O99" s="16" t="n">
        <v>0</v>
      </c>
      <c r="P99" s="16" t="n">
        <v>0</v>
      </c>
      <c r="Q99" s="16" t="n">
        <v>0</v>
      </c>
      <c r="AH99" s="19" t="inlineStr">
        <is>
          <t xml:space="preserve">       (6) 회 사 채 </t>
        </is>
      </c>
      <c r="AI99" s="848" t="n">
        <v>417532318275</v>
      </c>
    </row>
    <row r="100">
      <c r="A100" s="697" t="n">
        <v>99</v>
      </c>
      <c r="B100" s="33" t="inlineStr">
        <is>
          <t xml:space="preserve">　　　      [기타포괄손익-공정가치측정대출채권]</t>
        </is>
      </c>
      <c r="D100" s="33" t="n">
        <v>0</v>
      </c>
      <c r="E100" s="33" t="n">
        <v>0</v>
      </c>
      <c r="F100" s="33" t="n">
        <v>0</v>
      </c>
      <c r="G100" s="33" t="n">
        <v>0</v>
      </c>
      <c r="H100" s="146" t="n">
        <v>0</v>
      </c>
      <c r="I100" s="33" t="n">
        <v>0</v>
      </c>
      <c r="J100" s="33" t="n">
        <v>0</v>
      </c>
      <c r="K100" s="33" t="n">
        <v>0</v>
      </c>
      <c r="L100" s="33" t="n">
        <v>0</v>
      </c>
      <c r="M100" s="33" t="n">
        <v>0</v>
      </c>
      <c r="N100" s="16" t="n">
        <v>0</v>
      </c>
      <c r="O100" s="16" t="n">
        <v>0</v>
      </c>
      <c r="P100" s="16" t="n">
        <v>0</v>
      </c>
      <c r="Q100" s="16" t="n">
        <v>0</v>
      </c>
      <c r="AH100" s="19" t="inlineStr">
        <is>
          <t xml:space="preserve">          1) 보증사채</t>
        </is>
      </c>
      <c r="AI100" s="848" t="n">
        <v>0</v>
      </c>
    </row>
    <row r="101">
      <c r="A101" s="697" t="n">
        <v>100</v>
      </c>
      <c r="B101" s="33" t="inlineStr">
        <is>
          <t xml:space="preserve">　　　      [상각후원가측정대출채권]</t>
        </is>
      </c>
      <c r="D101" s="33" t="n">
        <v>0</v>
      </c>
      <c r="E101" s="33" t="n">
        <v>0</v>
      </c>
      <c r="F101" s="33" t="n">
        <v>0</v>
      </c>
      <c r="G101" s="33" t="n">
        <v>0</v>
      </c>
      <c r="H101" s="146" t="n">
        <v>0</v>
      </c>
      <c r="I101" s="33" t="n">
        <v>0</v>
      </c>
      <c r="J101" s="33" t="n">
        <v>0</v>
      </c>
      <c r="K101" s="33" t="n">
        <v>0</v>
      </c>
      <c r="L101" s="33" t="n">
        <v>0</v>
      </c>
      <c r="M101" s="33" t="n">
        <v>0</v>
      </c>
      <c r="N101" s="16" t="n">
        <v>0</v>
      </c>
      <c r="O101" s="16" t="n">
        <v>0</v>
      </c>
      <c r="P101" s="16" t="n">
        <v>0</v>
      </c>
      <c r="Q101" s="16" t="n">
        <v>0</v>
      </c>
      <c r="AH101" s="19" t="inlineStr">
        <is>
          <t xml:space="preserve">          2) 무보증사채 </t>
        </is>
      </c>
      <c r="AI101" s="848" t="n">
        <v>417532318275</v>
      </c>
    </row>
    <row r="102">
      <c r="A102" s="697" t="n">
        <v>101</v>
      </c>
      <c r="B102" s="33" t="inlineStr">
        <is>
          <t xml:space="preserve">　　　      (현재가치할인차금)</t>
        </is>
      </c>
      <c r="D102" s="33" t="n">
        <v>0</v>
      </c>
      <c r="E102" s="33" t="n">
        <v>0</v>
      </c>
      <c r="F102" s="33" t="n">
        <v>0</v>
      </c>
      <c r="G102" s="33" t="n">
        <v>0</v>
      </c>
      <c r="H102" s="146" t="n">
        <v>0</v>
      </c>
      <c r="I102" s="33" t="n">
        <v>0</v>
      </c>
      <c r="J102" s="33" t="n">
        <v>0</v>
      </c>
      <c r="K102" s="33" t="n">
        <v>0</v>
      </c>
      <c r="L102" s="33" t="n">
        <v>0</v>
      </c>
      <c r="M102" s="33" t="n">
        <v>0</v>
      </c>
      <c r="N102" s="16" t="n">
        <v>0</v>
      </c>
      <c r="O102" s="16" t="n">
        <v>0</v>
      </c>
      <c r="P102" s="16" t="n">
        <v>0</v>
      </c>
      <c r="Q102" s="16" t="n">
        <v>0</v>
      </c>
      <c r="AH102" s="19" t="inlineStr">
        <is>
          <t xml:space="preserve">       (7) 수익증권</t>
        </is>
      </c>
      <c r="AI102" s="848" t="n">
        <v>0</v>
      </c>
    </row>
    <row r="103">
      <c r="A103" s="697" t="n">
        <v>102</v>
      </c>
      <c r="B103" s="33" t="inlineStr">
        <is>
          <t xml:space="preserve">　　　      (대손충당금)</t>
        </is>
      </c>
      <c r="D103" s="32" t="n">
        <v>-17520403098</v>
      </c>
      <c r="E103" s="33" t="n">
        <v>0</v>
      </c>
      <c r="F103" s="33" t="n">
        <v>0</v>
      </c>
      <c r="G103" s="33" t="n">
        <v>0</v>
      </c>
      <c r="H103" s="145" t="n">
        <v>-17520403098</v>
      </c>
      <c r="I103" s="33" t="n">
        <v>0</v>
      </c>
      <c r="J103" s="33" t="n">
        <v>0</v>
      </c>
      <c r="K103" s="33" t="n">
        <v>0</v>
      </c>
      <c r="L103" s="32" t="n">
        <v>-136259268</v>
      </c>
      <c r="M103" s="32" t="n">
        <v>-17384143830</v>
      </c>
      <c r="N103" s="16" t="n">
        <v>-17384143830</v>
      </c>
      <c r="O103" s="16" t="n">
        <v>0</v>
      </c>
      <c r="P103" s="16" t="n">
        <v>-136259268</v>
      </c>
      <c r="Q103" s="16" t="n">
        <v>0</v>
      </c>
      <c r="AH103" s="19" t="inlineStr">
        <is>
          <t xml:space="preserve">       (8) 외화유가증권</t>
        </is>
      </c>
      <c r="AI103" s="848" t="n">
        <v>1292807691628</v>
      </c>
    </row>
    <row r="104">
      <c r="A104" s="697" t="n">
        <v>103</v>
      </c>
      <c r="B104" s="33" t="inlineStr">
        <is>
          <t xml:space="preserve">　　　      (이연대출부대손익)</t>
        </is>
      </c>
      <c r="D104" s="32" t="n">
        <v>-1376951108</v>
      </c>
      <c r="E104" s="33" t="n">
        <v>0</v>
      </c>
      <c r="F104" s="33" t="n">
        <v>0</v>
      </c>
      <c r="G104" s="33" t="n">
        <v>0</v>
      </c>
      <c r="H104" s="145" t="n">
        <v>-1376951108</v>
      </c>
      <c r="I104" s="33" t="n">
        <v>0</v>
      </c>
      <c r="J104" s="33" t="n">
        <v>0</v>
      </c>
      <c r="K104" s="33" t="n">
        <v>0</v>
      </c>
      <c r="L104" s="32" t="n">
        <v>-118164519</v>
      </c>
      <c r="M104" s="32" t="n">
        <v>-1258786589</v>
      </c>
      <c r="N104" s="16" t="n">
        <v>-1258786589</v>
      </c>
      <c r="O104" s="16" t="n">
        <v>0</v>
      </c>
      <c r="P104" s="16" t="n">
        <v>-118164519</v>
      </c>
      <c r="Q104" s="16" t="n">
        <v>0</v>
      </c>
      <c r="AH104" s="19" t="inlineStr">
        <is>
          <t xml:space="preserve">          1) 주 식 </t>
        </is>
      </c>
      <c r="AI104" s="848" t="n">
        <v>0</v>
      </c>
    </row>
    <row r="105">
      <c r="A105" s="697" t="n">
        <v>104</v>
      </c>
      <c r="B105" s="33" t="inlineStr">
        <is>
          <t xml:space="preserve">　　　      가.콜론</t>
        </is>
      </c>
      <c r="D105" s="33" t="n">
        <v>0</v>
      </c>
      <c r="E105" s="33" t="n">
        <v>0</v>
      </c>
      <c r="F105" s="33" t="n">
        <v>0</v>
      </c>
      <c r="G105" s="33" t="n">
        <v>0</v>
      </c>
      <c r="H105" s="146" t="n">
        <v>0</v>
      </c>
      <c r="I105" s="33" t="n">
        <v>0</v>
      </c>
      <c r="J105" s="33" t="n">
        <v>0</v>
      </c>
      <c r="K105" s="33" t="n">
        <v>0</v>
      </c>
      <c r="L105" s="33" t="n">
        <v>0</v>
      </c>
      <c r="M105" s="33" t="n">
        <v>0</v>
      </c>
      <c r="N105" s="16" t="n">
        <v>0</v>
      </c>
      <c r="O105" s="16" t="n">
        <v>0</v>
      </c>
      <c r="P105" s="16" t="n">
        <v>0</v>
      </c>
      <c r="Q105" s="16" t="n">
        <v>0</v>
      </c>
      <c r="AH105" s="19" t="inlineStr">
        <is>
          <t xml:space="preserve">          2) 채 권 </t>
        </is>
      </c>
      <c r="AI105" s="848" t="n">
        <v>1292807691628</v>
      </c>
    </row>
    <row r="106">
      <c r="A106" s="697" t="n">
        <v>105</v>
      </c>
      <c r="B106" s="33" t="inlineStr">
        <is>
          <t xml:space="preserve">　　　      나.유가증권담보대출금</t>
        </is>
      </c>
      <c r="D106" s="33" t="n">
        <v>0</v>
      </c>
      <c r="E106" s="33" t="n">
        <v>0</v>
      </c>
      <c r="F106" s="33" t="n">
        <v>0</v>
      </c>
      <c r="G106" s="33" t="n">
        <v>0</v>
      </c>
      <c r="H106" s="146" t="n">
        <v>0</v>
      </c>
      <c r="I106" s="33" t="n">
        <v>0</v>
      </c>
      <c r="J106" s="33" t="n">
        <v>0</v>
      </c>
      <c r="K106" s="33" t="n">
        <v>0</v>
      </c>
      <c r="L106" s="33" t="n">
        <v>0</v>
      </c>
      <c r="M106" s="33" t="n">
        <v>0</v>
      </c>
      <c r="N106" s="16" t="n">
        <v>0</v>
      </c>
      <c r="O106" s="16" t="n">
        <v>0</v>
      </c>
      <c r="P106" s="16" t="n">
        <v>0</v>
      </c>
      <c r="Q106" s="16" t="n">
        <v>0</v>
      </c>
      <c r="AH106" s="19" t="inlineStr">
        <is>
          <t xml:space="preserve">          3) 수익증권</t>
        </is>
      </c>
      <c r="AI106" s="848" t="n">
        <v>0</v>
      </c>
    </row>
    <row r="107">
      <c r="A107" s="697" t="n">
        <v>106</v>
      </c>
      <c r="B107" s="33" t="inlineStr">
        <is>
          <t xml:space="preserve">　　　      다.부동산담보대출금</t>
        </is>
      </c>
      <c r="D107" s="32" t="n">
        <v>311921335545</v>
      </c>
      <c r="E107" s="33" t="n">
        <v>0</v>
      </c>
      <c r="F107" s="33" t="n">
        <v>0</v>
      </c>
      <c r="G107" s="33" t="n">
        <v>0</v>
      </c>
      <c r="H107" s="145" t="n">
        <v>311921335545</v>
      </c>
      <c r="I107" s="33" t="n">
        <v>0</v>
      </c>
      <c r="J107" s="33" t="n">
        <v>0</v>
      </c>
      <c r="K107" s="33" t="n">
        <v>0</v>
      </c>
      <c r="L107" s="32" t="n">
        <v>110000000000</v>
      </c>
      <c r="M107" s="32" t="n">
        <v>201921335545</v>
      </c>
      <c r="N107" s="16" t="n">
        <v>201921335545</v>
      </c>
      <c r="O107" s="16" t="n">
        <v>0</v>
      </c>
      <c r="P107" s="16" t="n">
        <v>110000000000</v>
      </c>
      <c r="Q107" s="16" t="n">
        <v>0</v>
      </c>
      <c r="AH107" s="19" t="inlineStr">
        <is>
          <t xml:space="preserve">          4) 신종유가증권</t>
        </is>
      </c>
      <c r="AI107" s="848" t="n">
        <v>0</v>
      </c>
    </row>
    <row r="108">
      <c r="A108" s="697" t="n">
        <v>107</v>
      </c>
      <c r="B108" s="33" t="inlineStr">
        <is>
          <t xml:space="preserve">　　　      라.신용대출금</t>
        </is>
      </c>
      <c r="D108" s="32" t="n">
        <v>426808634854</v>
      </c>
      <c r="E108" s="33" t="n">
        <v>0</v>
      </c>
      <c r="F108" s="33" t="n">
        <v>0</v>
      </c>
      <c r="G108" s="33" t="n">
        <v>0</v>
      </c>
      <c r="H108" s="145" t="n">
        <v>426808634854</v>
      </c>
      <c r="I108" s="33" t="n">
        <v>0</v>
      </c>
      <c r="J108" s="33" t="n">
        <v>0</v>
      </c>
      <c r="K108" s="33" t="n">
        <v>0</v>
      </c>
      <c r="L108" s="33" t="n">
        <v>0</v>
      </c>
      <c r="M108" s="32" t="n">
        <v>426808634854</v>
      </c>
      <c r="N108" s="16" t="n">
        <v>426808634854</v>
      </c>
      <c r="O108" s="16" t="n">
        <v>0</v>
      </c>
      <c r="P108" s="16" t="n">
        <v>0</v>
      </c>
      <c r="Q108" s="16" t="n">
        <v>0</v>
      </c>
      <c r="AH108" s="19" t="inlineStr">
        <is>
          <t xml:space="preserve">          5) 기타유가증권</t>
        </is>
      </c>
      <c r="AI108" s="848" t="n">
        <v>0</v>
      </c>
    </row>
    <row r="109">
      <c r="A109" s="697" t="n">
        <v>108</v>
      </c>
      <c r="B109" s="33" t="inlineStr">
        <is>
          <t xml:space="preserve">　　　      마.어음할인대출금</t>
        </is>
      </c>
      <c r="D109" s="33" t="n">
        <v>0</v>
      </c>
      <c r="E109" s="33" t="n">
        <v>0</v>
      </c>
      <c r="F109" s="33" t="n">
        <v>0</v>
      </c>
      <c r="G109" s="33" t="n">
        <v>0</v>
      </c>
      <c r="H109" s="146" t="n">
        <v>0</v>
      </c>
      <c r="I109" s="33" t="n">
        <v>0</v>
      </c>
      <c r="J109" s="33" t="n">
        <v>0</v>
      </c>
      <c r="K109" s="33" t="n">
        <v>0</v>
      </c>
      <c r="L109" s="33" t="n">
        <v>0</v>
      </c>
      <c r="M109" s="33" t="n">
        <v>0</v>
      </c>
      <c r="N109" s="16" t="n">
        <v>0</v>
      </c>
      <c r="O109" s="16" t="n">
        <v>0</v>
      </c>
      <c r="P109" s="16" t="n">
        <v>0</v>
      </c>
      <c r="Q109" s="16" t="n">
        <v>0</v>
      </c>
      <c r="AH109" s="19" t="inlineStr">
        <is>
          <t xml:space="preserve">       (9) 기타 유가증권</t>
        </is>
      </c>
      <c r="AI109" s="848" t="n">
        <v>0</v>
      </c>
    </row>
    <row r="110">
      <c r="A110" s="697" t="n">
        <v>109</v>
      </c>
      <c r="B110" s="33" t="inlineStr">
        <is>
          <t xml:space="preserve">　　　　       (1) 상업어음할인</t>
        </is>
      </c>
      <c r="D110" s="33" t="n">
        <v>0</v>
      </c>
      <c r="E110" s="33" t="n">
        <v>0</v>
      </c>
      <c r="F110" s="33" t="n">
        <v>0</v>
      </c>
      <c r="G110" s="33" t="n">
        <v>0</v>
      </c>
      <c r="H110" s="146" t="n">
        <v>0</v>
      </c>
      <c r="I110" s="33" t="n">
        <v>0</v>
      </c>
      <c r="J110" s="33" t="n">
        <v>0</v>
      </c>
      <c r="K110" s="33" t="n">
        <v>0</v>
      </c>
      <c r="L110" s="33" t="n">
        <v>0</v>
      </c>
      <c r="M110" s="33" t="n">
        <v>0</v>
      </c>
      <c r="N110" s="16" t="n">
        <v>0</v>
      </c>
      <c r="O110" s="16" t="n">
        <v>0</v>
      </c>
      <c r="P110" s="16" t="n">
        <v>0</v>
      </c>
      <c r="Q110" s="16" t="n">
        <v>0</v>
      </c>
      <c r="AH110" s="19" t="inlineStr">
        <is>
          <t xml:space="preserve">          1) 기업어음등 </t>
        </is>
      </c>
      <c r="AI110" s="848" t="n">
        <v>0</v>
      </c>
    </row>
    <row r="111">
      <c r="A111" s="697" t="n">
        <v>110</v>
      </c>
      <c r="B111" s="33" t="inlineStr">
        <is>
          <t xml:space="preserve">　　　　       (2) 무역어음할임</t>
        </is>
      </c>
      <c r="D111" s="33" t="n">
        <v>0</v>
      </c>
      <c r="E111" s="33" t="n">
        <v>0</v>
      </c>
      <c r="F111" s="33" t="n">
        <v>0</v>
      </c>
      <c r="G111" s="33" t="n">
        <v>0</v>
      </c>
      <c r="H111" s="146" t="n">
        <v>0</v>
      </c>
      <c r="I111" s="33" t="n">
        <v>0</v>
      </c>
      <c r="J111" s="33" t="n">
        <v>0</v>
      </c>
      <c r="K111" s="33" t="n">
        <v>0</v>
      </c>
      <c r="L111" s="33" t="n">
        <v>0</v>
      </c>
      <c r="M111" s="33" t="n">
        <v>0</v>
      </c>
      <c r="N111" s="16" t="n">
        <v>0</v>
      </c>
      <c r="O111" s="16" t="n">
        <v>0</v>
      </c>
      <c r="P111" s="16" t="n">
        <v>0</v>
      </c>
      <c r="Q111" s="16" t="n">
        <v>0</v>
      </c>
      <c r="AH111" s="19" t="inlineStr">
        <is>
          <t xml:space="preserve">     2.기타포괄손익-공정가치측정금융자산_대출채권 </t>
        </is>
      </c>
      <c r="AI111" s="848" t="n">
        <v>0</v>
      </c>
    </row>
    <row r="112">
      <c r="A112" s="697" t="n">
        <v>111</v>
      </c>
      <c r="B112" s="33" t="inlineStr">
        <is>
          <t xml:space="preserve">　　　　       (3) 기   타</t>
        </is>
      </c>
      <c r="D112" s="33" t="n">
        <v>0</v>
      </c>
      <c r="E112" s="33" t="n">
        <v>0</v>
      </c>
      <c r="F112" s="33" t="n">
        <v>0</v>
      </c>
      <c r="G112" s="33" t="n">
        <v>0</v>
      </c>
      <c r="H112" s="146" t="n">
        <v>0</v>
      </c>
      <c r="I112" s="33" t="n">
        <v>0</v>
      </c>
      <c r="J112" s="33" t="n">
        <v>0</v>
      </c>
      <c r="K112" s="33" t="n">
        <v>0</v>
      </c>
      <c r="L112" s="33" t="n">
        <v>0</v>
      </c>
      <c r="M112" s="33" t="n">
        <v>0</v>
      </c>
      <c r="N112" s="16" t="n">
        <v>0</v>
      </c>
      <c r="O112" s="16" t="n">
        <v>0</v>
      </c>
      <c r="P112" s="16" t="n">
        <v>0</v>
      </c>
      <c r="Q112" s="16" t="n">
        <v>0</v>
      </c>
      <c r="AH112" s="19" t="inlineStr">
        <is>
          <t xml:space="preserve">       (현재가치할인차금)</t>
        </is>
      </c>
      <c r="AI112" s="848" t="n">
        <v>0</v>
      </c>
    </row>
    <row r="113">
      <c r="A113" s="697" t="n">
        <v>112</v>
      </c>
      <c r="B113" s="33" t="inlineStr">
        <is>
          <t xml:space="preserve">　　　      바.지급보증대출금</t>
        </is>
      </c>
      <c r="D113" s="32" t="n">
        <v>304071811873</v>
      </c>
      <c r="E113" s="33" t="n">
        <v>0</v>
      </c>
      <c r="F113" s="33" t="n">
        <v>0</v>
      </c>
      <c r="G113" s="33" t="n">
        <v>0</v>
      </c>
      <c r="H113" s="145" t="n">
        <v>304071811873</v>
      </c>
      <c r="I113" s="33" t="n">
        <v>0</v>
      </c>
      <c r="J113" s="33" t="n">
        <v>0</v>
      </c>
      <c r="K113" s="33" t="n">
        <v>0</v>
      </c>
      <c r="L113" s="32" t="n">
        <v>13288527047</v>
      </c>
      <c r="M113" s="32" t="n">
        <v>290783284826</v>
      </c>
      <c r="N113" s="16" t="n">
        <v>290783284826</v>
      </c>
      <c r="O113" s="16" t="n">
        <v>0</v>
      </c>
      <c r="P113" s="16" t="n">
        <v>13288527047</v>
      </c>
      <c r="Q113" s="16" t="n">
        <v>0</v>
      </c>
      <c r="AH113" s="19" t="inlineStr">
        <is>
          <t xml:space="preserve">       (대 손 충 당 금)</t>
        </is>
      </c>
      <c r="AI113" s="848" t="n">
        <v>0</v>
      </c>
    </row>
    <row r="114">
      <c r="A114" s="697" t="n">
        <v>113</v>
      </c>
      <c r="B114" s="33" t="inlineStr">
        <is>
          <t xml:space="preserve">　　　      사.기타대출금</t>
        </is>
      </c>
      <c r="D114" s="32" t="n">
        <v>1135060728851</v>
      </c>
      <c r="E114" s="33" t="n">
        <v>0</v>
      </c>
      <c r="F114" s="32" t="n">
        <v>190800000000</v>
      </c>
      <c r="G114" s="33" t="n">
        <v>0</v>
      </c>
      <c r="H114" s="145" t="n">
        <v>944260728851</v>
      </c>
      <c r="I114" s="33" t="n">
        <v>0</v>
      </c>
      <c r="J114" s="33" t="n">
        <v>0</v>
      </c>
      <c r="K114" s="33" t="n">
        <v>0</v>
      </c>
      <c r="L114" s="33" t="n">
        <v>0</v>
      </c>
      <c r="M114" s="32" t="n">
        <v>944260728851</v>
      </c>
      <c r="N114" s="16" t="n">
        <v>944260728851</v>
      </c>
      <c r="O114" s="16" t="n">
        <v>190800000000</v>
      </c>
      <c r="P114" s="16" t="n">
        <v>0</v>
      </c>
      <c r="Q114" s="16" t="n">
        <v>0</v>
      </c>
      <c r="AH114" s="19" t="inlineStr">
        <is>
          <t xml:space="preserve">       (이연대출부대손익)</t>
        </is>
      </c>
      <c r="AI114" s="848" t="n">
        <v>0</v>
      </c>
    </row>
    <row r="115">
      <c r="A115" s="697" t="n">
        <v>114</v>
      </c>
      <c r="B115" s="33" t="inlineStr">
        <is>
          <t xml:space="preserve">　　　　       (1) 사모사채</t>
        </is>
      </c>
      <c r="D115" s="32" t="n">
        <v>65998221428</v>
      </c>
      <c r="E115" s="33" t="n">
        <v>0</v>
      </c>
      <c r="F115" s="33" t="n">
        <v>0</v>
      </c>
      <c r="G115" s="33" t="n">
        <v>0</v>
      </c>
      <c r="H115" s="145" t="n">
        <v>65998221428</v>
      </c>
      <c r="I115" s="33" t="n">
        <v>0</v>
      </c>
      <c r="J115" s="33" t="n">
        <v>0</v>
      </c>
      <c r="K115" s="33" t="n">
        <v>0</v>
      </c>
      <c r="L115" s="33" t="n">
        <v>0</v>
      </c>
      <c r="M115" s="32" t="n">
        <v>65998221428</v>
      </c>
      <c r="N115" s="16" t="n">
        <v>65998221428</v>
      </c>
      <c r="O115" s="16" t="n">
        <v>0</v>
      </c>
      <c r="P115" s="16" t="n">
        <v>0</v>
      </c>
      <c r="Q115" s="16" t="n">
        <v>0</v>
      </c>
      <c r="AH115" s="19" t="inlineStr">
        <is>
          <t xml:space="preserve">       (1) 콜   론 </t>
        </is>
      </c>
      <c r="AI115" s="848" t="n">
        <v>0</v>
      </c>
    </row>
    <row r="116">
      <c r="A116" s="697" t="n">
        <v>115</v>
      </c>
      <c r="B116" s="33" t="inlineStr">
        <is>
          <t xml:space="preserve">　　　　       (2) C P</t>
        </is>
      </c>
      <c r="D116" s="33" t="n">
        <v>0</v>
      </c>
      <c r="E116" s="33" t="n">
        <v>0</v>
      </c>
      <c r="F116" s="33" t="n">
        <v>0</v>
      </c>
      <c r="G116" s="33" t="n">
        <v>0</v>
      </c>
      <c r="H116" s="146" t="n">
        <v>0</v>
      </c>
      <c r="I116" s="33" t="n">
        <v>0</v>
      </c>
      <c r="J116" s="33" t="n">
        <v>0</v>
      </c>
      <c r="K116" s="33" t="n">
        <v>0</v>
      </c>
      <c r="L116" s="33" t="n">
        <v>0</v>
      </c>
      <c r="M116" s="33" t="n">
        <v>0</v>
      </c>
      <c r="N116" s="16" t="n">
        <v>0</v>
      </c>
      <c r="O116" s="16" t="n">
        <v>0</v>
      </c>
      <c r="P116" s="16" t="n">
        <v>0</v>
      </c>
      <c r="Q116" s="16" t="n">
        <v>0</v>
      </c>
      <c r="AH116" s="19" t="inlineStr">
        <is>
          <t xml:space="preserve">       (2) 유가증권담보대출금</t>
        </is>
      </c>
      <c r="AI116" s="848" t="n">
        <v>0</v>
      </c>
    </row>
    <row r="117">
      <c r="A117" s="697" t="n">
        <v>116</v>
      </c>
      <c r="B117" s="33" t="inlineStr">
        <is>
          <t xml:space="preserve">　　　　       (3) 투자계약 보험계약대출</t>
        </is>
      </c>
      <c r="D117" s="33" t="n">
        <v>0</v>
      </c>
      <c r="E117" s="33" t="n">
        <v>0</v>
      </c>
      <c r="F117" s="33" t="n">
        <v>0</v>
      </c>
      <c r="G117" s="33" t="n">
        <v>0</v>
      </c>
      <c r="H117" s="146" t="n">
        <v>0</v>
      </c>
      <c r="I117" s="33" t="n">
        <v>0</v>
      </c>
      <c r="J117" s="33" t="n">
        <v>0</v>
      </c>
      <c r="K117" s="33" t="n">
        <v>0</v>
      </c>
      <c r="L117" s="33" t="n">
        <v>0</v>
      </c>
      <c r="M117" s="33" t="n">
        <v>0</v>
      </c>
      <c r="N117" s="16" t="n">
        <v>0</v>
      </c>
      <c r="O117" s="16" t="n">
        <v>0</v>
      </c>
      <c r="P117" s="16" t="n">
        <v>0</v>
      </c>
      <c r="Q117" s="16" t="n">
        <v>0</v>
      </c>
      <c r="AH117" s="19" t="inlineStr">
        <is>
          <t xml:space="preserve">       (3) 수익증권담보대출금</t>
        </is>
      </c>
      <c r="AI117" s="848" t="n">
        <v>0</v>
      </c>
    </row>
    <row r="118">
      <c r="A118" s="697" t="n">
        <v>117</v>
      </c>
      <c r="B118" s="33" t="inlineStr">
        <is>
          <t xml:space="preserve">　　　　       (4) 기타</t>
        </is>
      </c>
      <c r="D118" s="32" t="n">
        <v>1069062507423</v>
      </c>
      <c r="E118" s="33" t="n">
        <v>0</v>
      </c>
      <c r="F118" s="32" t="n">
        <v>190800000000</v>
      </c>
      <c r="G118" s="33" t="n">
        <v>0</v>
      </c>
      <c r="H118" s="145" t="n">
        <v>878262507423</v>
      </c>
      <c r="I118" s="33" t="n">
        <v>0</v>
      </c>
      <c r="J118" s="33" t="n">
        <v>0</v>
      </c>
      <c r="K118" s="33" t="n">
        <v>0</v>
      </c>
      <c r="L118" s="33" t="n">
        <v>0</v>
      </c>
      <c r="M118" s="32" t="n">
        <v>878262507423</v>
      </c>
      <c r="N118" s="16" t="n">
        <v>878262507423</v>
      </c>
      <c r="O118" s="16" t="n">
        <v>190800000000</v>
      </c>
      <c r="P118" s="16" t="n">
        <v>0</v>
      </c>
      <c r="Q118" s="16" t="n">
        <v>0</v>
      </c>
      <c r="AH118" s="19" t="inlineStr">
        <is>
          <t xml:space="preserve">       (4) 부동산담보대출금</t>
        </is>
      </c>
      <c r="AI118" s="848" t="n">
        <v>0</v>
      </c>
    </row>
    <row r="119">
      <c r="A119" s="697" t="n">
        <v>118</v>
      </c>
      <c r="B119" s="33" t="inlineStr">
        <is>
          <t xml:space="preserve">　　     4.부 동 산</t>
        </is>
      </c>
      <c r="D119" s="32" t="n">
        <v>69213985926</v>
      </c>
      <c r="E119" s="33" t="n">
        <v>0</v>
      </c>
      <c r="F119" s="33" t="n">
        <v>0</v>
      </c>
      <c r="G119" s="33" t="n">
        <v>0</v>
      </c>
      <c r="H119" s="145" t="n">
        <v>69213985926</v>
      </c>
      <c r="I119" s="33" t="n">
        <v>0</v>
      </c>
      <c r="J119" s="33" t="n">
        <v>0</v>
      </c>
      <c r="K119" s="33" t="n">
        <v>0</v>
      </c>
      <c r="L119" s="33" t="n">
        <v>0</v>
      </c>
      <c r="M119" s="32" t="n">
        <v>69213985926</v>
      </c>
      <c r="N119" s="16" t="n">
        <v>69213985926</v>
      </c>
      <c r="O119" s="16" t="n">
        <v>0</v>
      </c>
      <c r="P119" s="16" t="n">
        <v>0</v>
      </c>
      <c r="Q119" s="16" t="n">
        <v>0</v>
      </c>
      <c r="AH119" s="19" t="inlineStr">
        <is>
          <t xml:space="preserve">       (5) 신용대출금</t>
        </is>
      </c>
      <c r="AI119" s="848" t="n">
        <v>0</v>
      </c>
    </row>
    <row r="120">
      <c r="A120" s="697" t="n">
        <v>119</v>
      </c>
      <c r="B120" s="33" t="inlineStr">
        <is>
          <t xml:space="preserve">　　　       (손상차손누계액)</t>
        </is>
      </c>
      <c r="D120" s="33" t="n">
        <v>0</v>
      </c>
      <c r="E120" s="33" t="n">
        <v>0</v>
      </c>
      <c r="F120" s="33" t="n">
        <v>0</v>
      </c>
      <c r="G120" s="33" t="n">
        <v>0</v>
      </c>
      <c r="H120" s="146" t="n">
        <v>0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16" t="n">
        <v>0</v>
      </c>
      <c r="O120" s="16" t="n">
        <v>0</v>
      </c>
      <c r="P120" s="16" t="n">
        <v>0</v>
      </c>
      <c r="Q120" s="16" t="n">
        <v>0</v>
      </c>
      <c r="AH120" s="19" t="inlineStr">
        <is>
          <t xml:space="preserve">       (6) 어음할인대출금</t>
        </is>
      </c>
      <c r="AI120" s="848" t="n">
        <v>0</v>
      </c>
    </row>
    <row r="121">
      <c r="A121" s="697" t="n">
        <v>120</v>
      </c>
      <c r="B121" s="33" t="inlineStr">
        <is>
          <t xml:space="preserve">　　　       [투자부동산]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146" t="n">
        <v>0</v>
      </c>
      <c r="I121" s="33" t="n">
        <v>0</v>
      </c>
      <c r="J121" s="33" t="n">
        <v>0</v>
      </c>
      <c r="K121" s="33" t="n">
        <v>0</v>
      </c>
      <c r="L121" s="33" t="n">
        <v>0</v>
      </c>
      <c r="M121" s="33" t="n">
        <v>0</v>
      </c>
      <c r="N121" s="16" t="n">
        <v>0</v>
      </c>
      <c r="O121" s="16" t="n">
        <v>0</v>
      </c>
      <c r="P121" s="16" t="n">
        <v>0</v>
      </c>
      <c r="Q121" s="16" t="n">
        <v>0</v>
      </c>
      <c r="AH121" s="19" t="inlineStr">
        <is>
          <t xml:space="preserve">       (7) 지급보증대출금</t>
        </is>
      </c>
      <c r="AI121" s="848" t="n">
        <v>0</v>
      </c>
    </row>
    <row r="122">
      <c r="A122" s="697" t="n">
        <v>121</v>
      </c>
      <c r="B122" s="33" t="inlineStr">
        <is>
          <t xml:space="preserve">　　　　        -투자부동산(토지)</t>
        </is>
      </c>
      <c r="D122" s="33" t="n">
        <v>0</v>
      </c>
      <c r="E122" s="33" t="n">
        <v>0</v>
      </c>
      <c r="F122" s="33" t="n">
        <v>0</v>
      </c>
      <c r="G122" s="33" t="n">
        <v>0</v>
      </c>
      <c r="H122" s="146" t="n">
        <v>0</v>
      </c>
      <c r="I122" s="33" t="n">
        <v>0</v>
      </c>
      <c r="J122" s="33" t="n">
        <v>0</v>
      </c>
      <c r="K122" s="33" t="n">
        <v>0</v>
      </c>
      <c r="L122" s="33" t="n">
        <v>0</v>
      </c>
      <c r="M122" s="33" t="n">
        <v>0</v>
      </c>
      <c r="N122" s="16" t="n">
        <v>0</v>
      </c>
      <c r="O122" s="16" t="n">
        <v>0</v>
      </c>
      <c r="P122" s="16" t="n">
        <v>0</v>
      </c>
      <c r="Q122" s="16" t="n">
        <v>0</v>
      </c>
      <c r="AH122" s="19" t="inlineStr">
        <is>
          <t xml:space="preserve">       (8) 기타대출금</t>
        </is>
      </c>
      <c r="AI122" s="848" t="n">
        <v>0</v>
      </c>
    </row>
    <row r="123">
      <c r="A123" s="697" t="n">
        <v>122</v>
      </c>
      <c r="B123" s="33" t="inlineStr">
        <is>
          <t xml:space="preserve">　　　　        -투자부동산(건물)</t>
        </is>
      </c>
      <c r="D123" s="33" t="n">
        <v>0</v>
      </c>
      <c r="E123" s="33" t="n">
        <v>0</v>
      </c>
      <c r="F123" s="33" t="n">
        <v>0</v>
      </c>
      <c r="G123" s="33" t="n">
        <v>0</v>
      </c>
      <c r="H123" s="146" t="n">
        <v>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0</v>
      </c>
      <c r="N123" s="16" t="n">
        <v>0</v>
      </c>
      <c r="O123" s="16" t="n">
        <v>0</v>
      </c>
      <c r="P123" s="16" t="n">
        <v>0</v>
      </c>
      <c r="Q123" s="16" t="n">
        <v>0</v>
      </c>
      <c r="AH123" s="19" t="inlineStr">
        <is>
          <t xml:space="preserve">          1) 주택보험대출 </t>
        </is>
      </c>
      <c r="AI123" s="848" t="n">
        <v>0</v>
      </c>
    </row>
    <row r="124">
      <c r="A124" s="697" t="n">
        <v>123</v>
      </c>
      <c r="B124" s="33" t="inlineStr">
        <is>
          <t xml:space="preserve">　　　　        -투자부동산(해외부동산)</t>
        </is>
      </c>
      <c r="D124" s="33" t="n">
        <v>0</v>
      </c>
      <c r="E124" s="33" t="n">
        <v>0</v>
      </c>
      <c r="F124" s="33" t="n">
        <v>0</v>
      </c>
      <c r="G124" s="33" t="n">
        <v>0</v>
      </c>
      <c r="H124" s="146" t="n">
        <v>0</v>
      </c>
      <c r="I124" s="33" t="n">
        <v>0</v>
      </c>
      <c r="J124" s="33" t="n">
        <v>0</v>
      </c>
      <c r="K124" s="33" t="n">
        <v>0</v>
      </c>
      <c r="L124" s="33" t="n">
        <v>0</v>
      </c>
      <c r="M124" s="33" t="n">
        <v>0</v>
      </c>
      <c r="N124" s="16" t="n">
        <v>0</v>
      </c>
      <c r="O124" s="16" t="n">
        <v>0</v>
      </c>
      <c r="P124" s="16" t="n">
        <v>0</v>
      </c>
      <c r="Q124" s="16" t="n">
        <v>0</v>
      </c>
      <c r="AH124" s="19" t="inlineStr">
        <is>
          <t xml:space="preserve">          2) 사모사채</t>
        </is>
      </c>
      <c r="AI124" s="848" t="n">
        <v>0</v>
      </c>
    </row>
    <row r="125">
      <c r="A125" s="697" t="n">
        <v>124</v>
      </c>
      <c r="B125" s="33" t="inlineStr">
        <is>
          <t xml:space="preserve">　　　　        -투자부동산(기타)</t>
        </is>
      </c>
      <c r="D125" s="33" t="n">
        <v>0</v>
      </c>
      <c r="E125" s="33" t="n">
        <v>0</v>
      </c>
      <c r="F125" s="33" t="n">
        <v>0</v>
      </c>
      <c r="G125" s="33" t="n">
        <v>0</v>
      </c>
      <c r="H125" s="146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16" t="n">
        <v>0</v>
      </c>
      <c r="O125" s="16" t="n">
        <v>0</v>
      </c>
      <c r="P125" s="16" t="n">
        <v>0</v>
      </c>
      <c r="Q125" s="16" t="n">
        <v>0</v>
      </c>
      <c r="AH125" s="19" t="inlineStr">
        <is>
          <t xml:space="preserve">          3) CP</t>
        </is>
      </c>
      <c r="AI125" s="848" t="n">
        <v>0</v>
      </c>
    </row>
    <row r="126">
      <c r="A126" s="697" t="n">
        <v>125</v>
      </c>
      <c r="B126" s="33" t="inlineStr">
        <is>
          <t xml:space="preserve">　　　       가.토  지</t>
        </is>
      </c>
      <c r="D126" s="32" t="n">
        <v>6787826704</v>
      </c>
      <c r="E126" s="33" t="n">
        <v>0</v>
      </c>
      <c r="F126" s="33" t="n">
        <v>0</v>
      </c>
      <c r="G126" s="33" t="n">
        <v>0</v>
      </c>
      <c r="H126" s="145" t="n">
        <v>6787826704</v>
      </c>
      <c r="I126" s="33" t="n">
        <v>0</v>
      </c>
      <c r="J126" s="33" t="n">
        <v>0</v>
      </c>
      <c r="K126" s="33" t="n">
        <v>0</v>
      </c>
      <c r="L126" s="33" t="n">
        <v>0</v>
      </c>
      <c r="M126" s="32" t="n">
        <v>6787826704</v>
      </c>
      <c r="N126" s="16" t="n">
        <v>6787826704</v>
      </c>
      <c r="O126" s="16" t="n">
        <v>0</v>
      </c>
      <c r="P126" s="16" t="n">
        <v>0</v>
      </c>
      <c r="Q126" s="16" t="n">
        <v>0</v>
      </c>
      <c r="AH126" s="19" t="inlineStr">
        <is>
          <t xml:space="preserve">          4) RP</t>
        </is>
      </c>
      <c r="AI126" s="848" t="n">
        <v>0</v>
      </c>
    </row>
    <row r="127">
      <c r="A127" s="697" t="n">
        <v>126</v>
      </c>
      <c r="B127" s="33" t="inlineStr">
        <is>
          <t xml:space="preserve">　　　       나.건  물</t>
        </is>
      </c>
      <c r="D127" s="32" t="n">
        <v>62426159222</v>
      </c>
      <c r="E127" s="33" t="n">
        <v>0</v>
      </c>
      <c r="F127" s="33" t="n">
        <v>0</v>
      </c>
      <c r="G127" s="33" t="n">
        <v>0</v>
      </c>
      <c r="H127" s="145" t="n">
        <v>62426159222</v>
      </c>
      <c r="I127" s="33" t="n">
        <v>0</v>
      </c>
      <c r="J127" s="33" t="n">
        <v>0</v>
      </c>
      <c r="K127" s="33" t="n">
        <v>0</v>
      </c>
      <c r="L127" s="33" t="n">
        <v>0</v>
      </c>
      <c r="M127" s="32" t="n">
        <v>62426159222</v>
      </c>
      <c r="N127" s="16" t="n">
        <v>62426159222</v>
      </c>
      <c r="O127" s="16" t="n">
        <v>0</v>
      </c>
      <c r="P127" s="16" t="n">
        <v>0</v>
      </c>
      <c r="Q127" s="16" t="n">
        <v>0</v>
      </c>
      <c r="AH127" s="19" t="inlineStr">
        <is>
          <t xml:space="preserve">          5) 기타</t>
        </is>
      </c>
      <c r="AI127" s="848" t="n">
        <v>0</v>
      </c>
    </row>
    <row r="128">
      <c r="A128" s="697" t="n">
        <v>127</v>
      </c>
      <c r="B128" s="33" t="inlineStr">
        <is>
          <t xml:space="preserve">　　　　          (감가상각누계액)</t>
        </is>
      </c>
      <c r="D128" s="32" t="n">
        <v>-9330712488</v>
      </c>
      <c r="E128" s="33" t="n">
        <v>0</v>
      </c>
      <c r="F128" s="33" t="n">
        <v>0</v>
      </c>
      <c r="G128" s="33" t="n">
        <v>0</v>
      </c>
      <c r="H128" s="145" t="n">
        <v>-9330712488</v>
      </c>
      <c r="I128" s="33" t="n">
        <v>0</v>
      </c>
      <c r="J128" s="33" t="n">
        <v>0</v>
      </c>
      <c r="K128" s="33" t="n">
        <v>0</v>
      </c>
      <c r="L128" s="33" t="n">
        <v>0</v>
      </c>
      <c r="M128" s="32" t="n">
        <v>-9330712488</v>
      </c>
      <c r="N128" s="16" t="n">
        <v>-9330712488</v>
      </c>
      <c r="O128" s="16" t="n">
        <v>0</v>
      </c>
      <c r="P128" s="16" t="n">
        <v>0</v>
      </c>
      <c r="Q128" s="16" t="n">
        <v>0</v>
      </c>
      <c r="AH128" s="19" t="inlineStr">
        <is>
          <t xml:space="preserve">  IV. 상각후원가측정 금융자산</t>
        </is>
      </c>
      <c r="AI128" s="848" t="n">
        <v>0</v>
      </c>
    </row>
    <row r="129">
      <c r="A129" s="697" t="n">
        <v>128</v>
      </c>
      <c r="B129" s="33" t="inlineStr">
        <is>
          <t xml:space="preserve">　　　       다.구 축 물</t>
        </is>
      </c>
      <c r="D129" s="33" t="n">
        <v>0</v>
      </c>
      <c r="E129" s="33" t="n">
        <v>0</v>
      </c>
      <c r="F129" s="33" t="n">
        <v>0</v>
      </c>
      <c r="G129" s="33" t="n">
        <v>0</v>
      </c>
      <c r="H129" s="146" t="n">
        <v>0</v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0</v>
      </c>
      <c r="N129" s="16" t="n">
        <v>0</v>
      </c>
      <c r="O129" s="16" t="n">
        <v>0</v>
      </c>
      <c r="P129" s="16" t="n">
        <v>0</v>
      </c>
      <c r="Q129" s="16" t="n">
        <v>0</v>
      </c>
      <c r="AH129" s="19" t="inlineStr">
        <is>
          <t xml:space="preserve">     1.상각후원가측정유가증권</t>
        </is>
      </c>
      <c r="AI129" s="848" t="n">
        <v>0</v>
      </c>
    </row>
    <row r="130">
      <c r="A130" s="697" t="n">
        <v>129</v>
      </c>
      <c r="B130" s="33" t="inlineStr">
        <is>
          <t xml:space="preserve">　　　　          (감가상각누계액)</t>
        </is>
      </c>
      <c r="D130" s="33" t="n">
        <v>0</v>
      </c>
      <c r="E130" s="33" t="n">
        <v>0</v>
      </c>
      <c r="F130" s="33" t="n">
        <v>0</v>
      </c>
      <c r="G130" s="33" t="n">
        <v>0</v>
      </c>
      <c r="H130" s="146" t="n">
        <v>0</v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0</v>
      </c>
      <c r="N130" s="16" t="n">
        <v>0</v>
      </c>
      <c r="O130" s="16" t="n">
        <v>0</v>
      </c>
      <c r="P130" s="16" t="n">
        <v>0</v>
      </c>
      <c r="Q130" s="16" t="n">
        <v>0</v>
      </c>
      <c r="AH130" s="19" t="inlineStr">
        <is>
          <t xml:space="preserve">       (대손충당금)</t>
        </is>
      </c>
      <c r="AI130" s="848" t="n">
        <v>0</v>
      </c>
    </row>
    <row r="131">
      <c r="A131" s="697" t="n">
        <v>130</v>
      </c>
      <c r="B131" s="33" t="inlineStr">
        <is>
          <t xml:space="preserve">　　　       라.해외부동산</t>
        </is>
      </c>
      <c r="D131" s="33" t="n">
        <v>0</v>
      </c>
      <c r="E131" s="33" t="n">
        <v>0</v>
      </c>
      <c r="F131" s="33" t="n">
        <v>0</v>
      </c>
      <c r="G131" s="33" t="n">
        <v>0</v>
      </c>
      <c r="H131" s="146" t="n">
        <v>0</v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0</v>
      </c>
      <c r="N131" s="16" t="n">
        <v>0</v>
      </c>
      <c r="O131" s="16" t="n">
        <v>0</v>
      </c>
      <c r="P131" s="16" t="n">
        <v>0</v>
      </c>
      <c r="Q131" s="16" t="n">
        <v>0</v>
      </c>
      <c r="AH131" s="19" t="inlineStr">
        <is>
          <t xml:space="preserve">       (1) 국·공채 </t>
        </is>
      </c>
      <c r="AI131" s="848" t="n">
        <v>0</v>
      </c>
    </row>
    <row r="132">
      <c r="A132" s="697" t="n">
        <v>131</v>
      </c>
      <c r="B132" s="33" t="inlineStr">
        <is>
          <t xml:space="preserve">　　　　          (감가상각누계액)</t>
        </is>
      </c>
      <c r="D132" s="33" t="n">
        <v>0</v>
      </c>
      <c r="E132" s="33" t="n">
        <v>0</v>
      </c>
      <c r="F132" s="33" t="n">
        <v>0</v>
      </c>
      <c r="G132" s="33" t="n">
        <v>0</v>
      </c>
      <c r="H132" s="146" t="n">
        <v>0</v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0</v>
      </c>
      <c r="N132" s="16" t="n">
        <v>0</v>
      </c>
      <c r="O132" s="16" t="n">
        <v>0</v>
      </c>
      <c r="P132" s="16" t="n">
        <v>0</v>
      </c>
      <c r="Q132" s="16" t="n">
        <v>0</v>
      </c>
      <c r="AH132" s="19" t="inlineStr">
        <is>
          <t xml:space="preserve">           1) 국 채 </t>
        </is>
      </c>
      <c r="AI132" s="848" t="n">
        <v>0</v>
      </c>
    </row>
    <row r="133">
      <c r="A133" s="697" t="n">
        <v>132</v>
      </c>
      <c r="B133" s="33" t="inlineStr">
        <is>
          <t xml:space="preserve">　　　　          (1) 토 지</t>
        </is>
      </c>
      <c r="D133" s="33" t="n">
        <v>0</v>
      </c>
      <c r="E133" s="33" t="n">
        <v>0</v>
      </c>
      <c r="F133" s="33" t="n">
        <v>0</v>
      </c>
      <c r="G133" s="33" t="n">
        <v>0</v>
      </c>
      <c r="H133" s="146" t="n">
        <v>0</v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0</v>
      </c>
      <c r="N133" s="16" t="n">
        <v>0</v>
      </c>
      <c r="O133" s="16" t="n">
        <v>0</v>
      </c>
      <c r="P133" s="16" t="n">
        <v>0</v>
      </c>
      <c r="Q133" s="16" t="n">
        <v>0</v>
      </c>
      <c r="AH133" s="19" t="inlineStr">
        <is>
          <t xml:space="preserve">           2) 공 채 </t>
        </is>
      </c>
      <c r="AI133" s="848" t="n">
        <v>0</v>
      </c>
    </row>
    <row r="134">
      <c r="A134" s="697" t="n">
        <v>133</v>
      </c>
      <c r="B134" s="33" t="inlineStr">
        <is>
          <t xml:space="preserve">　　　　          (2) 건 물</t>
        </is>
      </c>
      <c r="D134" s="33" t="n">
        <v>0</v>
      </c>
      <c r="E134" s="33" t="n">
        <v>0</v>
      </c>
      <c r="F134" s="33" t="n">
        <v>0</v>
      </c>
      <c r="G134" s="33" t="n">
        <v>0</v>
      </c>
      <c r="H134" s="146" t="n">
        <v>0</v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0</v>
      </c>
      <c r="N134" s="16" t="n">
        <v>0</v>
      </c>
      <c r="O134" s="16" t="n">
        <v>0</v>
      </c>
      <c r="P134" s="16" t="n">
        <v>0</v>
      </c>
      <c r="Q134" s="16" t="n">
        <v>0</v>
      </c>
      <c r="AH134" s="19" t="inlineStr">
        <is>
          <t xml:space="preserve">       (2) 특 수 채 </t>
        </is>
      </c>
      <c r="AI134" s="848" t="n">
        <v>0</v>
      </c>
    </row>
    <row r="135">
      <c r="A135" s="697" t="n">
        <v>134</v>
      </c>
      <c r="B135" s="33" t="inlineStr">
        <is>
          <t xml:space="preserve">　　　　          (3) 구 축 물</t>
        </is>
      </c>
      <c r="D135" s="33" t="n">
        <v>0</v>
      </c>
      <c r="E135" s="33" t="n">
        <v>0</v>
      </c>
      <c r="F135" s="33" t="n">
        <v>0</v>
      </c>
      <c r="G135" s="33" t="n">
        <v>0</v>
      </c>
      <c r="H135" s="146" t="n">
        <v>0</v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0</v>
      </c>
      <c r="N135" s="16" t="n">
        <v>0</v>
      </c>
      <c r="O135" s="16" t="n">
        <v>0</v>
      </c>
      <c r="P135" s="16" t="n">
        <v>0</v>
      </c>
      <c r="Q135" s="16" t="n">
        <v>0</v>
      </c>
      <c r="AH135" s="19" t="inlineStr">
        <is>
          <t xml:space="preserve">       (3) 금 융 채 </t>
        </is>
      </c>
      <c r="AI135" s="848" t="n">
        <v>0</v>
      </c>
    </row>
    <row r="136">
      <c r="A136" s="697" t="n">
        <v>135</v>
      </c>
      <c r="B136" s="33" t="inlineStr">
        <is>
          <t xml:space="preserve">　　　　          (4) 건설중인자산</t>
        </is>
      </c>
      <c r="D136" s="33" t="n">
        <v>0</v>
      </c>
      <c r="E136" s="33" t="n">
        <v>0</v>
      </c>
      <c r="F136" s="33" t="n">
        <v>0</v>
      </c>
      <c r="G136" s="33" t="n">
        <v>0</v>
      </c>
      <c r="H136" s="146" t="n">
        <v>0</v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0</v>
      </c>
      <c r="N136" s="16" t="n">
        <v>0</v>
      </c>
      <c r="O136" s="16" t="n">
        <v>0</v>
      </c>
      <c r="P136" s="16" t="n">
        <v>0</v>
      </c>
      <c r="Q136" s="16" t="n">
        <v>0</v>
      </c>
      <c r="AH136" s="19" t="inlineStr">
        <is>
          <t xml:space="preserve">       (4) 회 사 채 </t>
        </is>
      </c>
      <c r="AI136" s="848" t="n">
        <v>0</v>
      </c>
    </row>
    <row r="137">
      <c r="A137" s="697" t="n">
        <v>136</v>
      </c>
      <c r="B137" s="33" t="inlineStr">
        <is>
          <t xml:space="preserve">　　　       마.건설중인자산</t>
        </is>
      </c>
      <c r="D137" s="33" t="n">
        <v>0</v>
      </c>
      <c r="E137" s="33" t="n">
        <v>0</v>
      </c>
      <c r="F137" s="33" t="n">
        <v>0</v>
      </c>
      <c r="G137" s="33" t="n">
        <v>0</v>
      </c>
      <c r="H137" s="146" t="n">
        <v>0</v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0</v>
      </c>
      <c r="N137" s="16" t="n">
        <v>0</v>
      </c>
      <c r="O137" s="16" t="n">
        <v>0</v>
      </c>
      <c r="P137" s="16" t="n">
        <v>0</v>
      </c>
      <c r="Q137" s="16" t="n">
        <v>0</v>
      </c>
      <c r="AH137" s="19" t="inlineStr">
        <is>
          <t xml:space="preserve">           1) 보증사채</t>
        </is>
      </c>
      <c r="AI137" s="848" t="n">
        <v>0</v>
      </c>
    </row>
    <row r="138">
      <c r="A138" s="697" t="n">
        <v>137</v>
      </c>
      <c r="B138" s="33" t="inlineStr">
        <is>
          <t xml:space="preserve">　　　       바.기타부동산</t>
        </is>
      </c>
      <c r="D138" s="33" t="n">
        <v>0</v>
      </c>
      <c r="E138" s="33" t="n">
        <v>0</v>
      </c>
      <c r="F138" s="33" t="n">
        <v>0</v>
      </c>
      <c r="G138" s="33" t="n">
        <v>0</v>
      </c>
      <c r="H138" s="146" t="n">
        <v>0</v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0</v>
      </c>
      <c r="N138" s="16" t="n">
        <v>0</v>
      </c>
      <c r="O138" s="16" t="n">
        <v>0</v>
      </c>
      <c r="P138" s="16" t="n">
        <v>0</v>
      </c>
      <c r="Q138" s="16" t="n">
        <v>0</v>
      </c>
      <c r="AH138" s="19" t="inlineStr">
        <is>
          <t xml:space="preserve">           2) 무보증사채 </t>
        </is>
      </c>
      <c r="AI138" s="848" t="n">
        <v>0</v>
      </c>
    </row>
    <row r="139">
      <c r="A139" s="697" t="n">
        <v>138</v>
      </c>
      <c r="B139" s="33" t="inlineStr">
        <is>
          <t xml:space="preserve">　　　　          (감가상각누계액)</t>
        </is>
      </c>
      <c r="D139" s="33" t="n">
        <v>0</v>
      </c>
      <c r="E139" s="33" t="n">
        <v>0</v>
      </c>
      <c r="F139" s="33" t="n">
        <v>0</v>
      </c>
      <c r="G139" s="33" t="n">
        <v>0</v>
      </c>
      <c r="H139" s="146" t="n">
        <v>0</v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0</v>
      </c>
      <c r="N139" s="16" t="n">
        <v>0</v>
      </c>
      <c r="O139" s="16" t="n">
        <v>0</v>
      </c>
      <c r="P139" s="16" t="n">
        <v>0</v>
      </c>
      <c r="Q139" s="16" t="n">
        <v>0</v>
      </c>
      <c r="AH139" s="19" t="inlineStr">
        <is>
          <t xml:space="preserve">       (5) 수익증권</t>
        </is>
      </c>
      <c r="AI139" s="848" t="n">
        <v>0</v>
      </c>
    </row>
    <row r="140">
      <c r="A140" s="697" t="n">
        <v>139</v>
      </c>
      <c r="B140" s="33" t="inlineStr">
        <is>
          <t xml:space="preserve">　  Ⅱ.비 운 용 자 산</t>
        </is>
      </c>
      <c r="D140" s="32" t="n">
        <v>859421544462</v>
      </c>
      <c r="E140" s="32" t="n">
        <v>192544754825</v>
      </c>
      <c r="F140" s="32" t="n">
        <v>216733551153</v>
      </c>
      <c r="G140" s="32" t="n">
        <v>8370203853</v>
      </c>
      <c r="H140" s="145" t="n">
        <v>826862544281</v>
      </c>
      <c r="I140" s="32" t="n">
        <v>37007337563</v>
      </c>
      <c r="J140" s="32" t="n">
        <v>1310293390</v>
      </c>
      <c r="K140" s="32" t="n">
        <v>13484623</v>
      </c>
      <c r="L140" s="32" t="n">
        <v>74572394053</v>
      </c>
      <c r="M140" s="32" t="n">
        <v>713959034652</v>
      </c>
      <c r="N140" s="16" t="n">
        <v>752276665605</v>
      </c>
      <c r="O140" s="16" t="n">
        <v>216733551153</v>
      </c>
      <c r="P140" s="16" t="n">
        <v>74585878676</v>
      </c>
      <c r="Q140" s="16" t="n">
        <v>8370203853</v>
      </c>
      <c r="AH140" s="19" t="inlineStr">
        <is>
          <t xml:space="preserve">       (6) 외화 유가증권</t>
        </is>
      </c>
      <c r="AI140" s="848" t="n">
        <v>0</v>
      </c>
    </row>
    <row r="141">
      <c r="A141" s="697" t="n">
        <v>140</v>
      </c>
      <c r="B141" s="33" t="inlineStr">
        <is>
          <t xml:space="preserve">　　     1.보험계약자산</t>
        </is>
      </c>
      <c r="D141" s="33" t="n">
        <v>0</v>
      </c>
      <c r="E141" s="33" t="n">
        <v>0</v>
      </c>
      <c r="F141" s="33" t="n">
        <v>0</v>
      </c>
      <c r="G141" s="33" t="n">
        <v>0</v>
      </c>
      <c r="H141" s="146" t="n">
        <v>0</v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0</v>
      </c>
      <c r="N141" s="16" t="n">
        <v>0</v>
      </c>
      <c r="O141" s="16" t="n">
        <v>0</v>
      </c>
      <c r="P141" s="16" t="n">
        <v>0</v>
      </c>
      <c r="Q141" s="16" t="n">
        <v>0</v>
      </c>
      <c r="AH141" s="19" t="inlineStr">
        <is>
          <t xml:space="preserve">           1) 주 식 </t>
        </is>
      </c>
      <c r="AI141" s="848" t="n">
        <v>0</v>
      </c>
    </row>
    <row r="142">
      <c r="A142" s="697" t="n">
        <v>141</v>
      </c>
      <c r="B142" s="33" t="inlineStr">
        <is>
          <t xml:space="preserve">　　　       가.잔여보장요소</t>
        </is>
      </c>
      <c r="D142" s="33" t="n">
        <v>0</v>
      </c>
      <c r="E142" s="33" t="n">
        <v>0</v>
      </c>
      <c r="F142" s="33" t="n">
        <v>0</v>
      </c>
      <c r="G142" s="33" t="n">
        <v>0</v>
      </c>
      <c r="H142" s="146" t="n">
        <v>0</v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0</v>
      </c>
      <c r="N142" s="16" t="n">
        <v>0</v>
      </c>
      <c r="O142" s="16" t="n">
        <v>0</v>
      </c>
      <c r="P142" s="16" t="n">
        <v>0</v>
      </c>
      <c r="Q142" s="16" t="n">
        <v>0</v>
      </c>
      <c r="AH142" s="19" t="inlineStr">
        <is>
          <t xml:space="preserve">           2) 채 권 </t>
        </is>
      </c>
      <c r="AI142" s="848" t="n">
        <v>0</v>
      </c>
    </row>
    <row r="143">
      <c r="A143" s="697" t="n">
        <v>142</v>
      </c>
      <c r="B143" s="33" t="inlineStr">
        <is>
          <t xml:space="preserve">　　　　        (1) 최선추정</t>
        </is>
      </c>
      <c r="D143" s="33" t="n">
        <v>0</v>
      </c>
      <c r="E143" s="33" t="n">
        <v>0</v>
      </c>
      <c r="F143" s="33" t="n">
        <v>0</v>
      </c>
      <c r="G143" s="33" t="n">
        <v>0</v>
      </c>
      <c r="H143" s="146" t="n">
        <v>0</v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0</v>
      </c>
      <c r="N143" s="16" t="n">
        <v>0</v>
      </c>
      <c r="O143" s="16" t="n">
        <v>0</v>
      </c>
      <c r="P143" s="16" t="n">
        <v>0</v>
      </c>
      <c r="Q143" s="16" t="n">
        <v>0</v>
      </c>
      <c r="AH143" s="19" t="inlineStr">
        <is>
          <t xml:space="preserve">           3) 수익증권</t>
        </is>
      </c>
      <c r="AI143" s="848" t="n">
        <v>0</v>
      </c>
    </row>
    <row r="144">
      <c r="A144" s="697" t="n">
        <v>143</v>
      </c>
      <c r="B144" s="33" t="inlineStr">
        <is>
          <t xml:space="preserve">　　　　        (2) 위험조정</t>
        </is>
      </c>
      <c r="D144" s="33" t="n">
        <v>0</v>
      </c>
      <c r="E144" s="33" t="n">
        <v>0</v>
      </c>
      <c r="F144" s="33" t="n">
        <v>0</v>
      </c>
      <c r="G144" s="33" t="n">
        <v>0</v>
      </c>
      <c r="H144" s="146" t="n">
        <v>0</v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0</v>
      </c>
      <c r="N144" s="16" t="n">
        <v>0</v>
      </c>
      <c r="O144" s="16" t="n">
        <v>0</v>
      </c>
      <c r="P144" s="16" t="n">
        <v>0</v>
      </c>
      <c r="Q144" s="16" t="n">
        <v>0</v>
      </c>
      <c r="AH144" s="19" t="inlineStr">
        <is>
          <t xml:space="preserve">           4) 신종유가증권</t>
        </is>
      </c>
      <c r="AI144" s="848" t="n">
        <v>0</v>
      </c>
    </row>
    <row r="145">
      <c r="A145" s="697" t="n">
        <v>144</v>
      </c>
      <c r="B145" s="33" t="inlineStr">
        <is>
          <t xml:space="preserve">　　　　        (3) 보험계약마진</t>
        </is>
      </c>
      <c r="D145" s="33" t="n">
        <v>0</v>
      </c>
      <c r="E145" s="33" t="n">
        <v>0</v>
      </c>
      <c r="F145" s="33" t="n">
        <v>0</v>
      </c>
      <c r="G145" s="33" t="n">
        <v>0</v>
      </c>
      <c r="H145" s="146" t="n">
        <v>0</v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0</v>
      </c>
      <c r="N145" s="16" t="n">
        <v>0</v>
      </c>
      <c r="O145" s="16" t="n">
        <v>0</v>
      </c>
      <c r="P145" s="16" t="n">
        <v>0</v>
      </c>
      <c r="Q145" s="16" t="n">
        <v>0</v>
      </c>
      <c r="AH145" s="19" t="inlineStr">
        <is>
          <t xml:space="preserve">           5) 기타유가증권</t>
        </is>
      </c>
      <c r="AI145" s="848" t="n">
        <v>0</v>
      </c>
    </row>
    <row r="146">
      <c r="A146" s="697" t="n">
        <v>145</v>
      </c>
      <c r="B146" s="33" t="inlineStr">
        <is>
          <t xml:space="preserve">　　　　        (4) 보험료배분접근법적용</t>
        </is>
      </c>
      <c r="D146" s="33" t="n">
        <v>0</v>
      </c>
      <c r="E146" s="33" t="n">
        <v>0</v>
      </c>
      <c r="F146" s="33" t="n">
        <v>0</v>
      </c>
      <c r="G146" s="33" t="n">
        <v>0</v>
      </c>
      <c r="H146" s="146" t="n">
        <v>0</v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0</v>
      </c>
      <c r="N146" s="16" t="n">
        <v>0</v>
      </c>
      <c r="O146" s="16" t="n">
        <v>0</v>
      </c>
      <c r="P146" s="16" t="n">
        <v>0</v>
      </c>
      <c r="Q146" s="16" t="n">
        <v>0</v>
      </c>
      <c r="AH146" s="19" t="inlineStr">
        <is>
          <t xml:space="preserve">       (7) 기타 유가증권</t>
        </is>
      </c>
      <c r="AI146" s="848" t="n">
        <v>0</v>
      </c>
    </row>
    <row r="147">
      <c r="A147" s="697" t="n">
        <v>146</v>
      </c>
      <c r="B147" s="33" t="inlineStr">
        <is>
          <t xml:space="preserve">　　　       나.발생사고요소</t>
        </is>
      </c>
      <c r="D147" s="33" t="n">
        <v>0</v>
      </c>
      <c r="E147" s="33" t="n">
        <v>0</v>
      </c>
      <c r="F147" s="33" t="n">
        <v>0</v>
      </c>
      <c r="G147" s="33" t="n">
        <v>0</v>
      </c>
      <c r="H147" s="146" t="n">
        <v>0</v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0</v>
      </c>
      <c r="N147" s="16" t="n">
        <v>0</v>
      </c>
      <c r="O147" s="16" t="n">
        <v>0</v>
      </c>
      <c r="P147" s="16" t="n">
        <v>0</v>
      </c>
      <c r="Q147" s="16" t="n">
        <v>0</v>
      </c>
      <c r="AH147" s="19" t="inlineStr">
        <is>
          <t xml:space="preserve">  V. 상각후원가측정 대여금및수취채권 </t>
        </is>
      </c>
      <c r="AI147" s="847" t="n">
        <v>3420351209938</v>
      </c>
    </row>
    <row r="148">
      <c r="A148" s="697" t="n">
        <v>147</v>
      </c>
      <c r="B148" s="33" t="inlineStr">
        <is>
          <t xml:space="preserve">　　　　        (1) 최선추정</t>
        </is>
      </c>
      <c r="D148" s="33" t="n">
        <v>0</v>
      </c>
      <c r="E148" s="33" t="n">
        <v>0</v>
      </c>
      <c r="F148" s="33" t="n">
        <v>0</v>
      </c>
      <c r="G148" s="33" t="n">
        <v>0</v>
      </c>
      <c r="H148" s="146" t="n">
        <v>0</v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AH148" s="19" t="inlineStr">
        <is>
          <t xml:space="preserve">     1.대출채권 </t>
        </is>
      </c>
      <c r="AI148" s="848" t="n">
        <v>2711366577135</v>
      </c>
    </row>
    <row r="149">
      <c r="A149" s="697" t="n">
        <v>148</v>
      </c>
      <c r="B149" s="33" t="inlineStr">
        <is>
          <t xml:space="preserve">　　　　        (2) 위험조정</t>
        </is>
      </c>
      <c r="D149" s="33" t="n">
        <v>0</v>
      </c>
      <c r="E149" s="33" t="n">
        <v>0</v>
      </c>
      <c r="F149" s="33" t="n">
        <v>0</v>
      </c>
      <c r="G149" s="33" t="n">
        <v>0</v>
      </c>
      <c r="H149" s="146" t="n">
        <v>0</v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16" t="n">
        <v>0</v>
      </c>
      <c r="O149" s="16" t="n">
        <v>0</v>
      </c>
      <c r="P149" s="16" t="n">
        <v>0</v>
      </c>
      <c r="Q149" s="16" t="n">
        <v>0</v>
      </c>
      <c r="AH149" s="19" t="inlineStr">
        <is>
          <t xml:space="preserve">       (현재가치할인차금)</t>
        </is>
      </c>
      <c r="AI149" s="848" t="n">
        <v>-1537792</v>
      </c>
    </row>
    <row r="150">
      <c r="A150" s="697" t="n">
        <v>149</v>
      </c>
      <c r="B150" s="33" t="inlineStr">
        <is>
          <t xml:space="preserve">　　　       다.사전인식 보험취득현금흐름</t>
        </is>
      </c>
      <c r="D150" s="33" t="n">
        <v>0</v>
      </c>
      <c r="E150" s="33" t="n">
        <v>0</v>
      </c>
      <c r="F150" s="33" t="n">
        <v>0</v>
      </c>
      <c r="G150" s="33" t="n">
        <v>0</v>
      </c>
      <c r="H150" s="146" t="n">
        <v>0</v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16" t="n">
        <v>0</v>
      </c>
      <c r="O150" s="16" t="n">
        <v>0</v>
      </c>
      <c r="P150" s="16" t="n">
        <v>0</v>
      </c>
      <c r="Q150" s="16" t="n">
        <v>0</v>
      </c>
      <c r="AH150" s="19" t="inlineStr">
        <is>
          <t xml:space="preserve">       (대 손 충 당 금)</t>
        </is>
      </c>
      <c r="AI150" s="848" t="n">
        <v>-15797604448</v>
      </c>
    </row>
    <row r="151">
      <c r="A151" s="697" t="n">
        <v>150</v>
      </c>
      <c r="B151" s="33" t="inlineStr">
        <is>
          <t xml:space="preserve">　　　　           (손상차손누계액)</t>
        </is>
      </c>
      <c r="D151" s="33" t="n">
        <v>0</v>
      </c>
      <c r="E151" s="33" t="n">
        <v>0</v>
      </c>
      <c r="F151" s="33" t="n">
        <v>0</v>
      </c>
      <c r="G151" s="33" t="n">
        <v>0</v>
      </c>
      <c r="H151" s="146" t="n">
        <v>0</v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16" t="n">
        <v>0</v>
      </c>
      <c r="O151" s="16" t="n">
        <v>0</v>
      </c>
      <c r="P151" s="16" t="n">
        <v>0</v>
      </c>
      <c r="Q151" s="16" t="n">
        <v>0</v>
      </c>
      <c r="AH151" s="19" t="inlineStr">
        <is>
          <t xml:space="preserve">       (이연대출부대손익)</t>
        </is>
      </c>
      <c r="AI151" s="848" t="n">
        <v>-2063073293</v>
      </c>
    </row>
    <row r="152">
      <c r="A152" s="697" t="n">
        <v>151</v>
      </c>
      <c r="B152" s="33" t="inlineStr">
        <is>
          <t xml:space="preserve">　　     2.재보험계약자산</t>
        </is>
      </c>
      <c r="D152" s="32" t="n">
        <v>37355226946</v>
      </c>
      <c r="E152" s="33" t="n">
        <v>0</v>
      </c>
      <c r="F152" s="33" t="n">
        <v>0</v>
      </c>
      <c r="G152" s="33" t="n">
        <v>0</v>
      </c>
      <c r="H152" s="145" t="n">
        <v>37355226946</v>
      </c>
      <c r="I152" s="33" t="n">
        <v>0</v>
      </c>
      <c r="J152" s="33" t="n">
        <v>0</v>
      </c>
      <c r="K152" s="33" t="n">
        <v>0</v>
      </c>
      <c r="L152" s="33" t="n">
        <v>0</v>
      </c>
      <c r="M152" s="32" t="n">
        <v>37355226946</v>
      </c>
      <c r="N152" s="16" t="n">
        <v>37355226946</v>
      </c>
      <c r="O152" s="16" t="n">
        <v>0</v>
      </c>
      <c r="P152" s="16" t="n">
        <v>0</v>
      </c>
      <c r="Q152" s="16" t="n">
        <v>0</v>
      </c>
      <c r="AH152" s="19" t="inlineStr">
        <is>
          <t xml:space="preserve">       (1) 콜   론 </t>
        </is>
      </c>
      <c r="AI152" s="848" t="n">
        <v>0</v>
      </c>
    </row>
    <row r="153">
      <c r="A153" s="697" t="n">
        <v>152</v>
      </c>
      <c r="B153" s="33" t="inlineStr">
        <is>
          <t xml:space="preserve">　　　       가.잔여보장요소</t>
        </is>
      </c>
      <c r="D153" s="32" t="n">
        <v>-28204481519</v>
      </c>
      <c r="E153" s="33" t="n">
        <v>0</v>
      </c>
      <c r="F153" s="33" t="n">
        <v>0</v>
      </c>
      <c r="G153" s="33" t="n">
        <v>0</v>
      </c>
      <c r="H153" s="145" t="n">
        <v>-28204481519</v>
      </c>
      <c r="I153" s="33" t="n">
        <v>0</v>
      </c>
      <c r="J153" s="33" t="n">
        <v>0</v>
      </c>
      <c r="K153" s="33" t="n">
        <v>0</v>
      </c>
      <c r="L153" s="33" t="n">
        <v>0</v>
      </c>
      <c r="M153" s="32" t="n">
        <v>-28204481519</v>
      </c>
      <c r="N153" s="16" t="n">
        <v>-28204481519</v>
      </c>
      <c r="O153" s="16" t="n">
        <v>0</v>
      </c>
      <c r="P153" s="16" t="n">
        <v>0</v>
      </c>
      <c r="Q153" s="16" t="n">
        <v>0</v>
      </c>
      <c r="AH153" s="19" t="inlineStr">
        <is>
          <t xml:space="preserve">       (2) 수익증권담보대출금</t>
        </is>
      </c>
      <c r="AI153" s="848" t="n">
        <v>0</v>
      </c>
    </row>
    <row r="154">
      <c r="A154" s="697" t="n">
        <v>153</v>
      </c>
      <c r="B154" s="33" t="inlineStr">
        <is>
          <t xml:space="preserve">　　　　        (1) 최선추정</t>
        </is>
      </c>
      <c r="D154" s="32" t="n">
        <v>-87840434639</v>
      </c>
      <c r="E154" s="33" t="n">
        <v>0</v>
      </c>
      <c r="F154" s="33" t="n">
        <v>0</v>
      </c>
      <c r="G154" s="33" t="n">
        <v>0</v>
      </c>
      <c r="H154" s="145" t="n">
        <v>-87840434639</v>
      </c>
      <c r="I154" s="33" t="n">
        <v>0</v>
      </c>
      <c r="J154" s="33" t="n">
        <v>0</v>
      </c>
      <c r="K154" s="33" t="n">
        <v>0</v>
      </c>
      <c r="L154" s="33" t="n">
        <v>0</v>
      </c>
      <c r="M154" s="32" t="n">
        <v>-87840434639</v>
      </c>
      <c r="N154" s="16" t="n">
        <v>-87840434639</v>
      </c>
      <c r="O154" s="16" t="n">
        <v>0</v>
      </c>
      <c r="P154" s="16" t="n">
        <v>0</v>
      </c>
      <c r="Q154" s="16" t="n">
        <v>0</v>
      </c>
      <c r="AH154" s="19" t="inlineStr">
        <is>
          <t xml:space="preserve">       (3) 유가증권담보대출금</t>
        </is>
      </c>
      <c r="AI154" s="848" t="n">
        <v>0</v>
      </c>
    </row>
    <row r="155">
      <c r="A155" s="697" t="n">
        <v>154</v>
      </c>
      <c r="B155" s="33" t="inlineStr">
        <is>
          <t xml:space="preserve">　　　　        (2) 위험조정</t>
        </is>
      </c>
      <c r="D155" s="32" t="n">
        <v>9408706806</v>
      </c>
      <c r="E155" s="33" t="n">
        <v>0</v>
      </c>
      <c r="F155" s="33" t="n">
        <v>0</v>
      </c>
      <c r="G155" s="33" t="n">
        <v>0</v>
      </c>
      <c r="H155" s="145" t="n">
        <v>9408706806</v>
      </c>
      <c r="I155" s="33" t="n">
        <v>0</v>
      </c>
      <c r="J155" s="33" t="n">
        <v>0</v>
      </c>
      <c r="K155" s="33" t="n">
        <v>0</v>
      </c>
      <c r="L155" s="33" t="n">
        <v>0</v>
      </c>
      <c r="M155" s="32" t="n">
        <v>9408706806</v>
      </c>
      <c r="N155" s="16" t="n">
        <v>9408706806</v>
      </c>
      <c r="O155" s="16" t="n">
        <v>0</v>
      </c>
      <c r="P155" s="16" t="n">
        <v>0</v>
      </c>
      <c r="Q155" s="16" t="n">
        <v>0</v>
      </c>
      <c r="AH155" s="19" t="inlineStr">
        <is>
          <t xml:space="preserve">       (4) 부동산담보대출금</t>
        </is>
      </c>
      <c r="AI155" s="848" t="n">
        <v>715821520060</v>
      </c>
    </row>
    <row r="156">
      <c r="A156" s="697" t="n">
        <v>155</v>
      </c>
      <c r="B156" s="33" t="inlineStr">
        <is>
          <t xml:space="preserve">　　　　        (3) 보험계약마진</t>
        </is>
      </c>
      <c r="D156" s="32" t="n">
        <v>50227246314</v>
      </c>
      <c r="E156" s="33" t="n">
        <v>0</v>
      </c>
      <c r="F156" s="33" t="n">
        <v>0</v>
      </c>
      <c r="G156" s="33" t="n">
        <v>0</v>
      </c>
      <c r="H156" s="145" t="n">
        <v>50227246314</v>
      </c>
      <c r="I156" s="33" t="n">
        <v>0</v>
      </c>
      <c r="J156" s="33" t="n">
        <v>0</v>
      </c>
      <c r="K156" s="33" t="n">
        <v>0</v>
      </c>
      <c r="L156" s="33" t="n">
        <v>0</v>
      </c>
      <c r="M156" s="32" t="n">
        <v>50227246314</v>
      </c>
      <c r="N156" s="16" t="n">
        <v>50227246314</v>
      </c>
      <c r="O156" s="16" t="n">
        <v>0</v>
      </c>
      <c r="P156" s="16" t="n">
        <v>0</v>
      </c>
      <c r="Q156" s="16" t="n">
        <v>0</v>
      </c>
      <c r="AH156" s="19" t="inlineStr">
        <is>
          <t xml:space="preserve">       (5) 신용대출금</t>
        </is>
      </c>
      <c r="AI156" s="848" t="n">
        <v>441680038261</v>
      </c>
    </row>
    <row r="157">
      <c r="A157" s="697" t="n">
        <v>156</v>
      </c>
      <c r="B157" s="33" t="inlineStr">
        <is>
          <t xml:space="preserve">　　　　        (4) 보험료배분접근법적용</t>
        </is>
      </c>
      <c r="D157" s="33" t="n">
        <v>0</v>
      </c>
      <c r="E157" s="33" t="n">
        <v>0</v>
      </c>
      <c r="F157" s="33" t="n">
        <v>0</v>
      </c>
      <c r="G157" s="33" t="n">
        <v>0</v>
      </c>
      <c r="H157" s="146" t="n">
        <v>0</v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16" t="n">
        <v>0</v>
      </c>
      <c r="O157" s="16" t="n">
        <v>0</v>
      </c>
      <c r="P157" s="16" t="n">
        <v>0</v>
      </c>
      <c r="Q157" s="16" t="n">
        <v>0</v>
      </c>
      <c r="AH157" s="19" t="inlineStr">
        <is>
          <t xml:space="preserve">       (6) 어음할인대출금</t>
        </is>
      </c>
      <c r="AI157" s="848" t="n">
        <v>0</v>
      </c>
    </row>
    <row r="158">
      <c r="A158" s="697" t="n">
        <v>157</v>
      </c>
      <c r="B158" s="33" t="inlineStr">
        <is>
          <t xml:space="preserve">　　　       나.발생사고요소</t>
        </is>
      </c>
      <c r="D158" s="32" t="n">
        <v>65559708465</v>
      </c>
      <c r="E158" s="33" t="n">
        <v>0</v>
      </c>
      <c r="F158" s="33" t="n">
        <v>0</v>
      </c>
      <c r="G158" s="33" t="n">
        <v>0</v>
      </c>
      <c r="H158" s="145" t="n">
        <v>65559708465</v>
      </c>
      <c r="I158" s="33" t="n">
        <v>0</v>
      </c>
      <c r="J158" s="33" t="n">
        <v>0</v>
      </c>
      <c r="K158" s="33" t="n">
        <v>0</v>
      </c>
      <c r="L158" s="33" t="n">
        <v>0</v>
      </c>
      <c r="M158" s="32" t="n">
        <v>65559708465</v>
      </c>
      <c r="N158" s="16" t="n">
        <v>65559708465</v>
      </c>
      <c r="O158" s="16" t="n">
        <v>0</v>
      </c>
      <c r="P158" s="16" t="n">
        <v>0</v>
      </c>
      <c r="Q158" s="16" t="n">
        <v>0</v>
      </c>
      <c r="AH158" s="19" t="inlineStr">
        <is>
          <t xml:space="preserve">       (7) 지급보증대출금</t>
        </is>
      </c>
      <c r="AI158" s="848" t="n">
        <v>506555174321</v>
      </c>
    </row>
    <row r="159">
      <c r="A159" s="697" t="n">
        <v>158</v>
      </c>
      <c r="B159" s="33" t="inlineStr">
        <is>
          <t xml:space="preserve">　　　　        (1) 최선추정</t>
        </is>
      </c>
      <c r="D159" s="32" t="n">
        <v>64954057168</v>
      </c>
      <c r="E159" s="33" t="n">
        <v>0</v>
      </c>
      <c r="F159" s="33" t="n">
        <v>0</v>
      </c>
      <c r="G159" s="33" t="n">
        <v>0</v>
      </c>
      <c r="H159" s="145" t="n">
        <v>64954057168</v>
      </c>
      <c r="I159" s="33" t="n">
        <v>0</v>
      </c>
      <c r="J159" s="33" t="n">
        <v>0</v>
      </c>
      <c r="K159" s="33" t="n">
        <v>0</v>
      </c>
      <c r="L159" s="33" t="n">
        <v>0</v>
      </c>
      <c r="M159" s="32" t="n">
        <v>64954057168</v>
      </c>
      <c r="N159" s="16" t="n">
        <v>64954057168</v>
      </c>
      <c r="O159" s="16" t="n">
        <v>0</v>
      </c>
      <c r="P159" s="16" t="n">
        <v>0</v>
      </c>
      <c r="Q159" s="16" t="n">
        <v>0</v>
      </c>
      <c r="AH159" s="19" t="inlineStr">
        <is>
          <t xml:space="preserve">       (8) 기타대출금</t>
        </is>
      </c>
      <c r="AI159" s="848" t="n">
        <v>1065172060026</v>
      </c>
    </row>
    <row r="160">
      <c r="A160" s="697" t="n">
        <v>159</v>
      </c>
      <c r="B160" s="33" t="inlineStr">
        <is>
          <t xml:space="preserve">　　　　        (2) 위험조정</t>
        </is>
      </c>
      <c r="D160" s="32" t="n">
        <v>605651297</v>
      </c>
      <c r="E160" s="33" t="n">
        <v>0</v>
      </c>
      <c r="F160" s="33" t="n">
        <v>0</v>
      </c>
      <c r="G160" s="33" t="n">
        <v>0</v>
      </c>
      <c r="H160" s="145" t="n">
        <v>605651297</v>
      </c>
      <c r="I160" s="33" t="n">
        <v>0</v>
      </c>
      <c r="J160" s="33" t="n">
        <v>0</v>
      </c>
      <c r="K160" s="33" t="n">
        <v>0</v>
      </c>
      <c r="L160" s="33" t="n">
        <v>0</v>
      </c>
      <c r="M160" s="32" t="n">
        <v>605651297</v>
      </c>
      <c r="N160" s="16" t="n">
        <v>605651297</v>
      </c>
      <c r="O160" s="16" t="n">
        <v>0</v>
      </c>
      <c r="P160" s="16" t="n">
        <v>0</v>
      </c>
      <c r="Q160" s="16" t="n">
        <v>0</v>
      </c>
      <c r="AH160" s="19" t="inlineStr">
        <is>
          <t xml:space="preserve">          1) 주택보험대출 </t>
        </is>
      </c>
      <c r="AI160" s="848" t="n">
        <v>0</v>
      </c>
    </row>
    <row r="161">
      <c r="A161" s="697" t="n">
        <v>160</v>
      </c>
      <c r="B161" s="33" t="inlineStr">
        <is>
          <t xml:space="preserve">　　     3.미 수 금</t>
        </is>
      </c>
      <c r="D161" s="32" t="n">
        <v>34663029633</v>
      </c>
      <c r="E161" s="33" t="n">
        <v>0</v>
      </c>
      <c r="F161" s="32" t="n">
        <v>15826138242</v>
      </c>
      <c r="G161" s="32" t="n">
        <v>1635416729</v>
      </c>
      <c r="H161" s="145" t="n">
        <v>17201474662</v>
      </c>
      <c r="I161" s="33" t="n">
        <v>0</v>
      </c>
      <c r="J161" s="33" t="n">
        <v>0</v>
      </c>
      <c r="K161" s="33" t="n">
        <v>0</v>
      </c>
      <c r="L161" s="32" t="n">
        <v>8735549693</v>
      </c>
      <c r="M161" s="32" t="n">
        <v>8465924969</v>
      </c>
      <c r="N161" s="16" t="n">
        <v>8465924969</v>
      </c>
      <c r="O161" s="16" t="n">
        <v>15826138242</v>
      </c>
      <c r="P161" s="16" t="n">
        <v>8735549693</v>
      </c>
      <c r="Q161" s="16" t="n">
        <v>1635416729</v>
      </c>
      <c r="AH161" s="19" t="inlineStr">
        <is>
          <t xml:space="preserve">          2) 사모사채</t>
        </is>
      </c>
      <c r="AI161" s="848" t="n">
        <v>69312828572</v>
      </c>
    </row>
    <row r="162">
      <c r="A162" s="697" t="n">
        <v>161</v>
      </c>
      <c r="B162" s="33" t="inlineStr">
        <is>
          <t xml:space="preserve">　　　       (현재가치할인차금)</t>
        </is>
      </c>
      <c r="D162" s="33" t="n">
        <v>0</v>
      </c>
      <c r="E162" s="33" t="n">
        <v>0</v>
      </c>
      <c r="F162" s="33" t="n">
        <v>0</v>
      </c>
      <c r="G162" s="33" t="n">
        <v>0</v>
      </c>
      <c r="H162" s="146" t="n">
        <v>0</v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AH162" s="19" t="inlineStr">
        <is>
          <t xml:space="preserve">          3) CP</t>
        </is>
      </c>
      <c r="AI162" s="848" t="n">
        <v>0</v>
      </c>
    </row>
    <row r="163">
      <c r="A163" s="697" t="n">
        <v>162</v>
      </c>
      <c r="B163" s="33" t="inlineStr">
        <is>
          <t xml:space="preserve">　　　       (대손충당금)</t>
        </is>
      </c>
      <c r="D163" s="32" t="n">
        <v>-337731640</v>
      </c>
      <c r="E163" s="33" t="n">
        <v>0</v>
      </c>
      <c r="F163" s="33" t="n">
        <v>0</v>
      </c>
      <c r="G163" s="33" t="n">
        <v>0</v>
      </c>
      <c r="H163" s="145" t="n">
        <v>-337731640</v>
      </c>
      <c r="I163" s="33" t="n">
        <v>0</v>
      </c>
      <c r="J163" s="33" t="n">
        <v>0</v>
      </c>
      <c r="K163" s="33" t="n">
        <v>0</v>
      </c>
      <c r="L163" s="33" t="n">
        <v>0</v>
      </c>
      <c r="M163" s="32" t="n">
        <v>-337731640</v>
      </c>
      <c r="N163" s="16" t="n">
        <v>-337731640</v>
      </c>
      <c r="O163" s="16" t="n">
        <v>0</v>
      </c>
      <c r="P163" s="16" t="n">
        <v>0</v>
      </c>
      <c r="Q163" s="16" t="n">
        <v>0</v>
      </c>
      <c r="AH163" s="19" t="inlineStr">
        <is>
          <t xml:space="preserve">          4) 기타</t>
        </is>
      </c>
      <c r="AI163" s="848" t="n">
        <v>995859231454</v>
      </c>
    </row>
    <row r="164">
      <c r="A164" s="697" t="n">
        <v>163</v>
      </c>
      <c r="B164" s="33" t="inlineStr">
        <is>
          <t xml:space="preserve">　　     4.보 증 금</t>
        </is>
      </c>
      <c r="D164" s="32" t="n">
        <v>13857146551</v>
      </c>
      <c r="E164" s="33" t="n">
        <v>0</v>
      </c>
      <c r="F164" s="33" t="n">
        <v>0</v>
      </c>
      <c r="G164" s="33" t="n">
        <v>0</v>
      </c>
      <c r="H164" s="145" t="n">
        <v>13857146551</v>
      </c>
      <c r="I164" s="33" t="n">
        <v>0</v>
      </c>
      <c r="J164" s="33" t="n">
        <v>0</v>
      </c>
      <c r="K164" s="33" t="n">
        <v>0</v>
      </c>
      <c r="L164" s="33" t="n">
        <v>0</v>
      </c>
      <c r="M164" s="32" t="n">
        <v>13857146551</v>
      </c>
      <c r="N164" s="16" t="n">
        <v>13857146551</v>
      </c>
      <c r="O164" s="16" t="n">
        <v>0</v>
      </c>
      <c r="P164" s="16" t="n">
        <v>0</v>
      </c>
      <c r="Q164" s="16" t="n">
        <v>0</v>
      </c>
      <c r="AH164" s="19" t="inlineStr">
        <is>
          <t xml:space="preserve">     2.기타 수취채권</t>
        </is>
      </c>
      <c r="AI164" s="847" t="n">
        <v>708984632803</v>
      </c>
    </row>
    <row r="165">
      <c r="A165" s="697" t="n">
        <v>164</v>
      </c>
      <c r="B165" s="33" t="inlineStr">
        <is>
          <t xml:space="preserve">　　　       (현재가치할인차금)</t>
        </is>
      </c>
      <c r="D165" s="32" t="n">
        <v>-395334757</v>
      </c>
      <c r="E165" s="33" t="n">
        <v>0</v>
      </c>
      <c r="F165" s="33" t="n">
        <v>0</v>
      </c>
      <c r="G165" s="33" t="n">
        <v>0</v>
      </c>
      <c r="H165" s="145" t="n">
        <v>-395334757</v>
      </c>
      <c r="I165" s="33" t="n">
        <v>0</v>
      </c>
      <c r="J165" s="33" t="n">
        <v>0</v>
      </c>
      <c r="K165" s="33" t="n">
        <v>0</v>
      </c>
      <c r="L165" s="33" t="n">
        <v>0</v>
      </c>
      <c r="M165" s="32" t="n">
        <v>-395334757</v>
      </c>
      <c r="N165" s="16" t="n">
        <v>-395334757</v>
      </c>
      <c r="O165" s="16" t="n">
        <v>0</v>
      </c>
      <c r="P165" s="16" t="n">
        <v>0</v>
      </c>
      <c r="Q165" s="16" t="n">
        <v>0</v>
      </c>
      <c r="AH165" s="19" t="inlineStr">
        <is>
          <t xml:space="preserve">       (1) 예 치 금 </t>
        </is>
      </c>
      <c r="AI165" s="847" t="n">
        <v>87839945256</v>
      </c>
    </row>
    <row r="166">
      <c r="A166" s="697" t="n">
        <v>165</v>
      </c>
      <c r="B166" s="33" t="inlineStr">
        <is>
          <t xml:space="preserve">　　　       (대손충당금)</t>
        </is>
      </c>
      <c r="D166" s="33" t="n">
        <v>0</v>
      </c>
      <c r="E166" s="33" t="n">
        <v>0</v>
      </c>
      <c r="F166" s="33" t="n">
        <v>0</v>
      </c>
      <c r="G166" s="33" t="n">
        <v>0</v>
      </c>
      <c r="H166" s="146" t="n">
        <v>0</v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AH166" s="19" t="inlineStr">
        <is>
          <t xml:space="preserve">           1) 선물거래예치금 </t>
        </is>
      </c>
      <c r="AI166" s="848" t="n">
        <v>0</v>
      </c>
    </row>
    <row r="167">
      <c r="A167" s="697" t="n">
        <v>166</v>
      </c>
      <c r="B167" s="33" t="inlineStr">
        <is>
          <t xml:space="preserve">　　　        가.공탁금</t>
        </is>
      </c>
      <c r="D167" s="32" t="n">
        <v>100000000</v>
      </c>
      <c r="E167" s="33" t="n">
        <v>0</v>
      </c>
      <c r="F167" s="33" t="n">
        <v>0</v>
      </c>
      <c r="G167" s="33" t="n">
        <v>0</v>
      </c>
      <c r="H167" s="145" t="n">
        <v>100000000</v>
      </c>
      <c r="I167" s="33" t="n">
        <v>0</v>
      </c>
      <c r="J167" s="33" t="n">
        <v>0</v>
      </c>
      <c r="K167" s="33" t="n">
        <v>0</v>
      </c>
      <c r="L167" s="33" t="n">
        <v>0</v>
      </c>
      <c r="M167" s="32" t="n">
        <v>100000000</v>
      </c>
      <c r="N167" s="16" t="n">
        <v>100000000</v>
      </c>
      <c r="O167" s="16" t="n">
        <v>0</v>
      </c>
      <c r="P167" s="16" t="n">
        <v>0</v>
      </c>
      <c r="Q167" s="16" t="n">
        <v>0</v>
      </c>
      <c r="AH167" s="19" t="inlineStr">
        <is>
          <t xml:space="preserve">           2) 기타예치금 </t>
        </is>
      </c>
      <c r="AI167" s="847" t="n">
        <v>87839945256</v>
      </c>
    </row>
    <row r="168">
      <c r="A168" s="697" t="n">
        <v>167</v>
      </c>
      <c r="B168" s="33" t="inlineStr">
        <is>
          <t xml:space="preserve">　　　        나.예탁보증금</t>
        </is>
      </c>
      <c r="D168" s="32" t="n">
        <v>92955206</v>
      </c>
      <c r="E168" s="33" t="n">
        <v>0</v>
      </c>
      <c r="F168" s="33" t="n">
        <v>0</v>
      </c>
      <c r="G168" s="33" t="n">
        <v>0</v>
      </c>
      <c r="H168" s="145" t="n">
        <v>92955206</v>
      </c>
      <c r="I168" s="33" t="n">
        <v>0</v>
      </c>
      <c r="J168" s="33" t="n">
        <v>0</v>
      </c>
      <c r="K168" s="33" t="n">
        <v>0</v>
      </c>
      <c r="L168" s="33" t="n">
        <v>0</v>
      </c>
      <c r="M168" s="32" t="n">
        <v>92955206</v>
      </c>
      <c r="N168" s="16" t="n">
        <v>92955206</v>
      </c>
      <c r="O168" s="16" t="n">
        <v>0</v>
      </c>
      <c r="P168" s="16" t="n">
        <v>0</v>
      </c>
      <c r="Q168" s="16" t="n">
        <v>0</v>
      </c>
      <c r="AH168" s="19" t="inlineStr">
        <is>
          <t xml:space="preserve">           3) 기    타</t>
        </is>
      </c>
      <c r="AI168" s="848" t="n">
        <v>0</v>
      </c>
    </row>
    <row r="169">
      <c r="A169" s="697" t="n">
        <v>168</v>
      </c>
      <c r="B169" s="33" t="inlineStr">
        <is>
          <t xml:space="preserve">　　　        다.임차보증금</t>
        </is>
      </c>
      <c r="D169" s="32" t="n">
        <v>14059526102</v>
      </c>
      <c r="E169" s="33" t="n">
        <v>0</v>
      </c>
      <c r="F169" s="33" t="n">
        <v>0</v>
      </c>
      <c r="G169" s="33" t="n">
        <v>0</v>
      </c>
      <c r="H169" s="145" t="n">
        <v>14059526102</v>
      </c>
      <c r="I169" s="33" t="n">
        <v>0</v>
      </c>
      <c r="J169" s="33" t="n">
        <v>0</v>
      </c>
      <c r="K169" s="33" t="n">
        <v>0</v>
      </c>
      <c r="L169" s="33" t="n">
        <v>0</v>
      </c>
      <c r="M169" s="32" t="n">
        <v>14059526102</v>
      </c>
      <c r="N169" s="16" t="n">
        <v>14059526102</v>
      </c>
      <c r="O169" s="16" t="n">
        <v>0</v>
      </c>
      <c r="P169" s="16" t="n">
        <v>0</v>
      </c>
      <c r="Q169" s="16" t="n">
        <v>0</v>
      </c>
      <c r="AH169" s="19" t="inlineStr">
        <is>
          <t xml:space="preserve">       (2) 미 수 금 </t>
        </is>
      </c>
      <c r="AI169" s="848" t="n">
        <v>25696595829</v>
      </c>
    </row>
    <row r="170">
      <c r="A170" s="697" t="n">
        <v>169</v>
      </c>
      <c r="B170" s="33" t="inlineStr">
        <is>
          <t xml:space="preserve">　　　        라.기타보증금</t>
        </is>
      </c>
      <c r="D170" s="33" t="n">
        <v>0</v>
      </c>
      <c r="E170" s="33" t="n">
        <v>0</v>
      </c>
      <c r="F170" s="33" t="n">
        <v>0</v>
      </c>
      <c r="G170" s="33" t="n">
        <v>0</v>
      </c>
      <c r="H170" s="146" t="n">
        <v>0</v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AH170" s="19" t="inlineStr">
        <is>
          <t xml:space="preserve">          (현재가치할인차금)</t>
        </is>
      </c>
      <c r="AI170" s="848" t="n">
        <v>0</v>
      </c>
    </row>
    <row r="171">
      <c r="A171" s="697" t="n">
        <v>170</v>
      </c>
      <c r="B171" s="33" t="inlineStr">
        <is>
          <t xml:space="preserve">　　      5.미 수 수 익</t>
        </is>
      </c>
      <c r="D171" s="32" t="n">
        <v>546043181845</v>
      </c>
      <c r="E171" s="33" t="n">
        <v>0</v>
      </c>
      <c r="F171" s="32" t="n">
        <v>10772279256</v>
      </c>
      <c r="G171" s="32" t="n">
        <v>181792839</v>
      </c>
      <c r="H171" s="145" t="n">
        <v>535089109750</v>
      </c>
      <c r="I171" s="32" t="n">
        <v>28397778903</v>
      </c>
      <c r="J171" s="32" t="n">
        <v>200949583</v>
      </c>
      <c r="K171" s="32" t="n">
        <v>3901933</v>
      </c>
      <c r="L171" s="32" t="n">
        <v>6176524203</v>
      </c>
      <c r="M171" s="32" t="n">
        <v>500309955128</v>
      </c>
      <c r="N171" s="16" t="n">
        <v>528908683614</v>
      </c>
      <c r="O171" s="16" t="n">
        <v>10772279256</v>
      </c>
      <c r="P171" s="16" t="n">
        <v>6180426136</v>
      </c>
      <c r="Q171" s="16" t="n">
        <v>181792839</v>
      </c>
      <c r="AH171" s="19" t="inlineStr">
        <is>
          <t xml:space="preserve">          (대 손 충 당 금)</t>
        </is>
      </c>
      <c r="AI171" s="848" t="n">
        <v>-756084019</v>
      </c>
    </row>
    <row r="172">
      <c r="A172" s="697" t="n">
        <v>171</v>
      </c>
      <c r="B172" s="33" t="inlineStr">
        <is>
          <t xml:space="preserve">　　　        (대손충당금)</t>
        </is>
      </c>
      <c r="D172" s="32" t="n">
        <v>-234271127</v>
      </c>
      <c r="E172" s="33" t="n">
        <v>0</v>
      </c>
      <c r="F172" s="33" t="n">
        <v>0</v>
      </c>
      <c r="G172" s="33" t="n">
        <v>0</v>
      </c>
      <c r="H172" s="145" t="n">
        <v>-234271127</v>
      </c>
      <c r="I172" s="32" t="n">
        <v>-224343</v>
      </c>
      <c r="J172" s="33" t="n">
        <v>0</v>
      </c>
      <c r="K172" s="33" t="n">
        <v>0</v>
      </c>
      <c r="L172" s="32" t="n">
        <v>-735029</v>
      </c>
      <c r="M172" s="32" t="n">
        <v>-233311755</v>
      </c>
      <c r="N172" s="16" t="n">
        <v>-233536098</v>
      </c>
      <c r="O172" s="16" t="n">
        <v>0</v>
      </c>
      <c r="P172" s="16" t="n">
        <v>-735029</v>
      </c>
      <c r="Q172" s="16" t="n">
        <v>0</v>
      </c>
      <c r="AH172" s="19" t="inlineStr">
        <is>
          <t xml:space="preserve">           1) 미 수 금 </t>
        </is>
      </c>
      <c r="AI172" s="848" t="n">
        <v>26452679848</v>
      </c>
    </row>
    <row r="173">
      <c r="A173" s="697" t="n">
        <v>172</v>
      </c>
      <c r="B173" s="33" t="inlineStr">
        <is>
          <t xml:space="preserve">　　      6.선 급 비 용</t>
        </is>
      </c>
      <c r="D173" s="32" t="n">
        <v>70347835365</v>
      </c>
      <c r="E173" s="33" t="n">
        <v>0</v>
      </c>
      <c r="F173" s="33" t="n">
        <v>0</v>
      </c>
      <c r="G173" s="33" t="n">
        <v>0</v>
      </c>
      <c r="H173" s="145" t="n">
        <v>70347835365</v>
      </c>
      <c r="I173" s="33" t="n">
        <v>0</v>
      </c>
      <c r="J173" s="33" t="n">
        <v>0</v>
      </c>
      <c r="K173" s="33" t="n">
        <v>0</v>
      </c>
      <c r="L173" s="33" t="n">
        <v>0</v>
      </c>
      <c r="M173" s="32" t="n">
        <v>70347835365</v>
      </c>
      <c r="N173" s="16" t="n">
        <v>70347835365</v>
      </c>
      <c r="O173" s="16" t="n">
        <v>0</v>
      </c>
      <c r="P173" s="16" t="n">
        <v>0</v>
      </c>
      <c r="Q173" s="16" t="n">
        <v>0</v>
      </c>
      <c r="AH173" s="19" t="inlineStr">
        <is>
          <t xml:space="preserve">       (3) 보 증 금 </t>
        </is>
      </c>
      <c r="AI173" s="848" t="n">
        <v>5881300095</v>
      </c>
    </row>
    <row r="174">
      <c r="A174" s="697" t="n">
        <v>173</v>
      </c>
      <c r="B174" s="33" t="inlineStr">
        <is>
          <t xml:space="preserve">　　      7.선 급 법 인 세</t>
        </is>
      </c>
      <c r="D174" s="32" t="n">
        <v>81381520037</v>
      </c>
      <c r="E174" s="33" t="n">
        <v>0</v>
      </c>
      <c r="F174" s="33" t="n">
        <v>0</v>
      </c>
      <c r="G174" s="33" t="n">
        <v>0</v>
      </c>
      <c r="H174" s="145" t="n">
        <v>81381520037</v>
      </c>
      <c r="I174" s="33" t="n">
        <v>0</v>
      </c>
      <c r="J174" s="33" t="n">
        <v>0</v>
      </c>
      <c r="K174" s="33" t="n">
        <v>0</v>
      </c>
      <c r="L174" s="33" t="n">
        <v>0</v>
      </c>
      <c r="M174" s="32" t="n">
        <v>81381520037</v>
      </c>
      <c r="N174" s="16" t="n">
        <v>81381520037</v>
      </c>
      <c r="O174" s="16" t="n">
        <v>0</v>
      </c>
      <c r="P174" s="16" t="n">
        <v>0</v>
      </c>
      <c r="Q174" s="16" t="n">
        <v>0</v>
      </c>
      <c r="AH174" s="19" t="inlineStr">
        <is>
          <t xml:space="preserve">          (현재가치할인차금)</t>
        </is>
      </c>
      <c r="AI174" s="848" t="n">
        <v>-453750727</v>
      </c>
    </row>
    <row r="175">
      <c r="A175" s="697" t="n">
        <v>174</v>
      </c>
      <c r="B175" s="33" t="inlineStr">
        <is>
          <t xml:space="preserve">　　      8.선 급 부 가 세</t>
        </is>
      </c>
      <c r="D175" s="33" t="n">
        <v>0</v>
      </c>
      <c r="E175" s="33" t="n">
        <v>0</v>
      </c>
      <c r="F175" s="33" t="n">
        <v>0</v>
      </c>
      <c r="G175" s="33" t="n">
        <v>0</v>
      </c>
      <c r="H175" s="146" t="n">
        <v>0</v>
      </c>
      <c r="I175" s="33" t="n">
        <v>0</v>
      </c>
      <c r="J175" s="33" t="n">
        <v>0</v>
      </c>
      <c r="K175" s="33" t="n">
        <v>0</v>
      </c>
      <c r="L175" s="33" t="n">
        <v>0</v>
      </c>
      <c r="M175" s="33" t="n">
        <v>0</v>
      </c>
      <c r="N175" s="16" t="n">
        <v>0</v>
      </c>
      <c r="O175" s="16" t="n">
        <v>0</v>
      </c>
      <c r="P175" s="16" t="n">
        <v>0</v>
      </c>
      <c r="Q175" s="16" t="n">
        <v>0</v>
      </c>
      <c r="AH175" s="19" t="inlineStr">
        <is>
          <t xml:space="preserve">          (대 손 충 당 금)</t>
        </is>
      </c>
      <c r="AI175" s="848" t="n">
        <v>0</v>
      </c>
    </row>
    <row r="176">
      <c r="A176" s="697" t="n">
        <v>175</v>
      </c>
      <c r="B176" s="33" t="inlineStr">
        <is>
          <t xml:space="preserve">　　      9.선 급 금</t>
        </is>
      </c>
      <c r="D176" s="33" t="n">
        <v>0</v>
      </c>
      <c r="E176" s="33" t="n">
        <v>0</v>
      </c>
      <c r="F176" s="33" t="n">
        <v>0</v>
      </c>
      <c r="G176" s="33" t="n">
        <v>0</v>
      </c>
      <c r="H176" s="146" t="n">
        <v>0</v>
      </c>
      <c r="I176" s="33" t="n">
        <v>0</v>
      </c>
      <c r="J176" s="33" t="n">
        <v>0</v>
      </c>
      <c r="K176" s="33" t="n">
        <v>0</v>
      </c>
      <c r="L176" s="33" t="n">
        <v>0</v>
      </c>
      <c r="M176" s="33" t="n">
        <v>0</v>
      </c>
      <c r="N176" s="16" t="n">
        <v>0</v>
      </c>
      <c r="O176" s="16" t="n">
        <v>0</v>
      </c>
      <c r="P176" s="16" t="n">
        <v>0</v>
      </c>
      <c r="Q176" s="16" t="n">
        <v>0</v>
      </c>
      <c r="AH176" s="19" t="inlineStr">
        <is>
          <t xml:space="preserve">           1) 공 탁 금 </t>
        </is>
      </c>
      <c r="AI176" s="848" t="n">
        <v>100000000</v>
      </c>
    </row>
    <row r="177">
      <c r="A177" s="697" t="n">
        <v>176</v>
      </c>
      <c r="B177" s="33" t="inlineStr">
        <is>
          <t xml:space="preserve">　　　        가.일반선급금</t>
        </is>
      </c>
      <c r="D177" s="33" t="n">
        <v>0</v>
      </c>
      <c r="E177" s="33" t="n">
        <v>0</v>
      </c>
      <c r="F177" s="33" t="n">
        <v>0</v>
      </c>
      <c r="G177" s="33" t="n">
        <v>0</v>
      </c>
      <c r="H177" s="146" t="n">
        <v>0</v>
      </c>
      <c r="I177" s="33" t="n">
        <v>0</v>
      </c>
      <c r="J177" s="33" t="n">
        <v>0</v>
      </c>
      <c r="K177" s="33" t="n">
        <v>0</v>
      </c>
      <c r="L177" s="33" t="n">
        <v>0</v>
      </c>
      <c r="M177" s="33" t="n">
        <v>0</v>
      </c>
      <c r="N177" s="16" t="n">
        <v>0</v>
      </c>
      <c r="O177" s="16" t="n">
        <v>0</v>
      </c>
      <c r="P177" s="16" t="n">
        <v>0</v>
      </c>
      <c r="Q177" s="16" t="n">
        <v>0</v>
      </c>
      <c r="AH177" s="19" t="inlineStr">
        <is>
          <t xml:space="preserve">           2) 예탁보증금 </t>
        </is>
      </c>
      <c r="AI177" s="848" t="n">
        <v>92955206</v>
      </c>
    </row>
    <row r="178">
      <c r="A178" s="697" t="n">
        <v>177</v>
      </c>
      <c r="B178" s="33" t="inlineStr">
        <is>
          <t xml:space="preserve">　　　        나.부동산매입선급금</t>
        </is>
      </c>
      <c r="D178" s="33" t="n">
        <v>0</v>
      </c>
      <c r="E178" s="33" t="n">
        <v>0</v>
      </c>
      <c r="F178" s="33" t="n">
        <v>0</v>
      </c>
      <c r="G178" s="33" t="n">
        <v>0</v>
      </c>
      <c r="H178" s="146" t="n">
        <v>0</v>
      </c>
      <c r="I178" s="33" t="n">
        <v>0</v>
      </c>
      <c r="J178" s="33" t="n">
        <v>0</v>
      </c>
      <c r="K178" s="33" t="n">
        <v>0</v>
      </c>
      <c r="L178" s="33" t="n">
        <v>0</v>
      </c>
      <c r="M178" s="33" t="n">
        <v>0</v>
      </c>
      <c r="N178" s="16" t="n">
        <v>0</v>
      </c>
      <c r="O178" s="16" t="n">
        <v>0</v>
      </c>
      <c r="P178" s="16" t="n">
        <v>0</v>
      </c>
      <c r="Q178" s="16" t="n">
        <v>0</v>
      </c>
      <c r="AH178" s="19" t="inlineStr">
        <is>
          <t xml:space="preserve">           3) 임차보증금 </t>
        </is>
      </c>
      <c r="AI178" s="848" t="n">
        <v>6142095616</v>
      </c>
    </row>
    <row r="179">
      <c r="A179" s="697" t="n">
        <v>178</v>
      </c>
      <c r="B179" s="33" t="inlineStr">
        <is>
          <t xml:space="preserve">　　      10.가 지 급 금</t>
        </is>
      </c>
      <c r="D179" s="32" t="n">
        <v>7739144</v>
      </c>
      <c r="E179" s="33" t="n">
        <v>0</v>
      </c>
      <c r="F179" s="33" t="n">
        <v>0</v>
      </c>
      <c r="G179" s="33" t="n">
        <v>0</v>
      </c>
      <c r="H179" s="145" t="n">
        <v>7739144</v>
      </c>
      <c r="I179" s="33" t="n">
        <v>0</v>
      </c>
      <c r="J179" s="33" t="n">
        <v>0</v>
      </c>
      <c r="K179" s="33" t="n">
        <v>0</v>
      </c>
      <c r="L179" s="33" t="n">
        <v>0</v>
      </c>
      <c r="M179" s="32" t="n">
        <v>7739144</v>
      </c>
      <c r="N179" s="16" t="n">
        <v>7739144</v>
      </c>
      <c r="O179" s="16" t="n">
        <v>0</v>
      </c>
      <c r="P179" s="16" t="n">
        <v>0</v>
      </c>
      <c r="Q179" s="16" t="n">
        <v>0</v>
      </c>
      <c r="AH179" s="19" t="inlineStr">
        <is>
          <t xml:space="preserve">           4) 전신전화가입권</t>
        </is>
      </c>
      <c r="AI179" s="848" t="n">
        <v>0</v>
      </c>
    </row>
    <row r="180">
      <c r="A180" s="697" t="n">
        <v>179</v>
      </c>
      <c r="B180" s="33" t="inlineStr">
        <is>
          <t xml:space="preserve">　　　        (대손충당금)</t>
        </is>
      </c>
      <c r="D180" s="32" t="n">
        <v>-425645040</v>
      </c>
      <c r="E180" s="33" t="n">
        <v>0</v>
      </c>
      <c r="F180" s="33" t="n">
        <v>0</v>
      </c>
      <c r="G180" s="33" t="n">
        <v>0</v>
      </c>
      <c r="H180" s="145" t="n">
        <v>-425645040</v>
      </c>
      <c r="I180" s="33" t="n">
        <v>0</v>
      </c>
      <c r="J180" s="33" t="n">
        <v>0</v>
      </c>
      <c r="K180" s="33" t="n">
        <v>0</v>
      </c>
      <c r="L180" s="33" t="n">
        <v>0</v>
      </c>
      <c r="M180" s="32" t="n">
        <v>-425645040</v>
      </c>
      <c r="N180" s="16" t="n">
        <v>-425645040</v>
      </c>
      <c r="O180" s="16" t="n">
        <v>0</v>
      </c>
      <c r="P180" s="16" t="n">
        <v>0</v>
      </c>
      <c r="Q180" s="16" t="n">
        <v>0</v>
      </c>
      <c r="AH180" s="19" t="inlineStr">
        <is>
          <t xml:space="preserve">       (4) 미 수 수 익 </t>
        </is>
      </c>
      <c r="AI180" s="848" t="n">
        <v>589566791623</v>
      </c>
    </row>
    <row r="181">
      <c r="A181" s="697" t="n">
        <v>180</v>
      </c>
      <c r="B181" s="33" t="inlineStr">
        <is>
          <t xml:space="preserve">　　　        가.일반가지급금</t>
        </is>
      </c>
      <c r="D181" s="32" t="n">
        <v>433384184</v>
      </c>
      <c r="E181" s="33" t="n">
        <v>0</v>
      </c>
      <c r="F181" s="33" t="n">
        <v>0</v>
      </c>
      <c r="G181" s="33" t="n">
        <v>0</v>
      </c>
      <c r="H181" s="145" t="n">
        <v>433384184</v>
      </c>
      <c r="I181" s="33" t="n">
        <v>0</v>
      </c>
      <c r="J181" s="33" t="n">
        <v>0</v>
      </c>
      <c r="K181" s="33" t="n">
        <v>0</v>
      </c>
      <c r="L181" s="33" t="n">
        <v>0</v>
      </c>
      <c r="M181" s="32" t="n">
        <v>433384184</v>
      </c>
      <c r="N181" s="16" t="n">
        <v>433384184</v>
      </c>
      <c r="O181" s="16" t="n">
        <v>0</v>
      </c>
      <c r="P181" s="16" t="n">
        <v>0</v>
      </c>
      <c r="Q181" s="16" t="n">
        <v>0</v>
      </c>
      <c r="AH181" s="19" t="inlineStr">
        <is>
          <t xml:space="preserve">          (대 손 충 당 금)</t>
        </is>
      </c>
      <c r="AI181" s="848" t="n">
        <v>-306466279</v>
      </c>
    </row>
    <row r="182">
      <c r="A182" s="697" t="n">
        <v>181</v>
      </c>
      <c r="B182" s="33" t="inlineStr">
        <is>
          <t xml:space="preserve">　　　        나.부동산매입가지급금</t>
        </is>
      </c>
      <c r="D182" s="33" t="n">
        <v>0</v>
      </c>
      <c r="E182" s="33" t="n">
        <v>0</v>
      </c>
      <c r="F182" s="33" t="n">
        <v>0</v>
      </c>
      <c r="G182" s="33" t="n">
        <v>0</v>
      </c>
      <c r="H182" s="146" t="n">
        <v>0</v>
      </c>
      <c r="I182" s="33" t="n">
        <v>0</v>
      </c>
      <c r="J182" s="33" t="n">
        <v>0</v>
      </c>
      <c r="K182" s="33" t="n">
        <v>0</v>
      </c>
      <c r="L182" s="33" t="n">
        <v>0</v>
      </c>
      <c r="M182" s="33" t="n">
        <v>0</v>
      </c>
      <c r="N182" s="16" t="n">
        <v>0</v>
      </c>
      <c r="O182" s="16" t="n">
        <v>0</v>
      </c>
      <c r="P182" s="16" t="n">
        <v>0</v>
      </c>
      <c r="Q182" s="16" t="n">
        <v>0</v>
      </c>
      <c r="AH182" s="19" t="inlineStr">
        <is>
          <t xml:space="preserve">           1) 미수수익</t>
        </is>
      </c>
      <c r="AI182" s="848" t="n">
        <v>589873257902</v>
      </c>
    </row>
    <row r="183">
      <c r="A183" s="697" t="n">
        <v>182</v>
      </c>
      <c r="B183" s="33" t="inlineStr">
        <is>
          <t xml:space="preserve">　　      11.가 지 급 보 험 금</t>
        </is>
      </c>
      <c r="D183" s="33" t="n">
        <v>0</v>
      </c>
      <c r="E183" s="33" t="n">
        <v>0</v>
      </c>
      <c r="F183" s="33" t="n">
        <v>0</v>
      </c>
      <c r="G183" s="33" t="n">
        <v>0</v>
      </c>
      <c r="H183" s="146" t="n">
        <v>0</v>
      </c>
      <c r="I183" s="33" t="n">
        <v>0</v>
      </c>
      <c r="J183" s="33" t="n">
        <v>0</v>
      </c>
      <c r="K183" s="33" t="n">
        <v>0</v>
      </c>
      <c r="L183" s="33" t="n">
        <v>0</v>
      </c>
      <c r="M183" s="33" t="n">
        <v>0</v>
      </c>
      <c r="N183" s="16" t="n">
        <v>0</v>
      </c>
      <c r="O183" s="16" t="n">
        <v>0</v>
      </c>
      <c r="P183" s="16" t="n">
        <v>0</v>
      </c>
      <c r="Q183" s="16" t="n">
        <v>0</v>
      </c>
      <c r="AH183" s="19" t="inlineStr">
        <is>
          <t xml:space="preserve">  VI. 종속기업투자주식</t>
        </is>
      </c>
      <c r="AI183" s="848" t="n">
        <v>142042965503</v>
      </c>
    </row>
    <row r="184">
      <c r="A184" s="697" t="n">
        <v>183</v>
      </c>
      <c r="B184" s="33" t="inlineStr">
        <is>
          <t xml:space="preserve">　　      12.본 지 점 계 정 차</t>
        </is>
      </c>
      <c r="D184" s="33" t="n">
        <v>0</v>
      </c>
      <c r="E184" s="33" t="n">
        <v>0</v>
      </c>
      <c r="F184" s="33" t="n">
        <v>0</v>
      </c>
      <c r="G184" s="33" t="n">
        <v>0</v>
      </c>
      <c r="H184" s="146" t="n">
        <v>0</v>
      </c>
      <c r="I184" s="33" t="n">
        <v>0</v>
      </c>
      <c r="J184" s="33" t="n">
        <v>0</v>
      </c>
      <c r="K184" s="33" t="n">
        <v>0</v>
      </c>
      <c r="L184" s="33" t="n">
        <v>0</v>
      </c>
      <c r="M184" s="33" t="n">
        <v>0</v>
      </c>
      <c r="N184" s="16" t="n">
        <v>0</v>
      </c>
      <c r="O184" s="16" t="n">
        <v>0</v>
      </c>
      <c r="P184" s="16" t="n">
        <v>0</v>
      </c>
      <c r="Q184" s="16" t="n">
        <v>0</v>
      </c>
      <c r="AH184" s="19" t="inlineStr">
        <is>
          <t xml:space="preserve">      1.주    식 </t>
        </is>
      </c>
      <c r="AI184" s="848" t="n">
        <v>142042965503</v>
      </c>
    </row>
    <row r="185">
      <c r="A185" s="697" t="n">
        <v>184</v>
      </c>
      <c r="B185" s="33" t="inlineStr">
        <is>
          <t xml:space="preserve">　　      13.차 량 운 반 구</t>
        </is>
      </c>
      <c r="D185" s="33" t="n">
        <v>0</v>
      </c>
      <c r="E185" s="33" t="n">
        <v>0</v>
      </c>
      <c r="F185" s="33" t="n">
        <v>0</v>
      </c>
      <c r="G185" s="33" t="n">
        <v>0</v>
      </c>
      <c r="H185" s="146" t="n">
        <v>0</v>
      </c>
      <c r="I185" s="33" t="n">
        <v>0</v>
      </c>
      <c r="J185" s="33" t="n">
        <v>0</v>
      </c>
      <c r="K185" s="33" t="n">
        <v>0</v>
      </c>
      <c r="L185" s="33" t="n">
        <v>0</v>
      </c>
      <c r="M185" s="33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AH185" s="19" t="inlineStr">
        <is>
          <t xml:space="preserve">      2.출 자 금 </t>
        </is>
      </c>
      <c r="AI185" s="848" t="n">
        <v>0</v>
      </c>
    </row>
    <row r="186">
      <c r="A186" s="697" t="n">
        <v>185</v>
      </c>
      <c r="B186" s="33" t="inlineStr">
        <is>
          <t xml:space="preserve">　　　        (감가상각누계액)</t>
        </is>
      </c>
      <c r="D186" s="33" t="n">
        <v>0</v>
      </c>
      <c r="E186" s="33" t="n">
        <v>0</v>
      </c>
      <c r="F186" s="33" t="n">
        <v>0</v>
      </c>
      <c r="G186" s="33" t="n">
        <v>0</v>
      </c>
      <c r="H186" s="146" t="n">
        <v>0</v>
      </c>
      <c r="I186" s="33" t="n">
        <v>0</v>
      </c>
      <c r="J186" s="33" t="n">
        <v>0</v>
      </c>
      <c r="K186" s="33" t="n">
        <v>0</v>
      </c>
      <c r="L186" s="33" t="n">
        <v>0</v>
      </c>
      <c r="M186" s="33" t="n">
        <v>0</v>
      </c>
      <c r="N186" s="16" t="n">
        <v>0</v>
      </c>
      <c r="O186" s="16" t="n">
        <v>0</v>
      </c>
      <c r="P186" s="16" t="n">
        <v>0</v>
      </c>
      <c r="Q186" s="16" t="n">
        <v>0</v>
      </c>
      <c r="AH186" s="19" t="inlineStr">
        <is>
          <t xml:space="preserve">      3.기    타</t>
        </is>
      </c>
      <c r="AI186" s="848" t="n">
        <v>0</v>
      </c>
    </row>
    <row r="187">
      <c r="A187" s="697" t="n">
        <v>186</v>
      </c>
      <c r="B187" s="33" t="inlineStr">
        <is>
          <t xml:space="preserve">　　      14.비  품</t>
        </is>
      </c>
      <c r="D187" s="32" t="n">
        <v>6377938802</v>
      </c>
      <c r="E187" s="33" t="n">
        <v>0</v>
      </c>
      <c r="F187" s="33" t="n">
        <v>0</v>
      </c>
      <c r="G187" s="33" t="n">
        <v>0</v>
      </c>
      <c r="H187" s="145" t="n">
        <v>6377938802</v>
      </c>
      <c r="I187" s="33" t="n">
        <v>0</v>
      </c>
      <c r="J187" s="33" t="n">
        <v>0</v>
      </c>
      <c r="K187" s="33" t="n">
        <v>0</v>
      </c>
      <c r="L187" s="33" t="n">
        <v>0</v>
      </c>
      <c r="M187" s="32" t="n">
        <v>6377938802</v>
      </c>
      <c r="N187" s="16" t="n">
        <v>6377938802</v>
      </c>
      <c r="O187" s="16" t="n">
        <v>0</v>
      </c>
      <c r="P187" s="16" t="n">
        <v>0</v>
      </c>
      <c r="Q187" s="16" t="n">
        <v>0</v>
      </c>
      <c r="AH187" s="19" t="inlineStr">
        <is>
          <t xml:space="preserve">  VII. 보험계약자산</t>
        </is>
      </c>
      <c r="AI187" s="848" t="n">
        <v>0</v>
      </c>
    </row>
    <row r="188">
      <c r="A188" s="697" t="n">
        <v>187</v>
      </c>
      <c r="B188" s="33" t="inlineStr">
        <is>
          <t xml:space="preserve">　　　        (감가상각누계액)</t>
        </is>
      </c>
      <c r="D188" s="32" t="n">
        <v>-52109170494</v>
      </c>
      <c r="E188" s="33" t="n">
        <v>0</v>
      </c>
      <c r="F188" s="33" t="n">
        <v>0</v>
      </c>
      <c r="G188" s="33" t="n">
        <v>0</v>
      </c>
      <c r="H188" s="145" t="n">
        <v>-52109170494</v>
      </c>
      <c r="I188" s="33" t="n">
        <v>0</v>
      </c>
      <c r="J188" s="33" t="n">
        <v>0</v>
      </c>
      <c r="K188" s="33" t="n">
        <v>0</v>
      </c>
      <c r="L188" s="33" t="n">
        <v>0</v>
      </c>
      <c r="M188" s="32" t="n">
        <v>-52109170494</v>
      </c>
      <c r="N188" s="16" t="n">
        <v>-52109170494</v>
      </c>
      <c r="O188" s="16" t="n">
        <v>0</v>
      </c>
      <c r="P188" s="16" t="n">
        <v>0</v>
      </c>
      <c r="Q188" s="16" t="n">
        <v>0</v>
      </c>
      <c r="AH188" s="19" t="inlineStr">
        <is>
          <t xml:space="preserve">      1.잔여보장자산</t>
        </is>
      </c>
      <c r="AI188" s="848" t="n">
        <v>0</v>
      </c>
    </row>
    <row r="189">
      <c r="A189" s="697" t="n">
        <v>188</v>
      </c>
      <c r="B189" s="33" t="inlineStr">
        <is>
          <t xml:space="preserve">　　      15.임차점포시설물</t>
        </is>
      </c>
      <c r="D189" s="33" t="n">
        <v>0</v>
      </c>
      <c r="E189" s="33" t="n">
        <v>0</v>
      </c>
      <c r="F189" s="33" t="n">
        <v>0</v>
      </c>
      <c r="G189" s="33" t="n">
        <v>0</v>
      </c>
      <c r="H189" s="146" t="n">
        <v>0</v>
      </c>
      <c r="I189" s="33" t="n">
        <v>0</v>
      </c>
      <c r="J189" s="33" t="n">
        <v>0</v>
      </c>
      <c r="K189" s="33" t="n">
        <v>0</v>
      </c>
      <c r="L189" s="33" t="n">
        <v>0</v>
      </c>
      <c r="M189" s="33" t="n">
        <v>0</v>
      </c>
      <c r="N189" s="16" t="n">
        <v>0</v>
      </c>
      <c r="O189" s="16" t="n">
        <v>0</v>
      </c>
      <c r="P189" s="16" t="n">
        <v>0</v>
      </c>
      <c r="Q189" s="16" t="n">
        <v>0</v>
      </c>
      <c r="AH189" s="19" t="inlineStr">
        <is>
          <t xml:space="preserve">      2.발생사고자산</t>
        </is>
      </c>
      <c r="AI189" s="848" t="n">
        <v>0</v>
      </c>
    </row>
    <row r="190">
      <c r="A190" s="697" t="n">
        <v>189</v>
      </c>
      <c r="B190" s="33" t="inlineStr">
        <is>
          <t xml:space="preserve">　　　        (감가상각누계액)</t>
        </is>
      </c>
      <c r="D190" s="33" t="n">
        <v>0</v>
      </c>
      <c r="E190" s="33" t="n">
        <v>0</v>
      </c>
      <c r="F190" s="33" t="n">
        <v>0</v>
      </c>
      <c r="G190" s="33" t="n">
        <v>0</v>
      </c>
      <c r="H190" s="146" t="n">
        <v>0</v>
      </c>
      <c r="I190" s="33" t="n">
        <v>0</v>
      </c>
      <c r="J190" s="33" t="n">
        <v>0</v>
      </c>
      <c r="K190" s="33" t="n">
        <v>0</v>
      </c>
      <c r="L190" s="33" t="n">
        <v>0</v>
      </c>
      <c r="M190" s="33" t="n">
        <v>0</v>
      </c>
      <c r="N190" s="16" t="n">
        <v>0</v>
      </c>
      <c r="O190" s="16" t="n">
        <v>0</v>
      </c>
      <c r="P190" s="16" t="n">
        <v>0</v>
      </c>
      <c r="Q190" s="16" t="n">
        <v>0</v>
      </c>
      <c r="AH190" s="19" t="inlineStr">
        <is>
          <t xml:space="preserve">        (1) 발생사고자산_O/S</t>
        </is>
      </c>
      <c r="AI190" s="848" t="n">
        <v>0</v>
      </c>
    </row>
    <row r="191">
      <c r="A191" s="697" t="n">
        <v>190</v>
      </c>
      <c r="B191" s="33" t="inlineStr">
        <is>
          <t xml:space="preserve">　　      16.기타의유형자산</t>
        </is>
      </c>
      <c r="D191" s="32" t="n">
        <v>13020330189</v>
      </c>
      <c r="E191" s="33" t="n">
        <v>0</v>
      </c>
      <c r="F191" s="33" t="n">
        <v>0</v>
      </c>
      <c r="G191" s="33" t="n">
        <v>0</v>
      </c>
      <c r="H191" s="145" t="n">
        <v>13020330189</v>
      </c>
      <c r="I191" s="33" t="n">
        <v>0</v>
      </c>
      <c r="J191" s="33" t="n">
        <v>0</v>
      </c>
      <c r="K191" s="33" t="n">
        <v>0</v>
      </c>
      <c r="L191" s="33" t="n">
        <v>0</v>
      </c>
      <c r="M191" s="32" t="n">
        <v>13020330189</v>
      </c>
      <c r="N191" s="16" t="n">
        <v>13020330189</v>
      </c>
      <c r="O191" s="16" t="n">
        <v>0</v>
      </c>
      <c r="P191" s="16" t="n">
        <v>0</v>
      </c>
      <c r="Q191" s="16" t="n">
        <v>0</v>
      </c>
      <c r="AH191" s="19" t="inlineStr">
        <is>
          <t xml:space="preserve">        (2) 발생사고자산_IBNR</t>
        </is>
      </c>
      <c r="AI191" s="848" t="n">
        <v>0</v>
      </c>
    </row>
    <row r="192">
      <c r="A192" s="697" t="n">
        <v>191</v>
      </c>
      <c r="B192" s="33" t="inlineStr">
        <is>
          <t xml:space="preserve">　　      17.이연법인세자산</t>
        </is>
      </c>
      <c r="D192" s="33" t="n">
        <v>0</v>
      </c>
      <c r="E192" s="33" t="n">
        <v>0</v>
      </c>
      <c r="F192" s="33" t="n">
        <v>0</v>
      </c>
      <c r="G192" s="33" t="n">
        <v>0</v>
      </c>
      <c r="H192" s="146" t="n">
        <v>0</v>
      </c>
      <c r="I192" s="33" t="n">
        <v>0</v>
      </c>
      <c r="J192" s="33" t="n">
        <v>0</v>
      </c>
      <c r="K192" s="33" t="n">
        <v>0</v>
      </c>
      <c r="L192" s="33" t="n">
        <v>0</v>
      </c>
      <c r="M192" s="33" t="n">
        <v>0</v>
      </c>
      <c r="N192" s="16" t="n">
        <v>0</v>
      </c>
      <c r="O192" s="16" t="n">
        <v>0</v>
      </c>
      <c r="P192" s="16" t="n">
        <v>0</v>
      </c>
      <c r="Q192" s="16" t="n">
        <v>0</v>
      </c>
      <c r="AH192" s="19" t="inlineStr">
        <is>
          <t xml:space="preserve">      3.사전인식 보험취득현금흐름</t>
        </is>
      </c>
      <c r="AI192" s="848" t="n">
        <v>0</v>
      </c>
    </row>
    <row r="193">
      <c r="A193" s="697" t="n">
        <v>192</v>
      </c>
      <c r="B193" s="33" t="inlineStr">
        <is>
          <t xml:space="preserve">　　      18.파생상품자산</t>
        </is>
      </c>
      <c r="D193" s="32" t="n">
        <v>28506931125</v>
      </c>
      <c r="E193" s="33" t="n">
        <v>0</v>
      </c>
      <c r="F193" s="32" t="n">
        <v>4074288158</v>
      </c>
      <c r="G193" s="32" t="n">
        <v>69084957</v>
      </c>
      <c r="H193" s="145" t="n">
        <v>24363558010</v>
      </c>
      <c r="I193" s="33" t="n">
        <v>0</v>
      </c>
      <c r="J193" s="33" t="n">
        <v>0</v>
      </c>
      <c r="K193" s="33" t="n">
        <v>0</v>
      </c>
      <c r="L193" s="32" t="n">
        <v>92906468</v>
      </c>
      <c r="M193" s="32" t="n">
        <v>24270651542</v>
      </c>
      <c r="N193" s="16" t="n">
        <v>24270651542</v>
      </c>
      <c r="O193" s="16" t="n">
        <v>4074288158</v>
      </c>
      <c r="P193" s="16" t="n">
        <v>92906468</v>
      </c>
      <c r="Q193" s="16" t="n">
        <v>69084957</v>
      </c>
      <c r="AH193" s="19" t="inlineStr">
        <is>
          <t xml:space="preserve">  VIII. 재보험계약자산 </t>
        </is>
      </c>
      <c r="AI193" s="848" t="n">
        <v>28884462926</v>
      </c>
    </row>
    <row r="194">
      <c r="A194" s="697" t="n">
        <v>193</v>
      </c>
      <c r="B194" s="33" t="inlineStr">
        <is>
          <t xml:space="preserve">　　　        [매매목적파생상품]</t>
        </is>
      </c>
      <c r="D194" s="33" t="n">
        <v>0</v>
      </c>
      <c r="E194" s="33" t="n">
        <v>0</v>
      </c>
      <c r="F194" s="33" t="n">
        <v>0</v>
      </c>
      <c r="G194" s="33" t="n">
        <v>0</v>
      </c>
      <c r="H194" s="146" t="n">
        <v>0</v>
      </c>
      <c r="I194" s="33" t="n">
        <v>0</v>
      </c>
      <c r="J194" s="33" t="n">
        <v>0</v>
      </c>
      <c r="K194" s="33" t="n">
        <v>0</v>
      </c>
      <c r="L194" s="33" t="n">
        <v>0</v>
      </c>
      <c r="M194" s="33" t="n">
        <v>0</v>
      </c>
      <c r="N194" s="16" t="n">
        <v>0</v>
      </c>
      <c r="O194" s="16" t="n">
        <v>0</v>
      </c>
      <c r="P194" s="16" t="n">
        <v>0</v>
      </c>
      <c r="Q194" s="16" t="n">
        <v>0</v>
      </c>
      <c r="AH194" s="19" t="inlineStr">
        <is>
          <t xml:space="preserve">      1. 잔여보장자산</t>
        </is>
      </c>
      <c r="AI194" s="848" t="n">
        <v>-13324570024</v>
      </c>
    </row>
    <row r="195">
      <c r="A195" s="697" t="n">
        <v>194</v>
      </c>
      <c r="B195" s="33" t="inlineStr">
        <is>
          <t xml:space="preserve">　　　        [헤지목적파생상품]</t>
        </is>
      </c>
      <c r="D195" s="33" t="n">
        <v>0</v>
      </c>
      <c r="E195" s="33" t="n">
        <v>0</v>
      </c>
      <c r="F195" s="33" t="n">
        <v>0</v>
      </c>
      <c r="G195" s="33" t="n">
        <v>0</v>
      </c>
      <c r="H195" s="146" t="n">
        <v>0</v>
      </c>
      <c r="I195" s="33" t="n">
        <v>0</v>
      </c>
      <c r="J195" s="33" t="n">
        <v>0</v>
      </c>
      <c r="K195" s="33" t="n">
        <v>0</v>
      </c>
      <c r="L195" s="33" t="n">
        <v>0</v>
      </c>
      <c r="M195" s="33" t="n">
        <v>0</v>
      </c>
      <c r="N195" s="16" t="n">
        <v>0</v>
      </c>
      <c r="O195" s="16" t="n">
        <v>0</v>
      </c>
      <c r="P195" s="16" t="n">
        <v>0</v>
      </c>
      <c r="Q195" s="16" t="n">
        <v>0</v>
      </c>
      <c r="AH195" s="19" t="inlineStr">
        <is>
          <t xml:space="preserve">      2. 발생사고자산</t>
        </is>
      </c>
      <c r="AI195" s="848" t="n">
        <v>42209032950</v>
      </c>
    </row>
    <row r="196">
      <c r="A196" s="697" t="n">
        <v>195</v>
      </c>
      <c r="B196" s="33" t="inlineStr">
        <is>
          <t xml:space="preserve">　　　        가.이자율관련</t>
        </is>
      </c>
      <c r="D196" s="32" t="n">
        <v>22562976803</v>
      </c>
      <c r="E196" s="33" t="n">
        <v>0</v>
      </c>
      <c r="F196" s="33" t="n">
        <v>0</v>
      </c>
      <c r="G196" s="33" t="n">
        <v>0</v>
      </c>
      <c r="H196" s="145" t="n">
        <v>22562976803</v>
      </c>
      <c r="I196" s="33" t="n">
        <v>0</v>
      </c>
      <c r="J196" s="33" t="n">
        <v>0</v>
      </c>
      <c r="K196" s="33" t="n">
        <v>0</v>
      </c>
      <c r="L196" s="33" t="n">
        <v>0</v>
      </c>
      <c r="M196" s="32" t="n">
        <v>22562976803</v>
      </c>
      <c r="N196" s="16" t="n">
        <v>22562976803</v>
      </c>
      <c r="O196" s="16" t="n">
        <v>0</v>
      </c>
      <c r="P196" s="16" t="n">
        <v>0</v>
      </c>
      <c r="Q196" s="16" t="n">
        <v>0</v>
      </c>
      <c r="AH196" s="19" t="inlineStr">
        <is>
          <t xml:space="preserve">         (1) 발생사고자산_O/S</t>
        </is>
      </c>
      <c r="AI196" s="848" t="n">
        <v>23122735424</v>
      </c>
    </row>
    <row r="197">
      <c r="A197" s="697" t="n">
        <v>196</v>
      </c>
      <c r="B197" s="33" t="inlineStr">
        <is>
          <t xml:space="preserve">　　　        나.통화관련</t>
        </is>
      </c>
      <c r="D197" s="32" t="n">
        <v>1800581207</v>
      </c>
      <c r="E197" s="33" t="n">
        <v>0</v>
      </c>
      <c r="F197" s="33" t="n">
        <v>0</v>
      </c>
      <c r="G197" s="33" t="n">
        <v>0</v>
      </c>
      <c r="H197" s="145" t="n">
        <v>1800581207</v>
      </c>
      <c r="I197" s="33" t="n">
        <v>0</v>
      </c>
      <c r="J197" s="33" t="n">
        <v>0</v>
      </c>
      <c r="K197" s="33" t="n">
        <v>0</v>
      </c>
      <c r="L197" s="32" t="n">
        <v>92906468</v>
      </c>
      <c r="M197" s="32" t="n">
        <v>1707674739</v>
      </c>
      <c r="N197" s="16" t="n">
        <v>1707674739</v>
      </c>
      <c r="O197" s="16" t="n">
        <v>0</v>
      </c>
      <c r="P197" s="16" t="n">
        <v>92906468</v>
      </c>
      <c r="Q197" s="16" t="n">
        <v>0</v>
      </c>
      <c r="AH197" s="19" t="inlineStr">
        <is>
          <t xml:space="preserve">         (2) 발생사고자산_IBNR</t>
        </is>
      </c>
      <c r="AI197" s="848" t="n">
        <v>19086297526</v>
      </c>
    </row>
    <row r="198">
      <c r="A198" s="697" t="n">
        <v>197</v>
      </c>
      <c r="B198" s="33" t="inlineStr">
        <is>
          <t xml:space="preserve">　　　        다.주식관련</t>
        </is>
      </c>
      <c r="D198" s="33" t="n">
        <v>0</v>
      </c>
      <c r="E198" s="33" t="n">
        <v>0</v>
      </c>
      <c r="F198" s="33" t="n">
        <v>0</v>
      </c>
      <c r="G198" s="33" t="n">
        <v>0</v>
      </c>
      <c r="H198" s="146" t="n">
        <v>0</v>
      </c>
      <c r="I198" s="33" t="n">
        <v>0</v>
      </c>
      <c r="J198" s="33" t="n">
        <v>0</v>
      </c>
      <c r="K198" s="33" t="n">
        <v>0</v>
      </c>
      <c r="L198" s="33" t="n">
        <v>0</v>
      </c>
      <c r="M198" s="33" t="n">
        <v>0</v>
      </c>
      <c r="N198" s="16" t="n">
        <v>0</v>
      </c>
      <c r="O198" s="16" t="n">
        <v>0</v>
      </c>
      <c r="P198" s="16" t="n">
        <v>0</v>
      </c>
      <c r="Q198" s="16" t="n">
        <v>0</v>
      </c>
      <c r="AH198" s="19" t="inlineStr">
        <is>
          <t xml:space="preserve">  IX. 유형자산</t>
        </is>
      </c>
      <c r="AI198" s="848" t="n">
        <v>90089672720</v>
      </c>
    </row>
    <row r="199">
      <c r="A199" s="697" t="n">
        <v>198</v>
      </c>
      <c r="B199" s="33" t="inlineStr">
        <is>
          <t xml:space="preserve">　　　        라.신용관련</t>
        </is>
      </c>
      <c r="D199" s="33" t="n">
        <v>0</v>
      </c>
      <c r="E199" s="33" t="n">
        <v>0</v>
      </c>
      <c r="F199" s="33" t="n">
        <v>0</v>
      </c>
      <c r="G199" s="33" t="n">
        <v>0</v>
      </c>
      <c r="H199" s="146" t="n">
        <v>0</v>
      </c>
      <c r="I199" s="33" t="n">
        <v>0</v>
      </c>
      <c r="J199" s="33" t="n">
        <v>0</v>
      </c>
      <c r="K199" s="33" t="n">
        <v>0</v>
      </c>
      <c r="L199" s="33" t="n">
        <v>0</v>
      </c>
      <c r="M199" s="33" t="n">
        <v>0</v>
      </c>
      <c r="N199" s="16" t="n">
        <v>0</v>
      </c>
      <c r="O199" s="16" t="n">
        <v>0</v>
      </c>
      <c r="P199" s="16" t="n">
        <v>0</v>
      </c>
      <c r="Q199" s="16" t="n">
        <v>0</v>
      </c>
      <c r="AH199" s="19" t="inlineStr">
        <is>
          <t xml:space="preserve">      1.토  지</t>
        </is>
      </c>
      <c r="AI199" s="848" t="n">
        <v>6787826704</v>
      </c>
    </row>
    <row r="200">
      <c r="A200" s="697" t="n">
        <v>199</v>
      </c>
      <c r="B200" s="33" t="inlineStr">
        <is>
          <t xml:space="preserve">　　　        마.기타</t>
        </is>
      </c>
      <c r="D200" s="32" t="n">
        <v>4143373115</v>
      </c>
      <c r="E200" s="33" t="n">
        <v>0</v>
      </c>
      <c r="F200" s="32" t="n">
        <v>4074288158</v>
      </c>
      <c r="G200" s="32" t="n">
        <v>69084957</v>
      </c>
      <c r="H200" s="146" t="n">
        <v>0</v>
      </c>
      <c r="I200" s="33" t="n">
        <v>0</v>
      </c>
      <c r="J200" s="33" t="n">
        <v>0</v>
      </c>
      <c r="K200" s="33" t="n">
        <v>0</v>
      </c>
      <c r="L200" s="33" t="n">
        <v>0</v>
      </c>
      <c r="M200" s="33" t="n">
        <v>0</v>
      </c>
      <c r="N200" s="16" t="n">
        <v>0</v>
      </c>
      <c r="O200" s="16" t="n">
        <v>4074288158</v>
      </c>
      <c r="P200" s="16" t="n">
        <v>0</v>
      </c>
      <c r="Q200" s="16" t="n">
        <v>69084957</v>
      </c>
      <c r="AH200" s="19" t="inlineStr">
        <is>
          <t xml:space="preserve">        (손상차손누계액)</t>
        </is>
      </c>
      <c r="AI200" s="848" t="n">
        <v>0</v>
      </c>
    </row>
    <row r="201">
      <c r="A201" s="697" t="n">
        <v>200</v>
      </c>
      <c r="B201" s="33" t="inlineStr">
        <is>
          <t xml:space="preserve">　　      19.무 형 자 산</t>
        </is>
      </c>
      <c r="D201" s="32" t="n">
        <v>27860664825</v>
      </c>
      <c r="E201" s="33" t="n">
        <v>0</v>
      </c>
      <c r="F201" s="33" t="n">
        <v>0</v>
      </c>
      <c r="G201" s="33" t="n">
        <v>0</v>
      </c>
      <c r="H201" s="145" t="n">
        <v>27860664825</v>
      </c>
      <c r="I201" s="33" t="n">
        <v>0</v>
      </c>
      <c r="J201" s="33" t="n">
        <v>0</v>
      </c>
      <c r="K201" s="33" t="n">
        <v>0</v>
      </c>
      <c r="L201" s="33" t="n">
        <v>0</v>
      </c>
      <c r="M201" s="32" t="n">
        <v>27860664825</v>
      </c>
      <c r="N201" s="16" t="n">
        <v>27860664825</v>
      </c>
      <c r="O201" s="16" t="n">
        <v>0</v>
      </c>
      <c r="P201" s="16" t="n">
        <v>0</v>
      </c>
      <c r="Q201" s="16" t="n">
        <v>0</v>
      </c>
      <c r="AH201" s="19" t="inlineStr">
        <is>
          <t xml:space="preserve">        (1) 토지</t>
        </is>
      </c>
      <c r="AI201" s="848" t="n">
        <v>6787826704</v>
      </c>
    </row>
    <row r="202">
      <c r="A202" s="697" t="n">
        <v>201</v>
      </c>
      <c r="B202" s="33" t="inlineStr">
        <is>
          <t xml:space="preserve">　　　        (손상차손누계액)</t>
        </is>
      </c>
      <c r="D202" s="32" t="n">
        <v>-97943900</v>
      </c>
      <c r="E202" s="33" t="n">
        <v>0</v>
      </c>
      <c r="F202" s="33" t="n">
        <v>0</v>
      </c>
      <c r="G202" s="33" t="n">
        <v>0</v>
      </c>
      <c r="H202" s="145" t="n">
        <v>-97943900</v>
      </c>
      <c r="I202" s="33" t="n">
        <v>0</v>
      </c>
      <c r="J202" s="33" t="n">
        <v>0</v>
      </c>
      <c r="K202" s="33" t="n">
        <v>0</v>
      </c>
      <c r="L202" s="33" t="n">
        <v>0</v>
      </c>
      <c r="M202" s="32" t="n">
        <v>-97943900</v>
      </c>
      <c r="N202" s="16" t="n">
        <v>-97943900</v>
      </c>
      <c r="O202" s="16" t="n">
        <v>0</v>
      </c>
      <c r="P202" s="16" t="n">
        <v>0</v>
      </c>
      <c r="Q202" s="16" t="n">
        <v>0</v>
      </c>
      <c r="AH202" s="19" t="inlineStr">
        <is>
          <t xml:space="preserve">      2.건  물 </t>
        </is>
      </c>
      <c r="AI202" s="848" t="n">
        <v>64221188972</v>
      </c>
    </row>
    <row r="203">
      <c r="A203" s="697" t="n">
        <v>202</v>
      </c>
      <c r="B203" s="33" t="inlineStr">
        <is>
          <t xml:space="preserve">　　　        가.영업권</t>
        </is>
      </c>
      <c r="D203" s="33" t="n">
        <v>0</v>
      </c>
      <c r="E203" s="33" t="n">
        <v>0</v>
      </c>
      <c r="F203" s="33" t="n">
        <v>0</v>
      </c>
      <c r="G203" s="33" t="n">
        <v>0</v>
      </c>
      <c r="H203" s="146" t="n">
        <v>0</v>
      </c>
      <c r="I203" s="33" t="n">
        <v>0</v>
      </c>
      <c r="J203" s="33" t="n">
        <v>0</v>
      </c>
      <c r="K203" s="33" t="n">
        <v>0</v>
      </c>
      <c r="L203" s="33" t="n">
        <v>0</v>
      </c>
      <c r="M203" s="33" t="n">
        <v>0</v>
      </c>
      <c r="N203" s="16" t="n">
        <v>0</v>
      </c>
      <c r="O203" s="16" t="n">
        <v>0</v>
      </c>
      <c r="P203" s="16" t="n">
        <v>0</v>
      </c>
      <c r="Q203" s="16" t="n">
        <v>0</v>
      </c>
      <c r="AH203" s="19" t="inlineStr">
        <is>
          <t xml:space="preserve">        (손상차손누계액)</t>
        </is>
      </c>
      <c r="AI203" s="848" t="n">
        <v>0</v>
      </c>
    </row>
    <row r="204">
      <c r="A204" s="697" t="n">
        <v>203</v>
      </c>
      <c r="B204" s="33" t="inlineStr">
        <is>
          <t xml:space="preserve">　　　        나.소프트웨어</t>
        </is>
      </c>
      <c r="D204" s="32" t="n">
        <v>5186171243</v>
      </c>
      <c r="E204" s="33" t="n">
        <v>0</v>
      </c>
      <c r="F204" s="33" t="n">
        <v>0</v>
      </c>
      <c r="G204" s="33" t="n">
        <v>0</v>
      </c>
      <c r="H204" s="145" t="n">
        <v>5186171243</v>
      </c>
      <c r="I204" s="33" t="n">
        <v>0</v>
      </c>
      <c r="J204" s="33" t="n">
        <v>0</v>
      </c>
      <c r="K204" s="33" t="n">
        <v>0</v>
      </c>
      <c r="L204" s="33" t="n">
        <v>0</v>
      </c>
      <c r="M204" s="32" t="n">
        <v>5186171243</v>
      </c>
      <c r="N204" s="16" t="n">
        <v>5186171243</v>
      </c>
      <c r="O204" s="16" t="n">
        <v>0</v>
      </c>
      <c r="P204" s="16" t="n">
        <v>0</v>
      </c>
      <c r="Q204" s="16" t="n">
        <v>0</v>
      </c>
      <c r="AH204" s="19" t="inlineStr">
        <is>
          <t xml:space="preserve">        (감가상각누계액)</t>
        </is>
      </c>
      <c r="AI204" s="848" t="n">
        <v>-7535682738</v>
      </c>
    </row>
    <row r="205">
      <c r="A205" s="697" t="n">
        <v>204</v>
      </c>
      <c r="B205" s="33" t="inlineStr">
        <is>
          <t xml:space="preserve">　　　        다.개발비</t>
        </is>
      </c>
      <c r="D205" s="33" t="n">
        <v>0</v>
      </c>
      <c r="E205" s="33" t="n">
        <v>0</v>
      </c>
      <c r="F205" s="33" t="n">
        <v>0</v>
      </c>
      <c r="G205" s="33" t="n">
        <v>0</v>
      </c>
      <c r="H205" s="146" t="n">
        <v>0</v>
      </c>
      <c r="I205" s="33" t="n">
        <v>0</v>
      </c>
      <c r="J205" s="33" t="n">
        <v>0</v>
      </c>
      <c r="K205" s="33" t="n">
        <v>0</v>
      </c>
      <c r="L205" s="33" t="n">
        <v>0</v>
      </c>
      <c r="M205" s="33" t="n">
        <v>0</v>
      </c>
      <c r="N205" s="16" t="n">
        <v>0</v>
      </c>
      <c r="O205" s="16" t="n">
        <v>0</v>
      </c>
      <c r="P205" s="16" t="n">
        <v>0</v>
      </c>
      <c r="Q205" s="16" t="n">
        <v>0</v>
      </c>
      <c r="AH205" s="19" t="inlineStr">
        <is>
          <t xml:space="preserve">        (1) 건물</t>
        </is>
      </c>
      <c r="AI205" s="848" t="n">
        <v>71756871710</v>
      </c>
    </row>
    <row r="206">
      <c r="A206" s="697" t="n">
        <v>205</v>
      </c>
      <c r="B206" s="33" t="inlineStr">
        <is>
          <t xml:space="preserve">　　　        라.기타의무형자산</t>
        </is>
      </c>
      <c r="D206" s="32" t="n">
        <v>22772437482</v>
      </c>
      <c r="E206" s="33" t="n">
        <v>0</v>
      </c>
      <c r="F206" s="33" t="n">
        <v>0</v>
      </c>
      <c r="G206" s="33" t="n">
        <v>0</v>
      </c>
      <c r="H206" s="145" t="n">
        <v>22772437482</v>
      </c>
      <c r="I206" s="33" t="n">
        <v>0</v>
      </c>
      <c r="J206" s="33" t="n">
        <v>0</v>
      </c>
      <c r="K206" s="33" t="n">
        <v>0</v>
      </c>
      <c r="L206" s="33" t="n">
        <v>0</v>
      </c>
      <c r="M206" s="32" t="n">
        <v>22772437482</v>
      </c>
      <c r="N206" s="16" t="n">
        <v>22772437482</v>
      </c>
      <c r="O206" s="16" t="n">
        <v>0</v>
      </c>
      <c r="P206" s="16" t="n">
        <v>0</v>
      </c>
      <c r="Q206" s="16" t="n">
        <v>0</v>
      </c>
      <c r="AH206" s="19" t="inlineStr">
        <is>
          <t xml:space="preserve">      3.구 축 물 </t>
        </is>
      </c>
      <c r="AI206" s="848" t="n">
        <v>0</v>
      </c>
    </row>
    <row r="207">
      <c r="A207" s="697" t="n">
        <v>206</v>
      </c>
      <c r="B207" s="33" t="inlineStr">
        <is>
          <t xml:space="preserve">　　      20.어 음</t>
        </is>
      </c>
      <c r="D207" s="33" t="n">
        <v>0</v>
      </c>
      <c r="E207" s="33" t="n">
        <v>0</v>
      </c>
      <c r="F207" s="33" t="n">
        <v>0</v>
      </c>
      <c r="G207" s="33" t="n">
        <v>0</v>
      </c>
      <c r="H207" s="146" t="n">
        <v>0</v>
      </c>
      <c r="I207" s="33" t="n">
        <v>0</v>
      </c>
      <c r="J207" s="33" t="n">
        <v>0</v>
      </c>
      <c r="K207" s="33" t="n">
        <v>0</v>
      </c>
      <c r="L207" s="33" t="n">
        <v>0</v>
      </c>
      <c r="M207" s="33" t="n">
        <v>0</v>
      </c>
      <c r="N207" s="16" t="n">
        <v>0</v>
      </c>
      <c r="O207" s="16" t="n">
        <v>0</v>
      </c>
      <c r="P207" s="16" t="n">
        <v>0</v>
      </c>
      <c r="Q207" s="16" t="n">
        <v>0</v>
      </c>
      <c r="AH207" s="19" t="inlineStr">
        <is>
          <t xml:space="preserve">        (손상차손누계액)</t>
        </is>
      </c>
      <c r="AI207" s="848" t="n">
        <v>0</v>
      </c>
    </row>
    <row r="208">
      <c r="A208" s="697" t="n">
        <v>207</v>
      </c>
      <c r="B208" s="33" t="inlineStr">
        <is>
          <t xml:space="preserve">　　　        (대손충당금)</t>
        </is>
      </c>
      <c r="D208" s="33" t="n">
        <v>0</v>
      </c>
      <c r="E208" s="33" t="n">
        <v>0</v>
      </c>
      <c r="F208" s="33" t="n">
        <v>0</v>
      </c>
      <c r="G208" s="33" t="n">
        <v>0</v>
      </c>
      <c r="H208" s="146" t="n">
        <v>0</v>
      </c>
      <c r="I208" s="33" t="n">
        <v>0</v>
      </c>
      <c r="J208" s="33" t="n">
        <v>0</v>
      </c>
      <c r="K208" s="33" t="n">
        <v>0</v>
      </c>
      <c r="L208" s="33" t="n">
        <v>0</v>
      </c>
      <c r="M208" s="33" t="n">
        <v>0</v>
      </c>
      <c r="N208" s="16" t="n">
        <v>0</v>
      </c>
      <c r="O208" s="16" t="n">
        <v>0</v>
      </c>
      <c r="P208" s="16" t="n">
        <v>0</v>
      </c>
      <c r="Q208" s="16" t="n">
        <v>0</v>
      </c>
      <c r="AH208" s="19" t="inlineStr">
        <is>
          <t xml:space="preserve">        (감가상각누계액)</t>
        </is>
      </c>
      <c r="AI208" s="848" t="n">
        <v>0</v>
      </c>
    </row>
    <row r="209">
      <c r="A209" s="697" t="n">
        <v>208</v>
      </c>
      <c r="B209" s="33" t="inlineStr">
        <is>
          <t xml:space="preserve">　　　        가.받을어음</t>
        </is>
      </c>
      <c r="D209" s="33" t="n">
        <v>0</v>
      </c>
      <c r="E209" s="33" t="n">
        <v>0</v>
      </c>
      <c r="F209" s="33" t="n">
        <v>0</v>
      </c>
      <c r="G209" s="33" t="n">
        <v>0</v>
      </c>
      <c r="H209" s="146" t="n">
        <v>0</v>
      </c>
      <c r="I209" s="33" t="n">
        <v>0</v>
      </c>
      <c r="J209" s="33" t="n">
        <v>0</v>
      </c>
      <c r="K209" s="33" t="n">
        <v>0</v>
      </c>
      <c r="L209" s="33" t="n">
        <v>0</v>
      </c>
      <c r="M209" s="33" t="n">
        <v>0</v>
      </c>
      <c r="N209" s="16" t="n">
        <v>0</v>
      </c>
      <c r="O209" s="16" t="n">
        <v>0</v>
      </c>
      <c r="P209" s="16" t="n">
        <v>0</v>
      </c>
      <c r="Q209" s="16" t="n">
        <v>0</v>
      </c>
      <c r="AH209" s="19" t="inlineStr">
        <is>
          <t xml:space="preserve">        (1) 구축물 </t>
        </is>
      </c>
      <c r="AI209" s="848" t="n">
        <v>0</v>
      </c>
    </row>
    <row r="210">
      <c r="A210" s="697" t="n">
        <v>209</v>
      </c>
      <c r="B210" s="33" t="inlineStr">
        <is>
          <t xml:space="preserve">　　　        나.부도어음</t>
        </is>
      </c>
      <c r="D210" s="33" t="n">
        <v>0</v>
      </c>
      <c r="E210" s="33" t="n">
        <v>0</v>
      </c>
      <c r="F210" s="33" t="n">
        <v>0</v>
      </c>
      <c r="G210" s="33" t="n">
        <v>0</v>
      </c>
      <c r="H210" s="146" t="n">
        <v>0</v>
      </c>
      <c r="I210" s="33" t="n">
        <v>0</v>
      </c>
      <c r="J210" s="33" t="n">
        <v>0</v>
      </c>
      <c r="K210" s="33" t="n">
        <v>0</v>
      </c>
      <c r="L210" s="33" t="n">
        <v>0</v>
      </c>
      <c r="M210" s="33" t="n">
        <v>0</v>
      </c>
      <c r="N210" s="16" t="n">
        <v>0</v>
      </c>
      <c r="O210" s="16" t="n">
        <v>0</v>
      </c>
      <c r="P210" s="16" t="n">
        <v>0</v>
      </c>
      <c r="Q210" s="16" t="n">
        <v>0</v>
      </c>
      <c r="AH210" s="19" t="inlineStr">
        <is>
          <t xml:space="preserve">      4.건 설 중 인 자 산 </t>
        </is>
      </c>
      <c r="AI210" s="848" t="n">
        <v>0</v>
      </c>
    </row>
    <row r="211">
      <c r="A211" s="697" t="n">
        <v>210</v>
      </c>
      <c r="B211" s="33" t="inlineStr">
        <is>
          <t xml:space="preserve">　　      21.순확정급여자산</t>
        </is>
      </c>
      <c r="D211" s="33" t="n">
        <v>0</v>
      </c>
      <c r="E211" s="33" t="n">
        <v>0</v>
      </c>
      <c r="F211" s="33" t="n">
        <v>0</v>
      </c>
      <c r="G211" s="33" t="n">
        <v>0</v>
      </c>
      <c r="H211" s="146" t="n">
        <v>0</v>
      </c>
      <c r="I211" s="33" t="n">
        <v>0</v>
      </c>
      <c r="J211" s="33" t="n">
        <v>0</v>
      </c>
      <c r="K211" s="33" t="n">
        <v>0</v>
      </c>
      <c r="L211" s="33" t="n">
        <v>0</v>
      </c>
      <c r="M211" s="33" t="n">
        <v>0</v>
      </c>
      <c r="N211" s="16" t="n">
        <v>0</v>
      </c>
      <c r="O211" s="16" t="n">
        <v>0</v>
      </c>
      <c r="P211" s="16" t="n">
        <v>0</v>
      </c>
      <c r="Q211" s="16" t="n">
        <v>0</v>
      </c>
      <c r="AH211" s="19" t="inlineStr">
        <is>
          <t xml:space="preserve">      5.차 량 운 반 구 </t>
        </is>
      </c>
      <c r="AI211" s="848" t="n">
        <v>0</v>
      </c>
    </row>
    <row r="212">
      <c r="A212" s="697" t="n">
        <v>211</v>
      </c>
      <c r="B212" s="33" t="inlineStr">
        <is>
          <t xml:space="preserve">　　      22.기타의비운용자산</t>
        </is>
      </c>
      <c r="D212" s="33" t="n">
        <v>0</v>
      </c>
      <c r="E212" s="32" t="n">
        <v>192544754825</v>
      </c>
      <c r="F212" s="32" t="n">
        <v>186060845497</v>
      </c>
      <c r="G212" s="32" t="n">
        <v>6483909328</v>
      </c>
      <c r="H212" s="146" t="n">
        <v>0</v>
      </c>
      <c r="I212" s="32" t="n">
        <v>8609558660</v>
      </c>
      <c r="J212" s="32" t="n">
        <v>1109343807</v>
      </c>
      <c r="K212" s="32" t="n">
        <v>9582690</v>
      </c>
      <c r="L212" s="32" t="n">
        <v>59567413689</v>
      </c>
      <c r="M212" s="32" t="n">
        <v>-69295898846</v>
      </c>
      <c r="N212" s="16" t="n">
        <v>-59576996379</v>
      </c>
      <c r="O212" s="16" t="n">
        <v>186060845497</v>
      </c>
      <c r="P212" s="16" t="n">
        <v>59576996379</v>
      </c>
      <c r="Q212" s="16" t="n">
        <v>6483909328</v>
      </c>
      <c r="AH212" s="19" t="inlineStr">
        <is>
          <t xml:space="preserve">        (감가상각누계액)</t>
        </is>
      </c>
      <c r="AI212" s="848" t="n">
        <v>0</v>
      </c>
    </row>
    <row r="213">
      <c r="A213" s="697" t="n">
        <v>212</v>
      </c>
      <c r="B213" s="33" t="inlineStr">
        <is>
          <t xml:space="preserve">　　　        가.기타의비운용자산</t>
        </is>
      </c>
      <c r="D213" s="33" t="n">
        <v>0</v>
      </c>
      <c r="E213" s="33" t="n">
        <v>0</v>
      </c>
      <c r="F213" s="33" t="n">
        <v>0</v>
      </c>
      <c r="G213" s="33" t="n">
        <v>0</v>
      </c>
      <c r="H213" s="146" t="n">
        <v>0</v>
      </c>
      <c r="I213" s="33" t="n">
        <v>0</v>
      </c>
      <c r="J213" s="33" t="n">
        <v>0</v>
      </c>
      <c r="K213" s="33" t="n">
        <v>0</v>
      </c>
      <c r="L213" s="33" t="n">
        <v>0</v>
      </c>
      <c r="M213" s="33" t="n">
        <v>0</v>
      </c>
      <c r="N213" s="16" t="n">
        <v>0</v>
      </c>
      <c r="O213" s="16" t="n">
        <v>0</v>
      </c>
      <c r="P213" s="16" t="n">
        <v>0</v>
      </c>
      <c r="Q213" s="16" t="n">
        <v>0</v>
      </c>
      <c r="AH213" s="19" t="inlineStr">
        <is>
          <t xml:space="preserve">        (1) 차량운반구 </t>
        </is>
      </c>
      <c r="AI213" s="848" t="n">
        <v>0</v>
      </c>
    </row>
    <row r="214">
      <c r="A214" s="697" t="n">
        <v>213</v>
      </c>
      <c r="B214" s="33" t="inlineStr">
        <is>
          <t xml:space="preserve">　　　        나.일반계정미수금</t>
        </is>
      </c>
      <c r="D214" s="33" t="n">
        <v>0</v>
      </c>
      <c r="E214" s="32" t="n">
        <v>192544754825</v>
      </c>
      <c r="F214" s="32" t="n">
        <v>186060845497</v>
      </c>
      <c r="G214" s="32" t="n">
        <v>6483909328</v>
      </c>
      <c r="H214" s="146" t="n">
        <v>0</v>
      </c>
      <c r="I214" s="32" t="n">
        <v>8609558660</v>
      </c>
      <c r="J214" s="32" t="n">
        <v>1109343807</v>
      </c>
      <c r="K214" s="32" t="n">
        <v>9582690</v>
      </c>
      <c r="L214" s="32" t="n">
        <v>59567413689</v>
      </c>
      <c r="M214" s="32" t="n">
        <v>-69295898846</v>
      </c>
      <c r="N214" s="16" t="n">
        <v>-59576996379</v>
      </c>
      <c r="O214" s="16" t="n">
        <v>186060845497</v>
      </c>
      <c r="P214" s="16" t="n">
        <v>59576996379</v>
      </c>
      <c r="Q214" s="16" t="n">
        <v>6483909328</v>
      </c>
      <c r="AH214" s="19" t="inlineStr">
        <is>
          <t xml:space="preserve">      6.비  품 </t>
        </is>
      </c>
      <c r="AI214" s="848" t="n">
        <v>6819481941</v>
      </c>
    </row>
    <row r="215">
      <c r="A215" s="697" t="n">
        <v>214</v>
      </c>
      <c r="B215" s="33" t="inlineStr">
        <is>
          <t xml:space="preserve">　   Ⅲ.특별계정자산</t>
        </is>
      </c>
      <c r="D215" s="33" t="n">
        <v>0</v>
      </c>
      <c r="E215" s="32" t="n">
        <v>13487230093769</v>
      </c>
      <c r="F215" s="33" t="n">
        <v>0</v>
      </c>
      <c r="G215" s="33" t="n">
        <v>0</v>
      </c>
      <c r="H215" s="145" t="n">
        <v>13487230093769</v>
      </c>
      <c r="I215" s="33" t="n">
        <v>0</v>
      </c>
      <c r="J215" s="33" t="n">
        <v>0</v>
      </c>
      <c r="K215" s="33" t="n">
        <v>0</v>
      </c>
      <c r="L215" s="33" t="n">
        <v>0</v>
      </c>
      <c r="M215" s="32" t="n">
        <v>13487230093769</v>
      </c>
      <c r="N215" s="16" t="n">
        <v>13487230093769</v>
      </c>
      <c r="O215" s="16" t="n">
        <v>0</v>
      </c>
      <c r="P215" s="16" t="n">
        <v>0</v>
      </c>
      <c r="Q215" s="16" t="n">
        <v>0</v>
      </c>
      <c r="AH215" s="19" t="inlineStr">
        <is>
          <t xml:space="preserve">        (감가상각누계액)</t>
        </is>
      </c>
      <c r="AI215" s="848" t="n">
        <v>-49609131340</v>
      </c>
    </row>
    <row r="216">
      <c r="A216" s="697" t="n">
        <v>215</v>
      </c>
      <c r="B216" s="33" t="inlineStr">
        <is>
          <t xml:space="preserve">　　     (특별계정미지급금-실적배당형퇴직연금)</t>
        </is>
      </c>
      <c r="D216" s="33" t="n">
        <v>0</v>
      </c>
      <c r="E216" s="32" t="n">
        <v>-6483909328</v>
      </c>
      <c r="F216" s="33" t="n">
        <v>0</v>
      </c>
      <c r="G216" s="33" t="n">
        <v>0</v>
      </c>
      <c r="H216" s="145" t="n">
        <v>-6483909328</v>
      </c>
      <c r="I216" s="33" t="n">
        <v>0</v>
      </c>
      <c r="J216" s="33" t="n">
        <v>0</v>
      </c>
      <c r="K216" s="33" t="n">
        <v>0</v>
      </c>
      <c r="L216" s="33" t="n">
        <v>0</v>
      </c>
      <c r="M216" s="32" t="n">
        <v>-6483909328</v>
      </c>
      <c r="N216" s="16" t="n">
        <v>-6483909328</v>
      </c>
      <c r="O216" s="16" t="n">
        <v>0</v>
      </c>
      <c r="P216" s="16" t="n">
        <v>0</v>
      </c>
      <c r="Q216" s="16" t="n">
        <v>0</v>
      </c>
      <c r="R216" s="14" t="inlineStr">
        <is>
          <t>퇴직실적</t>
        </is>
      </c>
      <c r="AH216" s="19" t="inlineStr">
        <is>
          <t xml:space="preserve">        (1) 비품</t>
        </is>
      </c>
      <c r="AI216" s="848" t="n">
        <v>56428613281</v>
      </c>
    </row>
    <row r="217">
      <c r="A217" s="697" t="n">
        <v>216</v>
      </c>
      <c r="B217" s="33" t="inlineStr">
        <is>
          <t xml:space="preserve">　　     (특별계정미지급금-변액보험)</t>
        </is>
      </c>
      <c r="D217" s="33" t="n">
        <v>0</v>
      </c>
      <c r="E217" s="32" t="n">
        <v>-186060845497</v>
      </c>
      <c r="F217" s="33" t="n">
        <v>0</v>
      </c>
      <c r="G217" s="33" t="n">
        <v>0</v>
      </c>
      <c r="H217" s="145" t="n">
        <v>-186060845497</v>
      </c>
      <c r="I217" s="33" t="n">
        <v>0</v>
      </c>
      <c r="J217" s="33" t="n">
        <v>0</v>
      </c>
      <c r="K217" s="33" t="n">
        <v>0</v>
      </c>
      <c r="L217" s="33" t="n">
        <v>0</v>
      </c>
      <c r="M217" s="32" t="n">
        <v>-186060845497</v>
      </c>
      <c r="N217" s="16" t="n">
        <v>-186060845497</v>
      </c>
      <c r="O217" s="16" t="n">
        <v>0</v>
      </c>
      <c r="P217" s="16" t="n">
        <v>0</v>
      </c>
      <c r="Q217" s="16" t="n">
        <v>0</v>
      </c>
      <c r="R217" s="14" t="inlineStr">
        <is>
          <t>변액보험</t>
        </is>
      </c>
      <c r="AH217" s="19" t="inlineStr">
        <is>
          <t xml:space="preserve">      7.임 차 점 포 시 설 물 </t>
        </is>
      </c>
      <c r="AI217" s="848" t="n">
        <v>0</v>
      </c>
    </row>
    <row r="218">
      <c r="A218" s="697" t="n">
        <v>217</v>
      </c>
      <c r="B218" s="33" t="inlineStr">
        <is>
          <t xml:space="preserve">　　     1.실적배당형퇴직연금</t>
        </is>
      </c>
      <c r="D218" s="33" t="n">
        <v>0</v>
      </c>
      <c r="E218" s="32" t="n">
        <v>356626729672</v>
      </c>
      <c r="F218" s="33" t="n">
        <v>0</v>
      </c>
      <c r="G218" s="33" t="n">
        <v>0</v>
      </c>
      <c r="H218" s="145" t="n">
        <v>356626729672</v>
      </c>
      <c r="I218" s="33" t="n">
        <v>0</v>
      </c>
      <c r="J218" s="33" t="n">
        <v>0</v>
      </c>
      <c r="K218" s="33" t="n">
        <v>0</v>
      </c>
      <c r="L218" s="33" t="n">
        <v>0</v>
      </c>
      <c r="M218" s="32" t="n">
        <v>356626729672</v>
      </c>
      <c r="N218" s="16" t="n">
        <v>356626729672</v>
      </c>
      <c r="O218" s="16" t="n">
        <v>0</v>
      </c>
      <c r="P218" s="16" t="n">
        <v>0</v>
      </c>
      <c r="Q218" s="16" t="n">
        <v>0</v>
      </c>
      <c r="R218" s="14" t="inlineStr">
        <is>
          <t>퇴직실적</t>
        </is>
      </c>
      <c r="AH218" s="19" t="inlineStr">
        <is>
          <t xml:space="preserve">        (감가상각누계액)</t>
        </is>
      </c>
      <c r="AI218" s="848" t="n">
        <v>0</v>
      </c>
    </row>
    <row r="219">
      <c r="A219" s="697" t="n">
        <v>218</v>
      </c>
      <c r="B219" s="33" t="inlineStr">
        <is>
          <t xml:space="preserve">　　     2.변액보험</t>
        </is>
      </c>
      <c r="D219" s="33" t="n">
        <v>0</v>
      </c>
      <c r="E219" s="32" t="n">
        <v>13323148118922</v>
      </c>
      <c r="F219" s="33" t="n">
        <v>0</v>
      </c>
      <c r="G219" s="33" t="n">
        <v>0</v>
      </c>
      <c r="H219" s="145" t="n">
        <v>13323148118922</v>
      </c>
      <c r="I219" s="33" t="n">
        <v>0</v>
      </c>
      <c r="J219" s="33" t="n">
        <v>0</v>
      </c>
      <c r="K219" s="33" t="n">
        <v>0</v>
      </c>
      <c r="L219" s="33" t="n">
        <v>0</v>
      </c>
      <c r="M219" s="32" t="n">
        <v>13323148118922</v>
      </c>
      <c r="N219" s="16" t="n">
        <v>13323148118922</v>
      </c>
      <c r="O219" s="16" t="n">
        <v>0</v>
      </c>
      <c r="P219" s="16" t="n">
        <v>0</v>
      </c>
      <c r="Q219" s="16" t="n">
        <v>0</v>
      </c>
      <c r="R219" s="14" t="inlineStr">
        <is>
          <t>변액보험</t>
        </is>
      </c>
      <c r="AH219" s="19" t="inlineStr">
        <is>
          <t xml:space="preserve">        (1) 임차점포시설물 </t>
        </is>
      </c>
      <c r="AI219" s="848" t="n">
        <v>0</v>
      </c>
    </row>
    <row r="220">
      <c r="A220" s="697" t="n">
        <v>219</v>
      </c>
      <c r="B220" s="33" t="inlineStr">
        <is>
          <t xml:space="preserve">  [부 채 총 계]</t>
        </is>
      </c>
      <c r="D220" s="32" t="n">
        <v>-30418680379437</v>
      </c>
      <c r="E220" s="32" t="n">
        <v>-13679774907797</v>
      </c>
      <c r="F220" s="32" t="n">
        <v>-13323148118922</v>
      </c>
      <c r="G220" s="32" t="n">
        <v>-356626729672</v>
      </c>
      <c r="H220" s="145" t="n">
        <v>-30418680438640</v>
      </c>
      <c r="I220" s="32" t="n">
        <v>-1634729294400</v>
      </c>
      <c r="J220" s="32" t="n">
        <v>-34862287173</v>
      </c>
      <c r="K220" s="32" t="n">
        <v>-17246396780</v>
      </c>
      <c r="L220" s="32" t="n">
        <v>-1879942208891</v>
      </c>
      <c r="M220" s="32" t="n">
        <v>-26851900251396</v>
      </c>
      <c r="N220" s="16" t="n">
        <v>-28521491832969</v>
      </c>
      <c r="O220" s="16" t="n">
        <v>-13323148118922</v>
      </c>
      <c r="P220" s="16" t="n">
        <v>-1897188605671</v>
      </c>
      <c r="Q220" s="16" t="n">
        <v>-356626729672</v>
      </c>
      <c r="AH220" s="19" t="inlineStr">
        <is>
          <t xml:space="preserve">      8.기타의 유형자산</t>
        </is>
      </c>
      <c r="AI220" s="848" t="n">
        <v>12261175103</v>
      </c>
    </row>
    <row r="221">
      <c r="A221" s="697" t="n">
        <v>220</v>
      </c>
      <c r="B221" s="33" t="inlineStr">
        <is>
          <t xml:space="preserve">　  [보험계약부채]</t>
        </is>
      </c>
      <c r="D221" s="33" t="n">
        <v>0</v>
      </c>
      <c r="E221" s="33" t="n">
        <v>0</v>
      </c>
      <c r="F221" s="33" t="n">
        <v>0</v>
      </c>
      <c r="G221" s="33" t="n">
        <v>0</v>
      </c>
      <c r="H221" s="146" t="n">
        <v>0</v>
      </c>
      <c r="I221" s="33" t="n">
        <v>0</v>
      </c>
      <c r="J221" s="33" t="n">
        <v>0</v>
      </c>
      <c r="K221" s="33" t="n">
        <v>0</v>
      </c>
      <c r="L221" s="33" t="n">
        <v>0</v>
      </c>
      <c r="M221" s="33" t="n">
        <v>0</v>
      </c>
      <c r="N221" s="16" t="n">
        <v>0</v>
      </c>
      <c r="O221" s="16" t="n">
        <v>0</v>
      </c>
      <c r="P221" s="16" t="n">
        <v>0</v>
      </c>
      <c r="Q221" s="16" t="n">
        <v>0</v>
      </c>
      <c r="AH221" s="19" t="inlineStr">
        <is>
          <t xml:space="preserve">        (손상차손누계액)</t>
        </is>
      </c>
      <c r="AI221" s="848" t="n">
        <v>0</v>
      </c>
    </row>
    <row r="222">
      <c r="A222" s="697" t="n">
        <v>221</v>
      </c>
      <c r="B222" s="33" t="inlineStr">
        <is>
          <t xml:space="preserve">　  [재보험계약부채]</t>
        </is>
      </c>
      <c r="D222" s="33" t="n">
        <v>0</v>
      </c>
      <c r="E222" s="33" t="n">
        <v>0</v>
      </c>
      <c r="F222" s="33" t="n">
        <v>0</v>
      </c>
      <c r="G222" s="33" t="n">
        <v>0</v>
      </c>
      <c r="H222" s="146" t="n">
        <v>0</v>
      </c>
      <c r="I222" s="33" t="n">
        <v>0</v>
      </c>
      <c r="J222" s="33" t="n">
        <v>0</v>
      </c>
      <c r="K222" s="33" t="n">
        <v>0</v>
      </c>
      <c r="L222" s="33" t="n">
        <v>0</v>
      </c>
      <c r="M222" s="33" t="n">
        <v>0</v>
      </c>
      <c r="N222" s="16" t="n">
        <v>0</v>
      </c>
      <c r="O222" s="16" t="n">
        <v>0</v>
      </c>
      <c r="P222" s="16" t="n">
        <v>0</v>
      </c>
      <c r="Q222" s="16" t="n">
        <v>0</v>
      </c>
      <c r="AH222" s="19" t="inlineStr">
        <is>
          <t xml:space="preserve">        (감가상각누계액)</t>
        </is>
      </c>
      <c r="AI222" s="848" t="n">
        <v>-8843613077</v>
      </c>
    </row>
    <row r="223">
      <c r="A223" s="697" t="n">
        <v>222</v>
      </c>
      <c r="B223" s="33" t="inlineStr">
        <is>
          <t xml:space="preserve">　  [투자계약부채]</t>
        </is>
      </c>
      <c r="D223" s="33" t="n">
        <v>0</v>
      </c>
      <c r="E223" s="33" t="n">
        <v>0</v>
      </c>
      <c r="F223" s="33" t="n">
        <v>0</v>
      </c>
      <c r="G223" s="33" t="n">
        <v>0</v>
      </c>
      <c r="H223" s="146" t="n">
        <v>0</v>
      </c>
      <c r="I223" s="33" t="n">
        <v>0</v>
      </c>
      <c r="J223" s="33" t="n">
        <v>0</v>
      </c>
      <c r="K223" s="33" t="n">
        <v>0</v>
      </c>
      <c r="L223" s="33" t="n">
        <v>0</v>
      </c>
      <c r="M223" s="33" t="n">
        <v>0</v>
      </c>
      <c r="N223" s="16" t="n">
        <v>0</v>
      </c>
      <c r="O223" s="16" t="n">
        <v>0</v>
      </c>
      <c r="P223" s="16" t="n">
        <v>0</v>
      </c>
      <c r="Q223" s="16" t="n">
        <v>0</v>
      </c>
      <c r="AH223" s="19" t="inlineStr">
        <is>
          <t xml:space="preserve">        (1) 기타의 유형자산</t>
        </is>
      </c>
      <c r="AI223" s="848" t="n">
        <v>72000000</v>
      </c>
    </row>
    <row r="224">
      <c r="A224" s="697" t="n">
        <v>223</v>
      </c>
      <c r="B224" s="33" t="inlineStr">
        <is>
          <t xml:space="preserve">　  [당기손익-공정가치측정금융부채]</t>
        </is>
      </c>
      <c r="D224" s="33" t="n">
        <v>0</v>
      </c>
      <c r="E224" s="33" t="n">
        <v>0</v>
      </c>
      <c r="F224" s="33" t="n">
        <v>0</v>
      </c>
      <c r="G224" s="33" t="n">
        <v>0</v>
      </c>
      <c r="H224" s="146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3" t="n">
        <v>0</v>
      </c>
      <c r="N224" s="16" t="n">
        <v>0</v>
      </c>
      <c r="O224" s="16" t="n">
        <v>0</v>
      </c>
      <c r="P224" s="16" t="n">
        <v>0</v>
      </c>
      <c r="Q224" s="16" t="n">
        <v>0</v>
      </c>
      <c r="AH224" s="19" t="inlineStr">
        <is>
          <t xml:space="preserve">        (2) 사 용 권 자 산 </t>
        </is>
      </c>
      <c r="AI224" s="848" t="n">
        <v>21032788180</v>
      </c>
    </row>
    <row r="225">
      <c r="A225" s="697" t="n">
        <v>224</v>
      </c>
      <c r="B225" s="33" t="inlineStr">
        <is>
          <t xml:space="preserve">　  [당기손익-공정가치측정지정금융부채]</t>
        </is>
      </c>
      <c r="D225" s="33" t="n">
        <v>0</v>
      </c>
      <c r="E225" s="33" t="n">
        <v>0</v>
      </c>
      <c r="F225" s="33" t="n">
        <v>0</v>
      </c>
      <c r="G225" s="33" t="n">
        <v>0</v>
      </c>
      <c r="H225" s="146" t="n">
        <v>0</v>
      </c>
      <c r="I225" s="33" t="n">
        <v>0</v>
      </c>
      <c r="J225" s="33" t="n">
        <v>0</v>
      </c>
      <c r="K225" s="33" t="n">
        <v>0</v>
      </c>
      <c r="L225" s="33" t="n">
        <v>0</v>
      </c>
      <c r="M225" s="33" t="n">
        <v>0</v>
      </c>
      <c r="N225" s="16" t="n">
        <v>0</v>
      </c>
      <c r="O225" s="16" t="n">
        <v>0</v>
      </c>
      <c r="P225" s="16" t="n">
        <v>0</v>
      </c>
      <c r="Q225" s="16" t="n">
        <v>0</v>
      </c>
      <c r="AH225" s="19" t="inlineStr">
        <is>
          <t xml:space="preserve">      9.기 타 부 동 산 </t>
        </is>
      </c>
      <c r="AI225" s="848" t="n">
        <v>0</v>
      </c>
    </row>
    <row r="226">
      <c r="A226" s="697" t="n">
        <v>225</v>
      </c>
      <c r="B226" s="33" t="inlineStr">
        <is>
          <t xml:space="preserve">　  [상각후원가측정금융부채]</t>
        </is>
      </c>
      <c r="D226" s="33" t="n">
        <v>0</v>
      </c>
      <c r="E226" s="33" t="n">
        <v>0</v>
      </c>
      <c r="F226" s="33" t="n">
        <v>0</v>
      </c>
      <c r="G226" s="33" t="n">
        <v>0</v>
      </c>
      <c r="H226" s="146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3" t="n">
        <v>0</v>
      </c>
      <c r="N226" s="16" t="n">
        <v>0</v>
      </c>
      <c r="O226" s="16" t="n">
        <v>0</v>
      </c>
      <c r="P226" s="16" t="n">
        <v>0</v>
      </c>
      <c r="Q226" s="16" t="n">
        <v>0</v>
      </c>
      <c r="AH226" s="19" t="inlineStr">
        <is>
          <t xml:space="preserve">        (감가상각누계액)</t>
        </is>
      </c>
      <c r="AI226" s="848" t="n">
        <v>0</v>
      </c>
    </row>
    <row r="227">
      <c r="A227" s="697" t="n">
        <v>226</v>
      </c>
      <c r="B227" s="33" t="inlineStr">
        <is>
          <t xml:space="preserve">　  [위험회피회계적용파생상품부채]</t>
        </is>
      </c>
      <c r="D227" s="33" t="n">
        <v>0</v>
      </c>
      <c r="E227" s="33" t="n">
        <v>0</v>
      </c>
      <c r="F227" s="33" t="n">
        <v>0</v>
      </c>
      <c r="G227" s="33" t="n">
        <v>0</v>
      </c>
      <c r="H227" s="146" t="n">
        <v>0</v>
      </c>
      <c r="I227" s="33" t="n">
        <v>0</v>
      </c>
      <c r="J227" s="33" t="n">
        <v>0</v>
      </c>
      <c r="K227" s="33" t="n">
        <v>0</v>
      </c>
      <c r="L227" s="33" t="n">
        <v>0</v>
      </c>
      <c r="M227" s="33" t="n">
        <v>0</v>
      </c>
      <c r="N227" s="16" t="n">
        <v>0</v>
      </c>
      <c r="O227" s="16" t="n">
        <v>0</v>
      </c>
      <c r="P227" s="16" t="n">
        <v>0</v>
      </c>
      <c r="Q227" s="16" t="n">
        <v>0</v>
      </c>
      <c r="AH227" s="19" t="inlineStr">
        <is>
          <t xml:space="preserve">        (1) 기타부동산</t>
        </is>
      </c>
      <c r="AI227" s="848" t="n">
        <v>0</v>
      </c>
    </row>
    <row r="228">
      <c r="A228" s="697" t="n">
        <v>227</v>
      </c>
      <c r="B228" s="33" t="inlineStr">
        <is>
          <t xml:space="preserve">　  [비금융부채]</t>
        </is>
      </c>
      <c r="D228" s="33" t="n">
        <v>0</v>
      </c>
      <c r="E228" s="33" t="n">
        <v>0</v>
      </c>
      <c r="F228" s="33" t="n">
        <v>0</v>
      </c>
      <c r="G228" s="33" t="n">
        <v>0</v>
      </c>
      <c r="H228" s="146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3" t="n">
        <v>0</v>
      </c>
      <c r="N228" s="16" t="n">
        <v>0</v>
      </c>
      <c r="O228" s="16" t="n">
        <v>0</v>
      </c>
      <c r="P228" s="16" t="n">
        <v>0</v>
      </c>
      <c r="Q228" s="16" t="n">
        <v>0</v>
      </c>
      <c r="AH228" s="19" t="inlineStr">
        <is>
          <t xml:space="preserve">      10.해 외 부 동 산 </t>
        </is>
      </c>
      <c r="AI228" s="848" t="n">
        <v>0</v>
      </c>
    </row>
    <row r="229">
      <c r="A229" s="697" t="n">
        <v>228</v>
      </c>
      <c r="B229" s="33" t="inlineStr">
        <is>
          <t xml:space="preserve">　  [매각예정처분자산집단에포함된부채]</t>
        </is>
      </c>
      <c r="D229" s="33" t="n">
        <v>0</v>
      </c>
      <c r="E229" s="33" t="n">
        <v>0</v>
      </c>
      <c r="F229" s="33" t="n">
        <v>0</v>
      </c>
      <c r="G229" s="33" t="n">
        <v>0</v>
      </c>
      <c r="H229" s="146" t="n">
        <v>0</v>
      </c>
      <c r="I229" s="33" t="n">
        <v>0</v>
      </c>
      <c r="J229" s="33" t="n">
        <v>0</v>
      </c>
      <c r="K229" s="33" t="n">
        <v>0</v>
      </c>
      <c r="L229" s="33" t="n">
        <v>0</v>
      </c>
      <c r="M229" s="33" t="n">
        <v>0</v>
      </c>
      <c r="N229" s="16" t="n">
        <v>0</v>
      </c>
      <c r="O229" s="16" t="n">
        <v>0</v>
      </c>
      <c r="P229" s="16" t="n">
        <v>0</v>
      </c>
      <c r="Q229" s="16" t="n">
        <v>0</v>
      </c>
      <c r="AH229" s="19" t="inlineStr">
        <is>
          <t xml:space="preserve">        (손상차손누계액)</t>
        </is>
      </c>
      <c r="AI229" s="848" t="n">
        <v>0</v>
      </c>
    </row>
    <row r="230">
      <c r="A230" s="697" t="n">
        <v>229</v>
      </c>
      <c r="B230" s="33" t="inlineStr">
        <is>
          <t xml:space="preserve">　  [특별계정부채]</t>
        </is>
      </c>
      <c r="D230" s="33" t="n">
        <v>0</v>
      </c>
      <c r="E230" s="33" t="n">
        <v>0</v>
      </c>
      <c r="F230" s="33" t="n">
        <v>0</v>
      </c>
      <c r="G230" s="33" t="n">
        <v>0</v>
      </c>
      <c r="H230" s="146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3" t="n">
        <v>0</v>
      </c>
      <c r="N230" s="16" t="n">
        <v>0</v>
      </c>
      <c r="O230" s="16" t="n">
        <v>0</v>
      </c>
      <c r="P230" s="16" t="n">
        <v>0</v>
      </c>
      <c r="Q230" s="16" t="n">
        <v>0</v>
      </c>
      <c r="AH230" s="19" t="inlineStr">
        <is>
          <t xml:space="preserve">        (감가상각누계액)</t>
        </is>
      </c>
      <c r="AI230" s="848" t="n">
        <v>0</v>
      </c>
    </row>
    <row r="231">
      <c r="A231" s="697" t="n">
        <v>230</v>
      </c>
      <c r="B231" s="33" t="inlineStr">
        <is>
          <t xml:space="preserve">　  Ⅰ.책 임 준 비 금</t>
        </is>
      </c>
      <c r="D231" s="32" t="n">
        <v>-29176448156574</v>
      </c>
      <c r="E231" s="33" t="n">
        <v>0</v>
      </c>
      <c r="F231" s="32" t="n">
        <v>-13271261101982</v>
      </c>
      <c r="G231" s="32" t="n">
        <v>-354308229714</v>
      </c>
      <c r="H231" s="145" t="n">
        <v>-15550878824878</v>
      </c>
      <c r="I231" s="32" t="n">
        <v>-1628450172084</v>
      </c>
      <c r="J231" s="32" t="n">
        <v>-33745499406</v>
      </c>
      <c r="K231" s="32" t="n">
        <v>-15789160022</v>
      </c>
      <c r="L231" s="32" t="n">
        <v>-1857078392897</v>
      </c>
      <c r="M231" s="32" t="n">
        <v>-12015815600469</v>
      </c>
      <c r="N231" s="16" t="n">
        <v>-13678011271959</v>
      </c>
      <c r="O231" s="16" t="n">
        <v>-13271261101982</v>
      </c>
      <c r="P231" s="16" t="n">
        <v>-1872867552919</v>
      </c>
      <c r="Q231" s="16" t="n">
        <v>-354308229714</v>
      </c>
      <c r="AH231" s="19" t="inlineStr">
        <is>
          <t xml:space="preserve">        (1) 해외부동산</t>
        </is>
      </c>
      <c r="AI231" s="848" t="n">
        <v>0</v>
      </c>
    </row>
    <row r="232">
      <c r="A232" s="697" t="n">
        <v>231</v>
      </c>
      <c r="B232" s="33" t="inlineStr">
        <is>
          <t xml:space="preserve">　　     1.보험계약부채</t>
        </is>
      </c>
      <c r="D232" s="32" t="n">
        <v>-26996698255523</v>
      </c>
      <c r="E232" s="33" t="n">
        <v>0</v>
      </c>
      <c r="F232" s="33" t="n">
        <v>0</v>
      </c>
      <c r="G232" s="33" t="n">
        <v>0</v>
      </c>
      <c r="H232" s="145" t="n">
        <v>-26996698255523</v>
      </c>
      <c r="I232" s="33" t="n">
        <v>0</v>
      </c>
      <c r="J232" s="33" t="n">
        <v>0</v>
      </c>
      <c r="K232" s="33" t="n">
        <v>0</v>
      </c>
      <c r="L232" s="33" t="n">
        <v>0</v>
      </c>
      <c r="M232" s="32" t="n">
        <v>-26996698255523</v>
      </c>
      <c r="N232" s="16" t="n">
        <v>-26996698255523</v>
      </c>
      <c r="O232" s="16" t="n">
        <v>0</v>
      </c>
      <c r="P232" s="16" t="n">
        <v>0</v>
      </c>
      <c r="Q232" s="16" t="n">
        <v>0</v>
      </c>
      <c r="AH232" s="19" t="inlineStr">
        <is>
          <t xml:space="preserve">  X. 투 자 부 동 산 </t>
        </is>
      </c>
      <c r="AI232" s="848" t="n">
        <v>0</v>
      </c>
    </row>
    <row r="233">
      <c r="A233" s="697" t="n">
        <v>232</v>
      </c>
      <c r="B233" s="33" t="inlineStr">
        <is>
          <t xml:space="preserve">　　　      [보험계약대출]</t>
        </is>
      </c>
      <c r="D233" s="33" t="n">
        <v>0</v>
      </c>
      <c r="E233" s="33" t="n">
        <v>0</v>
      </c>
      <c r="F233" s="33" t="n">
        <v>0</v>
      </c>
      <c r="G233" s="33" t="n">
        <v>0</v>
      </c>
      <c r="H233" s="146" t="n">
        <v>0</v>
      </c>
      <c r="I233" s="33" t="n">
        <v>0</v>
      </c>
      <c r="J233" s="33" t="n">
        <v>0</v>
      </c>
      <c r="K233" s="33" t="n">
        <v>0</v>
      </c>
      <c r="L233" s="33" t="n">
        <v>0</v>
      </c>
      <c r="M233" s="33" t="n">
        <v>0</v>
      </c>
      <c r="N233" s="16" t="n">
        <v>0</v>
      </c>
      <c r="O233" s="16" t="n">
        <v>0</v>
      </c>
      <c r="P233" s="16" t="n">
        <v>0</v>
      </c>
      <c r="Q233" s="16" t="n">
        <v>0</v>
      </c>
      <c r="AH233" s="19" t="inlineStr">
        <is>
          <t xml:space="preserve">      1.토   지</t>
        </is>
      </c>
      <c r="AI233" s="848" t="n">
        <v>0</v>
      </c>
    </row>
    <row r="234">
      <c r="A234" s="697" t="n">
        <v>233</v>
      </c>
      <c r="B234" s="33" t="inlineStr">
        <is>
          <t xml:space="preserve">　　　      [계약자배당부채]</t>
        </is>
      </c>
      <c r="D234" s="33" t="n">
        <v>0</v>
      </c>
      <c r="E234" s="33" t="n">
        <v>0</v>
      </c>
      <c r="F234" s="33" t="n">
        <v>0</v>
      </c>
      <c r="G234" s="33" t="n">
        <v>0</v>
      </c>
      <c r="H234" s="146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3" t="n">
        <v>0</v>
      </c>
      <c r="N234" s="16" t="n">
        <v>0</v>
      </c>
      <c r="O234" s="16" t="n">
        <v>0</v>
      </c>
      <c r="P234" s="16" t="n">
        <v>0</v>
      </c>
      <c r="Q234" s="16" t="n">
        <v>0</v>
      </c>
      <c r="AH234" s="19" t="inlineStr">
        <is>
          <t xml:space="preserve">        (손상차손누계액)</t>
        </is>
      </c>
      <c r="AI234" s="848" t="n">
        <v>0</v>
      </c>
    </row>
    <row r="235">
      <c r="A235" s="697" t="n">
        <v>234</v>
      </c>
      <c r="B235" s="33" t="inlineStr">
        <is>
          <t xml:space="preserve">　　　　       - 계약자배당준비금</t>
        </is>
      </c>
      <c r="D235" s="33" t="n">
        <v>0</v>
      </c>
      <c r="E235" s="33" t="n">
        <v>0</v>
      </c>
      <c r="F235" s="33" t="n">
        <v>0</v>
      </c>
      <c r="G235" s="33" t="n">
        <v>0</v>
      </c>
      <c r="H235" s="146" t="n">
        <v>0</v>
      </c>
      <c r="I235" s="33" t="n">
        <v>0</v>
      </c>
      <c r="J235" s="33" t="n">
        <v>0</v>
      </c>
      <c r="K235" s="33" t="n">
        <v>0</v>
      </c>
      <c r="L235" s="33" t="n">
        <v>0</v>
      </c>
      <c r="M235" s="33" t="n">
        <v>0</v>
      </c>
      <c r="N235" s="16" t="n">
        <v>0</v>
      </c>
      <c r="O235" s="16" t="n">
        <v>0</v>
      </c>
      <c r="P235" s="16" t="n">
        <v>0</v>
      </c>
      <c r="Q235" s="16" t="n">
        <v>0</v>
      </c>
      <c r="AH235" s="19" t="inlineStr">
        <is>
          <t xml:space="preserve">        (1) 토지</t>
        </is>
      </c>
      <c r="AI235" s="848" t="n">
        <v>0</v>
      </c>
    </row>
    <row r="236">
      <c r="A236" s="697" t="n">
        <v>235</v>
      </c>
      <c r="B236" s="33" t="inlineStr">
        <is>
          <t xml:space="preserve">　　　　       - 계약자이익배당준비금</t>
        </is>
      </c>
      <c r="D236" s="33" t="n">
        <v>0</v>
      </c>
      <c r="E236" s="33" t="n">
        <v>0</v>
      </c>
      <c r="F236" s="33" t="n">
        <v>0</v>
      </c>
      <c r="G236" s="33" t="n">
        <v>0</v>
      </c>
      <c r="H236" s="146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3" t="n">
        <v>0</v>
      </c>
      <c r="N236" s="16" t="n">
        <v>0</v>
      </c>
      <c r="O236" s="16" t="n">
        <v>0</v>
      </c>
      <c r="P236" s="16" t="n">
        <v>0</v>
      </c>
      <c r="Q236" s="16" t="n">
        <v>0</v>
      </c>
      <c r="AH236" s="19" t="inlineStr">
        <is>
          <t xml:space="preserve">      2.건   물 </t>
        </is>
      </c>
      <c r="AI236" s="848" t="n">
        <v>0</v>
      </c>
    </row>
    <row r="237">
      <c r="A237" s="697" t="n">
        <v>236</v>
      </c>
      <c r="B237" s="33" t="inlineStr">
        <is>
          <t xml:space="preserve">　　　　       - 배당보험손실보전준비금</t>
        </is>
      </c>
      <c r="D237" s="33" t="n">
        <v>0</v>
      </c>
      <c r="E237" s="33" t="n">
        <v>0</v>
      </c>
      <c r="F237" s="33" t="n">
        <v>0</v>
      </c>
      <c r="G237" s="33" t="n">
        <v>0</v>
      </c>
      <c r="H237" s="146" t="n">
        <v>0</v>
      </c>
      <c r="I237" s="33" t="n">
        <v>0</v>
      </c>
      <c r="J237" s="33" t="n">
        <v>0</v>
      </c>
      <c r="K237" s="33" t="n">
        <v>0</v>
      </c>
      <c r="L237" s="33" t="n">
        <v>0</v>
      </c>
      <c r="M237" s="33" t="n">
        <v>0</v>
      </c>
      <c r="N237" s="16" t="n">
        <v>0</v>
      </c>
      <c r="O237" s="16" t="n">
        <v>0</v>
      </c>
      <c r="P237" s="16" t="n">
        <v>0</v>
      </c>
      <c r="Q237" s="16" t="n">
        <v>0</v>
      </c>
      <c r="AH237" s="19" t="inlineStr">
        <is>
          <t xml:space="preserve">        (감가상각누계액)</t>
        </is>
      </c>
      <c r="AI237" s="848" t="n">
        <v>0</v>
      </c>
    </row>
    <row r="238">
      <c r="A238" s="697" t="n">
        <v>237</v>
      </c>
      <c r="B238" s="33" t="inlineStr">
        <is>
          <t xml:space="preserve">　　　　       - 계약자배당안정화준비금</t>
        </is>
      </c>
      <c r="D238" s="33" t="n">
        <v>0</v>
      </c>
      <c r="E238" s="33" t="n">
        <v>0</v>
      </c>
      <c r="F238" s="33" t="n">
        <v>0</v>
      </c>
      <c r="G238" s="33" t="n">
        <v>0</v>
      </c>
      <c r="H238" s="146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3" t="n">
        <v>0</v>
      </c>
      <c r="N238" s="16" t="n">
        <v>0</v>
      </c>
      <c r="O238" s="16" t="n">
        <v>0</v>
      </c>
      <c r="P238" s="16" t="n">
        <v>0</v>
      </c>
      <c r="Q238" s="16" t="n">
        <v>0</v>
      </c>
      <c r="AH238" s="19" t="inlineStr">
        <is>
          <t xml:space="preserve">        (손상차손누계액)</t>
        </is>
      </c>
      <c r="AI238" s="848" t="n">
        <v>0</v>
      </c>
    </row>
    <row r="239">
      <c r="A239" s="697" t="n">
        <v>238</v>
      </c>
      <c r="B239" s="33" t="inlineStr">
        <is>
          <t xml:space="preserve">　　　      [보증준비금]</t>
        </is>
      </c>
      <c r="D239" s="33" t="n">
        <v>0</v>
      </c>
      <c r="E239" s="33" t="n">
        <v>0</v>
      </c>
      <c r="F239" s="33" t="n">
        <v>0</v>
      </c>
      <c r="G239" s="33" t="n">
        <v>0</v>
      </c>
      <c r="H239" s="146" t="n">
        <v>0</v>
      </c>
      <c r="I239" s="33" t="n">
        <v>0</v>
      </c>
      <c r="J239" s="33" t="n">
        <v>0</v>
      </c>
      <c r="K239" s="33" t="n">
        <v>0</v>
      </c>
      <c r="L239" s="33" t="n">
        <v>0</v>
      </c>
      <c r="M239" s="33" t="n">
        <v>0</v>
      </c>
      <c r="N239" s="16" t="n">
        <v>0</v>
      </c>
      <c r="O239" s="16" t="n">
        <v>0</v>
      </c>
      <c r="P239" s="16" t="n">
        <v>0</v>
      </c>
      <c r="Q239" s="16" t="n">
        <v>0</v>
      </c>
      <c r="AH239" s="19" t="inlineStr">
        <is>
          <t xml:space="preserve">        (1) 건물</t>
        </is>
      </c>
      <c r="AI239" s="848" t="n">
        <v>0</v>
      </c>
    </row>
    <row r="240">
      <c r="A240" s="697" t="n">
        <v>239</v>
      </c>
      <c r="B240" s="33" t="inlineStr">
        <is>
          <t xml:space="preserve">　　　      가.잔여보장요소</t>
        </is>
      </c>
      <c r="D240" s="32" t="n">
        <v>-26584497012657</v>
      </c>
      <c r="E240" s="33" t="n">
        <v>0</v>
      </c>
      <c r="F240" s="33" t="n">
        <v>0</v>
      </c>
      <c r="G240" s="33" t="n">
        <v>0</v>
      </c>
      <c r="H240" s="145" t="n">
        <v>-26584497012657</v>
      </c>
      <c r="I240" s="33" t="n">
        <v>0</v>
      </c>
      <c r="J240" s="33" t="n">
        <v>0</v>
      </c>
      <c r="K240" s="33" t="n">
        <v>0</v>
      </c>
      <c r="L240" s="33" t="n">
        <v>0</v>
      </c>
      <c r="M240" s="32" t="n">
        <v>-26584497012657</v>
      </c>
      <c r="N240" s="16" t="n">
        <v>-26584497012657</v>
      </c>
      <c r="O240" s="16" t="n">
        <v>0</v>
      </c>
      <c r="P240" s="16" t="n">
        <v>0</v>
      </c>
      <c r="Q240" s="16" t="n">
        <v>0</v>
      </c>
      <c r="AH240" s="19" t="inlineStr">
        <is>
          <t xml:space="preserve">      3.구 축 물 </t>
        </is>
      </c>
      <c r="AI240" s="848" t="n">
        <v>0</v>
      </c>
    </row>
    <row r="241">
      <c r="A241" s="697" t="n">
        <v>240</v>
      </c>
      <c r="B241" s="33" t="inlineStr">
        <is>
          <t xml:space="preserve">　　　　       (1) 최선추정</t>
        </is>
      </c>
      <c r="D241" s="32" t="n">
        <v>-24123277596189</v>
      </c>
      <c r="E241" s="33" t="n">
        <v>0</v>
      </c>
      <c r="F241" s="33" t="n">
        <v>0</v>
      </c>
      <c r="G241" s="33" t="n">
        <v>0</v>
      </c>
      <c r="H241" s="145" t="n">
        <v>-24123277596189</v>
      </c>
      <c r="I241" s="33" t="n">
        <v>0</v>
      </c>
      <c r="J241" s="33" t="n">
        <v>0</v>
      </c>
      <c r="K241" s="33" t="n">
        <v>0</v>
      </c>
      <c r="L241" s="33" t="n">
        <v>0</v>
      </c>
      <c r="M241" s="32" t="n">
        <v>-24123277596189</v>
      </c>
      <c r="N241" s="16" t="n">
        <v>-24123277596189</v>
      </c>
      <c r="O241" s="16" t="n">
        <v>0</v>
      </c>
      <c r="P241" s="16" t="n">
        <v>0</v>
      </c>
      <c r="Q241" s="16" t="n">
        <v>0</v>
      </c>
      <c r="AH241" s="19" t="inlineStr">
        <is>
          <t xml:space="preserve">        (감가상각누계액)</t>
        </is>
      </c>
      <c r="AI241" s="848" t="n">
        <v>0</v>
      </c>
    </row>
    <row r="242">
      <c r="A242" s="697" t="n">
        <v>241</v>
      </c>
      <c r="B242" s="33" t="inlineStr">
        <is>
          <t xml:space="preserve">　　　　       (2) 위험조정</t>
        </is>
      </c>
      <c r="D242" s="32" t="n">
        <v>-402796296421</v>
      </c>
      <c r="E242" s="33" t="n">
        <v>0</v>
      </c>
      <c r="F242" s="33" t="n">
        <v>0</v>
      </c>
      <c r="G242" s="33" t="n">
        <v>0</v>
      </c>
      <c r="H242" s="145" t="n">
        <v>-402796296421</v>
      </c>
      <c r="I242" s="33" t="n">
        <v>0</v>
      </c>
      <c r="J242" s="33" t="n">
        <v>0</v>
      </c>
      <c r="K242" s="33" t="n">
        <v>0</v>
      </c>
      <c r="L242" s="33" t="n">
        <v>0</v>
      </c>
      <c r="M242" s="32" t="n">
        <v>-402796296421</v>
      </c>
      <c r="N242" s="16" t="n">
        <v>-402796296421</v>
      </c>
      <c r="O242" s="16" t="n">
        <v>0</v>
      </c>
      <c r="P242" s="16" t="n">
        <v>0</v>
      </c>
      <c r="Q242" s="16" t="n">
        <v>0</v>
      </c>
      <c r="AH242" s="19" t="inlineStr">
        <is>
          <t xml:space="preserve">        (손상차손누계액)</t>
        </is>
      </c>
      <c r="AI242" s="848" t="n">
        <v>0</v>
      </c>
    </row>
    <row r="243">
      <c r="A243" s="697" t="n">
        <v>242</v>
      </c>
      <c r="B243" s="33" t="inlineStr">
        <is>
          <t xml:space="preserve">　　　　       (3) 보험계약마진</t>
        </is>
      </c>
      <c r="D243" s="32" t="n">
        <v>-2058423120047</v>
      </c>
      <c r="E243" s="33" t="n">
        <v>0</v>
      </c>
      <c r="F243" s="33" t="n">
        <v>0</v>
      </c>
      <c r="G243" s="33" t="n">
        <v>0</v>
      </c>
      <c r="H243" s="145" t="n">
        <v>-2058423120047</v>
      </c>
      <c r="I243" s="33" t="n">
        <v>0</v>
      </c>
      <c r="J243" s="33" t="n">
        <v>0</v>
      </c>
      <c r="K243" s="33" t="n">
        <v>0</v>
      </c>
      <c r="L243" s="33" t="n">
        <v>0</v>
      </c>
      <c r="M243" s="32" t="n">
        <v>-2058423120047</v>
      </c>
      <c r="N243" s="16" t="n">
        <v>-2058423120047</v>
      </c>
      <c r="O243" s="16" t="n">
        <v>0</v>
      </c>
      <c r="P243" s="16" t="n">
        <v>0</v>
      </c>
      <c r="Q243" s="16" t="n">
        <v>0</v>
      </c>
      <c r="AH243" s="19" t="inlineStr">
        <is>
          <t xml:space="preserve">        (1) 구축물 </t>
        </is>
      </c>
      <c r="AI243" s="848" t="n">
        <v>0</v>
      </c>
    </row>
    <row r="244">
      <c r="A244" s="697" t="n">
        <v>243</v>
      </c>
      <c r="B244" s="33" t="inlineStr">
        <is>
          <t xml:space="preserve">　　　　       (4) 보험료배분접근법적용</t>
        </is>
      </c>
      <c r="D244" s="33" t="n">
        <v>0</v>
      </c>
      <c r="E244" s="33" t="n">
        <v>0</v>
      </c>
      <c r="F244" s="33" t="n">
        <v>0</v>
      </c>
      <c r="G244" s="33" t="n">
        <v>0</v>
      </c>
      <c r="H244" s="146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3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AH244" s="19" t="inlineStr">
        <is>
          <t xml:space="preserve">      4.기타 부동산</t>
        </is>
      </c>
      <c r="AI244" s="848" t="n">
        <v>0</v>
      </c>
    </row>
    <row r="245">
      <c r="A245" s="697" t="n">
        <v>244</v>
      </c>
      <c r="B245" s="33" t="inlineStr">
        <is>
          <t xml:space="preserve">　　　      나.발생사고요소</t>
        </is>
      </c>
      <c r="D245" s="32" t="n">
        <v>-412201242866</v>
      </c>
      <c r="E245" s="33" t="n">
        <v>0</v>
      </c>
      <c r="F245" s="33" t="n">
        <v>0</v>
      </c>
      <c r="G245" s="33" t="n">
        <v>0</v>
      </c>
      <c r="H245" s="145" t="n">
        <v>-412201242866</v>
      </c>
      <c r="I245" s="33" t="n">
        <v>0</v>
      </c>
      <c r="J245" s="33" t="n">
        <v>0</v>
      </c>
      <c r="K245" s="33" t="n">
        <v>0</v>
      </c>
      <c r="L245" s="33" t="n">
        <v>0</v>
      </c>
      <c r="M245" s="32" t="n">
        <v>-412201242866</v>
      </c>
      <c r="N245" s="16" t="n">
        <v>-412201242866</v>
      </c>
      <c r="O245" s="16" t="n">
        <v>0</v>
      </c>
      <c r="P245" s="16" t="n">
        <v>0</v>
      </c>
      <c r="Q245" s="16" t="n">
        <v>0</v>
      </c>
      <c r="AH245" s="19" t="inlineStr">
        <is>
          <t xml:space="preserve">        (감가상각누계액)</t>
        </is>
      </c>
      <c r="AI245" s="848" t="n">
        <v>0</v>
      </c>
    </row>
    <row r="246">
      <c r="A246" s="697" t="n">
        <v>245</v>
      </c>
      <c r="B246" s="33" t="inlineStr">
        <is>
          <t xml:space="preserve">　　　　       (1) 최선추정</t>
        </is>
      </c>
      <c r="D246" s="32" t="n">
        <v>-408951038243</v>
      </c>
      <c r="E246" s="33" t="n">
        <v>0</v>
      </c>
      <c r="F246" s="33" t="n">
        <v>0</v>
      </c>
      <c r="G246" s="33" t="n">
        <v>0</v>
      </c>
      <c r="H246" s="145" t="n">
        <v>-408951038243</v>
      </c>
      <c r="I246" s="33" t="n">
        <v>0</v>
      </c>
      <c r="J246" s="33" t="n">
        <v>0</v>
      </c>
      <c r="K246" s="33" t="n">
        <v>0</v>
      </c>
      <c r="L246" s="33" t="n">
        <v>0</v>
      </c>
      <c r="M246" s="32" t="n">
        <v>-408951038243</v>
      </c>
      <c r="N246" s="16" t="n">
        <v>-408951038243</v>
      </c>
      <c r="O246" s="16" t="n">
        <v>0</v>
      </c>
      <c r="P246" s="16" t="n">
        <v>0</v>
      </c>
      <c r="Q246" s="16" t="n">
        <v>0</v>
      </c>
      <c r="AH246" s="19" t="inlineStr">
        <is>
          <t xml:space="preserve">        (1) 기타부동산</t>
        </is>
      </c>
      <c r="AI246" s="848" t="n">
        <v>0</v>
      </c>
    </row>
    <row r="247">
      <c r="A247" s="697" t="n">
        <v>246</v>
      </c>
      <c r="B247" s="33" t="inlineStr">
        <is>
          <t xml:space="preserve">　　　　       (2) 위험조정</t>
        </is>
      </c>
      <c r="D247" s="32" t="n">
        <v>-3250204623</v>
      </c>
      <c r="E247" s="33" t="n">
        <v>0</v>
      </c>
      <c r="F247" s="33" t="n">
        <v>0</v>
      </c>
      <c r="G247" s="33" t="n">
        <v>0</v>
      </c>
      <c r="H247" s="145" t="n">
        <v>-3250204623</v>
      </c>
      <c r="I247" s="33" t="n">
        <v>0</v>
      </c>
      <c r="J247" s="33" t="n">
        <v>0</v>
      </c>
      <c r="K247" s="33" t="n">
        <v>0</v>
      </c>
      <c r="L247" s="33" t="n">
        <v>0</v>
      </c>
      <c r="M247" s="32" t="n">
        <v>-3250204623</v>
      </c>
      <c r="N247" s="16" t="n">
        <v>-3250204623</v>
      </c>
      <c r="O247" s="16" t="n">
        <v>0</v>
      </c>
      <c r="P247" s="16" t="n">
        <v>0</v>
      </c>
      <c r="Q247" s="16" t="n">
        <v>0</v>
      </c>
      <c r="AH247" s="19" t="inlineStr">
        <is>
          <t xml:space="preserve">      5.해외 부동산</t>
        </is>
      </c>
      <c r="AI247" s="848" t="n">
        <v>0</v>
      </c>
    </row>
    <row r="248">
      <c r="A248" s="697" t="n">
        <v>247</v>
      </c>
      <c r="B248" s="33" t="inlineStr">
        <is>
          <t xml:space="preserve">　　     2.재보험계약부채</t>
        </is>
      </c>
      <c r="D248" s="33" t="n">
        <v>0</v>
      </c>
      <c r="E248" s="33" t="n">
        <v>0</v>
      </c>
      <c r="F248" s="33" t="n">
        <v>0</v>
      </c>
      <c r="G248" s="33" t="n">
        <v>0</v>
      </c>
      <c r="H248" s="146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3" t="n">
        <v>0</v>
      </c>
      <c r="N248" s="16" t="n">
        <v>0</v>
      </c>
      <c r="O248" s="16" t="n">
        <v>0</v>
      </c>
      <c r="P248" s="16" t="n">
        <v>0</v>
      </c>
      <c r="Q248" s="16" t="n">
        <v>0</v>
      </c>
      <c r="AH248" s="19" t="inlineStr">
        <is>
          <t xml:space="preserve">        (감가상각누계액)</t>
        </is>
      </c>
      <c r="AI248" s="848" t="n">
        <v>0</v>
      </c>
    </row>
    <row r="249">
      <c r="A249" s="697" t="n">
        <v>248</v>
      </c>
      <c r="B249" s="33" t="inlineStr">
        <is>
          <t xml:space="preserve">　　　      가.잔여보장요소</t>
        </is>
      </c>
      <c r="D249" s="33" t="n">
        <v>0</v>
      </c>
      <c r="E249" s="33" t="n">
        <v>0</v>
      </c>
      <c r="F249" s="33" t="n">
        <v>0</v>
      </c>
      <c r="G249" s="33" t="n">
        <v>0</v>
      </c>
      <c r="H249" s="146" t="n">
        <v>0</v>
      </c>
      <c r="I249" s="33" t="n">
        <v>0</v>
      </c>
      <c r="J249" s="33" t="n">
        <v>0</v>
      </c>
      <c r="K249" s="33" t="n">
        <v>0</v>
      </c>
      <c r="L249" s="33" t="n">
        <v>0</v>
      </c>
      <c r="M249" s="33" t="n">
        <v>0</v>
      </c>
      <c r="N249" s="16" t="n">
        <v>0</v>
      </c>
      <c r="O249" s="16" t="n">
        <v>0</v>
      </c>
      <c r="P249" s="16" t="n">
        <v>0</v>
      </c>
      <c r="Q249" s="16" t="n">
        <v>0</v>
      </c>
      <c r="AH249" s="19" t="inlineStr">
        <is>
          <t xml:space="preserve">        (손상차손누계액)</t>
        </is>
      </c>
      <c r="AI249" s="848" t="n">
        <v>0</v>
      </c>
    </row>
    <row r="250">
      <c r="A250" s="697" t="n">
        <v>249</v>
      </c>
      <c r="B250" s="33" t="inlineStr">
        <is>
          <t xml:space="preserve">　　　　       (1) 최선추정</t>
        </is>
      </c>
      <c r="D250" s="33" t="n">
        <v>0</v>
      </c>
      <c r="E250" s="33" t="n">
        <v>0</v>
      </c>
      <c r="F250" s="33" t="n">
        <v>0</v>
      </c>
      <c r="G250" s="33" t="n">
        <v>0</v>
      </c>
      <c r="H250" s="146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3" t="n">
        <v>0</v>
      </c>
      <c r="N250" s="16" t="n">
        <v>0</v>
      </c>
      <c r="O250" s="16" t="n">
        <v>0</v>
      </c>
      <c r="P250" s="16" t="n">
        <v>0</v>
      </c>
      <c r="Q250" s="16" t="n">
        <v>0</v>
      </c>
      <c r="AH250" s="19" t="inlineStr">
        <is>
          <t xml:space="preserve">        (1) 토지</t>
        </is>
      </c>
      <c r="AI250" s="848" t="n">
        <v>0</v>
      </c>
    </row>
    <row r="251">
      <c r="A251" s="697" t="n">
        <v>250</v>
      </c>
      <c r="B251" s="33" t="inlineStr">
        <is>
          <t xml:space="preserve">　　　　       (2) 위험조정</t>
        </is>
      </c>
      <c r="D251" s="33" t="n">
        <v>0</v>
      </c>
      <c r="E251" s="33" t="n">
        <v>0</v>
      </c>
      <c r="F251" s="33" t="n">
        <v>0</v>
      </c>
      <c r="G251" s="33" t="n">
        <v>0</v>
      </c>
      <c r="H251" s="146" t="n">
        <v>0</v>
      </c>
      <c r="I251" s="33" t="n">
        <v>0</v>
      </c>
      <c r="J251" s="33" t="n">
        <v>0</v>
      </c>
      <c r="K251" s="33" t="n">
        <v>0</v>
      </c>
      <c r="L251" s="33" t="n">
        <v>0</v>
      </c>
      <c r="M251" s="33" t="n">
        <v>0</v>
      </c>
      <c r="N251" s="16" t="n">
        <v>0</v>
      </c>
      <c r="O251" s="16" t="n">
        <v>0</v>
      </c>
      <c r="P251" s="16" t="n">
        <v>0</v>
      </c>
      <c r="Q251" s="16" t="n">
        <v>0</v>
      </c>
      <c r="AH251" s="19" t="inlineStr">
        <is>
          <t xml:space="preserve">        (2) 건물</t>
        </is>
      </c>
      <c r="AI251" s="848" t="n">
        <v>0</v>
      </c>
    </row>
    <row r="252">
      <c r="A252" s="697" t="n">
        <v>251</v>
      </c>
      <c r="B252" s="33" t="inlineStr">
        <is>
          <t xml:space="preserve">　　　　       (3) 보험계약마진</t>
        </is>
      </c>
      <c r="D252" s="33" t="n">
        <v>0</v>
      </c>
      <c r="E252" s="33" t="n">
        <v>0</v>
      </c>
      <c r="F252" s="33" t="n">
        <v>0</v>
      </c>
      <c r="G252" s="33" t="n">
        <v>0</v>
      </c>
      <c r="H252" s="146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3" t="n">
        <v>0</v>
      </c>
      <c r="N252" s="16" t="n">
        <v>0</v>
      </c>
      <c r="O252" s="16" t="n">
        <v>0</v>
      </c>
      <c r="P252" s="16" t="n">
        <v>0</v>
      </c>
      <c r="Q252" s="16" t="n">
        <v>0</v>
      </c>
      <c r="AH252" s="19" t="inlineStr">
        <is>
          <t xml:space="preserve">        (3) 구축물 </t>
        </is>
      </c>
      <c r="AI252" s="848" t="n">
        <v>0</v>
      </c>
    </row>
    <row r="253">
      <c r="A253" s="697" t="n">
        <v>252</v>
      </c>
      <c r="B253" s="33" t="inlineStr">
        <is>
          <t xml:space="preserve">　　　　       (4) 보험료배분접근법적용</t>
        </is>
      </c>
      <c r="D253" s="33" t="n">
        <v>0</v>
      </c>
      <c r="E253" s="33" t="n">
        <v>0</v>
      </c>
      <c r="F253" s="33" t="n">
        <v>0</v>
      </c>
      <c r="G253" s="33" t="n">
        <v>0</v>
      </c>
      <c r="H253" s="146" t="n">
        <v>0</v>
      </c>
      <c r="I253" s="33" t="n">
        <v>0</v>
      </c>
      <c r="J253" s="33" t="n">
        <v>0</v>
      </c>
      <c r="K253" s="33" t="n">
        <v>0</v>
      </c>
      <c r="L253" s="33" t="n">
        <v>0</v>
      </c>
      <c r="M253" s="33" t="n">
        <v>0</v>
      </c>
      <c r="N253" s="16" t="n">
        <v>0</v>
      </c>
      <c r="O253" s="16" t="n">
        <v>0</v>
      </c>
      <c r="P253" s="16" t="n">
        <v>0</v>
      </c>
      <c r="Q253" s="16" t="n">
        <v>0</v>
      </c>
      <c r="AH253" s="19" t="inlineStr">
        <is>
          <t xml:space="preserve">        (4) 건설중인자산</t>
        </is>
      </c>
      <c r="AI253" s="848" t="n">
        <v>0</v>
      </c>
    </row>
    <row r="254">
      <c r="A254" s="697" t="n">
        <v>253</v>
      </c>
      <c r="B254" s="33" t="inlineStr">
        <is>
          <t xml:space="preserve">　　　      나.발생사고요소</t>
        </is>
      </c>
      <c r="D254" s="33" t="n">
        <v>0</v>
      </c>
      <c r="E254" s="33" t="n">
        <v>0</v>
      </c>
      <c r="F254" s="33" t="n">
        <v>0</v>
      </c>
      <c r="G254" s="33" t="n">
        <v>0</v>
      </c>
      <c r="H254" s="146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3" t="n">
        <v>0</v>
      </c>
      <c r="N254" s="16" t="n">
        <v>0</v>
      </c>
      <c r="O254" s="16" t="n">
        <v>0</v>
      </c>
      <c r="P254" s="16" t="n">
        <v>0</v>
      </c>
      <c r="Q254" s="16" t="n">
        <v>0</v>
      </c>
      <c r="AH254" s="19" t="inlineStr">
        <is>
          <t xml:space="preserve">  XI. 무 형 자 산 </t>
        </is>
      </c>
      <c r="AI254" s="848" t="n">
        <v>30860278334</v>
      </c>
    </row>
    <row r="255">
      <c r="A255" s="697" t="n">
        <v>254</v>
      </c>
      <c r="B255" s="33" t="inlineStr">
        <is>
          <t xml:space="preserve">　　　　       (1) 최선추정</t>
        </is>
      </c>
      <c r="D255" s="33" t="n">
        <v>0</v>
      </c>
      <c r="E255" s="33" t="n">
        <v>0</v>
      </c>
      <c r="F255" s="33" t="n">
        <v>0</v>
      </c>
      <c r="G255" s="33" t="n">
        <v>0</v>
      </c>
      <c r="H255" s="146" t="n">
        <v>0</v>
      </c>
      <c r="I255" s="33" t="n">
        <v>0</v>
      </c>
      <c r="J255" s="33" t="n">
        <v>0</v>
      </c>
      <c r="K255" s="33" t="n">
        <v>0</v>
      </c>
      <c r="L255" s="33" t="n">
        <v>0</v>
      </c>
      <c r="M255" s="33" t="n">
        <v>0</v>
      </c>
      <c r="N255" s="16" t="n">
        <v>0</v>
      </c>
      <c r="O255" s="16" t="n">
        <v>0</v>
      </c>
      <c r="P255" s="16" t="n">
        <v>0</v>
      </c>
      <c r="Q255" s="16" t="n">
        <v>0</v>
      </c>
      <c r="AH255" s="19" t="inlineStr">
        <is>
          <t xml:space="preserve">      (손상차손누계액)</t>
        </is>
      </c>
      <c r="AI255" s="848" t="n">
        <v>-97943900</v>
      </c>
    </row>
    <row r="256">
      <c r="A256" s="697" t="n">
        <v>255</v>
      </c>
      <c r="B256" s="33" t="inlineStr">
        <is>
          <t xml:space="preserve">　　　　       (2) 위험조정</t>
        </is>
      </c>
      <c r="D256" s="33" t="n">
        <v>0</v>
      </c>
      <c r="E256" s="33" t="n">
        <v>0</v>
      </c>
      <c r="F256" s="33" t="n">
        <v>0</v>
      </c>
      <c r="G256" s="33" t="n">
        <v>0</v>
      </c>
      <c r="H256" s="146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3" t="n">
        <v>0</v>
      </c>
      <c r="N256" s="16" t="n">
        <v>0</v>
      </c>
      <c r="O256" s="16" t="n">
        <v>0</v>
      </c>
      <c r="P256" s="16" t="n">
        <v>0</v>
      </c>
      <c r="Q256" s="16" t="n">
        <v>0</v>
      </c>
      <c r="AH256" s="19" t="inlineStr">
        <is>
          <t xml:space="preserve">       1.영 업 권 </t>
        </is>
      </c>
      <c r="AI256" s="848" t="n">
        <v>0</v>
      </c>
    </row>
    <row r="257">
      <c r="A257" s="697" t="n">
        <v>256</v>
      </c>
      <c r="B257" s="33" t="inlineStr">
        <is>
          <t xml:space="preserve">　　     3.투자계약부채</t>
        </is>
      </c>
      <c r="D257" s="32" t="n">
        <v>-2179749901051</v>
      </c>
      <c r="E257" s="33" t="n">
        <v>0</v>
      </c>
      <c r="F257" s="33" t="n">
        <v>0</v>
      </c>
      <c r="G257" s="33" t="n">
        <v>0</v>
      </c>
      <c r="H257" s="145" t="n">
        <v>-2179749901051</v>
      </c>
      <c r="I257" s="33" t="n">
        <v>0</v>
      </c>
      <c r="J257" s="33" t="n">
        <v>0</v>
      </c>
      <c r="K257" s="33" t="n">
        <v>0</v>
      </c>
      <c r="L257" s="33" t="n">
        <v>0</v>
      </c>
      <c r="M257" s="32" t="n">
        <v>-2179749901051</v>
      </c>
      <c r="N257" s="16" t="n">
        <v>-2179749901051</v>
      </c>
      <c r="O257" s="16" t="n">
        <v>0</v>
      </c>
      <c r="P257" s="16" t="n">
        <v>0</v>
      </c>
      <c r="Q257" s="16" t="n">
        <v>0</v>
      </c>
      <c r="AH257" s="19" t="inlineStr">
        <is>
          <t xml:space="preserve">       2.소프트웨어 </t>
        </is>
      </c>
      <c r="AI257" s="848" t="n">
        <v>6147713837</v>
      </c>
    </row>
    <row r="258">
      <c r="A258" s="697" t="n">
        <v>257</v>
      </c>
      <c r="B258" s="33" t="inlineStr">
        <is>
          <t xml:space="preserve">　   II.기 타 부 채</t>
        </is>
      </c>
      <c r="D258" s="33" t="n">
        <v>0</v>
      </c>
      <c r="E258" s="32" t="n">
        <v>-59203</v>
      </c>
      <c r="F258" s="33" t="n">
        <v>0</v>
      </c>
      <c r="G258" s="33" t="n">
        <v>0</v>
      </c>
      <c r="H258" s="145" t="n">
        <v>-59203</v>
      </c>
      <c r="I258" s="33" t="n">
        <v>0</v>
      </c>
      <c r="J258" s="33" t="n">
        <v>0</v>
      </c>
      <c r="K258" s="33" t="n">
        <v>0</v>
      </c>
      <c r="L258" s="33" t="n">
        <v>0</v>
      </c>
      <c r="M258" s="32" t="n">
        <v>-59203</v>
      </c>
      <c r="N258" s="16" t="n">
        <v>-59203</v>
      </c>
      <c r="O258" s="16" t="n">
        <v>0</v>
      </c>
      <c r="P258" s="16" t="n">
        <v>0</v>
      </c>
      <c r="Q258" s="16" t="n">
        <v>0</v>
      </c>
      <c r="AH258" s="19" t="inlineStr">
        <is>
          <t xml:space="preserve">       3.개 발 비 </t>
        </is>
      </c>
      <c r="AI258" s="848" t="n">
        <v>0</v>
      </c>
    </row>
    <row r="259">
      <c r="A259" s="697" t="n">
        <v>258</v>
      </c>
      <c r="B259" s="33" t="inlineStr">
        <is>
          <t xml:space="preserve">　　     [당기손익-공정가치측정지정 금융부채]</t>
        </is>
      </c>
      <c r="D259" s="33" t="n">
        <v>0</v>
      </c>
      <c r="E259" s="33" t="n">
        <v>0</v>
      </c>
      <c r="F259" s="33" t="n">
        <v>0</v>
      </c>
      <c r="G259" s="33" t="n">
        <v>0</v>
      </c>
      <c r="H259" s="146" t="n">
        <v>0</v>
      </c>
      <c r="I259" s="33" t="n">
        <v>0</v>
      </c>
      <c r="J259" s="33" t="n">
        <v>0</v>
      </c>
      <c r="K259" s="33" t="n">
        <v>0</v>
      </c>
      <c r="L259" s="33" t="n">
        <v>0</v>
      </c>
      <c r="M259" s="33" t="n">
        <v>0</v>
      </c>
      <c r="N259" s="16" t="n">
        <v>0</v>
      </c>
      <c r="O259" s="16" t="n">
        <v>0</v>
      </c>
      <c r="P259" s="16" t="n">
        <v>0</v>
      </c>
      <c r="Q259" s="16" t="n">
        <v>0</v>
      </c>
      <c r="AH259" s="19" t="inlineStr">
        <is>
          <t xml:space="preserve">       4.기타의무형자산 </t>
        </is>
      </c>
      <c r="AI259" s="848" t="n">
        <v>24810508397</v>
      </c>
    </row>
    <row r="260">
      <c r="A260" s="697" t="n">
        <v>259</v>
      </c>
      <c r="B260" s="33" t="inlineStr">
        <is>
          <t xml:space="preserve">　　      1.미지급금</t>
        </is>
      </c>
      <c r="D260" s="33" t="n">
        <v>0</v>
      </c>
      <c r="E260" s="33" t="n">
        <v>0</v>
      </c>
      <c r="F260" s="33" t="n">
        <v>0</v>
      </c>
      <c r="G260" s="33" t="n">
        <v>0</v>
      </c>
      <c r="H260" s="146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3" t="n">
        <v>0</v>
      </c>
      <c r="N260" s="16" t="n">
        <v>0</v>
      </c>
      <c r="O260" s="16" t="n">
        <v>0</v>
      </c>
      <c r="P260" s="16" t="n">
        <v>0</v>
      </c>
      <c r="Q260" s="16" t="n">
        <v>0</v>
      </c>
      <c r="AH260" s="19" t="inlineStr">
        <is>
          <t xml:space="preserve">       5.기    타</t>
        </is>
      </c>
      <c r="AI260" s="848" t="n">
        <v>0</v>
      </c>
    </row>
    <row r="261">
      <c r="A261" s="697" t="n">
        <v>260</v>
      </c>
      <c r="B261" s="33" t="inlineStr">
        <is>
          <t xml:space="preserve">　　      2.미지급비용</t>
        </is>
      </c>
      <c r="D261" s="33" t="n">
        <v>0</v>
      </c>
      <c r="E261" s="32" t="n">
        <v>-59203</v>
      </c>
      <c r="F261" s="33" t="n">
        <v>0</v>
      </c>
      <c r="G261" s="33" t="n">
        <v>0</v>
      </c>
      <c r="H261" s="145" t="n">
        <v>-59203</v>
      </c>
      <c r="I261" s="33" t="n">
        <v>0</v>
      </c>
      <c r="J261" s="33" t="n">
        <v>0</v>
      </c>
      <c r="K261" s="33" t="n">
        <v>0</v>
      </c>
      <c r="L261" s="33" t="n">
        <v>0</v>
      </c>
      <c r="M261" s="32" t="n">
        <v>-59203</v>
      </c>
      <c r="N261" s="16" t="n">
        <v>-59203</v>
      </c>
      <c r="O261" s="16" t="n">
        <v>0</v>
      </c>
      <c r="P261" s="16" t="n">
        <v>0</v>
      </c>
      <c r="Q261" s="16" t="n">
        <v>0</v>
      </c>
      <c r="AH261" s="19" t="inlineStr">
        <is>
          <t xml:space="preserve">         (1) 관리운영권</t>
        </is>
      </c>
      <c r="AI261" s="848" t="n">
        <v>0</v>
      </c>
    </row>
    <row r="262">
      <c r="A262" s="697" t="n">
        <v>261</v>
      </c>
      <c r="B262" s="33" t="inlineStr">
        <is>
          <t xml:space="preserve">　　      3.미지급법인세</t>
        </is>
      </c>
      <c r="D262" s="32" t="n">
        <v>-1242232222863</v>
      </c>
      <c r="E262" s="32" t="n">
        <v>-29281993757</v>
      </c>
      <c r="F262" s="32" t="n">
        <v>-51887016940</v>
      </c>
      <c r="G262" s="32" t="n">
        <v>-2318499958</v>
      </c>
      <c r="H262" s="145" t="n">
        <v>-1217308699722</v>
      </c>
      <c r="I262" s="32" t="n">
        <v>-6279122316</v>
      </c>
      <c r="J262" s="32" t="n">
        <v>-1116787767</v>
      </c>
      <c r="K262" s="32" t="n">
        <v>-1457236758</v>
      </c>
      <c r="L262" s="32" t="n">
        <v>-22863815994</v>
      </c>
      <c r="M262" s="32" t="n">
        <v>-1185591736887</v>
      </c>
      <c r="N262" s="16" t="n">
        <v>-1192987646970</v>
      </c>
      <c r="O262" s="16" t="n">
        <v>-51887016940</v>
      </c>
      <c r="P262" s="16" t="n">
        <v>-24321052752</v>
      </c>
      <c r="Q262" s="16" t="n">
        <v>-2318499958</v>
      </c>
      <c r="AH262" s="19" t="inlineStr">
        <is>
          <t xml:space="preserve">         (2) 국고보조금 </t>
        </is>
      </c>
      <c r="AI262" s="848" t="n">
        <v>0</v>
      </c>
    </row>
    <row r="263">
      <c r="A263" s="697" t="n">
        <v>262</v>
      </c>
      <c r="B263" s="33" t="inlineStr">
        <is>
          <t xml:space="preserve">　　      4.당좌차월</t>
        </is>
      </c>
      <c r="D263" s="33" t="n">
        <v>0</v>
      </c>
      <c r="E263" s="33" t="n">
        <v>0</v>
      </c>
      <c r="F263" s="33" t="n">
        <v>0</v>
      </c>
      <c r="G263" s="33" t="n">
        <v>0</v>
      </c>
      <c r="H263" s="146" t="n">
        <v>0</v>
      </c>
      <c r="I263" s="33" t="n">
        <v>0</v>
      </c>
      <c r="J263" s="33" t="n">
        <v>0</v>
      </c>
      <c r="K263" s="33" t="n">
        <v>0</v>
      </c>
      <c r="L263" s="33" t="n">
        <v>0</v>
      </c>
      <c r="M263" s="33" t="n">
        <v>0</v>
      </c>
      <c r="N263" s="16" t="n">
        <v>0</v>
      </c>
      <c r="O263" s="16" t="n">
        <v>0</v>
      </c>
      <c r="P263" s="16" t="n">
        <v>0</v>
      </c>
      <c r="Q263" s="16" t="n">
        <v>0</v>
      </c>
      <c r="AH263" s="19" t="inlineStr">
        <is>
          <t xml:space="preserve">  XII. 당 기 법 인 세 자 산 </t>
        </is>
      </c>
      <c r="AI263" s="848" t="n">
        <v>65780203593</v>
      </c>
    </row>
    <row r="264">
      <c r="A264" s="697" t="n">
        <v>263</v>
      </c>
      <c r="B264" s="33" t="inlineStr">
        <is>
          <t xml:space="preserve">　　      5.차입금</t>
        </is>
      </c>
      <c r="D264" s="32" t="n">
        <v>-10695930262</v>
      </c>
      <c r="E264" s="33" t="n">
        <v>0</v>
      </c>
      <c r="F264" s="32" t="n">
        <v>-8594128125</v>
      </c>
      <c r="G264" s="32" t="n">
        <v>-330796166</v>
      </c>
      <c r="H264" s="145" t="n">
        <v>-1771005971</v>
      </c>
      <c r="I264" s="33" t="n">
        <v>0</v>
      </c>
      <c r="J264" s="33" t="n">
        <v>0</v>
      </c>
      <c r="K264" s="33" t="n">
        <v>0</v>
      </c>
      <c r="L264" s="32" t="n">
        <v>-2689501</v>
      </c>
      <c r="M264" s="32" t="n">
        <v>-1768316470</v>
      </c>
      <c r="N264" s="16" t="n">
        <v>-1768316470</v>
      </c>
      <c r="O264" s="16" t="n">
        <v>-8594128125</v>
      </c>
      <c r="P264" s="16" t="n">
        <v>-2689501</v>
      </c>
      <c r="Q264" s="16" t="n">
        <v>-330796166</v>
      </c>
      <c r="AH264" s="19" t="inlineStr">
        <is>
          <t xml:space="preserve">  XIII. 이 연 법 인 세 자 산 </t>
        </is>
      </c>
      <c r="AI264" s="848" t="n">
        <v>0</v>
      </c>
    </row>
    <row r="265">
      <c r="A265" s="697" t="n">
        <v>264</v>
      </c>
      <c r="B265" s="33" t="inlineStr">
        <is>
          <t xml:space="preserve">　　　        가.콜머니</t>
        </is>
      </c>
      <c r="D265" s="32" t="n">
        <v>-106206760963</v>
      </c>
      <c r="E265" s="33" t="n">
        <v>0</v>
      </c>
      <c r="F265" s="32" t="n">
        <v>-6529328860</v>
      </c>
      <c r="G265" s="32" t="n">
        <v>-87201842</v>
      </c>
      <c r="H265" s="145" t="n">
        <v>-99590230261</v>
      </c>
      <c r="I265" s="33" t="n">
        <v>0</v>
      </c>
      <c r="J265" s="32" t="n">
        <v>-864554</v>
      </c>
      <c r="K265" s="32" t="n">
        <v>-234035499</v>
      </c>
      <c r="L265" s="32" t="n">
        <v>-6130287315</v>
      </c>
      <c r="M265" s="32" t="n">
        <v>-93225042893</v>
      </c>
      <c r="N265" s="16" t="n">
        <v>-93225907447</v>
      </c>
      <c r="O265" s="16" t="n">
        <v>-6529328860</v>
      </c>
      <c r="P265" s="16" t="n">
        <v>-6364322814</v>
      </c>
      <c r="Q265" s="16" t="n">
        <v>-87201842</v>
      </c>
      <c r="AH265" s="19" t="inlineStr">
        <is>
          <t xml:space="preserve">  XIV.  기 타 자 산 </t>
        </is>
      </c>
      <c r="AI265" s="848" t="n">
        <v>8104441693</v>
      </c>
    </row>
    <row r="266">
      <c r="A266" s="697" t="n">
        <v>265</v>
      </c>
      <c r="B266" s="33" t="inlineStr">
        <is>
          <t xml:space="preserve">　　　        나.RP매도</t>
        </is>
      </c>
      <c r="D266" s="33" t="n">
        <v>0</v>
      </c>
      <c r="E266" s="33" t="n">
        <v>0</v>
      </c>
      <c r="F266" s="33" t="n">
        <v>0</v>
      </c>
      <c r="G266" s="33" t="n">
        <v>0</v>
      </c>
      <c r="H266" s="146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3" t="n">
        <v>0</v>
      </c>
      <c r="N266" s="16" t="n">
        <v>0</v>
      </c>
      <c r="O266" s="16" t="n">
        <v>0</v>
      </c>
      <c r="P266" s="16" t="n">
        <v>0</v>
      </c>
      <c r="Q266" s="16" t="n">
        <v>0</v>
      </c>
      <c r="AH266" s="19" t="inlineStr">
        <is>
          <t xml:space="preserve">       1.선 급 비 용 </t>
        </is>
      </c>
      <c r="AI266" s="848" t="n">
        <v>8104441693</v>
      </c>
    </row>
    <row r="267">
      <c r="A267" s="697" t="n">
        <v>266</v>
      </c>
      <c r="B267" s="33" t="inlineStr">
        <is>
          <t xml:space="preserve">　　　        다.후순위차입</t>
        </is>
      </c>
      <c r="D267" s="33" t="n">
        <v>0</v>
      </c>
      <c r="E267" s="33" t="n">
        <v>0</v>
      </c>
      <c r="F267" s="33" t="n">
        <v>0</v>
      </c>
      <c r="G267" s="33" t="n">
        <v>0</v>
      </c>
      <c r="H267" s="146" t="n">
        <v>0</v>
      </c>
      <c r="I267" s="33" t="n">
        <v>0</v>
      </c>
      <c r="J267" s="33" t="n">
        <v>0</v>
      </c>
      <c r="K267" s="33" t="n">
        <v>0</v>
      </c>
      <c r="L267" s="33" t="n">
        <v>0</v>
      </c>
      <c r="M267" s="33" t="n">
        <v>0</v>
      </c>
      <c r="N267" s="16" t="n">
        <v>0</v>
      </c>
      <c r="O267" s="16" t="n">
        <v>0</v>
      </c>
      <c r="P267" s="16" t="n">
        <v>0</v>
      </c>
      <c r="Q267" s="16" t="n">
        <v>0</v>
      </c>
      <c r="AH267" s="19" t="inlineStr">
        <is>
          <t xml:space="preserve">       2.선 급 부 가 세 </t>
        </is>
      </c>
      <c r="AI267" s="848" t="n">
        <v>0</v>
      </c>
    </row>
    <row r="268">
      <c r="A268" s="697" t="n">
        <v>267</v>
      </c>
      <c r="B268" s="33" t="inlineStr">
        <is>
          <t xml:space="preserve">　　　        라.기업어음의발행</t>
        </is>
      </c>
      <c r="D268" s="33" t="n">
        <v>0</v>
      </c>
      <c r="E268" s="33" t="n">
        <v>0</v>
      </c>
      <c r="F268" s="33" t="n">
        <v>0</v>
      </c>
      <c r="G268" s="33" t="n">
        <v>0</v>
      </c>
      <c r="H268" s="146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3" t="n">
        <v>0</v>
      </c>
      <c r="N268" s="16" t="n">
        <v>0</v>
      </c>
      <c r="O268" s="16" t="n">
        <v>0</v>
      </c>
      <c r="P268" s="16" t="n">
        <v>0</v>
      </c>
      <c r="Q268" s="16" t="n">
        <v>0</v>
      </c>
      <c r="AH268" s="19" t="inlineStr">
        <is>
          <t xml:space="preserve">       3.선 급 금 </t>
        </is>
      </c>
      <c r="AI268" s="848" t="n">
        <v>0</v>
      </c>
    </row>
    <row r="269">
      <c r="A269" s="697" t="n">
        <v>268</v>
      </c>
      <c r="B269" s="33" t="inlineStr">
        <is>
          <t xml:space="preserve">　　　        마.기타</t>
        </is>
      </c>
      <c r="D269" s="33" t="n">
        <v>0</v>
      </c>
      <c r="E269" s="33" t="n">
        <v>0</v>
      </c>
      <c r="F269" s="33" t="n">
        <v>0</v>
      </c>
      <c r="G269" s="33" t="n">
        <v>0</v>
      </c>
      <c r="H269" s="146" t="n">
        <v>0</v>
      </c>
      <c r="I269" s="33" t="n">
        <v>0</v>
      </c>
      <c r="J269" s="33" t="n">
        <v>0</v>
      </c>
      <c r="K269" s="33" t="n">
        <v>0</v>
      </c>
      <c r="L269" s="33" t="n">
        <v>0</v>
      </c>
      <c r="M269" s="33" t="n">
        <v>0</v>
      </c>
      <c r="N269" s="16" t="n">
        <v>0</v>
      </c>
      <c r="O269" s="16" t="n">
        <v>0</v>
      </c>
      <c r="P269" s="16" t="n">
        <v>0</v>
      </c>
      <c r="Q269" s="16" t="n">
        <v>0</v>
      </c>
      <c r="AH269" s="19" t="inlineStr">
        <is>
          <t xml:space="preserve">       4.가 지 급 금 </t>
        </is>
      </c>
      <c r="AI269" s="848" t="n">
        <v>0</v>
      </c>
    </row>
    <row r="270">
      <c r="A270" s="697" t="n">
        <v>269</v>
      </c>
      <c r="B270" s="33" t="inlineStr">
        <is>
          <t xml:space="preserve">　　      6.사  채</t>
        </is>
      </c>
      <c r="D270" s="33" t="n">
        <v>0</v>
      </c>
      <c r="E270" s="33" t="n">
        <v>0</v>
      </c>
      <c r="F270" s="33" t="n">
        <v>0</v>
      </c>
      <c r="G270" s="33" t="n">
        <v>0</v>
      </c>
      <c r="H270" s="146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3" t="n">
        <v>0</v>
      </c>
      <c r="N270" s="16" t="n">
        <v>0</v>
      </c>
      <c r="O270" s="16" t="n">
        <v>0</v>
      </c>
      <c r="P270" s="16" t="n">
        <v>0</v>
      </c>
      <c r="Q270" s="16" t="n">
        <v>0</v>
      </c>
      <c r="AH270" s="19" t="inlineStr">
        <is>
          <t xml:space="preserve">       5.기    타</t>
        </is>
      </c>
      <c r="AI270" s="848" t="n">
        <v>0</v>
      </c>
    </row>
    <row r="271">
      <c r="A271" s="697" t="n">
        <v>270</v>
      </c>
      <c r="B271" s="33" t="inlineStr">
        <is>
          <t xml:space="preserve">　　　        가.후순위채권</t>
        </is>
      </c>
      <c r="D271" s="33" t="n">
        <v>0</v>
      </c>
      <c r="E271" s="33" t="n">
        <v>0</v>
      </c>
      <c r="F271" s="33" t="n">
        <v>0</v>
      </c>
      <c r="G271" s="33" t="n">
        <v>0</v>
      </c>
      <c r="H271" s="146" t="n">
        <v>0</v>
      </c>
      <c r="I271" s="33" t="n">
        <v>0</v>
      </c>
      <c r="J271" s="33" t="n">
        <v>0</v>
      </c>
      <c r="K271" s="33" t="n">
        <v>0</v>
      </c>
      <c r="L271" s="33" t="n">
        <v>0</v>
      </c>
      <c r="M271" s="33" t="n">
        <v>0</v>
      </c>
      <c r="N271" s="16" t="n">
        <v>0</v>
      </c>
      <c r="O271" s="16" t="n">
        <v>0</v>
      </c>
      <c r="P271" s="16" t="n">
        <v>0</v>
      </c>
      <c r="Q271" s="16" t="n">
        <v>0</v>
      </c>
      <c r="AH271" s="19" t="inlineStr">
        <is>
          <t xml:space="preserve">        (1) 금융리스채권</t>
        </is>
      </c>
      <c r="AI271" s="848" t="n">
        <v>0</v>
      </c>
    </row>
    <row r="272">
      <c r="A272" s="697" t="n">
        <v>271</v>
      </c>
      <c r="B272" s="33" t="inlineStr">
        <is>
          <t xml:space="preserve">　　　        나.일반채권</t>
        </is>
      </c>
      <c r="D272" s="33" t="n">
        <v>0</v>
      </c>
      <c r="E272" s="33" t="n">
        <v>0</v>
      </c>
      <c r="F272" s="33" t="n">
        <v>0</v>
      </c>
      <c r="G272" s="33" t="n">
        <v>0</v>
      </c>
      <c r="H272" s="146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3" t="n">
        <v>0</v>
      </c>
      <c r="N272" s="16" t="n">
        <v>0</v>
      </c>
      <c r="O272" s="16" t="n">
        <v>0</v>
      </c>
      <c r="P272" s="16" t="n">
        <v>0</v>
      </c>
      <c r="Q272" s="16" t="n">
        <v>0</v>
      </c>
      <c r="AH272" s="19" t="inlineStr">
        <is>
          <t xml:space="preserve">       6.가지급보험금</t>
        </is>
      </c>
      <c r="AI272" s="848" t="n">
        <v>0</v>
      </c>
    </row>
    <row r="273">
      <c r="A273" s="697" t="n">
        <v>272</v>
      </c>
      <c r="B273" s="33" t="inlineStr">
        <is>
          <t xml:space="preserve">　　      7.선 수 금</t>
        </is>
      </c>
      <c r="D273" s="33" t="n">
        <v>0</v>
      </c>
      <c r="E273" s="33" t="n">
        <v>0</v>
      </c>
      <c r="F273" s="33" t="n">
        <v>0</v>
      </c>
      <c r="G273" s="33" t="n">
        <v>0</v>
      </c>
      <c r="H273" s="146" t="n">
        <v>0</v>
      </c>
      <c r="I273" s="33" t="n">
        <v>0</v>
      </c>
      <c r="J273" s="33" t="n">
        <v>0</v>
      </c>
      <c r="K273" s="33" t="n">
        <v>0</v>
      </c>
      <c r="L273" s="33" t="n">
        <v>0</v>
      </c>
      <c r="M273" s="33" t="n">
        <v>0</v>
      </c>
      <c r="N273" s="16" t="n">
        <v>0</v>
      </c>
      <c r="O273" s="16" t="n">
        <v>0</v>
      </c>
      <c r="P273" s="16" t="n">
        <v>0</v>
      </c>
      <c r="Q273" s="16" t="n">
        <v>0</v>
      </c>
      <c r="AH273" s="19" t="inlineStr">
        <is>
          <t xml:space="preserve">       7.기타의 비운용자산 </t>
        </is>
      </c>
      <c r="AI273" s="848" t="n">
        <v>0</v>
      </c>
    </row>
    <row r="274">
      <c r="A274" s="697" t="n">
        <v>273</v>
      </c>
      <c r="B274" s="33" t="inlineStr">
        <is>
          <t xml:space="preserve">　　      8.선수수익</t>
        </is>
      </c>
      <c r="D274" s="32" t="n">
        <v>-598648785162</v>
      </c>
      <c r="E274" s="33" t="n">
        <v>0</v>
      </c>
      <c r="F274" s="33" t="n">
        <v>0</v>
      </c>
      <c r="G274" s="33" t="n">
        <v>0</v>
      </c>
      <c r="H274" s="145" t="n">
        <v>-598648785162</v>
      </c>
      <c r="I274" s="33" t="n">
        <v>0</v>
      </c>
      <c r="J274" s="33" t="n">
        <v>0</v>
      </c>
      <c r="K274" s="33" t="n">
        <v>0</v>
      </c>
      <c r="L274" s="33" t="n">
        <v>0</v>
      </c>
      <c r="M274" s="32" t="n">
        <v>-598648785162</v>
      </c>
      <c r="N274" s="16" t="n">
        <v>-598648785162</v>
      </c>
      <c r="O274" s="16" t="n">
        <v>0</v>
      </c>
      <c r="P274" s="16" t="n">
        <v>0</v>
      </c>
      <c r="Q274" s="16" t="n">
        <v>0</v>
      </c>
      <c r="AH274" s="19" t="inlineStr">
        <is>
          <t xml:space="preserve">       8.본지점 계정차 </t>
        </is>
      </c>
      <c r="AI274" s="848" t="n">
        <v>0</v>
      </c>
    </row>
    <row r="275">
      <c r="A275" s="697" t="n">
        <v>274</v>
      </c>
      <c r="B275" s="33" t="inlineStr">
        <is>
          <t xml:space="preserve">　　      9.예 수 금</t>
        </is>
      </c>
      <c r="D275" s="32" t="n">
        <v>-598648785162</v>
      </c>
      <c r="E275" s="33" t="n">
        <v>0</v>
      </c>
      <c r="F275" s="33" t="n">
        <v>0</v>
      </c>
      <c r="G275" s="33" t="n">
        <v>0</v>
      </c>
      <c r="H275" s="145" t="n">
        <v>-598648785162</v>
      </c>
      <c r="I275" s="33" t="n">
        <v>0</v>
      </c>
      <c r="J275" s="33" t="n">
        <v>0</v>
      </c>
      <c r="K275" s="33" t="n">
        <v>0</v>
      </c>
      <c r="L275" s="33" t="n">
        <v>0</v>
      </c>
      <c r="M275" s="32" t="n">
        <v>-598648785162</v>
      </c>
      <c r="N275" s="16" t="n">
        <v>-598648785162</v>
      </c>
      <c r="O275" s="16" t="n">
        <v>0</v>
      </c>
      <c r="P275" s="16" t="n">
        <v>0</v>
      </c>
      <c r="Q275" s="16" t="n">
        <v>0</v>
      </c>
      <c r="AH275" s="30" t="inlineStr">
        <is>
          <t xml:space="preserve">  [자 산 총 계]</t>
        </is>
      </c>
      <c r="AI275" s="865" t="n">
        <v>32232652833785</v>
      </c>
    </row>
    <row r="276">
      <c r="A276" s="697" t="n">
        <v>275</v>
      </c>
      <c r="B276" s="33" t="inlineStr">
        <is>
          <t xml:space="preserve">　　      10.미지급부가세</t>
        </is>
      </c>
      <c r="D276" s="33" t="n">
        <v>0</v>
      </c>
      <c r="E276" s="33" t="n">
        <v>0</v>
      </c>
      <c r="F276" s="33" t="n">
        <v>0</v>
      </c>
      <c r="G276" s="33" t="n">
        <v>0</v>
      </c>
      <c r="H276" s="146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3" t="n">
        <v>0</v>
      </c>
      <c r="N276" s="16" t="n">
        <v>0</v>
      </c>
      <c r="O276" s="16" t="n">
        <v>0</v>
      </c>
      <c r="P276" s="16" t="n">
        <v>0</v>
      </c>
      <c r="Q276" s="16" t="n">
        <v>0</v>
      </c>
      <c r="AH276" s="19" t="inlineStr">
        <is>
          <t xml:space="preserve">  I. 보 험 계 약 부 채 </t>
        </is>
      </c>
      <c r="AI276" s="848" t="n">
        <v>-26342312823386</v>
      </c>
    </row>
    <row r="277">
      <c r="A277" s="697" t="n">
        <v>276</v>
      </c>
      <c r="B277" s="33" t="inlineStr">
        <is>
          <t xml:space="preserve">　　      11.가 수 금</t>
        </is>
      </c>
      <c r="D277" s="33" t="n">
        <v>0</v>
      </c>
      <c r="E277" s="33" t="n">
        <v>0</v>
      </c>
      <c r="F277" s="33" t="n">
        <v>0</v>
      </c>
      <c r="G277" s="33" t="n">
        <v>0</v>
      </c>
      <c r="H277" s="146" t="n">
        <v>0</v>
      </c>
      <c r="I277" s="33" t="n">
        <v>0</v>
      </c>
      <c r="J277" s="33" t="n">
        <v>0</v>
      </c>
      <c r="K277" s="33" t="n">
        <v>0</v>
      </c>
      <c r="L277" s="33" t="n">
        <v>0</v>
      </c>
      <c r="M277" s="33" t="n">
        <v>0</v>
      </c>
      <c r="N277" s="16" t="n">
        <v>0</v>
      </c>
      <c r="O277" s="16" t="n">
        <v>0</v>
      </c>
      <c r="P277" s="16" t="n">
        <v>0</v>
      </c>
      <c r="Q277" s="16" t="n">
        <v>0</v>
      </c>
      <c r="AH277" s="19" t="inlineStr">
        <is>
          <t xml:space="preserve">      1.잔여보장부채 </t>
        </is>
      </c>
      <c r="AI277" s="848" t="n">
        <v>-25936756300515</v>
      </c>
    </row>
    <row r="278">
      <c r="A278" s="697" t="n">
        <v>277</v>
      </c>
      <c r="B278" s="33" t="inlineStr">
        <is>
          <t xml:space="preserve">　　      12.가수보험료</t>
        </is>
      </c>
      <c r="D278" s="32" t="n">
        <v>-1972624</v>
      </c>
      <c r="E278" s="33" t="n">
        <v>0</v>
      </c>
      <c r="F278" s="33" t="n">
        <v>0</v>
      </c>
      <c r="G278" s="33" t="n">
        <v>0</v>
      </c>
      <c r="H278" s="145" t="n">
        <v>-1972624</v>
      </c>
      <c r="I278" s="33" t="n">
        <v>0</v>
      </c>
      <c r="J278" s="33" t="n">
        <v>0</v>
      </c>
      <c r="K278" s="33" t="n">
        <v>0</v>
      </c>
      <c r="L278" s="33" t="n">
        <v>0</v>
      </c>
      <c r="M278" s="32" t="n">
        <v>-1972624</v>
      </c>
      <c r="N278" s="16" t="n">
        <v>-1972624</v>
      </c>
      <c r="O278" s="16" t="n">
        <v>0</v>
      </c>
      <c r="P278" s="16" t="n">
        <v>0</v>
      </c>
      <c r="Q278" s="16" t="n">
        <v>0</v>
      </c>
      <c r="AH278" s="19" t="inlineStr">
        <is>
          <t xml:space="preserve">      2.발생사고부채 </t>
        </is>
      </c>
      <c r="AI278" s="848" t="n">
        <v>-405556522871</v>
      </c>
    </row>
    <row r="279">
      <c r="A279" s="697" t="n">
        <v>278</v>
      </c>
      <c r="B279" s="33" t="inlineStr">
        <is>
          <t xml:space="preserve">　　      13.본지점계정대</t>
        </is>
      </c>
      <c r="D279" s="32" t="n">
        <v>-40987529839</v>
      </c>
      <c r="E279" s="33" t="n">
        <v>0</v>
      </c>
      <c r="F279" s="33" t="n">
        <v>0</v>
      </c>
      <c r="G279" s="33" t="n">
        <v>0</v>
      </c>
      <c r="H279" s="145" t="n">
        <v>-40987529839</v>
      </c>
      <c r="I279" s="32" t="n">
        <v>-32943000</v>
      </c>
      <c r="J279" s="33" t="n">
        <v>0</v>
      </c>
      <c r="K279" s="33" t="n">
        <v>0</v>
      </c>
      <c r="L279" s="32" t="n">
        <v>-95116502</v>
      </c>
      <c r="M279" s="32" t="n">
        <v>-40859470337</v>
      </c>
      <c r="N279" s="16" t="n">
        <v>-40892413337</v>
      </c>
      <c r="O279" s="16" t="n">
        <v>0</v>
      </c>
      <c r="P279" s="16" t="n">
        <v>-95116502</v>
      </c>
      <c r="Q279" s="16" t="n">
        <v>0</v>
      </c>
      <c r="AH279" s="19" t="inlineStr">
        <is>
          <t xml:space="preserve">         (1) 발생사고부채_O/S</t>
        </is>
      </c>
      <c r="AI279" s="848" t="n">
        <v>-284432901250</v>
      </c>
    </row>
    <row r="280">
      <c r="A280" s="697" t="n">
        <v>279</v>
      </c>
      <c r="B280" s="33" t="inlineStr">
        <is>
          <t xml:space="preserve">　　      14.이연법인세부채</t>
        </is>
      </c>
      <c r="D280" s="33" t="n">
        <v>0</v>
      </c>
      <c r="E280" s="33" t="n">
        <v>0</v>
      </c>
      <c r="F280" s="33" t="n">
        <v>0</v>
      </c>
      <c r="G280" s="33" t="n">
        <v>0</v>
      </c>
      <c r="H280" s="146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16" t="n">
        <v>0</v>
      </c>
      <c r="O280" s="16" t="n">
        <v>0</v>
      </c>
      <c r="P280" s="16" t="n">
        <v>0</v>
      </c>
      <c r="Q280" s="16" t="n">
        <v>0</v>
      </c>
      <c r="AH280" s="19" t="inlineStr">
        <is>
          <t xml:space="preserve">         (2) 발생사고부채_IBNR</t>
        </is>
      </c>
      <c r="AI280" s="848" t="n">
        <v>-121123621621</v>
      </c>
    </row>
    <row r="281">
      <c r="A281" s="697" t="n">
        <v>280</v>
      </c>
      <c r="B281" s="33" t="inlineStr">
        <is>
          <t xml:space="preserve">　　      15.임 대 보 증 금</t>
        </is>
      </c>
      <c r="D281" s="33" t="n">
        <v>0</v>
      </c>
      <c r="E281" s="33" t="n">
        <v>0</v>
      </c>
      <c r="F281" s="33" t="n">
        <v>0</v>
      </c>
      <c r="G281" s="33" t="n">
        <v>0</v>
      </c>
      <c r="H281" s="146" t="n">
        <v>0</v>
      </c>
      <c r="I281" s="33" t="n">
        <v>0</v>
      </c>
      <c r="J281" s="33" t="n">
        <v>0</v>
      </c>
      <c r="K281" s="33" t="n">
        <v>0</v>
      </c>
      <c r="L281" s="33" t="n">
        <v>0</v>
      </c>
      <c r="M281" s="33" t="n">
        <v>0</v>
      </c>
      <c r="N281" s="16" t="n">
        <v>0</v>
      </c>
      <c r="O281" s="16" t="n">
        <v>0</v>
      </c>
      <c r="P281" s="16" t="n">
        <v>0</v>
      </c>
      <c r="Q281" s="16" t="n">
        <v>0</v>
      </c>
      <c r="AH281" s="19" t="inlineStr">
        <is>
          <t xml:space="preserve">  II. 재 보 험 계 약 부 채 </t>
        </is>
      </c>
      <c r="AI281" s="848" t="n">
        <v>-3543138142</v>
      </c>
    </row>
    <row r="282">
      <c r="A282" s="697" t="n">
        <v>281</v>
      </c>
      <c r="B282" s="33" t="inlineStr">
        <is>
          <t xml:space="preserve">　　　         (현재가치할인차금)</t>
        </is>
      </c>
      <c r="D282" s="33" t="n">
        <v>0</v>
      </c>
      <c r="E282" s="33" t="n">
        <v>0</v>
      </c>
      <c r="F282" s="33" t="n">
        <v>0</v>
      </c>
      <c r="G282" s="33" t="n">
        <v>0</v>
      </c>
      <c r="H282" s="146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3" t="n">
        <v>0</v>
      </c>
      <c r="N282" s="16" t="n">
        <v>0</v>
      </c>
      <c r="O282" s="16" t="n">
        <v>0</v>
      </c>
      <c r="P282" s="16" t="n">
        <v>0</v>
      </c>
      <c r="Q282" s="16" t="n">
        <v>0</v>
      </c>
      <c r="AH282" s="19" t="inlineStr">
        <is>
          <t xml:space="preserve">       1. 잔여보장부채 </t>
        </is>
      </c>
      <c r="AI282" s="848" t="n">
        <v>-10997574740</v>
      </c>
    </row>
    <row r="283">
      <c r="A283" s="697" t="n">
        <v>282</v>
      </c>
      <c r="B283" s="33" t="inlineStr">
        <is>
          <t xml:space="preserve">　　      16.순확정급여채무</t>
        </is>
      </c>
      <c r="D283" s="33" t="n">
        <v>0</v>
      </c>
      <c r="E283" s="33" t="n">
        <v>0</v>
      </c>
      <c r="F283" s="33" t="n">
        <v>0</v>
      </c>
      <c r="G283" s="33" t="n">
        <v>0</v>
      </c>
      <c r="H283" s="146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16" t="n">
        <v>0</v>
      </c>
      <c r="O283" s="16" t="n">
        <v>0</v>
      </c>
      <c r="P283" s="16" t="n">
        <v>0</v>
      </c>
      <c r="Q283" s="16" t="n">
        <v>0</v>
      </c>
      <c r="AH283" s="19" t="inlineStr">
        <is>
          <t xml:space="preserve">       2. 발생사고부채 </t>
        </is>
      </c>
      <c r="AI283" s="848" t="n">
        <v>7454436598</v>
      </c>
    </row>
    <row r="284">
      <c r="A284" s="697" t="n">
        <v>283</v>
      </c>
      <c r="B284" s="33" t="inlineStr">
        <is>
          <t xml:space="preserve">　　　         가.확정급여채무</t>
        </is>
      </c>
      <c r="D284" s="32" t="n">
        <v>-195366140677</v>
      </c>
      <c r="E284" s="33" t="n">
        <v>0</v>
      </c>
      <c r="F284" s="33" t="n">
        <v>0</v>
      </c>
      <c r="G284" s="33" t="n">
        <v>0</v>
      </c>
      <c r="H284" s="145" t="n">
        <v>-195366140677</v>
      </c>
      <c r="I284" s="33" t="n">
        <v>0</v>
      </c>
      <c r="J284" s="33" t="n">
        <v>0</v>
      </c>
      <c r="K284" s="33" t="n">
        <v>0</v>
      </c>
      <c r="L284" s="33" t="n">
        <v>0</v>
      </c>
      <c r="M284" s="32" t="n">
        <v>-195366140677</v>
      </c>
      <c r="N284" s="16" t="n">
        <v>-195366140677</v>
      </c>
      <c r="O284" s="16" t="n">
        <v>0</v>
      </c>
      <c r="P284" s="16" t="n">
        <v>0</v>
      </c>
      <c r="Q284" s="16" t="n">
        <v>0</v>
      </c>
      <c r="AH284" s="19" t="inlineStr">
        <is>
          <t xml:space="preserve">         (1) 발생사고부채_O/S</t>
        </is>
      </c>
      <c r="AI284" s="848" t="n">
        <v>4454858246</v>
      </c>
    </row>
    <row r="285">
      <c r="A285" s="697" t="n">
        <v>284</v>
      </c>
      <c r="B285" s="33" t="inlineStr">
        <is>
          <t xml:space="preserve">　　　         나.미인식보험수리적손익</t>
        </is>
      </c>
      <c r="D285" s="32" t="n">
        <v>-118487000</v>
      </c>
      <c r="E285" s="33" t="n">
        <v>0</v>
      </c>
      <c r="F285" s="33" t="n">
        <v>0</v>
      </c>
      <c r="G285" s="33" t="n">
        <v>0</v>
      </c>
      <c r="H285" s="145" t="n">
        <v>-118487000</v>
      </c>
      <c r="I285" s="33" t="n">
        <v>0</v>
      </c>
      <c r="J285" s="33" t="n">
        <v>0</v>
      </c>
      <c r="K285" s="33" t="n">
        <v>0</v>
      </c>
      <c r="L285" s="33" t="n">
        <v>0</v>
      </c>
      <c r="M285" s="32" t="n">
        <v>-118487000</v>
      </c>
      <c r="N285" s="16" t="n">
        <v>-118487000</v>
      </c>
      <c r="O285" s="16" t="n">
        <v>0</v>
      </c>
      <c r="P285" s="16" t="n">
        <v>0</v>
      </c>
      <c r="Q285" s="16" t="n">
        <v>0</v>
      </c>
      <c r="AH285" s="19" t="inlineStr">
        <is>
          <t xml:space="preserve">         (2) 발생사고부채_IBNR</t>
        </is>
      </c>
      <c r="AI285" s="848" t="n">
        <v>2999578352</v>
      </c>
    </row>
    <row r="286">
      <c r="A286" s="697" t="n">
        <v>285</v>
      </c>
      <c r="B286" s="33" t="inlineStr">
        <is>
          <t xml:space="preserve">　　　         다.미인식과거근무원가</t>
        </is>
      </c>
      <c r="D286" s="33" t="n">
        <v>0</v>
      </c>
      <c r="E286" s="33" t="n">
        <v>0</v>
      </c>
      <c r="F286" s="33" t="n">
        <v>0</v>
      </c>
      <c r="G286" s="33" t="n">
        <v>0</v>
      </c>
      <c r="H286" s="146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3" t="n">
        <v>0</v>
      </c>
      <c r="N286" s="16" t="n">
        <v>0</v>
      </c>
      <c r="O286" s="16" t="n">
        <v>0</v>
      </c>
      <c r="P286" s="16" t="n">
        <v>0</v>
      </c>
      <c r="Q286" s="16" t="n">
        <v>0</v>
      </c>
      <c r="AH286" s="19" t="inlineStr">
        <is>
          <t xml:space="preserve">  III.투 자 계 약 부 채 </t>
        </is>
      </c>
      <c r="AI286" s="848" t="n">
        <v>-2827468038211</v>
      </c>
    </row>
    <row r="287">
      <c r="A287" s="697" t="n">
        <v>286</v>
      </c>
      <c r="B287" s="33" t="inlineStr">
        <is>
          <t xml:space="preserve">　　　         라.사외적립자산</t>
        </is>
      </c>
      <c r="D287" s="32" t="n">
        <v>-7087052828</v>
      </c>
      <c r="E287" s="33" t="n">
        <v>0</v>
      </c>
      <c r="F287" s="33" t="n">
        <v>0</v>
      </c>
      <c r="G287" s="33" t="n">
        <v>0</v>
      </c>
      <c r="H287" s="145" t="n">
        <v>-7087052828</v>
      </c>
      <c r="I287" s="33" t="n">
        <v>0</v>
      </c>
      <c r="J287" s="33" t="n">
        <v>0</v>
      </c>
      <c r="K287" s="33" t="n">
        <v>0</v>
      </c>
      <c r="L287" s="33" t="n">
        <v>0</v>
      </c>
      <c r="M287" s="32" t="n">
        <v>-7087052828</v>
      </c>
      <c r="N287" s="16" t="n">
        <v>-7087052828</v>
      </c>
      <c r="O287" s="16" t="n">
        <v>0</v>
      </c>
      <c r="P287" s="16" t="n">
        <v>0</v>
      </c>
      <c r="Q287" s="16" t="n">
        <v>0</v>
      </c>
      <c r="AH287" s="19" t="inlineStr">
        <is>
          <t xml:space="preserve">       1. 퇴직보험</t>
        </is>
      </c>
      <c r="AI287" s="848" t="n">
        <v>-35918768</v>
      </c>
    </row>
    <row r="288">
      <c r="A288" s="697" t="n">
        <v>287</v>
      </c>
      <c r="B288" s="33" t="inlineStr">
        <is>
          <t xml:space="preserve">　　　　          (1) 퇴직연금운용자산</t>
        </is>
      </c>
      <c r="D288" s="32" t="n">
        <v>-18692268586</v>
      </c>
      <c r="E288" s="33" t="n">
        <v>0</v>
      </c>
      <c r="F288" s="33" t="n">
        <v>0</v>
      </c>
      <c r="G288" s="33" t="n">
        <v>0</v>
      </c>
      <c r="H288" s="145" t="n">
        <v>-18692268586</v>
      </c>
      <c r="I288" s="33" t="n">
        <v>0</v>
      </c>
      <c r="J288" s="33" t="n">
        <v>0</v>
      </c>
      <c r="K288" s="33" t="n">
        <v>0</v>
      </c>
      <c r="L288" s="33" t="n">
        <v>0</v>
      </c>
      <c r="M288" s="32" t="n">
        <v>-18692268586</v>
      </c>
      <c r="N288" s="16" t="n">
        <v>-18692268586</v>
      </c>
      <c r="O288" s="16" t="n">
        <v>0</v>
      </c>
      <c r="P288" s="16" t="n">
        <v>0</v>
      </c>
      <c r="Q288" s="16" t="n">
        <v>0</v>
      </c>
      <c r="AH288" s="19" t="inlineStr">
        <is>
          <t xml:space="preserve">       2. 퇴직연금</t>
        </is>
      </c>
      <c r="AI288" s="848" t="n">
        <v>-2827432119443</v>
      </c>
    </row>
    <row r="289">
      <c r="A289" s="697" t="n">
        <v>288</v>
      </c>
      <c r="B289" s="33" t="inlineStr">
        <is>
          <t xml:space="preserve">　　　　          (2) 기타사외적립자산</t>
        </is>
      </c>
      <c r="D289" s="33" t="n">
        <v>0</v>
      </c>
      <c r="E289" s="33" t="n">
        <v>0</v>
      </c>
      <c r="F289" s="33" t="n">
        <v>0</v>
      </c>
      <c r="G289" s="33" t="n">
        <v>0</v>
      </c>
      <c r="H289" s="146" t="n">
        <v>0</v>
      </c>
      <c r="I289" s="33" t="n">
        <v>0</v>
      </c>
      <c r="J289" s="33" t="n">
        <v>0</v>
      </c>
      <c r="K289" s="33" t="n">
        <v>0</v>
      </c>
      <c r="L289" s="33" t="n">
        <v>0</v>
      </c>
      <c r="M289" s="33" t="n">
        <v>0</v>
      </c>
      <c r="N289" s="16" t="n">
        <v>0</v>
      </c>
      <c r="O289" s="16" t="n">
        <v>0</v>
      </c>
      <c r="P289" s="16" t="n">
        <v>0</v>
      </c>
      <c r="Q289" s="16" t="n">
        <v>0</v>
      </c>
      <c r="AH289" s="19" t="inlineStr">
        <is>
          <t xml:space="preserve">  III. 계 약 자 지 분 조 정 </t>
        </is>
      </c>
      <c r="AI289" s="848" t="n">
        <v>2903456311</v>
      </c>
    </row>
    <row r="290">
      <c r="A290" s="697" t="n">
        <v>289</v>
      </c>
      <c r="B290" s="33" t="inlineStr">
        <is>
          <t xml:space="preserve">　　      17.파생상품부채</t>
        </is>
      </c>
      <c r="D290" s="33" t="n">
        <v>0</v>
      </c>
      <c r="E290" s="33" t="n">
        <v>0</v>
      </c>
      <c r="F290" s="33" t="n">
        <v>0</v>
      </c>
      <c r="G290" s="33" t="n">
        <v>0</v>
      </c>
      <c r="H290" s="146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3" t="n">
        <v>0</v>
      </c>
      <c r="N290" s="16" t="n">
        <v>0</v>
      </c>
      <c r="O290" s="16" t="n">
        <v>0</v>
      </c>
      <c r="P290" s="16" t="n">
        <v>0</v>
      </c>
      <c r="Q290" s="16" t="n">
        <v>0</v>
      </c>
      <c r="AH290" s="19" t="inlineStr">
        <is>
          <t xml:space="preserve">     1.기타포괄손익-공정가치측정금융자산평가손익</t>
        </is>
      </c>
      <c r="AI290" s="848" t="n">
        <v>2903517501</v>
      </c>
    </row>
    <row r="291">
      <c r="A291" s="697" t="n">
        <v>290</v>
      </c>
      <c r="B291" s="33" t="inlineStr">
        <is>
          <t xml:space="preserve">　　　         [매매목적파생상품]</t>
        </is>
      </c>
      <c r="D291" s="32" t="n">
        <v>11605215758</v>
      </c>
      <c r="E291" s="33" t="n">
        <v>0</v>
      </c>
      <c r="F291" s="33" t="n">
        <v>0</v>
      </c>
      <c r="G291" s="33" t="n">
        <v>0</v>
      </c>
      <c r="H291" s="145" t="n">
        <v>11605215758</v>
      </c>
      <c r="I291" s="33" t="n">
        <v>0</v>
      </c>
      <c r="J291" s="33" t="n">
        <v>0</v>
      </c>
      <c r="K291" s="33" t="n">
        <v>0</v>
      </c>
      <c r="L291" s="33" t="n">
        <v>0</v>
      </c>
      <c r="M291" s="32" t="n">
        <v>11605215758</v>
      </c>
      <c r="N291" s="16" t="n">
        <v>11605215758</v>
      </c>
      <c r="O291" s="16" t="n">
        <v>0</v>
      </c>
      <c r="P291" s="16" t="n">
        <v>0</v>
      </c>
      <c r="Q291" s="16" t="n">
        <v>0</v>
      </c>
      <c r="AH291" s="19" t="inlineStr">
        <is>
          <t xml:space="preserve">     2.관계·종속기업투자주식평가손익</t>
        </is>
      </c>
      <c r="AI291" s="848" t="n">
        <v>0</v>
      </c>
    </row>
    <row r="292">
      <c r="A292" s="697" t="n">
        <v>291</v>
      </c>
      <c r="B292" s="33" t="inlineStr">
        <is>
          <t xml:space="preserve">　　　         [헤지목적파생상품]</t>
        </is>
      </c>
      <c r="D292" s="32" t="n">
        <v>11605215758</v>
      </c>
      <c r="E292" s="33" t="n">
        <v>0</v>
      </c>
      <c r="F292" s="33" t="n">
        <v>0</v>
      </c>
      <c r="G292" s="33" t="n">
        <v>0</v>
      </c>
      <c r="H292" s="145" t="n">
        <v>11605215758</v>
      </c>
      <c r="I292" s="33" t="n">
        <v>0</v>
      </c>
      <c r="J292" s="33" t="n">
        <v>0</v>
      </c>
      <c r="K292" s="33" t="n">
        <v>0</v>
      </c>
      <c r="L292" s="33" t="n">
        <v>0</v>
      </c>
      <c r="M292" s="32" t="n">
        <v>11605215758</v>
      </c>
      <c r="N292" s="16" t="n">
        <v>11605215758</v>
      </c>
      <c r="O292" s="16" t="n">
        <v>0</v>
      </c>
      <c r="P292" s="16" t="n">
        <v>0</v>
      </c>
      <c r="Q292" s="16" t="n">
        <v>0</v>
      </c>
      <c r="AH292" s="19" t="inlineStr">
        <is>
          <t xml:space="preserve">     3.재 평 가 잉 여 금 </t>
        </is>
      </c>
      <c r="AI292" s="848" t="n">
        <v>-61190</v>
      </c>
    </row>
    <row r="293">
      <c r="A293" s="697" t="n">
        <v>292</v>
      </c>
      <c r="B293" s="33" t="inlineStr">
        <is>
          <t xml:space="preserve">　　　          가.이자율관련</t>
        </is>
      </c>
      <c r="D293" s="33" t="n">
        <v>0</v>
      </c>
      <c r="E293" s="33" t="n">
        <v>0</v>
      </c>
      <c r="F293" s="33" t="n">
        <v>0</v>
      </c>
      <c r="G293" s="33" t="n">
        <v>0</v>
      </c>
      <c r="H293" s="146" t="n">
        <v>0</v>
      </c>
      <c r="I293" s="33" t="n">
        <v>0</v>
      </c>
      <c r="J293" s="33" t="n">
        <v>0</v>
      </c>
      <c r="K293" s="33" t="n">
        <v>0</v>
      </c>
      <c r="L293" s="33" t="n">
        <v>0</v>
      </c>
      <c r="M293" s="33" t="n">
        <v>0</v>
      </c>
      <c r="N293" s="16" t="n">
        <v>0</v>
      </c>
      <c r="O293" s="16" t="n">
        <v>0</v>
      </c>
      <c r="P293" s="16" t="n">
        <v>0</v>
      </c>
      <c r="Q293" s="16" t="n">
        <v>0</v>
      </c>
      <c r="AH293" s="19" t="inlineStr">
        <is>
          <t xml:space="preserve">  IV. 당 기 손 익 인 식 금 융 부 채 </t>
        </is>
      </c>
      <c r="AI293" s="848" t="n">
        <v>-18741528857</v>
      </c>
    </row>
    <row r="294">
      <c r="A294" s="697" t="n">
        <v>293</v>
      </c>
      <c r="B294" s="33" t="inlineStr">
        <is>
          <t xml:space="preserve">　　　          나.통화관련</t>
        </is>
      </c>
      <c r="D294" s="32" t="n">
        <v>-254694875410</v>
      </c>
      <c r="E294" s="33" t="n">
        <v>0</v>
      </c>
      <c r="F294" s="32" t="n">
        <v>-7479273758</v>
      </c>
      <c r="G294" s="32" t="n">
        <v>-286431950</v>
      </c>
      <c r="H294" s="145" t="n">
        <v>-246929169702</v>
      </c>
      <c r="I294" s="32" t="n">
        <v>-3254313371</v>
      </c>
      <c r="J294" s="33" t="n">
        <v>0</v>
      </c>
      <c r="K294" s="33" t="n">
        <v>0</v>
      </c>
      <c r="L294" s="32" t="n">
        <v>-7123588667</v>
      </c>
      <c r="M294" s="32" t="n">
        <v>-236551267664</v>
      </c>
      <c r="N294" s="16" t="n">
        <v>-239805581035</v>
      </c>
      <c r="O294" s="16" t="n">
        <v>-7479273758</v>
      </c>
      <c r="P294" s="16" t="n">
        <v>-7123588667</v>
      </c>
      <c r="Q294" s="16" t="n">
        <v>-286431950</v>
      </c>
      <c r="AH294" s="19" t="inlineStr">
        <is>
          <t xml:space="preserve">      1.매매목적파생상품부채 </t>
        </is>
      </c>
      <c r="AI294" s="848" t="n">
        <v>-18741528857</v>
      </c>
    </row>
    <row r="295">
      <c r="A295" s="697" t="n">
        <v>294</v>
      </c>
      <c r="B295" s="33" t="inlineStr">
        <is>
          <t xml:space="preserve">　　　          다.주식관련</t>
        </is>
      </c>
      <c r="D295" s="33" t="n">
        <v>0</v>
      </c>
      <c r="E295" s="33" t="n">
        <v>0</v>
      </c>
      <c r="F295" s="33" t="n">
        <v>0</v>
      </c>
      <c r="G295" s="33" t="n">
        <v>0</v>
      </c>
      <c r="H295" s="146" t="n">
        <v>0</v>
      </c>
      <c r="I295" s="33" t="n">
        <v>0</v>
      </c>
      <c r="J295" s="33" t="n">
        <v>0</v>
      </c>
      <c r="K295" s="33" t="n">
        <v>0</v>
      </c>
      <c r="L295" s="33" t="n">
        <v>0</v>
      </c>
      <c r="M295" s="33" t="n">
        <v>0</v>
      </c>
      <c r="N295" s="16" t="n">
        <v>0</v>
      </c>
      <c r="O295" s="16" t="n">
        <v>0</v>
      </c>
      <c r="P295" s="16" t="n">
        <v>0</v>
      </c>
      <c r="Q295" s="16" t="n">
        <v>0</v>
      </c>
      <c r="AH295" s="19" t="inlineStr">
        <is>
          <t xml:space="preserve">        (1) 이자율관련 </t>
        </is>
      </c>
      <c r="AI295" s="848" t="n">
        <v>-701404094</v>
      </c>
    </row>
    <row r="296">
      <c r="A296" s="697" t="n">
        <v>295</v>
      </c>
      <c r="B296" s="33" t="inlineStr">
        <is>
          <t xml:space="preserve">　　　          라.신용관련</t>
        </is>
      </c>
      <c r="D296" s="33" t="n">
        <v>0</v>
      </c>
      <c r="E296" s="33" t="n">
        <v>0</v>
      </c>
      <c r="F296" s="33" t="n">
        <v>0</v>
      </c>
      <c r="G296" s="33" t="n">
        <v>0</v>
      </c>
      <c r="H296" s="146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3" t="n">
        <v>0</v>
      </c>
      <c r="N296" s="16" t="n">
        <v>0</v>
      </c>
      <c r="O296" s="16" t="n">
        <v>0</v>
      </c>
      <c r="P296" s="16" t="n">
        <v>0</v>
      </c>
      <c r="Q296" s="16" t="n">
        <v>0</v>
      </c>
      <c r="AH296" s="19" t="inlineStr">
        <is>
          <t xml:space="preserve">        (2) 통화관련 </t>
        </is>
      </c>
      <c r="AI296" s="848" t="n">
        <v>-18032803590</v>
      </c>
    </row>
    <row r="297">
      <c r="A297" s="697" t="n">
        <v>296</v>
      </c>
      <c r="B297" s="33" t="inlineStr">
        <is>
          <t xml:space="preserve">　　　          마.기타</t>
        </is>
      </c>
      <c r="D297" s="32" t="n">
        <v>-79365718858</v>
      </c>
      <c r="E297" s="33" t="n">
        <v>0</v>
      </c>
      <c r="F297" s="33" t="n">
        <v>0</v>
      </c>
      <c r="G297" s="33" t="n">
        <v>0</v>
      </c>
      <c r="H297" s="145" t="n">
        <v>-79365718858</v>
      </c>
      <c r="I297" s="33" t="n">
        <v>0</v>
      </c>
      <c r="J297" s="33" t="n">
        <v>0</v>
      </c>
      <c r="K297" s="33" t="n">
        <v>0</v>
      </c>
      <c r="L297" s="33" t="n">
        <v>0</v>
      </c>
      <c r="M297" s="32" t="n">
        <v>-79365718858</v>
      </c>
      <c r="N297" s="16" t="n">
        <v>-79365718858</v>
      </c>
      <c r="O297" s="16" t="n">
        <v>0</v>
      </c>
      <c r="P297" s="16" t="n">
        <v>0</v>
      </c>
      <c r="Q297" s="16" t="n">
        <v>0</v>
      </c>
      <c r="AH297" s="19" t="inlineStr">
        <is>
          <t xml:space="preserve">        (3) 주식관련 </t>
        </is>
      </c>
      <c r="AI297" s="848" t="n">
        <v>0</v>
      </c>
    </row>
    <row r="298">
      <c r="A298" s="697" t="n">
        <v>297</v>
      </c>
      <c r="B298" s="33" t="inlineStr">
        <is>
          <t xml:space="preserve">　　      18.신 탁 계 정 차</t>
        </is>
      </c>
      <c r="D298" s="32" t="n">
        <v>-167563450844</v>
      </c>
      <c r="E298" s="33" t="n">
        <v>0</v>
      </c>
      <c r="F298" s="33" t="n">
        <v>0</v>
      </c>
      <c r="G298" s="33" t="n">
        <v>0</v>
      </c>
      <c r="H298" s="145" t="n">
        <v>-167563450844</v>
      </c>
      <c r="I298" s="32" t="n">
        <v>-3254313371</v>
      </c>
      <c r="J298" s="33" t="n">
        <v>0</v>
      </c>
      <c r="K298" s="33" t="n">
        <v>0</v>
      </c>
      <c r="L298" s="32" t="n">
        <v>-7123588667</v>
      </c>
      <c r="M298" s="32" t="n">
        <v>-157185548806</v>
      </c>
      <c r="N298" s="16" t="n">
        <v>-160439862177</v>
      </c>
      <c r="O298" s="16" t="n">
        <v>0</v>
      </c>
      <c r="P298" s="16" t="n">
        <v>-7123588667</v>
      </c>
      <c r="Q298" s="16" t="n">
        <v>0</v>
      </c>
      <c r="AH298" s="19" t="inlineStr">
        <is>
          <t xml:space="preserve">        (4) 신용관련 </t>
        </is>
      </c>
      <c r="AI298" s="848" t="n">
        <v>0</v>
      </c>
    </row>
    <row r="299">
      <c r="A299" s="697" t="n">
        <v>298</v>
      </c>
      <c r="B299" s="33" t="inlineStr">
        <is>
          <t xml:space="preserve">　　      19.복구충당부채</t>
        </is>
      </c>
      <c r="D299" s="33" t="n">
        <v>0</v>
      </c>
      <c r="E299" s="33" t="n">
        <v>0</v>
      </c>
      <c r="F299" s="33" t="n">
        <v>0</v>
      </c>
      <c r="G299" s="33" t="n">
        <v>0</v>
      </c>
      <c r="H299" s="146" t="n">
        <v>0</v>
      </c>
      <c r="I299" s="33" t="n">
        <v>0</v>
      </c>
      <c r="J299" s="33" t="n">
        <v>0</v>
      </c>
      <c r="K299" s="33" t="n">
        <v>0</v>
      </c>
      <c r="L299" s="33" t="n">
        <v>0</v>
      </c>
      <c r="M299" s="33" t="n">
        <v>0</v>
      </c>
      <c r="N299" s="16" t="n">
        <v>0</v>
      </c>
      <c r="O299" s="16" t="n">
        <v>0</v>
      </c>
      <c r="P299" s="16" t="n">
        <v>0</v>
      </c>
      <c r="Q299" s="16" t="n">
        <v>0</v>
      </c>
      <c r="AH299" s="19" t="inlineStr">
        <is>
          <t xml:space="preserve">        (5) 기    타</t>
        </is>
      </c>
      <c r="AI299" s="848" t="n">
        <v>0</v>
      </c>
    </row>
    <row r="300">
      <c r="A300" s="697" t="n">
        <v>299</v>
      </c>
      <c r="B300" s="33" t="inlineStr">
        <is>
          <t xml:space="preserve">　　      20.채무보증충당부채</t>
        </is>
      </c>
      <c r="D300" s="33" t="n">
        <v>0</v>
      </c>
      <c r="E300" s="33" t="n">
        <v>0</v>
      </c>
      <c r="F300" s="33" t="n">
        <v>0</v>
      </c>
      <c r="G300" s="33" t="n">
        <v>0</v>
      </c>
      <c r="H300" s="146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3" t="n">
        <v>0</v>
      </c>
      <c r="N300" s="16" t="n">
        <v>0</v>
      </c>
      <c r="O300" s="16" t="n">
        <v>0</v>
      </c>
      <c r="P300" s="16" t="n">
        <v>0</v>
      </c>
      <c r="Q300" s="16" t="n">
        <v>0</v>
      </c>
      <c r="AH300" s="19" t="inlineStr">
        <is>
          <t xml:space="preserve">        (6) 평가손실지정 </t>
        </is>
      </c>
      <c r="AI300" s="848" t="n">
        <v>-7321173</v>
      </c>
    </row>
    <row r="301">
      <c r="A301" s="697" t="n">
        <v>300</v>
      </c>
      <c r="B301" s="33" t="inlineStr">
        <is>
          <t xml:space="preserve">　　      21.요구불상환지분</t>
        </is>
      </c>
      <c r="D301" s="32" t="n">
        <v>-7765705708</v>
      </c>
      <c r="E301" s="33" t="n">
        <v>0</v>
      </c>
      <c r="F301" s="32" t="n">
        <v>-7479273758</v>
      </c>
      <c r="G301" s="32" t="n">
        <v>-286431950</v>
      </c>
      <c r="H301" s="146" t="n">
        <v>0</v>
      </c>
      <c r="I301" s="33" t="n">
        <v>0</v>
      </c>
      <c r="J301" s="33" t="n">
        <v>0</v>
      </c>
      <c r="K301" s="33" t="n">
        <v>0</v>
      </c>
      <c r="L301" s="33" t="n">
        <v>0</v>
      </c>
      <c r="M301" s="33" t="n">
        <v>0</v>
      </c>
      <c r="N301" s="16" t="n">
        <v>0</v>
      </c>
      <c r="O301" s="16" t="n">
        <v>-7479273758</v>
      </c>
      <c r="P301" s="16" t="n">
        <v>0</v>
      </c>
      <c r="Q301" s="16" t="n">
        <v>-286431950</v>
      </c>
      <c r="AH301" s="19" t="inlineStr">
        <is>
          <t xml:space="preserve">      2.헤지목적파생상품부채 </t>
        </is>
      </c>
      <c r="AI301" s="848" t="n">
        <v>0</v>
      </c>
    </row>
    <row r="302">
      <c r="A302" s="697" t="n">
        <v>301</v>
      </c>
      <c r="B302" s="33" t="inlineStr">
        <is>
          <t xml:space="preserve">　　　         가.상환우선주</t>
        </is>
      </c>
      <c r="D302" s="33" t="n">
        <v>0</v>
      </c>
      <c r="E302" s="33" t="n">
        <v>0</v>
      </c>
      <c r="F302" s="33" t="n">
        <v>0</v>
      </c>
      <c r="G302" s="33" t="n">
        <v>0</v>
      </c>
      <c r="H302" s="146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3" t="n">
        <v>0</v>
      </c>
      <c r="N302" s="16" t="n">
        <v>0</v>
      </c>
      <c r="O302" s="16" t="n">
        <v>0</v>
      </c>
      <c r="P302" s="16" t="n">
        <v>0</v>
      </c>
      <c r="Q302" s="16" t="n">
        <v>0</v>
      </c>
      <c r="AH302" s="19" t="inlineStr">
        <is>
          <t xml:space="preserve">        (1) 이자율관련 </t>
        </is>
      </c>
      <c r="AI302" s="848" t="n">
        <v>0</v>
      </c>
    </row>
    <row r="303">
      <c r="A303" s="697" t="n">
        <v>302</v>
      </c>
      <c r="B303" s="33" t="inlineStr">
        <is>
          <t xml:space="preserve">　　　         나.기타</t>
        </is>
      </c>
      <c r="D303" s="32" t="n">
        <v>-2108722998</v>
      </c>
      <c r="E303" s="33" t="n">
        <v>0</v>
      </c>
      <c r="F303" s="33" t="n">
        <v>0</v>
      </c>
      <c r="G303" s="33" t="n">
        <v>0</v>
      </c>
      <c r="H303" s="145" t="n">
        <v>-2108722998</v>
      </c>
      <c r="I303" s="33" t="n">
        <v>0</v>
      </c>
      <c r="J303" s="33" t="n">
        <v>0</v>
      </c>
      <c r="K303" s="33" t="n">
        <v>0</v>
      </c>
      <c r="L303" s="33" t="n">
        <v>0</v>
      </c>
      <c r="M303" s="32" t="n">
        <v>-2108722998</v>
      </c>
      <c r="N303" s="16" t="n">
        <v>-2108722998</v>
      </c>
      <c r="O303" s="16" t="n">
        <v>0</v>
      </c>
      <c r="P303" s="16" t="n">
        <v>0</v>
      </c>
      <c r="Q303" s="16" t="n">
        <v>0</v>
      </c>
      <c r="AH303" s="19" t="inlineStr">
        <is>
          <t xml:space="preserve">        (2) 통화관련 </t>
        </is>
      </c>
      <c r="AI303" s="848" t="n">
        <v>0</v>
      </c>
    </row>
    <row r="304">
      <c r="A304" s="697" t="n">
        <v>303</v>
      </c>
      <c r="B304" s="33" t="inlineStr">
        <is>
          <t xml:space="preserve">　　      22.지 급 어 음</t>
        </is>
      </c>
      <c r="D304" s="33" t="n">
        <v>0</v>
      </c>
      <c r="E304" s="33" t="n">
        <v>0</v>
      </c>
      <c r="F304" s="33" t="n">
        <v>0</v>
      </c>
      <c r="G304" s="33" t="n">
        <v>0</v>
      </c>
      <c r="H304" s="146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3" t="n">
        <v>0</v>
      </c>
      <c r="N304" s="16" t="n">
        <v>0</v>
      </c>
      <c r="O304" s="16" t="n">
        <v>0</v>
      </c>
      <c r="P304" s="16" t="n">
        <v>0</v>
      </c>
      <c r="Q304" s="16" t="n">
        <v>0</v>
      </c>
      <c r="AH304" s="19" t="inlineStr">
        <is>
          <t xml:space="preserve">        (3) 주식관련 </t>
        </is>
      </c>
      <c r="AI304" s="848" t="n">
        <v>0</v>
      </c>
    </row>
    <row r="305">
      <c r="A305" s="697" t="n">
        <v>304</v>
      </c>
      <c r="B305" s="33" t="inlineStr">
        <is>
          <t xml:space="preserve">　　      23.자산재평가계약자지분</t>
        </is>
      </c>
      <c r="D305" s="33" t="n">
        <v>0</v>
      </c>
      <c r="E305" s="33" t="n">
        <v>0</v>
      </c>
      <c r="F305" s="33" t="n">
        <v>0</v>
      </c>
      <c r="G305" s="33" t="n">
        <v>0</v>
      </c>
      <c r="H305" s="146" t="n">
        <v>0</v>
      </c>
      <c r="I305" s="33" t="n">
        <v>0</v>
      </c>
      <c r="J305" s="33" t="n">
        <v>0</v>
      </c>
      <c r="K305" s="33" t="n">
        <v>0</v>
      </c>
      <c r="L305" s="33" t="n">
        <v>0</v>
      </c>
      <c r="M305" s="33" t="n">
        <v>0</v>
      </c>
      <c r="N305" s="16" t="n">
        <v>0</v>
      </c>
      <c r="O305" s="16" t="n">
        <v>0</v>
      </c>
      <c r="P305" s="16" t="n">
        <v>0</v>
      </c>
      <c r="Q305" s="16" t="n">
        <v>0</v>
      </c>
      <c r="AH305" s="19" t="inlineStr">
        <is>
          <t xml:space="preserve">        (4) 신용관련 </t>
        </is>
      </c>
      <c r="AI305" s="848" t="n">
        <v>0</v>
      </c>
    </row>
    <row r="306">
      <c r="A306" s="697" t="n">
        <v>305</v>
      </c>
      <c r="B306" s="33" t="inlineStr">
        <is>
          <t xml:space="preserve">　　　         가.공익사업출연기금</t>
        </is>
      </c>
      <c r="D306" s="33" t="n">
        <v>0</v>
      </c>
      <c r="E306" s="33" t="n">
        <v>0</v>
      </c>
      <c r="F306" s="33" t="n">
        <v>0</v>
      </c>
      <c r="G306" s="33" t="n">
        <v>0</v>
      </c>
      <c r="H306" s="146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3" t="n">
        <v>0</v>
      </c>
      <c r="N306" s="16" t="n">
        <v>0</v>
      </c>
      <c r="O306" s="16" t="n">
        <v>0</v>
      </c>
      <c r="P306" s="16" t="n">
        <v>0</v>
      </c>
      <c r="Q306" s="16" t="n">
        <v>0</v>
      </c>
      <c r="AH306" s="19" t="inlineStr">
        <is>
          <t xml:space="preserve">        (5) 기    타</t>
        </is>
      </c>
      <c r="AI306" s="848" t="n">
        <v>0</v>
      </c>
    </row>
    <row r="307">
      <c r="A307" s="697" t="n">
        <v>306</v>
      </c>
      <c r="B307" s="33" t="inlineStr">
        <is>
          <t xml:space="preserve">　　　         나.재평가적립금</t>
        </is>
      </c>
      <c r="D307" s="33" t="n">
        <v>0</v>
      </c>
      <c r="E307" s="33" t="n">
        <v>0</v>
      </c>
      <c r="F307" s="33" t="n">
        <v>0</v>
      </c>
      <c r="G307" s="33" t="n">
        <v>0</v>
      </c>
      <c r="H307" s="146" t="n">
        <v>0</v>
      </c>
      <c r="I307" s="33" t="n">
        <v>0</v>
      </c>
      <c r="J307" s="33" t="n">
        <v>0</v>
      </c>
      <c r="K307" s="33" t="n">
        <v>0</v>
      </c>
      <c r="L307" s="33" t="n">
        <v>0</v>
      </c>
      <c r="M307" s="33" t="n">
        <v>0</v>
      </c>
      <c r="N307" s="16" t="n">
        <v>0</v>
      </c>
      <c r="O307" s="16" t="n">
        <v>0</v>
      </c>
      <c r="P307" s="16" t="n">
        <v>0</v>
      </c>
      <c r="Q307" s="16" t="n">
        <v>0</v>
      </c>
      <c r="AH307" s="19" t="inlineStr">
        <is>
          <t xml:space="preserve">  V. 차 입 부 채 </t>
        </is>
      </c>
      <c r="AI307" s="848" t="n">
        <v>-299402579359</v>
      </c>
    </row>
    <row r="308">
      <c r="A308" s="697" t="n">
        <v>307</v>
      </c>
      <c r="B308" s="33" t="inlineStr">
        <is>
          <t xml:space="preserve">　　      24.그밖의 기타부채</t>
        </is>
      </c>
      <c r="D308" s="33" t="n">
        <v>0</v>
      </c>
      <c r="E308" s="33" t="n">
        <v>0</v>
      </c>
      <c r="F308" s="33" t="n">
        <v>0</v>
      </c>
      <c r="G308" s="33" t="n">
        <v>0</v>
      </c>
      <c r="H308" s="146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3" t="n">
        <v>0</v>
      </c>
      <c r="N308" s="16" t="n">
        <v>0</v>
      </c>
      <c r="O308" s="16" t="n">
        <v>0</v>
      </c>
      <c r="P308" s="16" t="n">
        <v>0</v>
      </c>
      <c r="Q308" s="16" t="n">
        <v>0</v>
      </c>
      <c r="AH308" s="19" t="inlineStr">
        <is>
          <t xml:space="preserve">     1.차 입 금 </t>
        </is>
      </c>
      <c r="AI308" s="848" t="n">
        <v>0</v>
      </c>
    </row>
    <row r="309">
      <c r="A309" s="697" t="n">
        <v>308</v>
      </c>
      <c r="B309" s="33" t="inlineStr">
        <is>
          <t xml:space="preserve">　　　         가.그밖의 기타부채</t>
        </is>
      </c>
      <c r="D309" s="33" t="n">
        <v>0</v>
      </c>
      <c r="E309" s="33" t="n">
        <v>0</v>
      </c>
      <c r="F309" s="33" t="n">
        <v>0</v>
      </c>
      <c r="G309" s="33" t="n">
        <v>0</v>
      </c>
      <c r="H309" s="146" t="n">
        <v>0</v>
      </c>
      <c r="I309" s="33" t="n">
        <v>0</v>
      </c>
      <c r="J309" s="33" t="n">
        <v>0</v>
      </c>
      <c r="K309" s="33" t="n">
        <v>0</v>
      </c>
      <c r="L309" s="33" t="n">
        <v>0</v>
      </c>
      <c r="M309" s="33" t="n">
        <v>0</v>
      </c>
      <c r="N309" s="16" t="n">
        <v>0</v>
      </c>
      <c r="O309" s="16" t="n">
        <v>0</v>
      </c>
      <c r="P309" s="16" t="n">
        <v>0</v>
      </c>
      <c r="Q309" s="16" t="n">
        <v>0</v>
      </c>
      <c r="AH309" s="19" t="inlineStr">
        <is>
          <t xml:space="preserve">       (1) 콜머니 </t>
        </is>
      </c>
      <c r="AI309" s="848" t="n">
        <v>0</v>
      </c>
    </row>
    <row r="310">
      <c r="A310" s="697" t="n">
        <v>309</v>
      </c>
      <c r="B310" s="33" t="inlineStr">
        <is>
          <t xml:space="preserve">　　　         나.일반계정미지급금</t>
        </is>
      </c>
      <c r="D310" s="33" t="n">
        <v>0</v>
      </c>
      <c r="E310" s="33" t="n">
        <v>0</v>
      </c>
      <c r="F310" s="33" t="n">
        <v>0</v>
      </c>
      <c r="G310" s="33" t="n">
        <v>0</v>
      </c>
      <c r="H310" s="146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3" t="n">
        <v>0</v>
      </c>
      <c r="N310" s="16" t="n">
        <v>0</v>
      </c>
      <c r="O310" s="16" t="n">
        <v>0</v>
      </c>
      <c r="P310" s="16" t="n">
        <v>0</v>
      </c>
      <c r="Q310" s="16" t="n">
        <v>0</v>
      </c>
      <c r="AH310" s="19" t="inlineStr">
        <is>
          <t xml:space="preserve">       (2) RP매도</t>
        </is>
      </c>
      <c r="AI310" s="848" t="n">
        <v>0</v>
      </c>
    </row>
    <row r="311">
      <c r="A311" s="697" t="n">
        <v>310</v>
      </c>
      <c r="B311" s="33" t="inlineStr">
        <is>
          <t xml:space="preserve">　   III.특 별 계 정 부 채</t>
        </is>
      </c>
      <c r="D311" s="33" t="n">
        <v>0</v>
      </c>
      <c r="E311" s="33" t="n">
        <v>0</v>
      </c>
      <c r="F311" s="33" t="n">
        <v>0</v>
      </c>
      <c r="G311" s="33" t="n">
        <v>0</v>
      </c>
      <c r="H311" s="146" t="n">
        <v>0</v>
      </c>
      <c r="I311" s="33" t="n">
        <v>0</v>
      </c>
      <c r="J311" s="33" t="n">
        <v>0</v>
      </c>
      <c r="K311" s="33" t="n">
        <v>0</v>
      </c>
      <c r="L311" s="33" t="n">
        <v>0</v>
      </c>
      <c r="M311" s="33" t="n">
        <v>0</v>
      </c>
      <c r="N311" s="16" t="n">
        <v>0</v>
      </c>
      <c r="O311" s="16" t="n">
        <v>0</v>
      </c>
      <c r="P311" s="16" t="n">
        <v>0</v>
      </c>
      <c r="Q311" s="16" t="n">
        <v>0</v>
      </c>
      <c r="AH311" s="19" t="inlineStr">
        <is>
          <t xml:space="preserve">       (3) 후순위차입 </t>
        </is>
      </c>
      <c r="AI311" s="848" t="n">
        <v>0</v>
      </c>
    </row>
    <row r="312">
      <c r="A312" s="697" t="n">
        <v>311</v>
      </c>
      <c r="B312" s="33" t="inlineStr">
        <is>
          <t xml:space="preserve">　　      (특별계정미수금-실적배당형퇴직연금)</t>
        </is>
      </c>
      <c r="D312" s="32" t="n">
        <v>-26315965100</v>
      </c>
      <c r="E312" s="32" t="n">
        <v>-29281993757</v>
      </c>
      <c r="F312" s="32" t="n">
        <v>-29284286197</v>
      </c>
      <c r="G312" s="32" t="n">
        <v>-1614070000</v>
      </c>
      <c r="H312" s="145" t="n">
        <v>-24699602660</v>
      </c>
      <c r="I312" s="32" t="n">
        <v>-2991865945</v>
      </c>
      <c r="J312" s="32" t="n">
        <v>-1115923213</v>
      </c>
      <c r="K312" s="32" t="n">
        <v>-1223201259</v>
      </c>
      <c r="L312" s="32" t="n">
        <v>-9512134009</v>
      </c>
      <c r="M312" s="32" t="n">
        <v>-9856478234</v>
      </c>
      <c r="N312" s="16" t="n">
        <v>-13964267392</v>
      </c>
      <c r="O312" s="16" t="n">
        <v>-29284286197</v>
      </c>
      <c r="P312" s="16" t="n">
        <v>-10735335268</v>
      </c>
      <c r="Q312" s="16" t="n">
        <v>-1614070000</v>
      </c>
      <c r="AH312" s="19" t="inlineStr">
        <is>
          <t xml:space="preserve">       (4) 기업어음의발행 </t>
        </is>
      </c>
      <c r="AI312" s="848" t="n">
        <v>0</v>
      </c>
    </row>
    <row r="313">
      <c r="A313" s="697" t="n">
        <v>312</v>
      </c>
      <c r="B313" s="33" t="inlineStr">
        <is>
          <t xml:space="preserve">　　      (특별계정미수금-변액보험)</t>
        </is>
      </c>
      <c r="D313" s="32" t="n">
        <v>-26315965100</v>
      </c>
      <c r="E313" s="33" t="n">
        <v>0</v>
      </c>
      <c r="F313" s="32" t="n">
        <v>-2292440</v>
      </c>
      <c r="G313" s="32" t="n">
        <v>-1614070000</v>
      </c>
      <c r="H313" s="145" t="n">
        <v>-24699602660</v>
      </c>
      <c r="I313" s="33" t="n">
        <v>0</v>
      </c>
      <c r="J313" s="33" t="n">
        <v>0</v>
      </c>
      <c r="K313" s="33" t="n">
        <v>0</v>
      </c>
      <c r="L313" s="32" t="n">
        <v>-6795367</v>
      </c>
      <c r="M313" s="32" t="n">
        <v>-24692807293</v>
      </c>
      <c r="N313" s="16" t="n">
        <v>-24692807293</v>
      </c>
      <c r="O313" s="16" t="n">
        <v>-2292440</v>
      </c>
      <c r="P313" s="16" t="n">
        <v>-6795367</v>
      </c>
      <c r="Q313" s="16" t="n">
        <v>-1614070000</v>
      </c>
      <c r="AH313" s="19" t="inlineStr">
        <is>
          <t xml:space="preserve">       (5) 기  타</t>
        </is>
      </c>
      <c r="AI313" s="848" t="n">
        <v>0</v>
      </c>
    </row>
    <row r="314">
      <c r="A314" s="697" t="n">
        <v>313</v>
      </c>
      <c r="B314" s="33" t="inlineStr">
        <is>
          <t xml:space="preserve">　　      1.실적배당형퇴직연금</t>
        </is>
      </c>
      <c r="D314" s="33" t="n">
        <v>0</v>
      </c>
      <c r="E314" s="32" t="n">
        <v>-29281993757</v>
      </c>
      <c r="F314" s="32" t="n">
        <v>-29281993757</v>
      </c>
      <c r="G314" s="33" t="n">
        <v>0</v>
      </c>
      <c r="H314" s="146" t="n">
        <v>0</v>
      </c>
      <c r="I314" s="32" t="n">
        <v>-2991865945</v>
      </c>
      <c r="J314" s="32" t="n">
        <v>-1115923213</v>
      </c>
      <c r="K314" s="32" t="n">
        <v>-1223201259</v>
      </c>
      <c r="L314" s="32" t="n">
        <v>-9505338642</v>
      </c>
      <c r="M314" s="32" t="n">
        <v>14836329059</v>
      </c>
      <c r="N314" s="16" t="n">
        <v>10728539901</v>
      </c>
      <c r="O314" s="16" t="n">
        <v>-29281993757</v>
      </c>
      <c r="P314" s="16" t="n">
        <v>-10728539901</v>
      </c>
      <c r="Q314" s="16" t="n">
        <v>0</v>
      </c>
      <c r="AH314" s="19" t="inlineStr">
        <is>
          <t xml:space="preserve">     2.사    채 </t>
        </is>
      </c>
      <c r="AI314" s="848" t="n">
        <v>-299402579359</v>
      </c>
    </row>
    <row r="315">
      <c r="A315" s="697" t="n">
        <v>314</v>
      </c>
      <c r="B315" s="33" t="inlineStr">
        <is>
          <t xml:space="preserve">　　      2.변액보험</t>
        </is>
      </c>
      <c r="D315" s="33" t="n">
        <v>0</v>
      </c>
      <c r="E315" s="32" t="n">
        <v>-13650492854837</v>
      </c>
      <c r="F315" s="33" t="n">
        <v>0</v>
      </c>
      <c r="G315" s="33" t="n">
        <v>0</v>
      </c>
      <c r="H315" s="145" t="n">
        <v>-13650492854837</v>
      </c>
      <c r="I315" s="33" t="n">
        <v>0</v>
      </c>
      <c r="J315" s="33" t="n">
        <v>0</v>
      </c>
      <c r="K315" s="33" t="n">
        <v>0</v>
      </c>
      <c r="L315" s="33" t="n">
        <v>0</v>
      </c>
      <c r="M315" s="32" t="n">
        <v>-13650492854837</v>
      </c>
      <c r="N315" s="16" t="n">
        <v>-13650492854837</v>
      </c>
      <c r="O315" s="16" t="n">
        <v>0</v>
      </c>
      <c r="P315" s="16" t="n">
        <v>0</v>
      </c>
      <c r="Q315" s="16" t="n">
        <v>0</v>
      </c>
      <c r="AH315" s="19" t="inlineStr">
        <is>
          <t xml:space="preserve">       (1) 후순위채권 </t>
        </is>
      </c>
      <c r="AI315" s="848" t="n">
        <v>-299402579359</v>
      </c>
    </row>
    <row r="316">
      <c r="A316" s="697" t="n">
        <v>315</v>
      </c>
      <c r="B316" s="33" t="inlineStr">
        <is>
          <t xml:space="preserve">  [자 본 총 계]</t>
        </is>
      </c>
      <c r="D316" s="33" t="n">
        <v>0</v>
      </c>
      <c r="E316" s="33" t="n">
        <v>0</v>
      </c>
      <c r="F316" s="33" t="n">
        <v>0</v>
      </c>
      <c r="G316" s="33" t="n">
        <v>0</v>
      </c>
      <c r="H316" s="146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3" t="n">
        <v>0</v>
      </c>
      <c r="N316" s="16" t="n">
        <v>0</v>
      </c>
      <c r="O316" s="16" t="n">
        <v>0</v>
      </c>
      <c r="P316" s="16" t="n">
        <v>0</v>
      </c>
      <c r="Q316" s="16" t="n">
        <v>0</v>
      </c>
      <c r="AH316" s="19" t="inlineStr">
        <is>
          <t xml:space="preserve">       (2) 일반채권</t>
        </is>
      </c>
      <c r="AI316" s="848" t="n">
        <v>0</v>
      </c>
    </row>
    <row r="317">
      <c r="A317" s="697" t="n">
        <v>316</v>
      </c>
      <c r="B317" s="33" t="inlineStr">
        <is>
          <t xml:space="preserve">　   Ⅰ.자 본 금</t>
        </is>
      </c>
      <c r="D317" s="33" t="n">
        <v>0</v>
      </c>
      <c r="E317" s="32" t="n">
        <v>29281993757</v>
      </c>
      <c r="F317" s="33" t="n">
        <v>0</v>
      </c>
      <c r="G317" s="33" t="n">
        <v>0</v>
      </c>
      <c r="H317" s="145" t="n">
        <v>29281993757</v>
      </c>
      <c r="I317" s="33" t="n">
        <v>0</v>
      </c>
      <c r="J317" s="33" t="n">
        <v>0</v>
      </c>
      <c r="K317" s="33" t="n">
        <v>0</v>
      </c>
      <c r="L317" s="33" t="n">
        <v>0</v>
      </c>
      <c r="M317" s="32" t="n">
        <v>29281993757</v>
      </c>
      <c r="N317" s="16" t="n">
        <v>29281993757</v>
      </c>
      <c r="O317" s="16" t="n">
        <v>0</v>
      </c>
      <c r="P317" s="16" t="n">
        <v>0</v>
      </c>
      <c r="Q317" s="16" t="n">
        <v>0</v>
      </c>
      <c r="AH317" s="19" t="inlineStr">
        <is>
          <t xml:space="preserve">  VI. 확 정 급 여 채 무 </t>
        </is>
      </c>
      <c r="AI317" s="848" t="n">
        <v>-11811167490</v>
      </c>
    </row>
    <row r="318">
      <c r="A318" s="697" t="n">
        <v>317</v>
      </c>
      <c r="B318" s="33" t="inlineStr">
        <is>
          <t xml:space="preserve">　　      [수권주식수]</t>
        </is>
      </c>
      <c r="D318" s="33" t="n">
        <v>0</v>
      </c>
      <c r="E318" s="32" t="n">
        <v>-356626729672</v>
      </c>
      <c r="F318" s="33" t="n">
        <v>0</v>
      </c>
      <c r="G318" s="33" t="n">
        <v>0</v>
      </c>
      <c r="H318" s="145" t="n">
        <v>-356626729672</v>
      </c>
      <c r="I318" s="33" t="n">
        <v>0</v>
      </c>
      <c r="J318" s="33" t="n">
        <v>0</v>
      </c>
      <c r="K318" s="33" t="n">
        <v>0</v>
      </c>
      <c r="L318" s="33" t="n">
        <v>0</v>
      </c>
      <c r="M318" s="32" t="n">
        <v>-356626729672</v>
      </c>
      <c r="N318" s="16" t="n">
        <v>-356626729672</v>
      </c>
      <c r="O318" s="16" t="n">
        <v>0</v>
      </c>
      <c r="P318" s="16" t="n">
        <v>0</v>
      </c>
      <c r="Q318" s="16" t="n">
        <v>0</v>
      </c>
      <c r="AH318" s="19" t="inlineStr">
        <is>
          <t xml:space="preserve">     1.확정급여채무</t>
        </is>
      </c>
      <c r="AI318" s="848" t="n">
        <v>-23607210605</v>
      </c>
    </row>
    <row r="319">
      <c r="A319" s="697" t="n">
        <v>318</v>
      </c>
      <c r="B319" s="33" t="inlineStr">
        <is>
          <t xml:space="preserve">　　      [발행주식수]</t>
        </is>
      </c>
      <c r="D319" s="33" t="n">
        <v>0</v>
      </c>
      <c r="E319" s="32" t="n">
        <v>-13323148118922</v>
      </c>
      <c r="F319" s="33" t="n">
        <v>0</v>
      </c>
      <c r="G319" s="33" t="n">
        <v>0</v>
      </c>
      <c r="H319" s="145" t="n">
        <v>-13323148118922</v>
      </c>
      <c r="I319" s="33" t="n">
        <v>0</v>
      </c>
      <c r="J319" s="33" t="n">
        <v>0</v>
      </c>
      <c r="K319" s="33" t="n">
        <v>0</v>
      </c>
      <c r="L319" s="33" t="n">
        <v>0</v>
      </c>
      <c r="M319" s="32" t="n">
        <v>-13323148118922</v>
      </c>
      <c r="N319" s="16" t="n">
        <v>-13323148118922</v>
      </c>
      <c r="O319" s="16" t="n">
        <v>0</v>
      </c>
      <c r="P319" s="16" t="n">
        <v>0</v>
      </c>
      <c r="Q319" s="16" t="n">
        <v>0</v>
      </c>
      <c r="AH319" s="19" t="inlineStr">
        <is>
          <t xml:space="preserve">     2.국민연금전환금 </t>
        </is>
      </c>
      <c r="AI319" s="848" t="n">
        <v>0</v>
      </c>
    </row>
    <row r="320">
      <c r="A320" s="697" t="n">
        <v>319</v>
      </c>
      <c r="B320" s="33" t="inlineStr">
        <is>
          <t xml:space="preserve">　　       1.보통주자본금</t>
        </is>
      </c>
      <c r="D320" s="32" t="n">
        <v>-2436501555669</v>
      </c>
      <c r="E320" s="32" t="n">
        <v>59203</v>
      </c>
      <c r="F320" s="33" t="n">
        <v>0</v>
      </c>
      <c r="G320" s="33" t="n">
        <v>0</v>
      </c>
      <c r="H320" s="145" t="n">
        <v>-2436501496466</v>
      </c>
      <c r="I320" s="32" t="n">
        <v>128957332230</v>
      </c>
      <c r="J320" s="33" t="n">
        <v>0</v>
      </c>
      <c r="K320" s="33" t="n">
        <v>0</v>
      </c>
      <c r="L320" s="32" t="n">
        <v>21221748164</v>
      </c>
      <c r="M320" s="32" t="n">
        <v>-2586680576860</v>
      </c>
      <c r="N320" s="16" t="n">
        <v>-2457723244630</v>
      </c>
      <c r="O320" s="16" t="n">
        <v>0</v>
      </c>
      <c r="P320" s="16" t="n">
        <v>21221748164</v>
      </c>
      <c r="Q320" s="16" t="n">
        <v>0</v>
      </c>
      <c r="AH320" s="19" t="inlineStr">
        <is>
          <t xml:space="preserve">     3.퇴직보험예치금 </t>
        </is>
      </c>
      <c r="AI320" s="848" t="n">
        <v>0</v>
      </c>
    </row>
    <row r="321">
      <c r="A321" s="697" t="n">
        <v>320</v>
      </c>
      <c r="B321" s="33" t="inlineStr">
        <is>
          <t xml:space="preserve">　　        [발행보통주식수]</t>
        </is>
      </c>
      <c r="D321" s="32" t="n">
        <v>-990714745000</v>
      </c>
      <c r="E321" s="33" t="n">
        <v>0</v>
      </c>
      <c r="F321" s="33" t="n">
        <v>0</v>
      </c>
      <c r="G321" s="33" t="n">
        <v>0</v>
      </c>
      <c r="H321" s="145" t="n">
        <v>-990714745000</v>
      </c>
      <c r="I321" s="33" t="n">
        <v>0</v>
      </c>
      <c r="J321" s="33" t="n">
        <v>0</v>
      </c>
      <c r="K321" s="33" t="n">
        <v>0</v>
      </c>
      <c r="L321" s="33" t="n">
        <v>0</v>
      </c>
      <c r="M321" s="32" t="n">
        <v>-990714745000</v>
      </c>
      <c r="N321" s="16" t="n">
        <v>-990714745000</v>
      </c>
      <c r="O321" s="16" t="n">
        <v>0</v>
      </c>
      <c r="P321" s="16" t="n">
        <v>0</v>
      </c>
      <c r="Q321" s="16" t="n">
        <v>0</v>
      </c>
      <c r="AH321" s="19" t="inlineStr">
        <is>
          <t xml:space="preserve">     4.단체퇴직급여충당금 </t>
        </is>
      </c>
      <c r="AI321" s="848" t="n">
        <v>0</v>
      </c>
    </row>
    <row r="322">
      <c r="A322" s="697" t="n">
        <v>321</v>
      </c>
      <c r="B322" s="33" t="inlineStr">
        <is>
          <t xml:space="preserve">　　       2.우선주자본금</t>
        </is>
      </c>
      <c r="D322" s="33" t="n">
        <v>0</v>
      </c>
      <c r="E322" s="33" t="n">
        <v>0</v>
      </c>
      <c r="F322" s="33" t="n">
        <v>0</v>
      </c>
      <c r="G322" s="33" t="n">
        <v>0</v>
      </c>
      <c r="H322" s="146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3" t="n">
        <v>0</v>
      </c>
      <c r="N322" s="16" t="n">
        <v>0</v>
      </c>
      <c r="O322" s="16" t="n">
        <v>0</v>
      </c>
      <c r="P322" s="16" t="n">
        <v>0</v>
      </c>
      <c r="Q322" s="16" t="n">
        <v>0</v>
      </c>
      <c r="AH322" s="19" t="inlineStr">
        <is>
          <t xml:space="preserve">     5.미인식보험수리적손익</t>
        </is>
      </c>
      <c r="AI322" s="848" t="n">
        <v>0</v>
      </c>
    </row>
    <row r="323">
      <c r="A323" s="697" t="n">
        <v>322</v>
      </c>
      <c r="B323" s="33" t="inlineStr">
        <is>
          <t xml:space="preserve">　　        [발행우선주식수]</t>
        </is>
      </c>
      <c r="D323" s="33" t="n">
        <v>0</v>
      </c>
      <c r="E323" s="33" t="n">
        <v>0</v>
      </c>
      <c r="F323" s="33" t="n">
        <v>0</v>
      </c>
      <c r="G323" s="33" t="n">
        <v>0</v>
      </c>
      <c r="H323" s="146" t="n">
        <v>0</v>
      </c>
      <c r="I323" s="33" t="n">
        <v>0</v>
      </c>
      <c r="J323" s="33" t="n">
        <v>0</v>
      </c>
      <c r="K323" s="33" t="n">
        <v>0</v>
      </c>
      <c r="L323" s="33" t="n">
        <v>0</v>
      </c>
      <c r="M323" s="33" t="n">
        <v>0</v>
      </c>
      <c r="N323" s="16" t="n">
        <v>0</v>
      </c>
      <c r="O323" s="16" t="n">
        <v>0</v>
      </c>
      <c r="P323" s="16" t="n">
        <v>0</v>
      </c>
      <c r="Q323" s="16" t="n">
        <v>0</v>
      </c>
      <c r="AH323" s="19" t="inlineStr">
        <is>
          <t xml:space="preserve">     6.미인식과거근무원가</t>
        </is>
      </c>
      <c r="AI323" s="848" t="n">
        <v>0</v>
      </c>
    </row>
    <row r="324">
      <c r="A324" s="697" t="n">
        <v>323</v>
      </c>
      <c r="B324" s="33" t="inlineStr">
        <is>
          <t xml:space="preserve">　    Ⅱ.자 본 잉 여 금</t>
        </is>
      </c>
      <c r="D324" s="32" t="n">
        <v>-885080945000</v>
      </c>
      <c r="E324" s="33" t="n">
        <v>0</v>
      </c>
      <c r="F324" s="33" t="n">
        <v>0</v>
      </c>
      <c r="G324" s="33" t="n">
        <v>0</v>
      </c>
      <c r="H324" s="145" t="n">
        <v>-885080945000</v>
      </c>
      <c r="I324" s="33" t="n">
        <v>0</v>
      </c>
      <c r="J324" s="33" t="n">
        <v>0</v>
      </c>
      <c r="K324" s="33" t="n">
        <v>0</v>
      </c>
      <c r="L324" s="33" t="n">
        <v>0</v>
      </c>
      <c r="M324" s="32" t="n">
        <v>-885080945000</v>
      </c>
      <c r="N324" s="16" t="n">
        <v>-885080945000</v>
      </c>
      <c r="O324" s="16" t="n">
        <v>0</v>
      </c>
      <c r="P324" s="16" t="n">
        <v>0</v>
      </c>
      <c r="Q324" s="16" t="n">
        <v>0</v>
      </c>
      <c r="AH324" s="19" t="inlineStr">
        <is>
          <t xml:space="preserve">     7.사외적립자산</t>
        </is>
      </c>
      <c r="AI324" s="848" t="n">
        <v>11796043115</v>
      </c>
    </row>
    <row r="325">
      <c r="A325" s="697" t="n">
        <v>324</v>
      </c>
      <c r="B325" s="33" t="inlineStr">
        <is>
          <t xml:space="preserve">　　       1.주식발행초과금</t>
        </is>
      </c>
      <c r="D325" s="33" t="n">
        <v>0</v>
      </c>
      <c r="E325" s="33" t="n">
        <v>0</v>
      </c>
      <c r="F325" s="33" t="n">
        <v>0</v>
      </c>
      <c r="G325" s="33" t="n">
        <v>0</v>
      </c>
      <c r="H325" s="146" t="n">
        <v>0</v>
      </c>
      <c r="I325" s="33" t="n">
        <v>0</v>
      </c>
      <c r="J325" s="33" t="n">
        <v>0</v>
      </c>
      <c r="K325" s="33" t="n">
        <v>0</v>
      </c>
      <c r="L325" s="33" t="n">
        <v>0</v>
      </c>
      <c r="M325" s="33" t="n">
        <v>0</v>
      </c>
      <c r="N325" s="16" t="n">
        <v>0</v>
      </c>
      <c r="O325" s="16" t="n">
        <v>0</v>
      </c>
      <c r="P325" s="16" t="n">
        <v>0</v>
      </c>
      <c r="Q325" s="16" t="n">
        <v>0</v>
      </c>
      <c r="AH325" s="19" t="inlineStr">
        <is>
          <t xml:space="preserve">       (1) 퇴직연금운용자산</t>
        </is>
      </c>
      <c r="AI325" s="848" t="n">
        <v>11796043115</v>
      </c>
    </row>
    <row r="326">
      <c r="A326" s="697" t="n">
        <v>325</v>
      </c>
      <c r="B326" s="33" t="inlineStr">
        <is>
          <t xml:space="preserve">　　       2.감 자 차 익</t>
        </is>
      </c>
      <c r="D326" s="32" t="n">
        <v>-105633800000</v>
      </c>
      <c r="E326" s="33" t="n">
        <v>0</v>
      </c>
      <c r="F326" s="33" t="n">
        <v>0</v>
      </c>
      <c r="G326" s="33" t="n">
        <v>0</v>
      </c>
      <c r="H326" s="145" t="n">
        <v>-105633800000</v>
      </c>
      <c r="I326" s="33" t="n">
        <v>0</v>
      </c>
      <c r="J326" s="33" t="n">
        <v>0</v>
      </c>
      <c r="K326" s="33" t="n">
        <v>0</v>
      </c>
      <c r="L326" s="33" t="n">
        <v>0</v>
      </c>
      <c r="M326" s="32" t="n">
        <v>-105633800000</v>
      </c>
      <c r="N326" s="16" t="n">
        <v>-105633800000</v>
      </c>
      <c r="O326" s="16" t="n">
        <v>0</v>
      </c>
      <c r="P326" s="16" t="n">
        <v>0</v>
      </c>
      <c r="Q326" s="16" t="n">
        <v>0</v>
      </c>
      <c r="AH326" s="19" t="inlineStr">
        <is>
          <t xml:space="preserve">       (2) 기타사외적립자산</t>
        </is>
      </c>
      <c r="AI326" s="848" t="n">
        <v>0</v>
      </c>
    </row>
    <row r="327">
      <c r="A327" s="697" t="n">
        <v>326</v>
      </c>
      <c r="B327" s="33" t="inlineStr">
        <is>
          <t xml:space="preserve">　　       3.재평가적립금</t>
        </is>
      </c>
      <c r="D327" s="33" t="n">
        <v>0</v>
      </c>
      <c r="E327" s="33" t="n">
        <v>0</v>
      </c>
      <c r="F327" s="33" t="n">
        <v>0</v>
      </c>
      <c r="G327" s="33" t="n">
        <v>0</v>
      </c>
      <c r="H327" s="146" t="n">
        <v>0</v>
      </c>
      <c r="I327" s="33" t="n">
        <v>0</v>
      </c>
      <c r="J327" s="33" t="n">
        <v>0</v>
      </c>
      <c r="K327" s="33" t="n">
        <v>0</v>
      </c>
      <c r="L327" s="33" t="n">
        <v>0</v>
      </c>
      <c r="M327" s="33" t="n">
        <v>0</v>
      </c>
      <c r="N327" s="16" t="n">
        <v>0</v>
      </c>
      <c r="O327" s="16" t="n">
        <v>0</v>
      </c>
      <c r="P327" s="16" t="n">
        <v>0</v>
      </c>
      <c r="Q327" s="16" t="n">
        <v>0</v>
      </c>
      <c r="AH327" s="19" t="inlineStr">
        <is>
          <t xml:space="preserve">  VII. 충 당 부 채 </t>
        </is>
      </c>
      <c r="AI327" s="848" t="n">
        <v>-2079621929</v>
      </c>
    </row>
    <row r="328">
      <c r="A328" s="697" t="n">
        <v>327</v>
      </c>
      <c r="B328" s="33" t="inlineStr">
        <is>
          <t xml:space="preserve">　　       4.기타자본잉여금</t>
        </is>
      </c>
      <c r="D328" s="32" t="n">
        <v>-181384483840</v>
      </c>
      <c r="E328" s="33" t="n">
        <v>0</v>
      </c>
      <c r="F328" s="33" t="n">
        <v>0</v>
      </c>
      <c r="G328" s="33" t="n">
        <v>0</v>
      </c>
      <c r="H328" s="145" t="n">
        <v>-181384483840</v>
      </c>
      <c r="I328" s="33" t="n">
        <v>0</v>
      </c>
      <c r="J328" s="33" t="n">
        <v>0</v>
      </c>
      <c r="K328" s="33" t="n">
        <v>0</v>
      </c>
      <c r="L328" s="33" t="n">
        <v>0</v>
      </c>
      <c r="M328" s="32" t="n">
        <v>-181384483840</v>
      </c>
      <c r="N328" s="16" t="n">
        <v>-181384483840</v>
      </c>
      <c r="O328" s="16" t="n">
        <v>0</v>
      </c>
      <c r="P328" s="16" t="n">
        <v>0</v>
      </c>
      <c r="Q328" s="16" t="n">
        <v>0</v>
      </c>
      <c r="AH328" s="19" t="inlineStr">
        <is>
          <t xml:space="preserve">     1.복구충당부채 </t>
        </is>
      </c>
      <c r="AI328" s="848" t="n">
        <v>-1793957866</v>
      </c>
    </row>
    <row r="329">
      <c r="A329" s="697" t="n">
        <v>328</v>
      </c>
      <c r="B329" s="33" t="inlineStr">
        <is>
          <t xml:space="preserve">　    III.신 종 자 본 증 권</t>
        </is>
      </c>
      <c r="D329" s="32" t="n">
        <v>-181361275262</v>
      </c>
      <c r="E329" s="33" t="n">
        <v>0</v>
      </c>
      <c r="F329" s="33" t="n">
        <v>0</v>
      </c>
      <c r="G329" s="33" t="n">
        <v>0</v>
      </c>
      <c r="H329" s="145" t="n">
        <v>-181361275262</v>
      </c>
      <c r="I329" s="33" t="n">
        <v>0</v>
      </c>
      <c r="J329" s="33" t="n">
        <v>0</v>
      </c>
      <c r="K329" s="33" t="n">
        <v>0</v>
      </c>
      <c r="L329" s="33" t="n">
        <v>0</v>
      </c>
      <c r="M329" s="32" t="n">
        <v>-181361275262</v>
      </c>
      <c r="N329" s="16" t="n">
        <v>-181361275262</v>
      </c>
      <c r="O329" s="16" t="n">
        <v>0</v>
      </c>
      <c r="P329" s="16" t="n">
        <v>0</v>
      </c>
      <c r="Q329" s="16" t="n">
        <v>0</v>
      </c>
      <c r="AH329" s="19" t="inlineStr">
        <is>
          <t xml:space="preserve">     2.채무보증충당부채 </t>
        </is>
      </c>
      <c r="AI329" s="848" t="n">
        <v>0</v>
      </c>
    </row>
    <row r="330">
      <c r="A330" s="697" t="n">
        <v>329</v>
      </c>
      <c r="B330" s="33" t="inlineStr">
        <is>
          <t xml:space="preserve">　　       (할인발행차금)(-)</t>
        </is>
      </c>
      <c r="D330" s="33" t="n">
        <v>0</v>
      </c>
      <c r="E330" s="33" t="n">
        <v>0</v>
      </c>
      <c r="F330" s="33" t="n">
        <v>0</v>
      </c>
      <c r="G330" s="33" t="n">
        <v>0</v>
      </c>
      <c r="H330" s="146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3" t="n">
        <v>0</v>
      </c>
      <c r="N330" s="16" t="n">
        <v>0</v>
      </c>
      <c r="O330" s="16" t="n">
        <v>0</v>
      </c>
      <c r="P330" s="16" t="n">
        <v>0</v>
      </c>
      <c r="Q330" s="16" t="n">
        <v>0</v>
      </c>
      <c r="AH330" s="19" t="inlineStr">
        <is>
          <t xml:space="preserve">     3.기타충당부채 </t>
        </is>
      </c>
      <c r="AI330" s="848" t="n">
        <v>-285664063</v>
      </c>
    </row>
    <row r="331">
      <c r="A331" s="697" t="n">
        <v>330</v>
      </c>
      <c r="B331" s="33" t="inlineStr">
        <is>
          <t xml:space="preserve">　　       (할증발행차금)(+)</t>
        </is>
      </c>
      <c r="D331" s="33" t="n">
        <v>0</v>
      </c>
      <c r="E331" s="33" t="n">
        <v>0</v>
      </c>
      <c r="F331" s="33" t="n">
        <v>0</v>
      </c>
      <c r="G331" s="33" t="n">
        <v>0</v>
      </c>
      <c r="H331" s="146" t="n">
        <v>0</v>
      </c>
      <c r="I331" s="33" t="n">
        <v>0</v>
      </c>
      <c r="J331" s="33" t="n">
        <v>0</v>
      </c>
      <c r="K331" s="33" t="n">
        <v>0</v>
      </c>
      <c r="L331" s="33" t="n">
        <v>0</v>
      </c>
      <c r="M331" s="33" t="n">
        <v>0</v>
      </c>
      <c r="N331" s="16" t="n">
        <v>0</v>
      </c>
      <c r="O331" s="16" t="n">
        <v>0</v>
      </c>
      <c r="P331" s="16" t="n">
        <v>0</v>
      </c>
      <c r="Q331" s="16" t="n">
        <v>0</v>
      </c>
      <c r="AH331" s="19" t="inlineStr">
        <is>
          <t xml:space="preserve">       (1) 미사용약정충당금</t>
        </is>
      </c>
      <c r="AI331" s="848" t="n">
        <v>-285664063</v>
      </c>
    </row>
    <row r="332">
      <c r="A332" s="697" t="n">
        <v>331</v>
      </c>
      <c r="B332" s="33" t="inlineStr">
        <is>
          <t xml:space="preserve">    IV.계 약 자 지 분 조 정</t>
        </is>
      </c>
      <c r="D332" s="32" t="n">
        <v>-23208578</v>
      </c>
      <c r="E332" s="33" t="n">
        <v>0</v>
      </c>
      <c r="F332" s="33" t="n">
        <v>0</v>
      </c>
      <c r="G332" s="33" t="n">
        <v>0</v>
      </c>
      <c r="H332" s="145" t="n">
        <v>-23208578</v>
      </c>
      <c r="I332" s="33" t="n">
        <v>0</v>
      </c>
      <c r="J332" s="33" t="n">
        <v>0</v>
      </c>
      <c r="K332" s="33" t="n">
        <v>0</v>
      </c>
      <c r="L332" s="33" t="n">
        <v>0</v>
      </c>
      <c r="M332" s="32" t="n">
        <v>-23208578</v>
      </c>
      <c r="N332" s="16" t="n">
        <v>-23208578</v>
      </c>
      <c r="O332" s="16" t="n">
        <v>0</v>
      </c>
      <c r="P332" s="16" t="n">
        <v>0</v>
      </c>
      <c r="Q332" s="16" t="n">
        <v>0</v>
      </c>
      <c r="AH332" s="19" t="inlineStr">
        <is>
          <t xml:space="preserve">       (2) 기      타</t>
        </is>
      </c>
      <c r="AI332" s="848" t="n">
        <v>0</v>
      </c>
    </row>
    <row r="333">
      <c r="A333" s="697" t="n">
        <v>332</v>
      </c>
      <c r="B333" s="33" t="inlineStr">
        <is>
          <t xml:space="preserve">　       1.기타포괄손익-공정가치측정금융상품평가손익</t>
        </is>
      </c>
      <c r="D333" s="33" t="n">
        <v>0</v>
      </c>
      <c r="E333" s="33" t="n">
        <v>0</v>
      </c>
      <c r="F333" s="33" t="n">
        <v>0</v>
      </c>
      <c r="G333" s="33" t="n">
        <v>0</v>
      </c>
      <c r="H333" s="146" t="n">
        <v>0</v>
      </c>
      <c r="I333" s="33" t="n">
        <v>0</v>
      </c>
      <c r="J333" s="33" t="n">
        <v>0</v>
      </c>
      <c r="K333" s="33" t="n">
        <v>0</v>
      </c>
      <c r="L333" s="33" t="n">
        <v>0</v>
      </c>
      <c r="M333" s="33" t="n">
        <v>0</v>
      </c>
      <c r="N333" s="16" t="n">
        <v>0</v>
      </c>
      <c r="O333" s="16" t="n">
        <v>0</v>
      </c>
      <c r="P333" s="16" t="n">
        <v>0</v>
      </c>
      <c r="Q333" s="16" t="n">
        <v>0</v>
      </c>
      <c r="AH333" s="19" t="inlineStr">
        <is>
          <t xml:space="preserve">  VIII. 이 연 법 인 세 부 채 </t>
        </is>
      </c>
      <c r="AI333" s="848" t="n">
        <v>-196703880689</v>
      </c>
    </row>
    <row r="334">
      <c r="A334" s="697" t="n">
        <v>333</v>
      </c>
      <c r="B334" s="33" t="inlineStr">
        <is>
          <t xml:space="preserve">　       2.관계·종속기업투자주식평가손익</t>
        </is>
      </c>
      <c r="D334" s="33" t="n">
        <v>0</v>
      </c>
      <c r="E334" s="33" t="n">
        <v>0</v>
      </c>
      <c r="F334" s="33" t="n">
        <v>0</v>
      </c>
      <c r="G334" s="33" t="n">
        <v>0</v>
      </c>
      <c r="H334" s="146" t="n">
        <v>0</v>
      </c>
      <c r="I334" s="33" t="n">
        <v>0</v>
      </c>
      <c r="J334" s="33" t="n">
        <v>0</v>
      </c>
      <c r="K334" s="33" t="n">
        <v>0</v>
      </c>
      <c r="L334" s="33" t="n">
        <v>0</v>
      </c>
      <c r="M334" s="33" t="n">
        <v>0</v>
      </c>
      <c r="N334" s="16" t="n">
        <v>0</v>
      </c>
      <c r="O334" s="16" t="n">
        <v>0</v>
      </c>
      <c r="P334" s="16" t="n">
        <v>0</v>
      </c>
      <c r="Q334" s="16" t="n">
        <v>0</v>
      </c>
      <c r="AH334" s="19" t="inlineStr">
        <is>
          <t xml:space="preserve">  IX.  기 타 부 채 </t>
        </is>
      </c>
      <c r="AI334" s="848" t="n">
        <v>-128692618754</v>
      </c>
    </row>
    <row r="335">
      <c r="A335" s="697" t="n">
        <v>334</v>
      </c>
      <c r="B335" s="33" t="inlineStr">
        <is>
          <t xml:space="preserve">　       3.재평가잉여금</t>
        </is>
      </c>
      <c r="D335" s="33" t="n">
        <v>0</v>
      </c>
      <c r="E335" s="33" t="n">
        <v>0</v>
      </c>
      <c r="F335" s="33" t="n">
        <v>0</v>
      </c>
      <c r="G335" s="33" t="n">
        <v>0</v>
      </c>
      <c r="H335" s="146" t="n">
        <v>0</v>
      </c>
      <c r="I335" s="33" t="n">
        <v>0</v>
      </c>
      <c r="J335" s="33" t="n">
        <v>0</v>
      </c>
      <c r="K335" s="33" t="n">
        <v>0</v>
      </c>
      <c r="L335" s="33" t="n">
        <v>0</v>
      </c>
      <c r="M335" s="33" t="n">
        <v>0</v>
      </c>
      <c r="N335" s="16" t="n">
        <v>0</v>
      </c>
      <c r="O335" s="16" t="n">
        <v>0</v>
      </c>
      <c r="P335" s="16" t="n">
        <v>0</v>
      </c>
      <c r="Q335" s="16" t="n">
        <v>0</v>
      </c>
      <c r="AH335" s="19" t="inlineStr">
        <is>
          <t xml:space="preserve">      1.미 지 급 금 </t>
        </is>
      </c>
      <c r="AI335" s="848" t="n">
        <v>-15978690584</v>
      </c>
    </row>
    <row r="336">
      <c r="A336" s="697" t="n">
        <v>335</v>
      </c>
      <c r="B336" s="33" t="inlineStr">
        <is>
          <t xml:space="preserve">　    V.이 익 잉 여 금</t>
        </is>
      </c>
      <c r="D336" s="32" t="n">
        <v>-2067824468220</v>
      </c>
      <c r="E336" s="33" t="n">
        <v>0</v>
      </c>
      <c r="F336" s="33" t="n">
        <v>0</v>
      </c>
      <c r="G336" s="33" t="n">
        <v>0</v>
      </c>
      <c r="H336" s="145" t="n">
        <v>-2067824468220</v>
      </c>
      <c r="I336" s="33" t="n">
        <v>0</v>
      </c>
      <c r="J336" s="33" t="n">
        <v>0</v>
      </c>
      <c r="K336" s="33" t="n">
        <v>0</v>
      </c>
      <c r="L336" s="33" t="n">
        <v>0</v>
      </c>
      <c r="M336" s="32" t="n">
        <v>-2067824468220</v>
      </c>
      <c r="N336" s="16" t="n">
        <v>-2067824468220</v>
      </c>
      <c r="O336" s="16" t="n">
        <v>0</v>
      </c>
      <c r="P336" s="16" t="n">
        <v>0</v>
      </c>
      <c r="Q336" s="16" t="n">
        <v>0</v>
      </c>
      <c r="AH336" s="19" t="inlineStr">
        <is>
          <t xml:space="preserve">      2.미 지 급 비 용 </t>
        </is>
      </c>
      <c r="AI336" s="848" t="n">
        <v>-59854245966</v>
      </c>
    </row>
    <row r="337">
      <c r="A337" s="697" t="n">
        <v>336</v>
      </c>
      <c r="B337" s="33" t="inlineStr">
        <is>
          <t xml:space="preserve">　　       1.이익준비금</t>
        </is>
      </c>
      <c r="D337" s="32" t="n">
        <v>-29423725175</v>
      </c>
      <c r="E337" s="33" t="n">
        <v>0</v>
      </c>
      <c r="F337" s="33" t="n">
        <v>0</v>
      </c>
      <c r="G337" s="33" t="n">
        <v>0</v>
      </c>
      <c r="H337" s="145" t="n">
        <v>-29423725175</v>
      </c>
      <c r="I337" s="33" t="n">
        <v>0</v>
      </c>
      <c r="J337" s="33" t="n">
        <v>0</v>
      </c>
      <c r="K337" s="33" t="n">
        <v>0</v>
      </c>
      <c r="L337" s="33" t="n">
        <v>0</v>
      </c>
      <c r="M337" s="32" t="n">
        <v>-29423725175</v>
      </c>
      <c r="N337" s="16" t="n">
        <v>-29423725175</v>
      </c>
      <c r="O337" s="16" t="n">
        <v>0</v>
      </c>
      <c r="P337" s="16" t="n">
        <v>0</v>
      </c>
      <c r="Q337" s="16" t="n">
        <v>0</v>
      </c>
      <c r="AH337" s="19" t="inlineStr">
        <is>
          <t xml:space="preserve">      3.선 수 금 </t>
        </is>
      </c>
      <c r="AI337" s="848" t="n">
        <v>0</v>
      </c>
    </row>
    <row r="338">
      <c r="A338" s="697" t="n">
        <v>337</v>
      </c>
      <c r="B338" s="33" t="inlineStr">
        <is>
          <t xml:space="preserve">　　       2.기타법정적립금</t>
        </is>
      </c>
      <c r="D338" s="33" t="n">
        <v>0</v>
      </c>
      <c r="E338" s="33" t="n">
        <v>0</v>
      </c>
      <c r="F338" s="33" t="n">
        <v>0</v>
      </c>
      <c r="G338" s="33" t="n">
        <v>0</v>
      </c>
      <c r="H338" s="146" t="n">
        <v>0</v>
      </c>
      <c r="I338" s="33" t="n">
        <v>0</v>
      </c>
      <c r="J338" s="33" t="n">
        <v>0</v>
      </c>
      <c r="K338" s="33" t="n">
        <v>0</v>
      </c>
      <c r="L338" s="33" t="n">
        <v>0</v>
      </c>
      <c r="M338" s="33" t="n">
        <v>0</v>
      </c>
      <c r="N338" s="16" t="n">
        <v>0</v>
      </c>
      <c r="O338" s="16" t="n">
        <v>0</v>
      </c>
      <c r="P338" s="16" t="n">
        <v>0</v>
      </c>
      <c r="Q338" s="16" t="n">
        <v>0</v>
      </c>
      <c r="AH338" s="19" t="inlineStr">
        <is>
          <t xml:space="preserve">      4.선 수 수 익 </t>
        </is>
      </c>
      <c r="AI338" s="848" t="n">
        <v>-106188370</v>
      </c>
    </row>
    <row r="339">
      <c r="A339" s="697" t="n">
        <v>338</v>
      </c>
      <c r="B339" s="33" t="inlineStr">
        <is>
          <t xml:space="preserve">　　　         가.기업합리화적립금</t>
        </is>
      </c>
      <c r="D339" s="33" t="n">
        <v>0</v>
      </c>
      <c r="E339" s="33" t="n">
        <v>0</v>
      </c>
      <c r="F339" s="33" t="n">
        <v>0</v>
      </c>
      <c r="G339" s="33" t="n">
        <v>0</v>
      </c>
      <c r="H339" s="146" t="n">
        <v>0</v>
      </c>
      <c r="I339" s="33" t="n">
        <v>0</v>
      </c>
      <c r="J339" s="33" t="n">
        <v>0</v>
      </c>
      <c r="K339" s="33" t="n">
        <v>0</v>
      </c>
      <c r="L339" s="33" t="n">
        <v>0</v>
      </c>
      <c r="M339" s="33" t="n">
        <v>0</v>
      </c>
      <c r="N339" s="16" t="n">
        <v>0</v>
      </c>
      <c r="O339" s="16" t="n">
        <v>0</v>
      </c>
      <c r="P339" s="16" t="n">
        <v>0</v>
      </c>
      <c r="Q339" s="16" t="n">
        <v>0</v>
      </c>
      <c r="AH339" s="19" t="inlineStr">
        <is>
          <t xml:space="preserve">      5.예 수 금 </t>
        </is>
      </c>
      <c r="AI339" s="848" t="n">
        <v>-9441661977</v>
      </c>
    </row>
    <row r="340">
      <c r="A340" s="697" t="n">
        <v>339</v>
      </c>
      <c r="B340" s="33" t="inlineStr">
        <is>
          <t xml:space="preserve">　　       3.대손준비금</t>
        </is>
      </c>
      <c r="D340" s="32" t="n">
        <v>-8123039400</v>
      </c>
      <c r="E340" s="33" t="n">
        <v>0</v>
      </c>
      <c r="F340" s="33" t="n">
        <v>0</v>
      </c>
      <c r="G340" s="33" t="n">
        <v>0</v>
      </c>
      <c r="H340" s="145" t="n">
        <v>-8123039400</v>
      </c>
      <c r="I340" s="33" t="n">
        <v>0</v>
      </c>
      <c r="J340" s="33" t="n">
        <v>0</v>
      </c>
      <c r="K340" s="33" t="n">
        <v>0</v>
      </c>
      <c r="L340" s="33" t="n">
        <v>0</v>
      </c>
      <c r="M340" s="32" t="n">
        <v>-8123039400</v>
      </c>
      <c r="N340" s="16" t="n">
        <v>-8123039400</v>
      </c>
      <c r="O340" s="16" t="n">
        <v>0</v>
      </c>
      <c r="P340" s="16" t="n">
        <v>0</v>
      </c>
      <c r="Q340" s="16" t="n">
        <v>0</v>
      </c>
      <c r="AH340" s="19" t="inlineStr">
        <is>
          <t xml:space="preserve">      6.미 지 급 부 가 세 </t>
        </is>
      </c>
      <c r="AI340" s="848" t="n">
        <v>0</v>
      </c>
    </row>
    <row r="341">
      <c r="A341" s="697" t="n">
        <v>340</v>
      </c>
      <c r="B341" s="33" t="inlineStr">
        <is>
          <t xml:space="preserve">　　       4.임의적립금</t>
        </is>
      </c>
      <c r="D341" s="33" t="n">
        <v>0</v>
      </c>
      <c r="E341" s="33" t="n">
        <v>0</v>
      </c>
      <c r="F341" s="33" t="n">
        <v>0</v>
      </c>
      <c r="G341" s="33" t="n">
        <v>0</v>
      </c>
      <c r="H341" s="146" t="n">
        <v>0</v>
      </c>
      <c r="I341" s="33" t="n">
        <v>0</v>
      </c>
      <c r="J341" s="33" t="n">
        <v>0</v>
      </c>
      <c r="K341" s="33" t="n">
        <v>0</v>
      </c>
      <c r="L341" s="33" t="n">
        <v>0</v>
      </c>
      <c r="M341" s="33" t="n">
        <v>0</v>
      </c>
      <c r="N341" s="16" t="n">
        <v>0</v>
      </c>
      <c r="O341" s="16" t="n">
        <v>0</v>
      </c>
      <c r="P341" s="16" t="n">
        <v>0</v>
      </c>
      <c r="Q341" s="16" t="n">
        <v>0</v>
      </c>
      <c r="AH341" s="19" t="inlineStr">
        <is>
          <t xml:space="preserve">      7.미 지 급 법 인 세 </t>
        </is>
      </c>
      <c r="AI341" s="848" t="n">
        <v>0</v>
      </c>
    </row>
    <row r="342">
      <c r="A342" s="697" t="n">
        <v>341</v>
      </c>
      <c r="B342" s="33" t="inlineStr">
        <is>
          <t xml:space="preserve">　　       5.처분전이익잉여금(처리전결손금)</t>
        </is>
      </c>
      <c r="D342" s="32" t="n">
        <v>-609270014817</v>
      </c>
      <c r="E342" s="33" t="n">
        <v>0</v>
      </c>
      <c r="F342" s="33" t="n">
        <v>0</v>
      </c>
      <c r="G342" s="33" t="n">
        <v>0</v>
      </c>
      <c r="H342" s="145" t="n">
        <v>-609270014817</v>
      </c>
      <c r="I342" s="33" t="n">
        <v>0</v>
      </c>
      <c r="J342" s="33" t="n">
        <v>0</v>
      </c>
      <c r="K342" s="33" t="n">
        <v>0</v>
      </c>
      <c r="L342" s="33" t="n">
        <v>0</v>
      </c>
      <c r="M342" s="32" t="n">
        <v>-609270014817</v>
      </c>
      <c r="N342" s="16" t="n">
        <v>-609270014817</v>
      </c>
      <c r="O342" s="16" t="n">
        <v>0</v>
      </c>
      <c r="P342" s="16" t="n">
        <v>0</v>
      </c>
      <c r="Q342" s="16" t="n">
        <v>0</v>
      </c>
      <c r="AH342" s="19" t="inlineStr">
        <is>
          <t xml:space="preserve">      8.가 수 보 험 료 </t>
        </is>
      </c>
      <c r="AI342" s="848" t="n">
        <v>0</v>
      </c>
    </row>
    <row r="343">
      <c r="A343" s="697" t="n">
        <v>342</v>
      </c>
      <c r="B343" s="33" t="inlineStr">
        <is>
          <t xml:space="preserve">　　　          (당기순이익또는당기순손실)</t>
        </is>
      </c>
      <c r="D343" s="32" t="n">
        <v>-124900389221</v>
      </c>
      <c r="E343" s="33" t="n">
        <v>0</v>
      </c>
      <c r="F343" s="33" t="n">
        <v>0</v>
      </c>
      <c r="G343" s="33" t="n">
        <v>0</v>
      </c>
      <c r="H343" s="145" t="n">
        <v>-124900389221</v>
      </c>
      <c r="I343" s="33" t="n">
        <v>0</v>
      </c>
      <c r="J343" s="33" t="n">
        <v>0</v>
      </c>
      <c r="K343" s="33" t="n">
        <v>0</v>
      </c>
      <c r="L343" s="33" t="n">
        <v>0</v>
      </c>
      <c r="M343" s="32" t="n">
        <v>-124900389221</v>
      </c>
      <c r="N343" s="16" t="n">
        <v>-124900389221</v>
      </c>
      <c r="O343" s="16" t="n">
        <v>0</v>
      </c>
      <c r="P343" s="16" t="n">
        <v>0</v>
      </c>
      <c r="Q343" s="16" t="n">
        <v>0</v>
      </c>
      <c r="AH343" s="19" t="inlineStr">
        <is>
          <t xml:space="preserve">      9.임 대 보 증 금 </t>
        </is>
      </c>
      <c r="AI343" s="848" t="n">
        <v>-114138534</v>
      </c>
    </row>
    <row r="344">
      <c r="A344" s="697" t="n">
        <v>343</v>
      </c>
      <c r="B344" s="33" t="inlineStr">
        <is>
          <t xml:space="preserve">　　       6.비상위험준비금</t>
        </is>
      </c>
      <c r="D344" s="33" t="n">
        <v>0</v>
      </c>
      <c r="E344" s="33" t="n">
        <v>0</v>
      </c>
      <c r="F344" s="33" t="n">
        <v>0</v>
      </c>
      <c r="G344" s="33" t="n">
        <v>0</v>
      </c>
      <c r="H344" s="146" t="n">
        <v>0</v>
      </c>
      <c r="I344" s="33" t="n">
        <v>0</v>
      </c>
      <c r="J344" s="33" t="n">
        <v>0</v>
      </c>
      <c r="K344" s="33" t="n">
        <v>0</v>
      </c>
      <c r="L344" s="33" t="n">
        <v>0</v>
      </c>
      <c r="M344" s="33" t="n">
        <v>0</v>
      </c>
      <c r="N344" s="16" t="n">
        <v>0</v>
      </c>
      <c r="O344" s="16" t="n">
        <v>0</v>
      </c>
      <c r="P344" s="16" t="n">
        <v>0</v>
      </c>
      <c r="Q344" s="16" t="n">
        <v>0</v>
      </c>
      <c r="AH344" s="19" t="inlineStr">
        <is>
          <t xml:space="preserve">        (1) (현재가치할인차금)</t>
        </is>
      </c>
      <c r="AI344" s="848" t="n">
        <v>4348466</v>
      </c>
    </row>
    <row r="345">
      <c r="A345" s="697" t="n">
        <v>344</v>
      </c>
      <c r="B345" s="33" t="inlineStr">
        <is>
          <t xml:space="preserve">　　       7.해약환급금준비금</t>
        </is>
      </c>
      <c r="D345" s="32" t="n">
        <v>-1219968190692</v>
      </c>
      <c r="E345" s="33" t="n">
        <v>0</v>
      </c>
      <c r="F345" s="33" t="n">
        <v>0</v>
      </c>
      <c r="G345" s="33" t="n">
        <v>0</v>
      </c>
      <c r="H345" s="145" t="n">
        <v>-1219968190692</v>
      </c>
      <c r="I345" s="33" t="n">
        <v>0</v>
      </c>
      <c r="J345" s="33" t="n">
        <v>0</v>
      </c>
      <c r="K345" s="33" t="n">
        <v>0</v>
      </c>
      <c r="L345" s="33" t="n">
        <v>0</v>
      </c>
      <c r="M345" s="32" t="n">
        <v>-1219968190692</v>
      </c>
      <c r="N345" s="16" t="n">
        <v>-1219968190692</v>
      </c>
      <c r="O345" s="16" t="n">
        <v>0</v>
      </c>
      <c r="P345" s="16" t="n">
        <v>0</v>
      </c>
      <c r="Q345" s="16" t="n">
        <v>0</v>
      </c>
      <c r="AH345" s="19" t="inlineStr">
        <is>
          <t xml:space="preserve">        (2) 임대보증금 </t>
        </is>
      </c>
      <c r="AI345" s="848" t="n">
        <v>-118487000</v>
      </c>
    </row>
    <row r="346">
      <c r="A346" s="697" t="n">
        <v>345</v>
      </c>
      <c r="B346" s="33" t="inlineStr">
        <is>
          <t xml:space="preserve">　　       8.보증준비금</t>
        </is>
      </c>
      <c r="D346" s="32" t="n">
        <v>-201039498136</v>
      </c>
      <c r="E346" s="33" t="n">
        <v>0</v>
      </c>
      <c r="F346" s="33" t="n">
        <v>0</v>
      </c>
      <c r="G346" s="33" t="n">
        <v>0</v>
      </c>
      <c r="H346" s="145" t="n">
        <v>-201039498136</v>
      </c>
      <c r="I346" s="33" t="n">
        <v>0</v>
      </c>
      <c r="J346" s="33" t="n">
        <v>0</v>
      </c>
      <c r="K346" s="33" t="n">
        <v>0</v>
      </c>
      <c r="L346" s="33" t="n">
        <v>0</v>
      </c>
      <c r="M346" s="32" t="n">
        <v>-201039498136</v>
      </c>
      <c r="N346" s="16" t="n">
        <v>-201039498136</v>
      </c>
      <c r="O346" s="16" t="n">
        <v>0</v>
      </c>
      <c r="P346" s="16" t="n">
        <v>0</v>
      </c>
      <c r="Q346" s="16" t="n">
        <v>0</v>
      </c>
      <c r="AH346" s="19" t="inlineStr">
        <is>
          <t xml:space="preserve">     10.신 탁 계 정 차 </t>
        </is>
      </c>
      <c r="AI346" s="848" t="n">
        <v>0</v>
      </c>
    </row>
    <row r="347">
      <c r="A347" s="697" t="n">
        <v>346</v>
      </c>
      <c r="B347" s="33" t="inlineStr">
        <is>
          <t xml:space="preserve">　    VI.자 본 조 정</t>
        </is>
      </c>
      <c r="D347" s="32" t="n">
        <v>371175448895</v>
      </c>
      <c r="E347" s="33" t="n">
        <v>0</v>
      </c>
      <c r="F347" s="33" t="n">
        <v>0</v>
      </c>
      <c r="G347" s="33" t="n">
        <v>0</v>
      </c>
      <c r="H347" s="145" t="n">
        <v>371175448895</v>
      </c>
      <c r="I347" s="33" t="n">
        <v>0</v>
      </c>
      <c r="J347" s="33" t="n">
        <v>0</v>
      </c>
      <c r="K347" s="33" t="n">
        <v>0</v>
      </c>
      <c r="L347" s="33" t="n">
        <v>0</v>
      </c>
      <c r="M347" s="32" t="n">
        <v>371175448895</v>
      </c>
      <c r="N347" s="16" t="n">
        <v>371175448895</v>
      </c>
      <c r="O347" s="16" t="n">
        <v>0</v>
      </c>
      <c r="P347" s="16" t="n">
        <v>0</v>
      </c>
      <c r="Q347" s="16" t="n">
        <v>0</v>
      </c>
      <c r="AH347" s="19" t="inlineStr">
        <is>
          <t xml:space="preserve">     11.요 구 불 상 환 지 분 </t>
        </is>
      </c>
      <c r="AI347" s="848" t="n">
        <v>0</v>
      </c>
    </row>
    <row r="348">
      <c r="A348" s="697" t="n">
        <v>347</v>
      </c>
      <c r="B348" s="33" t="inlineStr">
        <is>
          <t xml:space="preserve">　　       1.주식할인발행차금</t>
        </is>
      </c>
      <c r="D348" s="33" t="n">
        <v>0</v>
      </c>
      <c r="E348" s="33" t="n">
        <v>0</v>
      </c>
      <c r="F348" s="33" t="n">
        <v>0</v>
      </c>
      <c r="G348" s="33" t="n">
        <v>0</v>
      </c>
      <c r="H348" s="146" t="n">
        <v>0</v>
      </c>
      <c r="I348" s="33" t="n">
        <v>0</v>
      </c>
      <c r="J348" s="33" t="n">
        <v>0</v>
      </c>
      <c r="K348" s="33" t="n">
        <v>0</v>
      </c>
      <c r="L348" s="33" t="n">
        <v>0</v>
      </c>
      <c r="M348" s="33" t="n">
        <v>0</v>
      </c>
      <c r="N348" s="16" t="n">
        <v>0</v>
      </c>
      <c r="O348" s="16" t="n">
        <v>0</v>
      </c>
      <c r="P348" s="16" t="n">
        <v>0</v>
      </c>
      <c r="Q348" s="16" t="n">
        <v>0</v>
      </c>
      <c r="AH348" s="19" t="inlineStr">
        <is>
          <t xml:space="preserve">        (1) 상환우선주 </t>
        </is>
      </c>
      <c r="AI348" s="848" t="n">
        <v>0</v>
      </c>
    </row>
    <row r="349">
      <c r="A349" s="697" t="n">
        <v>348</v>
      </c>
      <c r="B349" s="33" t="inlineStr">
        <is>
          <t xml:space="preserve">　　       2.자 기 주 식</t>
        </is>
      </c>
      <c r="D349" s="32" t="n">
        <v>371164575305</v>
      </c>
      <c r="E349" s="33" t="n">
        <v>0</v>
      </c>
      <c r="F349" s="33" t="n">
        <v>0</v>
      </c>
      <c r="G349" s="33" t="n">
        <v>0</v>
      </c>
      <c r="H349" s="145" t="n">
        <v>371164575305</v>
      </c>
      <c r="I349" s="33" t="n">
        <v>0</v>
      </c>
      <c r="J349" s="33" t="n">
        <v>0</v>
      </c>
      <c r="K349" s="33" t="n">
        <v>0</v>
      </c>
      <c r="L349" s="33" t="n">
        <v>0</v>
      </c>
      <c r="M349" s="32" t="n">
        <v>371164575305</v>
      </c>
      <c r="N349" s="16" t="n">
        <v>371164575305</v>
      </c>
      <c r="O349" s="16" t="n">
        <v>0</v>
      </c>
      <c r="P349" s="16" t="n">
        <v>0</v>
      </c>
      <c r="Q349" s="16" t="n">
        <v>0</v>
      </c>
      <c r="AH349" s="19" t="inlineStr">
        <is>
          <t xml:space="preserve">        (2) 기타</t>
        </is>
      </c>
      <c r="AI349" s="848" t="n">
        <v>0</v>
      </c>
    </row>
    <row r="350">
      <c r="A350" s="697" t="n">
        <v>349</v>
      </c>
      <c r="B350" s="33" t="inlineStr">
        <is>
          <t xml:space="preserve">　　       3.기 타 자 본 조 정</t>
        </is>
      </c>
      <c r="D350" s="32" t="n">
        <v>10873590</v>
      </c>
      <c r="E350" s="33" t="n">
        <v>0</v>
      </c>
      <c r="F350" s="33" t="n">
        <v>0</v>
      </c>
      <c r="G350" s="33" t="n">
        <v>0</v>
      </c>
      <c r="H350" s="145" t="n">
        <v>10873590</v>
      </c>
      <c r="I350" s="33" t="n">
        <v>0</v>
      </c>
      <c r="J350" s="33" t="n">
        <v>0</v>
      </c>
      <c r="K350" s="33" t="n">
        <v>0</v>
      </c>
      <c r="L350" s="33" t="n">
        <v>0</v>
      </c>
      <c r="M350" s="32" t="n">
        <v>10873590</v>
      </c>
      <c r="N350" s="16" t="n">
        <v>10873590</v>
      </c>
      <c r="O350" s="16" t="n">
        <v>0</v>
      </c>
      <c r="P350" s="16" t="n">
        <v>0</v>
      </c>
      <c r="Q350" s="16" t="n">
        <v>0</v>
      </c>
      <c r="AH350" s="19" t="inlineStr">
        <is>
          <t xml:space="preserve">     12.그밖의 기타부채 </t>
        </is>
      </c>
      <c r="AI350" s="848" t="n">
        <v>-43197693323</v>
      </c>
    </row>
    <row r="351">
      <c r="A351" s="697" t="n">
        <v>350</v>
      </c>
      <c r="B351" s="33" t="inlineStr">
        <is>
          <t xml:space="preserve">　    VII.기타포괄손익누계액</t>
        </is>
      </c>
      <c r="D351" s="32" t="n">
        <v>432246692496</v>
      </c>
      <c r="E351" s="32" t="n">
        <v>59203</v>
      </c>
      <c r="F351" s="33" t="n">
        <v>0</v>
      </c>
      <c r="G351" s="33" t="n">
        <v>0</v>
      </c>
      <c r="H351" s="145" t="n">
        <v>432246751699</v>
      </c>
      <c r="I351" s="32" t="n">
        <v>128957332230</v>
      </c>
      <c r="J351" s="33" t="n">
        <v>0</v>
      </c>
      <c r="K351" s="33" t="n">
        <v>0</v>
      </c>
      <c r="L351" s="32" t="n">
        <v>21221748164</v>
      </c>
      <c r="M351" s="32" t="n">
        <v>282067671305</v>
      </c>
      <c r="N351" s="16" t="n">
        <v>411025003535</v>
      </c>
      <c r="O351" s="16" t="n">
        <v>0</v>
      </c>
      <c r="P351" s="16" t="n">
        <v>21221748164</v>
      </c>
      <c r="Q351" s="16" t="n">
        <v>0</v>
      </c>
      <c r="AH351" s="19" t="inlineStr">
        <is>
          <t xml:space="preserve">        (1) 현재가치할인차금 </t>
        </is>
      </c>
      <c r="AI351" s="848" t="n">
        <v>567075927</v>
      </c>
    </row>
    <row r="352">
      <c r="A352" s="697" t="n">
        <v>351</v>
      </c>
      <c r="B352" s="33" t="inlineStr">
        <is>
          <t xml:space="preserve">　　       1.기타포괄손익-공정가치측정금융상품평가손익</t>
        </is>
      </c>
      <c r="D352" s="32" t="n">
        <v>1046921695128</v>
      </c>
      <c r="E352" s="33" t="n">
        <v>0</v>
      </c>
      <c r="F352" s="33" t="n">
        <v>0</v>
      </c>
      <c r="G352" s="33" t="n">
        <v>0</v>
      </c>
      <c r="H352" s="145" t="n">
        <v>1046921695128</v>
      </c>
      <c r="I352" s="32" t="n">
        <v>128650670683</v>
      </c>
      <c r="J352" s="33" t="n">
        <v>0</v>
      </c>
      <c r="K352" s="33" t="n">
        <v>0</v>
      </c>
      <c r="L352" s="32" t="n">
        <v>19633654608</v>
      </c>
      <c r="M352" s="32" t="n">
        <v>898637369837</v>
      </c>
      <c r="N352" s="16" t="n">
        <v>1027288040520</v>
      </c>
      <c r="O352" s="16" t="n">
        <v>0</v>
      </c>
      <c r="P352" s="16" t="n">
        <v>19633654608</v>
      </c>
      <c r="Q352" s="16" t="n">
        <v>0</v>
      </c>
      <c r="AH352" s="19" t="inlineStr">
        <is>
          <t xml:space="preserve">        (2) 그밖의기타부채 </t>
        </is>
      </c>
      <c r="AI352" s="848" t="n">
        <v>-43764769250</v>
      </c>
    </row>
    <row r="353">
      <c r="A353" s="697" t="n">
        <v>352</v>
      </c>
      <c r="B353" s="33" t="inlineStr">
        <is>
          <t xml:space="preserve">　　          [지분상품평가손익]</t>
        </is>
      </c>
      <c r="D353" s="33" t="n">
        <v>0</v>
      </c>
      <c r="E353" s="33" t="n">
        <v>0</v>
      </c>
      <c r="F353" s="33" t="n">
        <v>0</v>
      </c>
      <c r="G353" s="33" t="n">
        <v>0</v>
      </c>
      <c r="H353" s="146" t="n">
        <v>0</v>
      </c>
      <c r="I353" s="33" t="n">
        <v>0</v>
      </c>
      <c r="J353" s="33" t="n">
        <v>0</v>
      </c>
      <c r="K353" s="33" t="n">
        <v>0</v>
      </c>
      <c r="L353" s="33" t="n">
        <v>0</v>
      </c>
      <c r="M353" s="33" t="n">
        <v>0</v>
      </c>
      <c r="N353" s="16" t="n">
        <v>0</v>
      </c>
      <c r="O353" s="16" t="n">
        <v>0</v>
      </c>
      <c r="P353" s="16" t="n">
        <v>0</v>
      </c>
      <c r="Q353" s="16" t="n">
        <v>0</v>
      </c>
      <c r="AH353" s="19" t="inlineStr">
        <is>
          <t xml:space="preserve">     13.당  좌  차  월 </t>
        </is>
      </c>
      <c r="AI353" s="848" t="n">
        <v>0</v>
      </c>
    </row>
    <row r="354">
      <c r="A354" s="697" t="n">
        <v>353</v>
      </c>
      <c r="B354" s="33" t="inlineStr">
        <is>
          <t xml:space="preserve">　　       2.기타포괄손익-공정가치측정채무상품손실충당금</t>
        </is>
      </c>
      <c r="D354" s="32" t="n">
        <v>-673804825</v>
      </c>
      <c r="E354" s="33" t="n">
        <v>0</v>
      </c>
      <c r="F354" s="33" t="n">
        <v>0</v>
      </c>
      <c r="G354" s="33" t="n">
        <v>0</v>
      </c>
      <c r="H354" s="145" t="n">
        <v>-673804825</v>
      </c>
      <c r="I354" s="32" t="n">
        <v>-54090637</v>
      </c>
      <c r="J354" s="33" t="n">
        <v>0</v>
      </c>
      <c r="K354" s="33" t="n">
        <v>0</v>
      </c>
      <c r="L354" s="32" t="n">
        <v>-90764094</v>
      </c>
      <c r="M354" s="32" t="n">
        <v>-528950094</v>
      </c>
      <c r="N354" s="16" t="n">
        <v>-583040731</v>
      </c>
      <c r="O354" s="16" t="n">
        <v>0</v>
      </c>
      <c r="P354" s="16" t="n">
        <v>-90764094</v>
      </c>
      <c r="Q354" s="16" t="n">
        <v>0</v>
      </c>
      <c r="AH354" s="19" t="inlineStr">
        <is>
          <t xml:space="preserve">     14.본 지 점 계 정 대</t>
        </is>
      </c>
      <c r="AI354" s="848" t="n">
        <v>0</v>
      </c>
    </row>
    <row r="355">
      <c r="A355" s="697" t="n">
        <v>354</v>
      </c>
      <c r="B355" s="33" t="inlineStr">
        <is>
          <t xml:space="preserve">　　       3.관계·종속기업투자주식평가손익</t>
        </is>
      </c>
      <c r="D355" s="33" t="n">
        <v>0</v>
      </c>
      <c r="E355" s="33" t="n">
        <v>0</v>
      </c>
      <c r="F355" s="33" t="n">
        <v>0</v>
      </c>
      <c r="G355" s="33" t="n">
        <v>0</v>
      </c>
      <c r="H355" s="146" t="n">
        <v>0</v>
      </c>
      <c r="I355" s="33" t="n">
        <v>0</v>
      </c>
      <c r="J355" s="33" t="n">
        <v>0</v>
      </c>
      <c r="K355" s="33" t="n">
        <v>0</v>
      </c>
      <c r="L355" s="33" t="n">
        <v>0</v>
      </c>
      <c r="M355" s="33" t="n">
        <v>0</v>
      </c>
      <c r="N355" s="16" t="n">
        <v>0</v>
      </c>
      <c r="O355" s="16" t="n">
        <v>0</v>
      </c>
      <c r="P355" s="16" t="n">
        <v>0</v>
      </c>
      <c r="Q355" s="16" t="n">
        <v>0</v>
      </c>
      <c r="AH355" s="19" t="inlineStr">
        <is>
          <t xml:space="preserve">     15.자산재평가계약자지분 </t>
        </is>
      </c>
      <c r="AI355" s="848" t="n">
        <v>0</v>
      </c>
    </row>
    <row r="356">
      <c r="A356" s="697" t="n">
        <v>355</v>
      </c>
      <c r="B356" s="33" t="inlineStr">
        <is>
          <t xml:space="preserve">　　       4.보험계약자산(부채)순금융손익</t>
        </is>
      </c>
      <c r="D356" s="32" t="n">
        <v>-632811513596</v>
      </c>
      <c r="E356" s="33" t="n">
        <v>0</v>
      </c>
      <c r="F356" s="33" t="n">
        <v>0</v>
      </c>
      <c r="G356" s="33" t="n">
        <v>0</v>
      </c>
      <c r="H356" s="145" t="n">
        <v>-632811513596</v>
      </c>
      <c r="I356" s="33" t="n">
        <v>0</v>
      </c>
      <c r="J356" s="33" t="n">
        <v>0</v>
      </c>
      <c r="K356" s="33" t="n">
        <v>0</v>
      </c>
      <c r="L356" s="33" t="n">
        <v>0</v>
      </c>
      <c r="M356" s="32" t="n">
        <v>-632811513596</v>
      </c>
      <c r="N356" s="16" t="n">
        <v>-632811513596</v>
      </c>
      <c r="O356" s="16" t="n">
        <v>0</v>
      </c>
      <c r="P356" s="16" t="n">
        <v>0</v>
      </c>
      <c r="Q356" s="16" t="n">
        <v>0</v>
      </c>
      <c r="AH356" s="19" t="inlineStr">
        <is>
          <t xml:space="preserve">        (1) 공익사업출연기금</t>
        </is>
      </c>
      <c r="AI356" s="848" t="n">
        <v>0</v>
      </c>
    </row>
    <row r="357">
      <c r="A357" s="697" t="n">
        <v>356</v>
      </c>
      <c r="B357" s="33" t="inlineStr">
        <is>
          <t xml:space="preserve">　　       5.재보험계약자산(부채)순금융손익</t>
        </is>
      </c>
      <c r="D357" s="32" t="n">
        <v>2748773194</v>
      </c>
      <c r="E357" s="33" t="n">
        <v>0</v>
      </c>
      <c r="F357" s="33" t="n">
        <v>0</v>
      </c>
      <c r="G357" s="33" t="n">
        <v>0</v>
      </c>
      <c r="H357" s="145" t="n">
        <v>2748773194</v>
      </c>
      <c r="I357" s="33" t="n">
        <v>0</v>
      </c>
      <c r="J357" s="33" t="n">
        <v>0</v>
      </c>
      <c r="K357" s="33" t="n">
        <v>0</v>
      </c>
      <c r="L357" s="33" t="n">
        <v>0</v>
      </c>
      <c r="M357" s="32" t="n">
        <v>2748773194</v>
      </c>
      <c r="N357" s="16" t="n">
        <v>2748773194</v>
      </c>
      <c r="O357" s="16" t="n">
        <v>0</v>
      </c>
      <c r="P357" s="16" t="n">
        <v>0</v>
      </c>
      <c r="Q357" s="16" t="n">
        <v>0</v>
      </c>
      <c r="AH357" s="19" t="inlineStr">
        <is>
          <t xml:space="preserve">        (2) 재평가적립금 </t>
        </is>
      </c>
      <c r="AI357" s="848" t="n">
        <v>0</v>
      </c>
    </row>
    <row r="358">
      <c r="A358" s="697" t="n">
        <v>357</v>
      </c>
      <c r="B358" s="33" t="inlineStr">
        <is>
          <t xml:space="preserve">　　       6.해외사업환산손익</t>
        </is>
      </c>
      <c r="D358" s="33" t="n">
        <v>0</v>
      </c>
      <c r="E358" s="33" t="n">
        <v>0</v>
      </c>
      <c r="F358" s="33" t="n">
        <v>0</v>
      </c>
      <c r="G358" s="33" t="n">
        <v>0</v>
      </c>
      <c r="H358" s="146" t="n">
        <v>0</v>
      </c>
      <c r="I358" s="33" t="n">
        <v>0</v>
      </c>
      <c r="J358" s="33" t="n">
        <v>0</v>
      </c>
      <c r="K358" s="33" t="n">
        <v>0</v>
      </c>
      <c r="L358" s="33" t="n">
        <v>0</v>
      </c>
      <c r="M358" s="33" t="n">
        <v>0</v>
      </c>
      <c r="N358" s="16" t="n">
        <v>0</v>
      </c>
      <c r="O358" s="16" t="n">
        <v>0</v>
      </c>
      <c r="P358" s="16" t="n">
        <v>0</v>
      </c>
      <c r="Q358" s="16" t="n">
        <v>0</v>
      </c>
      <c r="AH358" s="19" t="inlineStr">
        <is>
          <t xml:space="preserve">  [부 채 총 계]</t>
        </is>
      </c>
      <c r="AI358" s="866" t="n">
        <v>-29827851940506</v>
      </c>
    </row>
    <row r="359">
      <c r="A359" s="697" t="n">
        <v>358</v>
      </c>
      <c r="B359" s="33" t="inlineStr">
        <is>
          <t xml:space="preserve">　　       7.위험회피파생상품평가손익</t>
        </is>
      </c>
      <c r="D359" s="32" t="n">
        <v>20537736696</v>
      </c>
      <c r="E359" s="33" t="n">
        <v>0</v>
      </c>
      <c r="F359" s="33" t="n">
        <v>0</v>
      </c>
      <c r="G359" s="33" t="n">
        <v>0</v>
      </c>
      <c r="H359" s="145" t="n">
        <v>20537736696</v>
      </c>
      <c r="I359" s="32" t="n">
        <v>360752184</v>
      </c>
      <c r="J359" s="33" t="n">
        <v>0</v>
      </c>
      <c r="K359" s="33" t="n">
        <v>0</v>
      </c>
      <c r="L359" s="32" t="n">
        <v>1678857650</v>
      </c>
      <c r="M359" s="32" t="n">
        <v>18498126862</v>
      </c>
      <c r="N359" s="16" t="n">
        <v>18858879046</v>
      </c>
      <c r="O359" s="16" t="n">
        <v>0</v>
      </c>
      <c r="P359" s="16" t="n">
        <v>1678857650</v>
      </c>
      <c r="Q359" s="16" t="n">
        <v>0</v>
      </c>
      <c r="AH359" s="19" t="inlineStr">
        <is>
          <t xml:space="preserve">  I. 자 본 금 </t>
        </is>
      </c>
      <c r="AI359" s="848" t="n">
        <v>-990714745000</v>
      </c>
    </row>
    <row r="360">
      <c r="A360" s="697" t="n">
        <v>359</v>
      </c>
      <c r="B360" s="33" t="inlineStr">
        <is>
          <t xml:space="preserve">　　　         가.현금흐름위험회피평가이익</t>
        </is>
      </c>
      <c r="D360" s="32" t="n">
        <v>-23815962952</v>
      </c>
      <c r="E360" s="33" t="n">
        <v>0</v>
      </c>
      <c r="F360" s="33" t="n">
        <v>0</v>
      </c>
      <c r="G360" s="33" t="n">
        <v>0</v>
      </c>
      <c r="H360" s="145" t="n">
        <v>-23815962952</v>
      </c>
      <c r="I360" s="32" t="n">
        <v>-2677810</v>
      </c>
      <c r="J360" s="33" t="n">
        <v>0</v>
      </c>
      <c r="K360" s="33" t="n">
        <v>0</v>
      </c>
      <c r="L360" s="33" t="n">
        <v>0</v>
      </c>
      <c r="M360" s="32" t="n">
        <v>-23813285142</v>
      </c>
      <c r="N360" s="16" t="n">
        <v>-23815962952</v>
      </c>
      <c r="O360" s="16" t="n">
        <v>0</v>
      </c>
      <c r="P360" s="16" t="n">
        <v>0</v>
      </c>
      <c r="Q360" s="16" t="n">
        <v>0</v>
      </c>
      <c r="AH360" s="19" t="inlineStr">
        <is>
          <t xml:space="preserve">     1.보통주 </t>
        </is>
      </c>
      <c r="AI360" s="848" t="n">
        <v>-885080945000</v>
      </c>
    </row>
    <row r="361">
      <c r="A361" s="697" t="n">
        <v>360</v>
      </c>
      <c r="B361" s="33" t="inlineStr">
        <is>
          <t xml:space="preserve">　　　         나.현금흐름위험회피평가손실</t>
        </is>
      </c>
      <c r="D361" s="32" t="n">
        <v>50062271829</v>
      </c>
      <c r="E361" s="33" t="n">
        <v>0</v>
      </c>
      <c r="F361" s="33" t="n">
        <v>0</v>
      </c>
      <c r="G361" s="33" t="n">
        <v>0</v>
      </c>
      <c r="H361" s="145" t="n">
        <v>50062271829</v>
      </c>
      <c r="I361" s="32" t="n">
        <v>363429994</v>
      </c>
      <c r="J361" s="33" t="n">
        <v>0</v>
      </c>
      <c r="K361" s="33" t="n">
        <v>0</v>
      </c>
      <c r="L361" s="32" t="n">
        <v>1678857650</v>
      </c>
      <c r="M361" s="32" t="n">
        <v>48019984185</v>
      </c>
      <c r="N361" s="16" t="n">
        <v>48383414179</v>
      </c>
      <c r="O361" s="16" t="n">
        <v>0</v>
      </c>
      <c r="P361" s="16" t="n">
        <v>1678857650</v>
      </c>
      <c r="Q361" s="16" t="n">
        <v>0</v>
      </c>
      <c r="AH361" s="19" t="inlineStr">
        <is>
          <t xml:space="preserve">     2.우선주 </t>
        </is>
      </c>
      <c r="AI361" s="848" t="n">
        <v>-105633800000</v>
      </c>
    </row>
    <row r="362">
      <c r="A362" s="697" t="n">
        <v>361</v>
      </c>
      <c r="B362" s="33" t="inlineStr">
        <is>
          <t xml:space="preserve">　　　         다.공정가치위험회피평가이익</t>
        </is>
      </c>
      <c r="D362" s="33" t="n">
        <v>0</v>
      </c>
      <c r="E362" s="33" t="n">
        <v>0</v>
      </c>
      <c r="F362" s="33" t="n">
        <v>0</v>
      </c>
      <c r="G362" s="33" t="n">
        <v>0</v>
      </c>
      <c r="H362" s="146" t="n">
        <v>0</v>
      </c>
      <c r="I362" s="33" t="n">
        <v>0</v>
      </c>
      <c r="J362" s="33" t="n">
        <v>0</v>
      </c>
      <c r="K362" s="33" t="n">
        <v>0</v>
      </c>
      <c r="L362" s="33" t="n">
        <v>0</v>
      </c>
      <c r="M362" s="33" t="n">
        <v>0</v>
      </c>
      <c r="N362" s="16" t="n">
        <v>0</v>
      </c>
      <c r="O362" s="16" t="n">
        <v>0</v>
      </c>
      <c r="P362" s="16" t="n">
        <v>0</v>
      </c>
      <c r="Q362" s="16" t="n">
        <v>0</v>
      </c>
      <c r="AH362" s="19" t="inlineStr">
        <is>
          <t xml:space="preserve">  II. 자 본 잉 여 금 </t>
        </is>
      </c>
      <c r="AI362" s="848" t="n">
        <v>-181384483840</v>
      </c>
    </row>
    <row r="363">
      <c r="A363" s="697" t="n">
        <v>362</v>
      </c>
      <c r="B363" s="33" t="inlineStr">
        <is>
          <t xml:space="preserve">　　　         라.공정가치위험회피평가손실</t>
        </is>
      </c>
      <c r="D363" s="33" t="n">
        <v>0</v>
      </c>
      <c r="E363" s="33" t="n">
        <v>0</v>
      </c>
      <c r="F363" s="33" t="n">
        <v>0</v>
      </c>
      <c r="G363" s="33" t="n">
        <v>0</v>
      </c>
      <c r="H363" s="146" t="n">
        <v>0</v>
      </c>
      <c r="I363" s="33" t="n">
        <v>0</v>
      </c>
      <c r="J363" s="33" t="n">
        <v>0</v>
      </c>
      <c r="K363" s="33" t="n">
        <v>0</v>
      </c>
      <c r="L363" s="33" t="n">
        <v>0</v>
      </c>
      <c r="M363" s="33" t="n">
        <v>0</v>
      </c>
      <c r="N363" s="16" t="n">
        <v>0</v>
      </c>
      <c r="O363" s="16" t="n">
        <v>0</v>
      </c>
      <c r="P363" s="16" t="n">
        <v>0</v>
      </c>
      <c r="Q363" s="16" t="n">
        <v>0</v>
      </c>
      <c r="AH363" s="19" t="inlineStr">
        <is>
          <t xml:space="preserve">     1.주식발행초과금 </t>
        </is>
      </c>
      <c r="AI363" s="848" t="n">
        <v>-181361275262</v>
      </c>
    </row>
    <row r="364">
      <c r="A364" s="697" t="n">
        <v>363</v>
      </c>
      <c r="B364" s="33" t="inlineStr">
        <is>
          <t xml:space="preserve">　　　         마.공정가치위험회피평가손익_법인세조정</t>
        </is>
      </c>
      <c r="D364" s="32" t="n">
        <v>-5708572181</v>
      </c>
      <c r="E364" s="33" t="n">
        <v>0</v>
      </c>
      <c r="F364" s="33" t="n">
        <v>0</v>
      </c>
      <c r="G364" s="33" t="n">
        <v>0</v>
      </c>
      <c r="H364" s="145" t="n">
        <v>-5708572181</v>
      </c>
      <c r="I364" s="33" t="n">
        <v>0</v>
      </c>
      <c r="J364" s="33" t="n">
        <v>0</v>
      </c>
      <c r="K364" s="33" t="n">
        <v>0</v>
      </c>
      <c r="L364" s="33" t="n">
        <v>0</v>
      </c>
      <c r="M364" s="32" t="n">
        <v>-5708572181</v>
      </c>
      <c r="N364" s="16" t="n">
        <v>-5708572181</v>
      </c>
      <c r="O364" s="16" t="n">
        <v>0</v>
      </c>
      <c r="P364" s="16" t="n">
        <v>0</v>
      </c>
      <c r="Q364" s="16" t="n">
        <v>0</v>
      </c>
      <c r="AH364" s="19" t="inlineStr">
        <is>
          <t xml:space="preserve">     2.감 자 차 익 </t>
        </is>
      </c>
      <c r="AI364" s="848" t="n">
        <v>0</v>
      </c>
    </row>
    <row r="365">
      <c r="A365" s="697" t="n">
        <v>364</v>
      </c>
      <c r="B365" s="33" t="inlineStr">
        <is>
          <t xml:space="preserve">　　       8.재 평 가 잉 여 금</t>
        </is>
      </c>
      <c r="D365" s="32" t="n">
        <v>-758642</v>
      </c>
      <c r="E365" s="32" t="n">
        <v>59203</v>
      </c>
      <c r="F365" s="33" t="n">
        <v>0</v>
      </c>
      <c r="G365" s="33" t="n">
        <v>0</v>
      </c>
      <c r="H365" s="145" t="n">
        <v>-699439</v>
      </c>
      <c r="I365" s="33" t="n">
        <v>0</v>
      </c>
      <c r="J365" s="33" t="n">
        <v>0</v>
      </c>
      <c r="K365" s="33" t="n">
        <v>0</v>
      </c>
      <c r="L365" s="33" t="n">
        <v>0</v>
      </c>
      <c r="M365" s="32" t="n">
        <v>-699439</v>
      </c>
      <c r="N365" s="16" t="n">
        <v>-699439</v>
      </c>
      <c r="O365" s="16" t="n">
        <v>0</v>
      </c>
      <c r="P365" s="16" t="n">
        <v>0</v>
      </c>
      <c r="Q365" s="16" t="n">
        <v>0</v>
      </c>
      <c r="AH365" s="19" t="inlineStr">
        <is>
          <t xml:space="preserve">     3.재평가적립금 </t>
        </is>
      </c>
      <c r="AI365" s="848" t="n">
        <v>0</v>
      </c>
    </row>
    <row r="366">
      <c r="B366" s="33" t="inlineStr">
        <is>
          <t xml:space="preserve">　　       9.보 험 수 리 적 손 익</t>
        </is>
      </c>
      <c r="D366" s="32" t="n">
        <v>-4475435459</v>
      </c>
      <c r="E366" s="33" t="n">
        <v>0</v>
      </c>
      <c r="F366" s="33" t="n">
        <v>0</v>
      </c>
      <c r="G366" s="33" t="n">
        <v>0</v>
      </c>
      <c r="H366" s="145" t="n">
        <v>-4475435459</v>
      </c>
      <c r="I366" s="33" t="n">
        <v>0</v>
      </c>
      <c r="J366" s="33" t="n">
        <v>0</v>
      </c>
      <c r="K366" s="33" t="n">
        <v>0</v>
      </c>
      <c r="L366" s="33" t="n">
        <v>0</v>
      </c>
      <c r="M366" s="32" t="n">
        <v>-4475435459</v>
      </c>
      <c r="N366" s="16" t="n">
        <v>-4475435459</v>
      </c>
      <c r="O366" s="16" t="n">
        <v>0</v>
      </c>
      <c r="P366" s="16" t="n">
        <v>0</v>
      </c>
      <c r="Q366" s="16" t="n">
        <v>0</v>
      </c>
      <c r="AH366" s="19" t="inlineStr">
        <is>
          <t xml:space="preserve">     4.기타자본잉여금 </t>
        </is>
      </c>
      <c r="AI366" s="848" t="n">
        <v>-23208578</v>
      </c>
    </row>
    <row r="367">
      <c r="B367" s="33" t="inlineStr">
        <is>
          <t xml:space="preserve">　　       10.기     타</t>
        </is>
      </c>
      <c r="D367" s="33" t="n">
        <v>0</v>
      </c>
      <c r="E367" s="33" t="n">
        <v>0</v>
      </c>
      <c r="F367" s="33" t="n">
        <v>0</v>
      </c>
      <c r="G367" s="33" t="n">
        <v>0</v>
      </c>
      <c r="H367" s="146" t="n">
        <v>0</v>
      </c>
      <c r="I367" s="33" t="n">
        <v>0</v>
      </c>
      <c r="J367" s="33" t="n">
        <v>0</v>
      </c>
      <c r="K367" s="33" t="n">
        <v>0</v>
      </c>
      <c r="L367" s="33" t="n">
        <v>0</v>
      </c>
      <c r="M367" s="33" t="n">
        <v>0</v>
      </c>
      <c r="N367" s="16" t="n">
        <v>0</v>
      </c>
      <c r="O367" s="16" t="n">
        <v>0</v>
      </c>
      <c r="P367" s="16" t="n">
        <v>0</v>
      </c>
      <c r="Q367" s="16" t="n">
        <v>0</v>
      </c>
      <c r="AH367" s="19" t="inlineStr">
        <is>
          <t xml:space="preserve">  IV. 이 익 잉 여 금 </t>
        </is>
      </c>
      <c r="AI367" s="848" t="n">
        <v>-1775408153607</v>
      </c>
    </row>
    <row r="368">
      <c r="B368" s="33" t="inlineStr">
        <is>
          <t>* [부채 와 자본 총 계]</t>
        </is>
      </c>
      <c r="C368" s="33" t="inlineStr">
        <is>
          <t>@0M@</t>
        </is>
      </c>
      <c r="D368" s="32" t="n">
        <v>-32855181935106</v>
      </c>
      <c r="E368" s="32" t="n">
        <v>-13679774848594</v>
      </c>
      <c r="F368" s="32" t="n">
        <v>-13323148118922</v>
      </c>
      <c r="G368" s="32" t="n">
        <v>-356626729672</v>
      </c>
      <c r="H368" s="145" t="n">
        <v>-32855181935106</v>
      </c>
      <c r="I368" s="32" t="n">
        <v>-1505771962170</v>
      </c>
      <c r="J368" s="32" t="n">
        <v>-34862287173</v>
      </c>
      <c r="K368" s="32" t="n">
        <v>-17246396780</v>
      </c>
      <c r="L368" s="32" t="n">
        <v>-1858720460727</v>
      </c>
      <c r="M368" s="32" t="n">
        <v>-29438580828256</v>
      </c>
      <c r="N368" s="16" t="n">
        <v>-30979215077599</v>
      </c>
      <c r="O368" s="16" t="n">
        <v>-13323148118922</v>
      </c>
      <c r="P368" s="16" t="n">
        <v>-1875966857507</v>
      </c>
      <c r="Q368" s="16" t="n">
        <v>-356626729672</v>
      </c>
      <c r="AH368" s="19" t="inlineStr">
        <is>
          <t xml:space="preserve">     1.이익준비금</t>
        </is>
      </c>
      <c r="AI368" s="848" t="n">
        <v>-29423725175</v>
      </c>
    </row>
    <row r="369">
      <c r="AH369" s="19" t="inlineStr">
        <is>
          <t xml:space="preserve">     2.기타법정적립금 </t>
        </is>
      </c>
      <c r="AI369" s="848" t="n">
        <v>0</v>
      </c>
    </row>
    <row r="370">
      <c r="AH370" s="19" t="inlineStr">
        <is>
          <t xml:space="preserve">     3.대손준비금</t>
        </is>
      </c>
      <c r="AI370" s="848" t="n">
        <v>-15764940609</v>
      </c>
    </row>
    <row r="371">
      <c r="AH371" s="19" t="inlineStr">
        <is>
          <t xml:space="preserve">     4.임의적립금 </t>
        </is>
      </c>
      <c r="AI371" s="848" t="n">
        <v>0</v>
      </c>
    </row>
    <row r="372">
      <c r="AH372" s="19" t="inlineStr">
        <is>
          <t xml:space="preserve">     5.처분전이익잉여금(처리전결손금)</t>
        </is>
      </c>
      <c r="AI372" s="848" t="n">
        <v>-513966485749</v>
      </c>
    </row>
    <row r="373">
      <c r="AH373" s="19" t="inlineStr">
        <is>
          <t xml:space="preserve">     6.이익잉여금(보험수리적손익)</t>
        </is>
      </c>
      <c r="AI373" s="848" t="n">
        <v>0</v>
      </c>
    </row>
    <row r="374">
      <c r="AH374" s="19" t="inlineStr">
        <is>
          <t xml:space="preserve">     7.해약환급금준비금</t>
        </is>
      </c>
      <c r="AI374" s="848" t="n">
        <v>-1039089002581</v>
      </c>
    </row>
    <row r="375">
      <c r="AH375" s="19" t="inlineStr">
        <is>
          <t xml:space="preserve">     8.보증준비금</t>
        </is>
      </c>
      <c r="AI375" s="848" t="n">
        <v>-177163999493</v>
      </c>
    </row>
    <row r="376">
      <c r="AH376" s="19" t="inlineStr">
        <is>
          <t xml:space="preserve">  V. 자 본 조 정 </t>
        </is>
      </c>
      <c r="AI376" s="848" t="n">
        <v>371175448895</v>
      </c>
    </row>
    <row r="377">
      <c r="AH377" s="19" t="inlineStr">
        <is>
          <t xml:space="preserve">     1.주식할인발행차금</t>
        </is>
      </c>
      <c r="AI377" s="848" t="n">
        <v>0</v>
      </c>
    </row>
    <row r="378">
      <c r="AH378" s="19" t="inlineStr">
        <is>
          <t xml:space="preserve">     2.자 기 주 식 </t>
        </is>
      </c>
      <c r="AI378" s="848" t="n">
        <v>371164575305</v>
      </c>
    </row>
    <row r="379">
      <c r="AH379" s="19" t="inlineStr">
        <is>
          <t xml:space="preserve">     3.기타자본조정</t>
        </is>
      </c>
      <c r="AI379" s="848" t="n">
        <v>10873590</v>
      </c>
    </row>
    <row r="380">
      <c r="AH380" s="19" t="inlineStr">
        <is>
          <t xml:space="preserve">  VI. 기 타 포 괄 손 익 누 계 액 </t>
        </is>
      </c>
      <c r="AI380" s="848" t="n">
        <v>171531040273</v>
      </c>
    </row>
    <row r="381">
      <c r="AH381" s="19" t="inlineStr">
        <is>
          <t xml:space="preserve">     1.기타포괄손익-공정가치측정금융자산평가손익</t>
        </is>
      </c>
      <c r="AI381" s="848" t="n">
        <v>609244454603</v>
      </c>
    </row>
    <row r="382">
      <c r="AH382" s="19" t="inlineStr">
        <is>
          <t xml:space="preserve">     2.기타포괄손익-공정가치측정금융자산대손충당금</t>
        </is>
      </c>
      <c r="AI382" s="848" t="n">
        <v>-383594365</v>
      </c>
    </row>
    <row r="383">
      <c r="AH383" s="19" t="inlineStr">
        <is>
          <t xml:space="preserve">     3.기타포괄손익-공정가치측정금융자산환산손익 </t>
        </is>
      </c>
      <c r="AI383" s="848" t="n">
        <v>0</v>
      </c>
    </row>
    <row r="384">
      <c r="AH384" s="19" t="inlineStr">
        <is>
          <t xml:space="preserve">     4.당기손익-공정가치측정지정금융부채평가손익</t>
        </is>
      </c>
      <c r="AI384" s="848" t="n">
        <v>0</v>
      </c>
    </row>
    <row r="385">
      <c r="AH385" s="19" t="inlineStr">
        <is>
          <t xml:space="preserve">     5.보험계약자산(부채) 순금융손익 </t>
        </is>
      </c>
      <c r="AI385" s="848" t="n">
        <v>-275539169236</v>
      </c>
    </row>
    <row r="386">
      <c r="AH386" s="19" t="inlineStr">
        <is>
          <t xml:space="preserve">     (1)일반보험금융가정변동기타포괄이익</t>
        </is>
      </c>
      <c r="AI386" s="848" t="n">
        <v>-445954856925</v>
      </c>
    </row>
    <row r="387">
      <c r="AH387" s="19" t="inlineStr">
        <is>
          <t xml:space="preserve">      1)일반보험금융가정변동기타포괄이익_잔여보장</t>
        </is>
      </c>
      <c r="AI387" s="848" t="n">
        <v>-445531267618</v>
      </c>
    </row>
    <row r="388">
      <c r="AH388" s="19" t="inlineStr">
        <is>
          <t xml:space="preserve">      2)일반보험금융가정변동기타포괄이익_발생사고</t>
        </is>
      </c>
      <c r="AI388" s="848" t="n">
        <v>-423589307</v>
      </c>
    </row>
    <row r="389">
      <c r="AH389" s="19" t="inlineStr">
        <is>
          <t xml:space="preserve">     (2)일반보험금융가정변동기타포괄손실</t>
        </is>
      </c>
      <c r="AI389" s="848" t="n">
        <v>170415687689</v>
      </c>
    </row>
    <row r="390">
      <c r="AH390" s="19" t="inlineStr">
        <is>
          <t xml:space="preserve">      1)일반보험금융가정변동기타포괄손실_잔여보장</t>
        </is>
      </c>
      <c r="AI390" s="848" t="n">
        <v>170228022973</v>
      </c>
    </row>
    <row r="391">
      <c r="AH391" s="19" t="inlineStr">
        <is>
          <t xml:space="preserve">      2)일반보험금융가정변동기타포괄손실_발생사고</t>
        </is>
      </c>
      <c r="AI391" s="848" t="n">
        <v>187664716</v>
      </c>
    </row>
    <row r="392">
      <c r="AH392" s="19" t="inlineStr">
        <is>
          <t xml:space="preserve">     6.재보험계약자산(부채) 순금융손익 </t>
        </is>
      </c>
      <c r="AI392" s="848" t="n">
        <v>-90761249</v>
      </c>
    </row>
    <row r="393">
      <c r="AH393" s="19" t="inlineStr">
        <is>
          <t xml:space="preserve">     (1)재보험금융가정변동기타포괄이익</t>
        </is>
      </c>
      <c r="AI393" s="848" t="n">
        <v>-1066015742</v>
      </c>
    </row>
    <row r="394">
      <c r="AH394" s="19" t="inlineStr">
        <is>
          <t xml:space="preserve">      1)재보험금융가정변동기타포괄이익_잔여보장</t>
        </is>
      </c>
      <c r="AI394" s="848" t="n">
        <v>-1046484200</v>
      </c>
    </row>
    <row r="395">
      <c r="AH395" s="19" t="inlineStr">
        <is>
          <t xml:space="preserve">      2)재보험금융가정변동기타포괄이익_발생사고</t>
        </is>
      </c>
      <c r="AI395" s="848" t="n">
        <v>-19531542</v>
      </c>
    </row>
    <row r="396">
      <c r="AH396" s="19" t="inlineStr">
        <is>
          <t xml:space="preserve">     (2)재보험금융가정변동기타포괄손실</t>
        </is>
      </c>
      <c r="AI396" s="848" t="n">
        <v>975254493</v>
      </c>
    </row>
    <row r="397">
      <c r="AH397" s="19" t="inlineStr">
        <is>
          <t xml:space="preserve">      1)재보험금융가정변동기타포괄손실_잔여보장</t>
        </is>
      </c>
      <c r="AI397" s="848" t="n">
        <v>907869307</v>
      </c>
    </row>
    <row r="398">
      <c r="AH398" s="19" t="inlineStr">
        <is>
          <t xml:space="preserve">      2)재보험금융가정변동기타포괄손실_발생사고</t>
        </is>
      </c>
      <c r="AI398" s="848" t="n">
        <v>67385186</v>
      </c>
    </row>
    <row r="399">
      <c r="AH399" s="19" t="inlineStr">
        <is>
          <t xml:space="preserve">     7.관계·종속기업투자주식평가손익</t>
        </is>
      </c>
      <c r="AI399" s="848" t="n">
        <v>0</v>
      </c>
    </row>
    <row r="400">
      <c r="AH400" s="19" t="inlineStr">
        <is>
          <t xml:space="preserve">     8.해외사업환산손익</t>
        </is>
      </c>
      <c r="AI400" s="848" t="n">
        <v>0</v>
      </c>
    </row>
    <row r="401">
      <c r="AH401" s="19" t="inlineStr">
        <is>
          <t xml:space="preserve">     9.현금흐름위험회피파생상품평가손익</t>
        </is>
      </c>
      <c r="AI401" s="848" t="n">
        <v>-162586860953</v>
      </c>
    </row>
    <row r="402">
      <c r="AH402" s="19" t="inlineStr">
        <is>
          <t xml:space="preserve">     (1)현금흐름위험회피평가이익</t>
        </is>
      </c>
      <c r="AI402" s="848" t="n">
        <v>-215684789217</v>
      </c>
    </row>
    <row r="403">
      <c r="AH403" s="19" t="inlineStr">
        <is>
          <t xml:space="preserve">     (2)현금흐름위험회피평가손실</t>
        </is>
      </c>
      <c r="AI403" s="848" t="n">
        <v>6219624372</v>
      </c>
    </row>
    <row r="404">
      <c r="AH404" s="19" t="inlineStr">
        <is>
          <t xml:space="preserve">     (3)현금흐름위험회피파생상품평가손익_법인세조정 </t>
        </is>
      </c>
      <c r="AI404" s="848" t="n">
        <v>46878303892</v>
      </c>
    </row>
    <row r="405">
      <c r="AH405" s="19" t="inlineStr">
        <is>
          <t xml:space="preserve">     10.재평가잉여금 </t>
        </is>
      </c>
      <c r="AI405" s="848" t="n">
        <v>-705038</v>
      </c>
    </row>
    <row r="406">
      <c r="AH406" s="19" t="inlineStr">
        <is>
          <t xml:space="preserve">     11.기타</t>
        </is>
      </c>
      <c r="AI406" s="848" t="n">
        <v>887676511</v>
      </c>
    </row>
    <row r="407">
      <c r="AH407" s="19" t="inlineStr">
        <is>
          <t xml:space="preserve">  [자 본 총 계]</t>
        </is>
      </c>
      <c r="AI407" s="866" t="n">
        <v>-2404800893279</v>
      </c>
    </row>
    <row r="408">
      <c r="AH408" s="30" t="inlineStr">
        <is>
          <t>* [부 채 와 자 본 총 계]</t>
        </is>
      </c>
      <c r="AI408" s="867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59" min="1" max="1"/>
    <col width="10.375" bestFit="1" customWidth="1" style="759" min="9" max="9"/>
    <col width="12.25" bestFit="1" customWidth="1" style="759" min="10" max="10"/>
    <col width="10.375" bestFit="1" customWidth="1" style="759" min="11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I1" s="2" t="n">
        <v>2412</v>
      </c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inlineStr">
        <is>
          <t>* 전기말 bel + ra + csm</t>
        </is>
      </c>
      <c r="D6" s="787" t="n"/>
      <c r="E6" s="787" t="n"/>
      <c r="F6" s="787" t="n"/>
      <c r="G6" s="787" t="n"/>
      <c r="H6" s="787" t="n"/>
      <c r="I6" s="787" t="n">
        <v>0</v>
      </c>
      <c r="J6" s="787" t="n">
        <v>0</v>
      </c>
      <c r="K6" s="787" t="n">
        <v>0</v>
      </c>
      <c r="L6" s="787" t="n">
        <v>0</v>
      </c>
      <c r="M6" s="787" t="n">
        <v>0</v>
      </c>
      <c r="N6" s="787" t="n">
        <v>0</v>
      </c>
      <c r="O6" s="787" t="n">
        <v>0</v>
      </c>
      <c r="P6" s="787" t="n">
        <v>0</v>
      </c>
      <c r="Q6" s="787" t="n">
        <v>0</v>
      </c>
      <c r="R6" s="787" t="n">
        <v>0</v>
      </c>
      <c r="S6" s="787" t="n">
        <v>0</v>
      </c>
      <c r="T6" s="787" t="n">
        <v>0</v>
      </c>
    </row>
    <row r="7">
      <c r="A7" s="787" t="n">
        <v>73</v>
      </c>
      <c r="B7" s="787" t="n"/>
      <c r="C7" s="787" t="inlineStr">
        <is>
          <t xml:space="preserve">  bel</t>
        </is>
      </c>
      <c r="D7" s="787" t="n"/>
      <c r="E7" s="787" t="n"/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787" t="n">
        <v>74</v>
      </c>
      <c r="B8" s="787" t="n"/>
      <c r="C8" s="787" t="inlineStr">
        <is>
          <t xml:space="preserve">  ra</t>
        </is>
      </c>
      <c r="D8" s="787" t="n"/>
      <c r="E8" s="787" t="n"/>
      <c r="F8" s="787" t="n"/>
      <c r="G8" s="787" t="n"/>
      <c r="H8" s="787" t="n"/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A9" s="787" t="n">
        <v>75</v>
      </c>
      <c r="B9" s="787" t="n"/>
      <c r="C9" s="787" t="inlineStr">
        <is>
          <t xml:space="preserve">  csm</t>
        </is>
      </c>
      <c r="D9" s="787" t="n"/>
      <c r="E9" s="787" t="n"/>
      <c r="F9" s="787" t="n"/>
      <c r="G9" s="787" t="n"/>
      <c r="H9" s="787" t="n"/>
      <c r="I9" s="787" t="n">
        <v>0</v>
      </c>
      <c r="J9" s="787" t="n">
        <v>0</v>
      </c>
      <c r="K9" s="787" t="n">
        <v>0</v>
      </c>
      <c r="L9" s="787" t="n">
        <v>0</v>
      </c>
      <c r="M9" s="787" t="n">
        <v>0</v>
      </c>
      <c r="N9" s="787" t="n">
        <v>0</v>
      </c>
      <c r="O9" s="787" t="n">
        <v>0</v>
      </c>
      <c r="P9" s="787" t="n">
        <v>0</v>
      </c>
      <c r="Q9" s="787" t="n">
        <v>0</v>
      </c>
      <c r="R9" s="787" t="n">
        <v>0</v>
      </c>
      <c r="S9" s="787" t="n">
        <v>0</v>
      </c>
      <c r="T9" s="787" t="n">
        <v>0</v>
      </c>
    </row>
    <row r="11">
      <c r="A11" s="643" t="n">
        <v>25</v>
      </c>
      <c r="B11" s="643" t="n"/>
      <c r="C11" s="643" t="inlineStr">
        <is>
          <t>FVOCI평가손익</t>
        </is>
      </c>
      <c r="D11" s="643" t="n"/>
      <c r="E11" s="643" t="n"/>
      <c r="F11" s="643" t="n"/>
      <c r="G11" s="643" t="n"/>
      <c r="H11" s="643" t="n"/>
      <c r="I11" s="787" t="n">
        <v>0</v>
      </c>
      <c r="J11" s="787" t="n">
        <v>0</v>
      </c>
      <c r="K11" s="787" t="n">
        <v>0</v>
      </c>
      <c r="L11" s="787" t="n">
        <v>0</v>
      </c>
      <c r="M11" s="787" t="n">
        <v>0</v>
      </c>
      <c r="N11" s="787" t="n">
        <v>0</v>
      </c>
      <c r="O11" s="787" t="n">
        <v>0</v>
      </c>
      <c r="P11" s="787" t="n">
        <v>0</v>
      </c>
      <c r="Q11" s="787" t="n">
        <v>0</v>
      </c>
      <c r="R11" s="787" t="n">
        <v>0</v>
      </c>
      <c r="S11" s="787" t="n">
        <v>0</v>
      </c>
      <c r="T11" s="787" t="n">
        <v>0</v>
      </c>
    </row>
    <row r="12">
      <c r="A12" s="643" t="n">
        <v>28</v>
      </c>
      <c r="B12" s="643" t="n"/>
      <c r="C12" s="643" t="inlineStr">
        <is>
          <t>현금흐름위험회피</t>
        </is>
      </c>
      <c r="D12" s="643" t="n"/>
      <c r="E12" s="643" t="n"/>
      <c r="F12" s="643" t="n"/>
      <c r="G12" s="643" t="n"/>
      <c r="H12" s="643" t="n"/>
      <c r="I12" s="787" t="n">
        <v>0</v>
      </c>
      <c r="J12" s="787" t="n">
        <v>0</v>
      </c>
      <c r="K12" s="787" t="n">
        <v>0</v>
      </c>
      <c r="L12" s="787" t="n">
        <v>0</v>
      </c>
      <c r="M12" s="787" t="n">
        <v>0</v>
      </c>
      <c r="N12" s="787" t="n">
        <v>0</v>
      </c>
      <c r="O12" s="787" t="n">
        <v>0</v>
      </c>
      <c r="P12" s="787" t="n">
        <v>0</v>
      </c>
      <c r="Q12" s="787" t="n">
        <v>0</v>
      </c>
      <c r="R12" s="787" t="n">
        <v>0</v>
      </c>
      <c r="S12" s="787" t="n">
        <v>0</v>
      </c>
      <c r="T12" s="787" t="n">
        <v>0</v>
      </c>
    </row>
    <row r="13">
      <c r="A13" s="643" t="n">
        <v>26</v>
      </c>
      <c r="B13" s="643" t="n"/>
      <c r="C13" s="643" t="inlineStr">
        <is>
          <t>보험계약자산(부채)순금융손익</t>
        </is>
      </c>
      <c r="D13" s="643" t="n"/>
      <c r="E13" s="643" t="n"/>
      <c r="F13" s="643" t="n"/>
      <c r="G13" s="643" t="n"/>
      <c r="H13" s="643" t="n"/>
      <c r="I13" s="787" t="n">
        <v>0</v>
      </c>
      <c r="J13" s="787" t="n">
        <v>0</v>
      </c>
      <c r="K13" s="787" t="n">
        <v>0</v>
      </c>
      <c r="L13" s="787" t="n">
        <v>0</v>
      </c>
      <c r="M13" s="787" t="n">
        <v>0</v>
      </c>
      <c r="N13" s="787" t="n">
        <v>0</v>
      </c>
      <c r="O13" s="787" t="n">
        <v>0</v>
      </c>
      <c r="P13" s="787" t="n">
        <v>0</v>
      </c>
      <c r="Q13" s="787" t="n">
        <v>0</v>
      </c>
      <c r="R13" s="787" t="n">
        <v>0</v>
      </c>
      <c r="S13" s="787" t="n">
        <v>0</v>
      </c>
      <c r="T13" s="787" t="n">
        <v>0</v>
      </c>
    </row>
    <row r="14">
      <c r="A14" s="643" t="n">
        <v>27</v>
      </c>
      <c r="B14" s="643" t="n"/>
      <c r="C14" s="643" t="inlineStr">
        <is>
          <t>재보험계약자산(부채)</t>
        </is>
      </c>
      <c r="D14" s="643" t="n"/>
      <c r="E14" s="643" t="n"/>
      <c r="F14" s="643" t="n"/>
      <c r="G14" s="643" t="n"/>
      <c r="H14" s="643" t="n"/>
      <c r="I14" s="787" t="n">
        <v>0</v>
      </c>
      <c r="J14" s="787" t="n">
        <v>0</v>
      </c>
      <c r="K14" s="787" t="n">
        <v>0</v>
      </c>
      <c r="L14" s="787" t="n">
        <v>0</v>
      </c>
      <c r="M14" s="787" t="n">
        <v>0</v>
      </c>
      <c r="N14" s="787" t="n">
        <v>0</v>
      </c>
      <c r="O14" s="787" t="n">
        <v>0</v>
      </c>
      <c r="P14" s="787" t="n">
        <v>0</v>
      </c>
      <c r="Q14" s="787" t="n">
        <v>0</v>
      </c>
      <c r="R14" s="787" t="n">
        <v>0</v>
      </c>
      <c r="S14" s="787" t="n">
        <v>0</v>
      </c>
      <c r="T14" s="787" t="n">
        <v>0</v>
      </c>
    </row>
    <row r="16">
      <c r="A16" s="697" t="n">
        <v>95</v>
      </c>
      <c r="C16" s="643" t="inlineStr">
        <is>
          <t>킥스</t>
        </is>
      </c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8">
      <c r="A18" s="697" t="n">
        <v>19</v>
      </c>
      <c r="C18" s="643" t="inlineStr">
        <is>
          <t>운용자산</t>
        </is>
      </c>
      <c r="I18" s="787" t="n">
        <v>0</v>
      </c>
      <c r="J18" s="787" t="n">
        <v>0</v>
      </c>
      <c r="K18" s="787" t="n">
        <v>0</v>
      </c>
      <c r="L18" s="787" t="n">
        <v>0</v>
      </c>
      <c r="M18" s="787" t="n">
        <v>0</v>
      </c>
      <c r="N18" s="787" t="n">
        <v>0</v>
      </c>
      <c r="O18" s="787" t="n">
        <v>0</v>
      </c>
      <c r="P18" s="787" t="n">
        <v>0</v>
      </c>
      <c r="Q18" s="787" t="n">
        <v>0</v>
      </c>
      <c r="R18" s="787" t="n">
        <v>0</v>
      </c>
      <c r="S18" s="787" t="n">
        <v>0</v>
      </c>
      <c r="T18" s="787" t="n">
        <v>0</v>
      </c>
    </row>
    <row r="22">
      <c r="C22" s="651" t="inlineStr">
        <is>
          <t>구분</t>
        </is>
      </c>
      <c r="D22" s="649" t="n"/>
      <c r="E22" s="649" t="n"/>
      <c r="F22" s="649" t="n"/>
      <c r="G22" s="649" t="n"/>
      <c r="H22" s="650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7" t="n">
        <v>48</v>
      </c>
      <c r="C23" s="666" t="inlineStr">
        <is>
          <t>보험손익</t>
        </is>
      </c>
      <c r="D23" s="649" t="n"/>
      <c r="E23" s="649" t="n"/>
      <c r="F23" s="649" t="n"/>
      <c r="G23" s="649" t="n"/>
      <c r="H23" s="650" t="n"/>
      <c r="I23" s="787" t="n">
        <v>0</v>
      </c>
      <c r="J23" s="787" t="n">
        <v>0</v>
      </c>
      <c r="K23" s="787" t="n">
        <v>0</v>
      </c>
      <c r="L23" s="787" t="n">
        <v>0</v>
      </c>
      <c r="M23" s="787" t="n">
        <v>0</v>
      </c>
      <c r="N23" s="787" t="n">
        <v>0</v>
      </c>
      <c r="O23" s="787" t="n">
        <v>0</v>
      </c>
      <c r="P23" s="787" t="n">
        <v>0</v>
      </c>
      <c r="Q23" s="787" t="n">
        <v>0</v>
      </c>
      <c r="R23" s="787" t="n">
        <v>0</v>
      </c>
      <c r="S23" s="787" t="n">
        <v>0</v>
      </c>
      <c r="T23" s="787" t="n">
        <v>0</v>
      </c>
    </row>
    <row r="24">
      <c r="A24" s="697" t="n">
        <v>107</v>
      </c>
      <c r="C24" s="207" t="n"/>
      <c r="D24" s="681" t="inlineStr">
        <is>
          <t>손해율</t>
        </is>
      </c>
      <c r="E24" s="664" t="n"/>
      <c r="F24" s="664" t="n"/>
      <c r="G24" s="664" t="n"/>
      <c r="H24" s="665" t="n"/>
      <c r="I24" s="814" t="n"/>
      <c r="J24" s="814" t="n"/>
      <c r="K24" s="814" t="n"/>
      <c r="L24" s="814" t="n"/>
      <c r="M24" s="814" t="n"/>
      <c r="N24" s="814" t="n"/>
      <c r="O24" s="814" t="n"/>
      <c r="P24" s="814" t="n"/>
      <c r="Q24" s="814" t="n"/>
      <c r="R24" s="814" t="n"/>
      <c r="S24" s="814" t="n"/>
      <c r="T24" s="814" t="n"/>
    </row>
    <row r="25">
      <c r="A25" s="697" t="n">
        <v>104</v>
      </c>
      <c r="C25" s="207" t="n"/>
      <c r="D25" s="684" t="inlineStr">
        <is>
          <t>실제보험금/예상보험금</t>
        </is>
      </c>
      <c r="E25" s="674" t="n"/>
      <c r="F25" s="674" t="n"/>
      <c r="G25" s="674" t="n"/>
      <c r="H25" s="675" t="n"/>
      <c r="I25" s="814" t="n"/>
      <c r="J25" s="814" t="n"/>
      <c r="K25" s="814" t="n"/>
      <c r="L25" s="814" t="n"/>
      <c r="M25" s="814" t="n"/>
      <c r="N25" s="814" t="n"/>
      <c r="O25" s="814" t="n"/>
      <c r="P25" s="814" t="n"/>
      <c r="Q25" s="814" t="n"/>
      <c r="R25" s="814" t="n"/>
      <c r="S25" s="814" t="n"/>
      <c r="T25" s="814" t="n"/>
    </row>
    <row r="26">
      <c r="A26" s="697" t="n">
        <v>0</v>
      </c>
      <c r="C26" s="207" t="n"/>
      <c r="D26" s="685" t="inlineStr">
        <is>
          <t>사업비
예실차</t>
        </is>
      </c>
      <c r="E26" s="664" t="n"/>
      <c r="F26" s="681" t="inlineStr">
        <is>
          <t>예실차율</t>
        </is>
      </c>
      <c r="G26" s="664" t="n"/>
      <c r="H26" s="665" t="n"/>
      <c r="I26" s="814" t="n"/>
      <c r="J26" s="814" t="n"/>
      <c r="K26" s="814" t="n"/>
      <c r="L26" s="814" t="n"/>
      <c r="M26" s="814" t="n"/>
      <c r="N26" s="814" t="n"/>
      <c r="O26" s="814" t="n"/>
      <c r="P26" s="814" t="n"/>
      <c r="Q26" s="814" t="n"/>
      <c r="R26" s="814" t="n"/>
      <c r="S26" s="814" t="n"/>
      <c r="T26" s="814" t="n"/>
    </row>
    <row r="27">
      <c r="A27" s="697" t="n">
        <v>0</v>
      </c>
      <c r="C27" s="208" t="n"/>
      <c r="D27" s="686" t="n"/>
      <c r="E27" s="671" t="n"/>
      <c r="F27" s="670" t="inlineStr">
        <is>
          <t>÷ CSM상각액</t>
        </is>
      </c>
      <c r="G27" s="671" t="n"/>
      <c r="H27" s="672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5" t="n"/>
      <c r="S27" s="815" t="n"/>
      <c r="T27" s="815" t="n"/>
    </row>
    <row r="28">
      <c r="A28" s="697" t="n">
        <v>49</v>
      </c>
      <c r="C28" s="673" t="inlineStr">
        <is>
          <t>투자손익</t>
        </is>
      </c>
      <c r="D28" s="674" t="n"/>
      <c r="E28" s="674" t="n"/>
      <c r="F28" s="674" t="n"/>
      <c r="G28" s="674" t="n"/>
      <c r="H28" s="675" t="n"/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0</v>
      </c>
      <c r="C29" s="673" t="inlineStr">
        <is>
          <t>영업이익</t>
        </is>
      </c>
      <c r="D29" s="674" t="n"/>
      <c r="E29" s="674" t="n"/>
      <c r="F29" s="674" t="n"/>
      <c r="G29" s="674" t="n"/>
      <c r="H29" s="675" t="n"/>
      <c r="I29" s="787" t="n"/>
      <c r="J29" s="787" t="n"/>
      <c r="K29" s="787" t="n"/>
      <c r="L29" s="787" t="n"/>
      <c r="M29" s="787" t="n"/>
      <c r="N29" s="787" t="n"/>
      <c r="O29" s="787" t="n"/>
      <c r="P29" s="787" t="n"/>
      <c r="Q29" s="787" t="n"/>
      <c r="R29" s="787" t="n"/>
      <c r="S29" s="787" t="n"/>
      <c r="T29" s="787" t="n"/>
    </row>
    <row r="30">
      <c r="A30" s="697" t="n">
        <v>50</v>
      </c>
      <c r="C30" s="668" t="inlineStr">
        <is>
          <t>영업외손익</t>
        </is>
      </c>
      <c r="D30" s="660" t="n"/>
      <c r="E30" s="660" t="n"/>
      <c r="F30" s="660" t="n"/>
      <c r="G30" s="660" t="n"/>
      <c r="H30" s="661" t="n"/>
      <c r="I30" s="787" t="n">
        <v>0</v>
      </c>
      <c r="J30" s="787" t="n">
        <v>0</v>
      </c>
      <c r="K30" s="787" t="n">
        <v>0</v>
      </c>
      <c r="L30" s="787" t="n">
        <v>0</v>
      </c>
      <c r="M30" s="787" t="n">
        <v>0</v>
      </c>
      <c r="N30" s="787" t="n">
        <v>0</v>
      </c>
      <c r="O30" s="787" t="n">
        <v>0</v>
      </c>
      <c r="P30" s="787" t="n">
        <v>0</v>
      </c>
      <c r="Q30" s="787" t="n">
        <v>0</v>
      </c>
      <c r="R30" s="787" t="n">
        <v>0</v>
      </c>
      <c r="S30" s="787" t="n">
        <v>0</v>
      </c>
      <c r="T30" s="787" t="n">
        <v>0</v>
      </c>
    </row>
    <row r="31">
      <c r="A31" s="697" t="n">
        <v>51</v>
      </c>
      <c r="C31" s="648" t="inlineStr">
        <is>
          <t>세전이익</t>
        </is>
      </c>
      <c r="D31" s="649" t="n"/>
      <c r="E31" s="649" t="n"/>
      <c r="F31" s="649" t="n"/>
      <c r="G31" s="649" t="n"/>
      <c r="H31" s="650" t="n"/>
      <c r="I31" s="787" t="n">
        <v>0</v>
      </c>
      <c r="J31" s="787" t="n">
        <v>0</v>
      </c>
      <c r="K31" s="787" t="n">
        <v>0</v>
      </c>
      <c r="L31" s="787" t="n">
        <v>0</v>
      </c>
      <c r="M31" s="787" t="n">
        <v>0</v>
      </c>
      <c r="N31" s="787" t="n">
        <v>0</v>
      </c>
      <c r="O31" s="787" t="n">
        <v>0</v>
      </c>
      <c r="P31" s="787" t="n">
        <v>0</v>
      </c>
      <c r="Q31" s="787" t="n">
        <v>0</v>
      </c>
      <c r="R31" s="787" t="n">
        <v>0</v>
      </c>
      <c r="S31" s="787" t="n">
        <v>0</v>
      </c>
      <c r="T31" s="787" t="n">
        <v>0</v>
      </c>
    </row>
    <row r="32">
      <c r="A32" s="697" t="n">
        <v>44</v>
      </c>
      <c r="C32" s="645" t="inlineStr">
        <is>
          <t>당기순이익</t>
        </is>
      </c>
      <c r="D32" s="646" t="n"/>
      <c r="E32" s="646" t="n"/>
      <c r="F32" s="646" t="n"/>
      <c r="G32" s="646" t="n"/>
      <c r="H32" s="647" t="n"/>
      <c r="I32" s="787" t="n">
        <v>0</v>
      </c>
      <c r="J32" s="787" t="n">
        <v>0</v>
      </c>
      <c r="K32" s="787" t="n">
        <v>0</v>
      </c>
      <c r="L32" s="787" t="n">
        <v>0</v>
      </c>
      <c r="M32" s="787" t="n">
        <v>0</v>
      </c>
      <c r="N32" s="787" t="n">
        <v>0</v>
      </c>
      <c r="O32" s="787" t="n">
        <v>0</v>
      </c>
      <c r="P32" s="787" t="n">
        <v>0</v>
      </c>
      <c r="Q32" s="787" t="n">
        <v>0</v>
      </c>
      <c r="R32" s="787" t="n">
        <v>0</v>
      </c>
      <c r="S32" s="787" t="n">
        <v>0</v>
      </c>
      <c r="T32" s="787" t="n">
        <v>0</v>
      </c>
    </row>
    <row r="36">
      <c r="A36" s="697" t="n">
        <v>76</v>
      </c>
      <c r="C36" s="697" t="inlineStr">
        <is>
          <t>신계약csm</t>
        </is>
      </c>
      <c r="I36" s="787" t="n">
        <v>0</v>
      </c>
      <c r="J36" s="787" t="n">
        <v>0</v>
      </c>
      <c r="K36" s="787" t="n">
        <v>0</v>
      </c>
      <c r="L36" s="787" t="n">
        <v>0</v>
      </c>
      <c r="M36" s="787" t="n">
        <v>0</v>
      </c>
      <c r="N36" s="787" t="n">
        <v>0</v>
      </c>
      <c r="O36" s="787" t="n">
        <v>0</v>
      </c>
      <c r="P36" s="787" t="n">
        <v>0</v>
      </c>
      <c r="Q36" s="787" t="n">
        <v>0</v>
      </c>
      <c r="R36" s="787" t="n">
        <v>0</v>
      </c>
      <c r="S36" s="787" t="n">
        <v>0</v>
      </c>
      <c r="T36" s="787" t="n">
        <v>0</v>
      </c>
    </row>
    <row r="37">
      <c r="A37" s="697" t="n">
        <v>77</v>
      </c>
      <c r="C37" s="697" t="inlineStr">
        <is>
          <t>csm상각액</t>
        </is>
      </c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9">
      <c r="A39" s="697" t="n">
        <v>13</v>
      </c>
      <c r="C39" s="697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59" min="9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n"/>
      <c r="D6" s="787" t="n"/>
      <c r="E6" s="787" t="n"/>
      <c r="F6" s="787" t="n"/>
      <c r="G6" s="787" t="n"/>
      <c r="H6" s="787" t="n"/>
      <c r="I6" s="787" t="n"/>
      <c r="J6" s="787" t="n"/>
      <c r="K6" s="787" t="n"/>
      <c r="L6" s="787" t="n"/>
      <c r="M6" s="787" t="n"/>
      <c r="N6" s="787" t="n"/>
      <c r="O6" s="787" t="n"/>
      <c r="P6" s="787" t="n"/>
      <c r="Q6" s="787" t="n"/>
      <c r="R6" s="787" t="n"/>
      <c r="S6" s="787" t="n"/>
      <c r="T6" s="787" t="n"/>
    </row>
    <row r="7">
      <c r="A7" s="787" t="n">
        <v>72</v>
      </c>
      <c r="B7" s="2" t="n">
        <v>2212</v>
      </c>
      <c r="C7" s="787" t="inlineStr">
        <is>
          <t>22년말 이익잉여금</t>
        </is>
      </c>
      <c r="D7" s="787" t="n"/>
      <c r="E7" s="787" t="inlineStr">
        <is>
          <t>IFRS 4 + IAS 39</t>
        </is>
      </c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697" t="n">
        <v>65</v>
      </c>
      <c r="B8" s="2" t="n">
        <v>2312</v>
      </c>
      <c r="C8" s="697" t="inlineStr">
        <is>
          <t>23년초 이익잉여금</t>
        </is>
      </c>
      <c r="E8" s="697" t="inlineStr">
        <is>
          <t>IFRS 17+ IFRS 9</t>
        </is>
      </c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C9" s="697" t="inlineStr">
        <is>
          <t>증가율</t>
        </is>
      </c>
      <c r="I9" s="786" t="e">
        <v>#DIV/0!</v>
      </c>
      <c r="J9" s="786" t="e">
        <v>#DIV/0!</v>
      </c>
      <c r="K9" s="786" t="e">
        <v>#DIV/0!</v>
      </c>
      <c r="L9" s="786" t="e">
        <v>#DIV/0!</v>
      </c>
      <c r="M9" s="786" t="e">
        <v>#DIV/0!</v>
      </c>
      <c r="N9" s="786" t="e">
        <v>#DIV/0!</v>
      </c>
      <c r="O9" s="786" t="e">
        <v>#DIV/0!</v>
      </c>
      <c r="P9" s="786" t="e">
        <v>#DIV/0!</v>
      </c>
      <c r="Q9" s="786" t="e">
        <v>#DIV/0!</v>
      </c>
      <c r="R9" s="786" t="e">
        <v>#DIV/0!</v>
      </c>
      <c r="S9" s="786" t="e">
        <v>#DIV/0!</v>
      </c>
      <c r="T9" s="786" t="e">
        <v>#DIV/0!</v>
      </c>
    </row>
    <row r="10">
      <c r="I10" s="787" t="n"/>
      <c r="J10" s="787" t="n"/>
      <c r="K10" s="787" t="n"/>
      <c r="L10" s="787" t="n"/>
      <c r="M10" s="787" t="n"/>
      <c r="N10" s="787" t="n"/>
      <c r="O10" s="787" t="n"/>
      <c r="P10" s="787" t="n"/>
      <c r="Q10" s="787" t="n"/>
      <c r="R10" s="787" t="n"/>
      <c r="S10" s="787" t="n"/>
      <c r="T10" s="787" t="n"/>
    </row>
    <row r="12">
      <c r="C12" s="697" t="inlineStr">
        <is>
          <t>해약환급금 준비금</t>
        </is>
      </c>
    </row>
    <row r="15">
      <c r="C15" s="651" t="inlineStr">
        <is>
          <t>구분</t>
        </is>
      </c>
      <c r="D15" s="649" t="n"/>
      <c r="E15" s="649" t="n"/>
      <c r="F15" s="649" t="n"/>
      <c r="G15" s="649" t="n"/>
      <c r="H15" s="650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7" t="n">
        <v>71</v>
      </c>
      <c r="B16" s="2" t="n">
        <v>2412</v>
      </c>
      <c r="C16" s="648" t="inlineStr">
        <is>
          <t>이익잉여금(2</t>
        </is>
      </c>
      <c r="D16" s="649" t="n"/>
      <c r="E16" s="649" t="n"/>
      <c r="F16" s="649" t="n"/>
      <c r="G16" s="649" t="n"/>
      <c r="H16" s="650" t="n"/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7">
      <c r="A17" s="697" t="n">
        <v>99</v>
      </c>
      <c r="B17" s="2" t="n">
        <v>2412</v>
      </c>
      <c r="C17" s="666" t="inlineStr">
        <is>
          <t>해약환급금준비금</t>
        </is>
      </c>
      <c r="D17" s="649" t="n"/>
      <c r="E17" s="649" t="n"/>
      <c r="F17" s="649" t="n"/>
      <c r="G17" s="649" t="n"/>
      <c r="H17" s="650" t="n"/>
      <c r="I17" s="787" t="n">
        <v>0</v>
      </c>
      <c r="J17" s="787" t="n">
        <v>0</v>
      </c>
      <c r="K17" s="787" t="n">
        <v>0</v>
      </c>
      <c r="L17" s="787" t="n">
        <v>0</v>
      </c>
      <c r="M17" s="787" t="n">
        <v>0</v>
      </c>
      <c r="N17" s="787" t="n">
        <v>0</v>
      </c>
      <c r="O17" s="787" t="n">
        <v>0</v>
      </c>
      <c r="P17" s="787" t="n">
        <v>0</v>
      </c>
      <c r="Q17" s="787" t="n">
        <v>0</v>
      </c>
      <c r="R17" s="787" t="n">
        <v>0</v>
      </c>
      <c r="S17" s="787" t="n">
        <v>0</v>
      </c>
      <c r="T17" s="787" t="n">
        <v>0</v>
      </c>
    </row>
    <row r="18">
      <c r="C18" s="667" t="inlineStr">
        <is>
          <t>(이익잉여금 대비 해약환급금 준비금 비율)</t>
        </is>
      </c>
      <c r="H18" s="644" t="n"/>
      <c r="I18" s="786" t="e">
        <v>#DIV/0!</v>
      </c>
      <c r="J18" s="786" t="e">
        <v>#DIV/0!</v>
      </c>
      <c r="K18" s="786" t="e">
        <v>#DIV/0!</v>
      </c>
      <c r="L18" s="786" t="e">
        <v>#DIV/0!</v>
      </c>
      <c r="M18" s="786" t="e">
        <v>#DIV/0!</v>
      </c>
      <c r="N18" s="786" t="e">
        <v>#DIV/0!</v>
      </c>
      <c r="O18" s="786" t="e">
        <v>#DIV/0!</v>
      </c>
      <c r="P18" s="786" t="e">
        <v>#DIV/0!</v>
      </c>
      <c r="Q18" s="786" t="e">
        <v>#DIV/0!</v>
      </c>
      <c r="R18" s="786" t="e">
        <v>#DIV/0!</v>
      </c>
      <c r="S18" s="786" t="e">
        <v>#DIV/0!</v>
      </c>
      <c r="T18" s="786" t="e">
        <v>#DIV/0!</v>
      </c>
    </row>
    <row r="19">
      <c r="C19" s="645" t="inlineStr">
        <is>
          <t>(자기자본 대비 해약환급금 준비금 비율)</t>
        </is>
      </c>
      <c r="D19" s="646" t="n"/>
      <c r="E19" s="646" t="n"/>
      <c r="F19" s="646" t="n"/>
      <c r="G19" s="646" t="n"/>
      <c r="H19" s="647" t="n"/>
      <c r="I19" s="786" t="e">
        <v>#DIV/0!</v>
      </c>
      <c r="J19" s="786" t="e">
        <v>#DIV/0!</v>
      </c>
      <c r="K19" s="786" t="e">
        <v>#DIV/0!</v>
      </c>
      <c r="L19" s="786" t="e">
        <v>#DIV/0!</v>
      </c>
      <c r="M19" s="786" t="e">
        <v>#DIV/0!</v>
      </c>
      <c r="N19" s="786" t="e">
        <v>#DIV/0!</v>
      </c>
      <c r="O19" s="786" t="e">
        <v>#DIV/0!</v>
      </c>
      <c r="P19" s="786" t="e">
        <v>#DIV/0!</v>
      </c>
      <c r="Q19" s="786" t="e">
        <v>#DIV/0!</v>
      </c>
      <c r="R19" s="786" t="e">
        <v>#DIV/0!</v>
      </c>
      <c r="S19" s="786" t="e">
        <v>#DIV/0!</v>
      </c>
      <c r="T19" s="786" t="e">
        <v>#DIV/0!</v>
      </c>
    </row>
    <row r="20">
      <c r="C20" s="645" t="inlineStr">
        <is>
          <t>(보험계약부채 대비 해약환급금 준비금 비율)</t>
        </is>
      </c>
      <c r="D20" s="646" t="n"/>
      <c r="E20" s="646" t="n"/>
      <c r="F20" s="646" t="n"/>
      <c r="G20" s="646" t="n"/>
      <c r="H20" s="647" t="n"/>
      <c r="I20" s="786" t="e">
        <v>#DIV/0!</v>
      </c>
      <c r="J20" s="786" t="e">
        <v>#DIV/0!</v>
      </c>
      <c r="K20" s="786" t="e">
        <v>#DIV/0!</v>
      </c>
      <c r="L20" s="786" t="e">
        <v>#DIV/0!</v>
      </c>
      <c r="M20" s="786" t="e">
        <v>#DIV/0!</v>
      </c>
      <c r="N20" s="786" t="e">
        <v>#DIV/0!</v>
      </c>
      <c r="O20" s="786" t="e">
        <v>#DIV/0!</v>
      </c>
      <c r="P20" s="786" t="e">
        <v>#DIV/0!</v>
      </c>
      <c r="Q20" s="786" t="e">
        <v>#DIV/0!</v>
      </c>
      <c r="R20" s="786" t="e">
        <v>#DIV/0!</v>
      </c>
      <c r="S20" s="786" t="e">
        <v>#DIV/0!</v>
      </c>
      <c r="T20" s="786" t="e">
        <v>#DIV/0!</v>
      </c>
    </row>
    <row r="26">
      <c r="A26" s="697" t="n">
        <v>14</v>
      </c>
      <c r="B26" s="2" t="n">
        <v>2412</v>
      </c>
      <c r="C26" s="697" t="inlineStr">
        <is>
          <t>자기자본(신종자본증권 제외)</t>
        </is>
      </c>
      <c r="I26" s="787" t="n">
        <v>0</v>
      </c>
      <c r="J26" s="787" t="n">
        <v>0</v>
      </c>
      <c r="K26" s="787" t="n">
        <v>0</v>
      </c>
      <c r="L26" s="787" t="n">
        <v>0</v>
      </c>
      <c r="M26" s="787" t="n">
        <v>0</v>
      </c>
      <c r="N26" s="787" t="n">
        <v>0</v>
      </c>
      <c r="O26" s="787" t="n">
        <v>0</v>
      </c>
      <c r="P26" s="787" t="n">
        <v>0</v>
      </c>
      <c r="Q26" s="787" t="n">
        <v>0</v>
      </c>
      <c r="R26" s="787" t="n">
        <v>0</v>
      </c>
      <c r="S26" s="787" t="n">
        <v>0</v>
      </c>
      <c r="T26" s="787" t="n">
        <v>0</v>
      </c>
    </row>
    <row r="27">
      <c r="A27" s="697" t="n">
        <v>73</v>
      </c>
      <c r="B27" s="2" t="n">
        <v>2412</v>
      </c>
      <c r="C27" s="697" t="inlineStr">
        <is>
          <t>BEL</t>
        </is>
      </c>
      <c r="I27" s="787" t="n">
        <v>0</v>
      </c>
      <c r="J27" s="787" t="n">
        <v>0</v>
      </c>
      <c r="K27" s="787" t="n">
        <v>0</v>
      </c>
      <c r="L27" s="787" t="n">
        <v>0</v>
      </c>
      <c r="M27" s="787" t="n">
        <v>0</v>
      </c>
      <c r="N27" s="787" t="n">
        <v>0</v>
      </c>
      <c r="O27" s="787" t="n">
        <v>0</v>
      </c>
      <c r="P27" s="787" t="n">
        <v>0</v>
      </c>
      <c r="Q27" s="787" t="n">
        <v>0</v>
      </c>
      <c r="R27" s="787" t="n">
        <v>0</v>
      </c>
      <c r="S27" s="787" t="n">
        <v>0</v>
      </c>
      <c r="T27" s="787" t="n">
        <v>0</v>
      </c>
    </row>
    <row r="28">
      <c r="A28" s="864" t="n">
        <v>74</v>
      </c>
      <c r="B28" s="2" t="n">
        <v>2412</v>
      </c>
      <c r="C28" s="697" t="inlineStr">
        <is>
          <t>RA</t>
        </is>
      </c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75</v>
      </c>
      <c r="B29" s="2" t="n">
        <v>2412</v>
      </c>
      <c r="C29" s="697" t="inlineStr">
        <is>
          <t>CSM</t>
        </is>
      </c>
      <c r="I29" s="787" t="n">
        <v>0</v>
      </c>
      <c r="J29" s="787" t="n">
        <v>0</v>
      </c>
      <c r="K29" s="787" t="n">
        <v>0</v>
      </c>
      <c r="L29" s="787" t="n">
        <v>0</v>
      </c>
      <c r="M29" s="787" t="n">
        <v>0</v>
      </c>
      <c r="N29" s="787" t="n">
        <v>0</v>
      </c>
      <c r="O29" s="787" t="n">
        <v>0</v>
      </c>
      <c r="P29" s="787" t="n">
        <v>0</v>
      </c>
      <c r="Q29" s="787" t="n">
        <v>0</v>
      </c>
      <c r="R29" s="787" t="n">
        <v>0</v>
      </c>
      <c r="S29" s="787" t="n">
        <v>0</v>
      </c>
      <c r="T29" s="787" t="n">
        <v>0</v>
      </c>
    </row>
    <row r="30">
      <c r="C30" s="697" t="inlineStr">
        <is>
          <t>BEL+RA+CSM</t>
        </is>
      </c>
      <c r="I30" s="864" t="n">
        <v>0</v>
      </c>
      <c r="J30" s="864" t="n">
        <v>0</v>
      </c>
      <c r="K30" s="864" t="n">
        <v>0</v>
      </c>
      <c r="L30" s="864" t="n">
        <v>0</v>
      </c>
      <c r="M30" s="864" t="n">
        <v>0</v>
      </c>
      <c r="N30" s="864" t="n">
        <v>0</v>
      </c>
      <c r="O30" s="864" t="n">
        <v>0</v>
      </c>
      <c r="P30" s="864" t="n">
        <v>0</v>
      </c>
      <c r="Q30" s="864" t="n">
        <v>0</v>
      </c>
      <c r="R30" s="864" t="n">
        <v>0</v>
      </c>
      <c r="S30" s="864" t="n">
        <v>0</v>
      </c>
      <c r="T30" s="864" t="n">
        <v>0</v>
      </c>
    </row>
  </sheetData>
  <mergeCells count="7">
    <mergeCell ref="C20:H20"/>
    <mergeCell ref="C19:H19"/>
    <mergeCell ref="C16:H16"/>
    <mergeCell ref="C5:H5"/>
    <mergeCell ref="C18:H18"/>
    <mergeCell ref="C17:H17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59" min="6" max="6"/>
    <col width="10.875" bestFit="1" customWidth="1" style="759" min="7" max="7"/>
    <col width="10.25" bestFit="1" customWidth="1" style="759" min="8" max="8"/>
    <col width="9.5" bestFit="1" customWidth="1" style="759" min="9" max="9"/>
    <col width="10.25" bestFit="1" customWidth="1" style="759" min="10" max="10"/>
    <col width="9.375" bestFit="1" customWidth="1" style="759" min="11" max="11"/>
    <col width="9.5" bestFit="1" customWidth="1" style="759" min="12" max="13"/>
    <col width="10.25" bestFit="1" customWidth="1" style="759" min="14" max="14"/>
    <col width="9.5" bestFit="1" customWidth="1" style="759" min="15" max="17"/>
    <col width="9.125" bestFit="1" customWidth="1" style="759" min="18" max="18"/>
    <col width="9.375" bestFit="1" customWidth="1" style="759" min="23" max="23"/>
    <col width="10" bestFit="1" customWidth="1" style="759" min="24" max="24"/>
    <col width="9.125" bestFit="1" customWidth="1" style="759" min="25" max="25"/>
    <col width="10" bestFit="1" customWidth="1" style="759" min="26" max="26"/>
    <col width="9.125" bestFit="1" customWidth="1" style="759" min="27" max="29"/>
    <col width="10" bestFit="1" customWidth="1" style="759" min="30" max="30"/>
    <col width="9.125" bestFit="1" customWidth="1" style="759" min="31" max="34"/>
  </cols>
  <sheetData>
    <row r="2">
      <c r="F2" s="697" t="inlineStr">
        <is>
          <t>CHECK</t>
        </is>
      </c>
      <c r="G2" s="868" t="e">
        <v>#N/A</v>
      </c>
      <c r="H2" s="868" t="e">
        <v>#N/A</v>
      </c>
      <c r="I2" s="868" t="e">
        <v>#N/A</v>
      </c>
      <c r="J2" s="868" t="e">
        <v>#N/A</v>
      </c>
      <c r="K2" s="868" t="e">
        <v>#N/A</v>
      </c>
      <c r="L2" s="868" t="e">
        <v>#N/A</v>
      </c>
      <c r="M2" s="868" t="e">
        <v>#N/A</v>
      </c>
      <c r="N2" s="868" t="e">
        <v>#N/A</v>
      </c>
      <c r="O2" s="868" t="e">
        <v>#N/A</v>
      </c>
      <c r="P2" s="868" t="e">
        <v>#N/A</v>
      </c>
      <c r="Q2" s="868" t="e">
        <v>#N/A</v>
      </c>
      <c r="R2" s="868" t="e">
        <v>#N/A</v>
      </c>
    </row>
    <row r="3">
      <c r="G3" s="864" t="n">
        <v>0</v>
      </c>
      <c r="H3" s="864" t="n">
        <v>0</v>
      </c>
      <c r="I3" s="864" t="n">
        <v>0</v>
      </c>
      <c r="J3" s="864" t="n">
        <v>0</v>
      </c>
      <c r="K3" s="864" t="n">
        <v>0</v>
      </c>
      <c r="L3" s="864" t="n">
        <v>0</v>
      </c>
      <c r="M3" s="864" t="n">
        <v>0</v>
      </c>
      <c r="N3" s="864" t="n">
        <v>0</v>
      </c>
      <c r="O3" s="864" t="n">
        <v>0</v>
      </c>
      <c r="P3" s="864" t="n">
        <v>0</v>
      </c>
      <c r="Q3" s="864" t="n">
        <v>0</v>
      </c>
      <c r="R3" s="864" t="n">
        <v>0</v>
      </c>
    </row>
    <row r="4" ht="17.25" customHeight="1" s="759" thickBot="1">
      <c r="G4" s="29" t="e">
        <v>#N/A</v>
      </c>
      <c r="H4" s="869" t="e">
        <v>#N/A</v>
      </c>
      <c r="I4" s="869" t="e">
        <v>#N/A</v>
      </c>
      <c r="J4" s="869" t="e">
        <v>#N/A</v>
      </c>
      <c r="K4" s="869" t="e">
        <v>#N/A</v>
      </c>
      <c r="L4" s="869" t="e">
        <v>#N/A</v>
      </c>
      <c r="M4" s="869" t="e">
        <v>#N/A</v>
      </c>
      <c r="N4" s="869" t="e">
        <v>#N/A</v>
      </c>
      <c r="O4" s="869" t="e">
        <v>#N/A</v>
      </c>
      <c r="P4" s="869" t="e">
        <v>#N/A</v>
      </c>
      <c r="Q4" s="869" t="e">
        <v>#N/A</v>
      </c>
      <c r="R4" s="869" t="e">
        <v>#N/A</v>
      </c>
    </row>
    <row r="5">
      <c r="D5" s="705" t="inlineStr">
        <is>
          <t>구분</t>
        </is>
      </c>
      <c r="E5" s="699" t="n"/>
      <c r="F5" s="700" t="n"/>
      <c r="G5" s="701" t="inlineStr">
        <is>
          <t>당사</t>
        </is>
      </c>
      <c r="H5" s="718" t="inlineStr">
        <is>
          <t>생보사</t>
        </is>
      </c>
      <c r="I5" s="709" t="n"/>
      <c r="J5" s="709" t="n"/>
      <c r="K5" s="709" t="n"/>
      <c r="L5" s="709" t="n"/>
      <c r="M5" s="719" t="n"/>
      <c r="N5" s="708" t="inlineStr">
        <is>
          <t>손보사</t>
        </is>
      </c>
      <c r="O5" s="709" t="n"/>
      <c r="P5" s="709" t="n"/>
      <c r="Q5" s="709" t="n"/>
      <c r="R5" s="709" t="n"/>
      <c r="S5" s="709" t="n"/>
      <c r="U5" s="717" t="inlineStr">
        <is>
          <t>구분</t>
        </is>
      </c>
      <c r="V5" s="699" t="n"/>
      <c r="W5" s="701" t="inlineStr">
        <is>
          <t>당사</t>
        </is>
      </c>
      <c r="X5" s="718" t="inlineStr">
        <is>
          <t>생보사</t>
        </is>
      </c>
      <c r="Y5" s="709" t="n"/>
      <c r="Z5" s="709" t="n"/>
      <c r="AA5" s="709" t="n"/>
      <c r="AB5" s="709" t="n"/>
      <c r="AC5" s="719" t="n"/>
    </row>
    <row r="6" ht="17.25" customHeight="1" s="759" thickBot="1">
      <c r="D6" s="706" t="n"/>
      <c r="E6" s="706" t="n"/>
      <c r="F6" s="707" t="n"/>
      <c r="G6" s="702" t="n"/>
      <c r="H6" s="34" t="inlineStr">
        <is>
          <t>삼성</t>
        </is>
      </c>
      <c r="I6" s="34" t="inlineStr">
        <is>
          <t>교보</t>
        </is>
      </c>
      <c r="J6" s="34" t="inlineStr">
        <is>
          <t>한화</t>
        </is>
      </c>
      <c r="K6" s="34" t="inlineStr">
        <is>
          <t>신한</t>
        </is>
      </c>
      <c r="L6" s="34" t="inlineStr">
        <is>
          <t>동양</t>
        </is>
      </c>
      <c r="M6" s="217" t="inlineStr">
        <is>
          <t>KB</t>
        </is>
      </c>
      <c r="N6" s="34" t="inlineStr">
        <is>
          <t>삼성</t>
        </is>
      </c>
      <c r="O6" s="34" t="inlineStr">
        <is>
          <t>현대</t>
        </is>
      </c>
      <c r="P6" s="34" t="inlineStr">
        <is>
          <t>메리츠</t>
        </is>
      </c>
      <c r="Q6" s="34" t="inlineStr">
        <is>
          <t>KB</t>
        </is>
      </c>
      <c r="R6" s="216" t="inlineStr">
        <is>
          <t>DB</t>
        </is>
      </c>
      <c r="S6" s="36" t="n"/>
      <c r="U6" s="706" t="n"/>
      <c r="V6" s="706" t="n"/>
      <c r="W6" s="702" t="n"/>
      <c r="X6" s="34" t="inlineStr">
        <is>
          <t>삼성</t>
        </is>
      </c>
      <c r="Y6" s="34" t="inlineStr">
        <is>
          <t>교보</t>
        </is>
      </c>
      <c r="Z6" s="34" t="inlineStr">
        <is>
          <t>한화</t>
        </is>
      </c>
      <c r="AA6" s="34" t="inlineStr">
        <is>
          <t>신한</t>
        </is>
      </c>
      <c r="AB6" s="34" t="inlineStr">
        <is>
          <t>동양</t>
        </is>
      </c>
      <c r="AC6" s="217" t="inlineStr">
        <is>
          <t>KB</t>
        </is>
      </c>
      <c r="AD6" s="34" t="inlineStr">
        <is>
          <t>삼성</t>
        </is>
      </c>
      <c r="AE6" s="34" t="inlineStr">
        <is>
          <t>현대</t>
        </is>
      </c>
      <c r="AF6" s="34" t="inlineStr">
        <is>
          <t>메리츠</t>
        </is>
      </c>
      <c r="AG6" s="34" t="inlineStr">
        <is>
          <t>KB</t>
        </is>
      </c>
      <c r="AH6" s="216" t="inlineStr">
        <is>
          <t>DB</t>
        </is>
      </c>
    </row>
    <row r="7">
      <c r="D7" s="712" t="inlineStr">
        <is>
          <t>자기자본</t>
        </is>
      </c>
      <c r="E7" s="713" t="n"/>
      <c r="F7" s="714" t="n"/>
      <c r="G7" s="870" t="n">
        <v>0</v>
      </c>
      <c r="H7" s="871" t="n">
        <v>0</v>
      </c>
      <c r="I7" s="871" t="n">
        <v>0</v>
      </c>
      <c r="J7" s="871" t="n">
        <v>0</v>
      </c>
      <c r="K7" s="871" t="n">
        <v>0</v>
      </c>
      <c r="L7" s="871" t="n">
        <v>0</v>
      </c>
      <c r="M7" s="872" t="n">
        <v>0</v>
      </c>
      <c r="N7" s="871" t="n">
        <v>0</v>
      </c>
      <c r="O7" s="871" t="n">
        <v>0</v>
      </c>
      <c r="P7" s="871" t="n">
        <v>0</v>
      </c>
      <c r="Q7" s="871" t="n">
        <v>0</v>
      </c>
      <c r="R7" s="873" t="n">
        <v>0</v>
      </c>
      <c r="S7" s="36" t="n"/>
      <c r="U7" s="729" t="inlineStr">
        <is>
          <t>자기자본</t>
        </is>
      </c>
      <c r="V7" s="713" t="n"/>
      <c r="W7" s="37" t="n">
        <v>0</v>
      </c>
      <c r="X7" s="38" t="n">
        <v>0</v>
      </c>
      <c r="Y7" s="38" t="n">
        <v>0</v>
      </c>
      <c r="Z7" s="38" t="n">
        <v>0</v>
      </c>
      <c r="AA7" s="38" t="n">
        <v>0</v>
      </c>
      <c r="AB7" s="38" t="n">
        <v>0</v>
      </c>
      <c r="AC7" s="39" t="n">
        <v>0</v>
      </c>
      <c r="AD7" s="38" t="n">
        <v>0</v>
      </c>
      <c r="AE7" s="38" t="n">
        <v>0</v>
      </c>
      <c r="AF7" s="38" t="n">
        <v>0</v>
      </c>
      <c r="AG7" s="38" t="n">
        <v>0</v>
      </c>
      <c r="AH7" s="40" t="n">
        <v>0</v>
      </c>
    </row>
    <row r="8">
      <c r="D8" s="41" t="n"/>
      <c r="E8" s="41" t="n"/>
      <c r="F8" s="42" t="inlineStr">
        <is>
          <t>전기대비</t>
        </is>
      </c>
      <c r="G8" s="870" t="n">
        <v>0</v>
      </c>
      <c r="H8" s="871" t="n">
        <v>0</v>
      </c>
      <c r="I8" s="871" t="n">
        <v>0</v>
      </c>
      <c r="J8" s="871" t="n">
        <v>0</v>
      </c>
      <c r="K8" s="871" t="n">
        <v>0</v>
      </c>
      <c r="L8" s="871" t="n">
        <v>0</v>
      </c>
      <c r="M8" s="872" t="n">
        <v>0</v>
      </c>
      <c r="N8" s="871" t="n">
        <v>0</v>
      </c>
      <c r="O8" s="871" t="n">
        <v>0</v>
      </c>
      <c r="P8" s="871" t="n">
        <v>0</v>
      </c>
      <c r="Q8" s="871" t="n">
        <v>0</v>
      </c>
      <c r="R8" s="873" t="n">
        <v>0</v>
      </c>
      <c r="S8" s="36" t="n"/>
      <c r="U8" s="41" t="n"/>
      <c r="V8" s="41" t="n"/>
      <c r="W8" s="43" t="n"/>
      <c r="X8" s="44" t="n"/>
      <c r="Y8" s="44" t="n"/>
      <c r="Z8" s="44" t="n"/>
      <c r="AA8" s="44" t="n"/>
      <c r="AB8" s="44" t="n"/>
      <c r="AC8" s="45" t="n"/>
      <c r="AD8" s="44" t="n"/>
      <c r="AE8" s="44" t="n"/>
      <c r="AF8" s="44" t="n"/>
      <c r="AG8" s="44" t="n"/>
      <c r="AH8" s="46" t="n"/>
    </row>
    <row r="9">
      <c r="D9" s="47" t="n"/>
      <c r="E9" s="48" t="n"/>
      <c r="F9" s="49" t="inlineStr">
        <is>
          <t>증감율</t>
        </is>
      </c>
      <c r="G9" s="874" t="e">
        <v>#DIV/0!</v>
      </c>
      <c r="H9" s="875" t="e">
        <v>#DIV/0!</v>
      </c>
      <c r="I9" s="875" t="e">
        <v>#DIV/0!</v>
      </c>
      <c r="J9" s="875" t="e">
        <v>#DIV/0!</v>
      </c>
      <c r="K9" s="875" t="e">
        <v>#DIV/0!</v>
      </c>
      <c r="L9" s="875" t="e">
        <v>#DIV/0!</v>
      </c>
      <c r="M9" s="876" t="e">
        <v>#DIV/0!</v>
      </c>
      <c r="N9" s="875" t="e">
        <v>#DIV/0!</v>
      </c>
      <c r="O9" s="875" t="e">
        <v>#DIV/0!</v>
      </c>
      <c r="P9" s="875" t="e">
        <v>#DIV/0!</v>
      </c>
      <c r="Q9" s="875" t="e">
        <v>#DIV/0!</v>
      </c>
      <c r="R9" s="877" t="e">
        <v>#DIV/0!</v>
      </c>
      <c r="S9" s="36" t="n"/>
      <c r="U9" s="47" t="n"/>
      <c r="V9" s="48" t="n"/>
      <c r="W9" s="878" t="n">
        <v>0</v>
      </c>
      <c r="X9" s="879" t="n">
        <v>0</v>
      </c>
      <c r="Y9" s="879" t="n">
        <v>0</v>
      </c>
      <c r="Z9" s="879" t="n">
        <v>0</v>
      </c>
      <c r="AA9" s="879" t="n">
        <v>0</v>
      </c>
      <c r="AB9" s="879" t="n">
        <v>0</v>
      </c>
      <c r="AC9" s="880" t="n">
        <v>0</v>
      </c>
      <c r="AD9" s="879" t="n">
        <v>0</v>
      </c>
      <c r="AE9" s="879" t="n">
        <v>0</v>
      </c>
      <c r="AF9" s="879" t="n">
        <v>0</v>
      </c>
      <c r="AG9" s="879" t="n">
        <v>0</v>
      </c>
      <c r="AH9" s="881" t="n">
        <v>0</v>
      </c>
    </row>
    <row r="10">
      <c r="D10" s="41" t="n"/>
      <c r="E10" s="41" t="n"/>
      <c r="F10" s="50" t="inlineStr">
        <is>
          <t>1Q 변동금액</t>
        </is>
      </c>
      <c r="G10" s="870" t="e">
        <v>#N/A</v>
      </c>
      <c r="H10" s="871" t="e">
        <v>#N/A</v>
      </c>
      <c r="I10" s="871" t="e">
        <v>#N/A</v>
      </c>
      <c r="J10" s="871" t="e">
        <v>#N/A</v>
      </c>
      <c r="K10" s="871" t="e">
        <v>#N/A</v>
      </c>
      <c r="L10" s="871" t="e">
        <v>#N/A</v>
      </c>
      <c r="M10" s="872" t="e">
        <v>#N/A</v>
      </c>
      <c r="N10" s="871" t="e">
        <v>#N/A</v>
      </c>
      <c r="O10" s="871" t="e">
        <v>#N/A</v>
      </c>
      <c r="P10" s="871" t="e">
        <v>#N/A</v>
      </c>
      <c r="Q10" s="871" t="e">
        <v>#N/A</v>
      </c>
      <c r="R10" s="873" t="e">
        <v>#N/A</v>
      </c>
      <c r="S10" s="36" t="n"/>
      <c r="U10" s="41" t="n"/>
      <c r="V10" s="41" t="n"/>
      <c r="W10" s="882" t="e">
        <v>#N/A</v>
      </c>
      <c r="X10" s="52" t="e">
        <v>#N/A</v>
      </c>
      <c r="Y10" s="883" t="e">
        <v>#N/A</v>
      </c>
      <c r="Z10" s="883" t="e">
        <v>#N/A</v>
      </c>
      <c r="AA10" s="883" t="e">
        <v>#N/A</v>
      </c>
      <c r="AB10" s="883" t="e">
        <v>#N/A</v>
      </c>
      <c r="AC10" s="884" t="e">
        <v>#N/A</v>
      </c>
      <c r="AD10" s="38" t="e">
        <v>#N/A</v>
      </c>
      <c r="AE10" s="52" t="e">
        <v>#N/A</v>
      </c>
      <c r="AF10" s="52" t="e">
        <v>#N/A</v>
      </c>
      <c r="AG10" s="52" t="e">
        <v>#N/A</v>
      </c>
      <c r="AH10" s="47" t="e">
        <v>#N/A</v>
      </c>
    </row>
    <row r="11">
      <c r="D11" s="47" t="n"/>
      <c r="E11" s="48" t="n"/>
      <c r="F11" s="50" t="inlineStr">
        <is>
          <t>2Q 변동금액</t>
        </is>
      </c>
      <c r="G11" s="870" t="e">
        <v>#N/A</v>
      </c>
      <c r="H11" s="871" t="e">
        <v>#N/A</v>
      </c>
      <c r="I11" s="871" t="e">
        <v>#N/A</v>
      </c>
      <c r="J11" s="871" t="e">
        <v>#N/A</v>
      </c>
      <c r="K11" s="871" t="e">
        <v>#N/A</v>
      </c>
      <c r="L11" s="871" t="e">
        <v>#N/A</v>
      </c>
      <c r="M11" s="872" t="e">
        <v>#N/A</v>
      </c>
      <c r="N11" s="871" t="e">
        <v>#N/A</v>
      </c>
      <c r="O11" s="871" t="e">
        <v>#N/A</v>
      </c>
      <c r="P11" s="871" t="e">
        <v>#N/A</v>
      </c>
      <c r="Q11" s="871" t="e">
        <v>#N/A</v>
      </c>
      <c r="R11" s="873" t="e">
        <v>#N/A</v>
      </c>
      <c r="S11" s="36" t="n"/>
      <c r="U11" s="47" t="n"/>
      <c r="V11" s="48" t="n"/>
      <c r="W11" s="882" t="e">
        <v>#N/A</v>
      </c>
      <c r="X11" s="52" t="e">
        <v>#N/A</v>
      </c>
      <c r="Y11" s="883" t="e">
        <v>#N/A</v>
      </c>
      <c r="Z11" s="883" t="e">
        <v>#N/A</v>
      </c>
      <c r="AA11" s="883" t="e">
        <v>#N/A</v>
      </c>
      <c r="AB11" s="883" t="e">
        <v>#N/A</v>
      </c>
      <c r="AC11" s="884" t="e">
        <v>#N/A</v>
      </c>
      <c r="AD11" s="38" t="e">
        <v>#N/A</v>
      </c>
      <c r="AE11" s="52" t="e">
        <v>#N/A</v>
      </c>
      <c r="AF11" s="38" t="e">
        <v>#N/A</v>
      </c>
      <c r="AG11" s="52" t="e">
        <v>#N/A</v>
      </c>
      <c r="AH11" s="47" t="e">
        <v>#N/A</v>
      </c>
    </row>
    <row r="12" ht="17.25" customHeight="1" s="759" thickBot="1">
      <c r="D12" s="41" t="n"/>
      <c r="E12" s="41" t="n"/>
      <c r="F12" s="54" t="inlineStr">
        <is>
          <t>3Q 변동금액</t>
        </is>
      </c>
      <c r="G12" s="885" t="e">
        <v>#N/A</v>
      </c>
      <c r="H12" s="886" t="e">
        <v>#N/A</v>
      </c>
      <c r="I12" s="886" t="e">
        <v>#N/A</v>
      </c>
      <c r="J12" s="886" t="e">
        <v>#N/A</v>
      </c>
      <c r="K12" s="886" t="e">
        <v>#N/A</v>
      </c>
      <c r="L12" s="886" t="e">
        <v>#N/A</v>
      </c>
      <c r="M12" s="887" t="e">
        <v>#N/A</v>
      </c>
      <c r="N12" s="886" t="e">
        <v>#N/A</v>
      </c>
      <c r="O12" s="886" t="e">
        <v>#N/A</v>
      </c>
      <c r="P12" s="886" t="e">
        <v>#N/A</v>
      </c>
      <c r="Q12" s="886" t="e">
        <v>#N/A</v>
      </c>
      <c r="R12" s="888" t="e">
        <v>#N/A</v>
      </c>
      <c r="S12" s="36" t="n"/>
      <c r="U12" s="41" t="n"/>
      <c r="V12" s="41" t="n"/>
      <c r="W12" s="87" t="n">
        <v>0</v>
      </c>
      <c r="X12" s="56" t="n">
        <v>0</v>
      </c>
      <c r="Y12" s="57" t="n">
        <v>0</v>
      </c>
      <c r="Z12" s="57" t="n">
        <v>0</v>
      </c>
      <c r="AA12" s="56" t="n">
        <v>0</v>
      </c>
      <c r="AB12" s="56" t="n">
        <v>0</v>
      </c>
      <c r="AC12" s="58" t="n">
        <v>0</v>
      </c>
      <c r="AD12" s="56" t="n">
        <v>0</v>
      </c>
      <c r="AE12" s="56" t="n">
        <v>0</v>
      </c>
      <c r="AF12" s="57" t="n">
        <v>0</v>
      </c>
      <c r="AG12" s="56" t="n">
        <v>0</v>
      </c>
      <c r="AH12" s="59" t="n">
        <v>0</v>
      </c>
    </row>
    <row r="13">
      <c r="D13" s="698" t="inlineStr">
        <is>
          <t>이익잉여금 전기말대비</t>
        </is>
      </c>
      <c r="E13" s="699" t="n"/>
      <c r="F13" s="700" t="n"/>
      <c r="G13" s="889" t="n">
        <v>0</v>
      </c>
      <c r="H13" s="890" t="n">
        <v>8865</v>
      </c>
      <c r="I13" s="891" t="n">
        <v>8747</v>
      </c>
      <c r="J13" s="890" t="n">
        <v>4569</v>
      </c>
      <c r="K13" s="890" t="n">
        <v>3121</v>
      </c>
      <c r="L13" s="890" t="n">
        <v>1823</v>
      </c>
      <c r="M13" s="892" t="n">
        <v>1433</v>
      </c>
      <c r="N13" s="890" t="n">
        <v>11543</v>
      </c>
      <c r="O13" s="890" t="n">
        <v>8806</v>
      </c>
      <c r="P13" s="890" t="n">
        <v>7033</v>
      </c>
      <c r="Q13" s="890" t="n">
        <v>5089</v>
      </c>
      <c r="R13" s="893" t="n">
        <v>12597</v>
      </c>
      <c r="S13" s="36" t="n"/>
      <c r="U13" s="721" t="inlineStr">
        <is>
          <t>이익잉여금 기시</t>
        </is>
      </c>
      <c r="V13" s="699" t="n"/>
      <c r="W13" s="894" t="n">
        <v>0</v>
      </c>
      <c r="X13" s="60" t="n">
        <v>0</v>
      </c>
      <c r="Y13" s="61" t="n">
        <v>0</v>
      </c>
      <c r="Z13" s="60" t="n">
        <v>0</v>
      </c>
      <c r="AA13" s="60" t="n">
        <v>0</v>
      </c>
      <c r="AB13" s="60" t="n">
        <v>0</v>
      </c>
      <c r="AC13" s="62" t="n">
        <v>0</v>
      </c>
      <c r="AD13" s="60" t="n">
        <v>0</v>
      </c>
      <c r="AE13" s="60" t="n">
        <v>0</v>
      </c>
      <c r="AF13" s="60" t="n">
        <v>0</v>
      </c>
      <c r="AG13" s="60" t="n">
        <v>0</v>
      </c>
      <c r="AH13" s="63" t="n">
        <v>0</v>
      </c>
    </row>
    <row r="14">
      <c r="D14" s="41" t="n"/>
      <c r="E14" s="41" t="n"/>
      <c r="F14" s="42" t="inlineStr">
        <is>
          <t>1Q 변동금액</t>
        </is>
      </c>
      <c r="G14" s="895" t="e">
        <v>#N/A</v>
      </c>
      <c r="H14" s="896" t="e">
        <v>#N/A</v>
      </c>
      <c r="I14" s="897" t="e">
        <v>#N/A</v>
      </c>
      <c r="J14" s="896" t="e">
        <v>#N/A</v>
      </c>
      <c r="K14" s="896" t="e">
        <v>#N/A</v>
      </c>
      <c r="L14" s="896" t="e">
        <v>#N/A</v>
      </c>
      <c r="M14" s="898" t="e">
        <v>#N/A</v>
      </c>
      <c r="N14" s="896" t="e">
        <v>#N/A</v>
      </c>
      <c r="O14" s="896" t="e">
        <v>#N/A</v>
      </c>
      <c r="P14" s="896" t="e">
        <v>#N/A</v>
      </c>
      <c r="Q14" s="896" t="e">
        <v>#N/A</v>
      </c>
      <c r="R14" s="899" t="e">
        <v>#N/A</v>
      </c>
      <c r="S14" s="36" t="n"/>
      <c r="U14" s="41" t="n"/>
      <c r="V14" s="41" t="n"/>
      <c r="W14" s="900" t="e">
        <v>#N/A</v>
      </c>
      <c r="X14" s="44" t="e">
        <v>#N/A</v>
      </c>
      <c r="Y14" s="64" t="e">
        <v>#N/A</v>
      </c>
      <c r="Z14" s="44" t="e">
        <v>#N/A</v>
      </c>
      <c r="AA14" s="44" t="e">
        <v>#N/A</v>
      </c>
      <c r="AB14" s="44" t="e">
        <v>#N/A</v>
      </c>
      <c r="AC14" s="45" t="e">
        <v>#N/A</v>
      </c>
      <c r="AD14" s="44" t="e">
        <v>#N/A</v>
      </c>
      <c r="AE14" s="65" t="e">
        <v>#N/A</v>
      </c>
      <c r="AF14" s="44" t="e">
        <v>#N/A</v>
      </c>
      <c r="AG14" s="44" t="e">
        <v>#N/A</v>
      </c>
      <c r="AH14" s="66" t="e">
        <v>#N/A</v>
      </c>
    </row>
    <row r="15">
      <c r="D15" s="47" t="n"/>
      <c r="E15" s="48" t="n"/>
      <c r="F15" s="50" t="inlineStr">
        <is>
          <t>2Q 변동금액</t>
        </is>
      </c>
      <c r="G15" s="901" t="e">
        <v>#N/A</v>
      </c>
      <c r="H15" s="902" t="e">
        <v>#N/A</v>
      </c>
      <c r="I15" s="903" t="e">
        <v>#N/A</v>
      </c>
      <c r="J15" s="902" t="e">
        <v>#N/A</v>
      </c>
      <c r="K15" s="902" t="e">
        <v>#N/A</v>
      </c>
      <c r="L15" s="902" t="e">
        <v>#N/A</v>
      </c>
      <c r="M15" s="904" t="e">
        <v>#N/A</v>
      </c>
      <c r="N15" s="902" t="e">
        <v>#N/A</v>
      </c>
      <c r="O15" s="902" t="e">
        <v>#N/A</v>
      </c>
      <c r="P15" s="902" t="e">
        <v>#N/A</v>
      </c>
      <c r="Q15" s="902" t="e">
        <v>#N/A</v>
      </c>
      <c r="R15" s="905" t="e">
        <v>#N/A</v>
      </c>
      <c r="S15" s="36" t="n"/>
      <c r="U15" s="47" t="n"/>
      <c r="V15" s="48" t="n"/>
      <c r="W15" s="882" t="e">
        <v>#N/A</v>
      </c>
      <c r="X15" s="38" t="e">
        <v>#N/A</v>
      </c>
      <c r="Y15" s="67" t="e">
        <v>#N/A</v>
      </c>
      <c r="Z15" s="38" t="e">
        <v>#N/A</v>
      </c>
      <c r="AA15" s="38" t="e">
        <v>#N/A</v>
      </c>
      <c r="AB15" s="52" t="e">
        <v>#N/A</v>
      </c>
      <c r="AC15" s="39" t="e">
        <v>#N/A</v>
      </c>
      <c r="AD15" s="38" t="e">
        <v>#N/A</v>
      </c>
      <c r="AE15" s="38" t="e">
        <v>#N/A</v>
      </c>
      <c r="AF15" s="38" t="e">
        <v>#N/A</v>
      </c>
      <c r="AG15" s="38" t="e">
        <v>#N/A</v>
      </c>
      <c r="AH15" s="40" t="e">
        <v>#N/A</v>
      </c>
    </row>
    <row r="16" ht="17.25" customHeight="1" s="759" thickBot="1">
      <c r="D16" s="41" t="n"/>
      <c r="E16" s="41" t="n"/>
      <c r="F16" s="54" t="inlineStr">
        <is>
          <t>3Q 변동금액</t>
        </is>
      </c>
      <c r="G16" s="906" t="e">
        <v>#N/A</v>
      </c>
      <c r="H16" s="907" t="e">
        <v>#N/A</v>
      </c>
      <c r="I16" s="908" t="e">
        <v>#N/A</v>
      </c>
      <c r="J16" s="907" t="e">
        <v>#N/A</v>
      </c>
      <c r="K16" s="907" t="e">
        <v>#N/A</v>
      </c>
      <c r="L16" s="907" t="e">
        <v>#N/A</v>
      </c>
      <c r="M16" s="909" t="e">
        <v>#N/A</v>
      </c>
      <c r="N16" s="907" t="e">
        <v>#N/A</v>
      </c>
      <c r="O16" s="907" t="e">
        <v>#N/A</v>
      </c>
      <c r="P16" s="907" t="e">
        <v>#N/A</v>
      </c>
      <c r="Q16" s="907" t="e">
        <v>#N/A</v>
      </c>
      <c r="R16" s="910" t="e">
        <v>#N/A</v>
      </c>
      <c r="S16" s="36" t="n"/>
      <c r="U16" s="41" t="n"/>
      <c r="V16" s="41" t="n"/>
      <c r="W16" s="911" t="n">
        <v>0</v>
      </c>
      <c r="X16" s="68" t="n">
        <v>0</v>
      </c>
      <c r="Y16" s="69" t="n">
        <v>0</v>
      </c>
      <c r="Z16" s="68" t="n">
        <v>0</v>
      </c>
      <c r="AA16" s="68" t="n">
        <v>0</v>
      </c>
      <c r="AB16" s="70" t="n">
        <v>0</v>
      </c>
      <c r="AC16" s="71" t="n">
        <v>0</v>
      </c>
      <c r="AD16" s="68" t="n">
        <v>0</v>
      </c>
      <c r="AE16" s="68" t="n">
        <v>0</v>
      </c>
      <c r="AF16" s="68" t="n">
        <v>0</v>
      </c>
      <c r="AG16" s="68" t="n">
        <v>0</v>
      </c>
      <c r="AH16" s="72" t="n">
        <v>0</v>
      </c>
    </row>
    <row r="17">
      <c r="D17" s="698" t="inlineStr">
        <is>
          <t xml:space="preserve">기타포괄손익 전기말 대비 </t>
        </is>
      </c>
      <c r="E17" s="699" t="n"/>
      <c r="F17" s="700" t="n"/>
      <c r="G17" s="870" t="n">
        <v>0</v>
      </c>
      <c r="H17" s="871" t="n">
        <v>0</v>
      </c>
      <c r="I17" s="871" t="n">
        <v>0</v>
      </c>
      <c r="J17" s="871" t="n">
        <v>0</v>
      </c>
      <c r="K17" s="871" t="n">
        <v>0</v>
      </c>
      <c r="L17" s="871" t="n">
        <v>0</v>
      </c>
      <c r="M17" s="872" t="n">
        <v>0</v>
      </c>
      <c r="N17" s="871" t="n">
        <v>0</v>
      </c>
      <c r="O17" s="871" t="n">
        <v>0</v>
      </c>
      <c r="P17" s="871" t="n">
        <v>0</v>
      </c>
      <c r="Q17" s="871" t="n">
        <v>0</v>
      </c>
      <c r="R17" s="873" t="n">
        <v>0</v>
      </c>
      <c r="S17" s="36" t="n"/>
      <c r="U17" s="721" t="inlineStr">
        <is>
          <t xml:space="preserve">기타포괄손익 전기말 대비 </t>
        </is>
      </c>
      <c r="V17" s="699" t="n"/>
      <c r="W17" s="51" t="inlineStr">
        <is>
          <t>△5,579</t>
        </is>
      </c>
      <c r="X17" s="52" t="inlineStr">
        <is>
          <t>△37,111</t>
        </is>
      </c>
      <c r="Y17" s="52" t="inlineStr">
        <is>
          <t>△26,759</t>
        </is>
      </c>
      <c r="Z17" s="52" t="inlineStr">
        <is>
          <t>△18,516</t>
        </is>
      </c>
      <c r="AA17" s="52" t="inlineStr">
        <is>
          <t>△12,936</t>
        </is>
      </c>
      <c r="AB17" s="52" t="inlineStr">
        <is>
          <t>△8,063</t>
        </is>
      </c>
      <c r="AC17" s="53" t="inlineStr">
        <is>
          <t>△8,623</t>
        </is>
      </c>
      <c r="AD17" s="52" t="inlineStr">
        <is>
          <t>△592</t>
        </is>
      </c>
      <c r="AE17" s="52" t="inlineStr">
        <is>
          <t>△12,973</t>
        </is>
      </c>
      <c r="AF17" s="52" t="inlineStr">
        <is>
          <t>△5,606</t>
        </is>
      </c>
      <c r="AG17" s="52" t="inlineStr">
        <is>
          <t>△7,603</t>
        </is>
      </c>
      <c r="AH17" s="47" t="inlineStr">
        <is>
          <t>△10,014</t>
        </is>
      </c>
    </row>
    <row r="18">
      <c r="D18" s="73" t="n"/>
      <c r="E18" s="74" t="n"/>
      <c r="F18" s="75" t="inlineStr">
        <is>
          <t>1Q 변동금액</t>
        </is>
      </c>
      <c r="G18" s="912" t="e">
        <v>#N/A</v>
      </c>
      <c r="H18" s="913" t="e">
        <v>#N/A</v>
      </c>
      <c r="I18" s="913" t="e">
        <v>#N/A</v>
      </c>
      <c r="J18" s="913" t="e">
        <v>#N/A</v>
      </c>
      <c r="K18" s="913" t="e">
        <v>#N/A</v>
      </c>
      <c r="L18" s="913" t="e">
        <v>#N/A</v>
      </c>
      <c r="M18" s="914" t="e">
        <v>#N/A</v>
      </c>
      <c r="N18" s="913" t="e">
        <v>#N/A</v>
      </c>
      <c r="O18" s="913" t="e">
        <v>#N/A</v>
      </c>
      <c r="P18" s="913" t="e">
        <v>#N/A</v>
      </c>
      <c r="Q18" s="913" t="e">
        <v>#N/A</v>
      </c>
      <c r="R18" s="915" t="e">
        <v>#N/A</v>
      </c>
      <c r="S18" s="36" t="n"/>
      <c r="U18" s="73" t="n"/>
      <c r="V18" s="74" t="n"/>
      <c r="W18" s="43" t="inlineStr">
        <is>
          <t>△3,260</t>
        </is>
      </c>
      <c r="X18" s="44" t="inlineStr">
        <is>
          <t>△9,669</t>
        </is>
      </c>
      <c r="Y18" s="44" t="inlineStr">
        <is>
          <t>△13,153</t>
        </is>
      </c>
      <c r="Z18" s="44" t="inlineStr">
        <is>
          <t>△7,895</t>
        </is>
      </c>
      <c r="AA18" s="44" t="inlineStr">
        <is>
          <t>△7,684</t>
        </is>
      </c>
      <c r="AB18" s="44" t="inlineStr">
        <is>
          <t>△3,825</t>
        </is>
      </c>
      <c r="AC18" s="45" t="inlineStr">
        <is>
          <t>△4,661</t>
        </is>
      </c>
      <c r="AD18" s="65" t="n">
        <v>1218</v>
      </c>
      <c r="AE18" s="44" t="inlineStr">
        <is>
          <t>△6,156</t>
        </is>
      </c>
      <c r="AF18" s="44" t="inlineStr">
        <is>
          <t>△4,791</t>
        </is>
      </c>
      <c r="AG18" s="44" t="inlineStr">
        <is>
          <t>△4,557</t>
        </is>
      </c>
      <c r="AH18" s="46" t="inlineStr">
        <is>
          <t>△5,041</t>
        </is>
      </c>
    </row>
    <row r="19">
      <c r="D19" s="76" t="n"/>
      <c r="E19" s="77" t="n"/>
      <c r="F19" s="50" t="inlineStr">
        <is>
          <t>2Q 변동금액</t>
        </is>
      </c>
      <c r="G19" s="870" t="e">
        <v>#N/A</v>
      </c>
      <c r="H19" s="871" t="e">
        <v>#N/A</v>
      </c>
      <c r="I19" s="871" t="e">
        <v>#N/A</v>
      </c>
      <c r="J19" s="871" t="e">
        <v>#N/A</v>
      </c>
      <c r="K19" s="871" t="e">
        <v>#N/A</v>
      </c>
      <c r="L19" s="871" t="e">
        <v>#N/A</v>
      </c>
      <c r="M19" s="872" t="e">
        <v>#N/A</v>
      </c>
      <c r="N19" s="871" t="e">
        <v>#N/A</v>
      </c>
      <c r="O19" s="871" t="e">
        <v>#N/A</v>
      </c>
      <c r="P19" s="871" t="e">
        <v>#N/A</v>
      </c>
      <c r="Q19" s="871" t="e">
        <v>#N/A</v>
      </c>
      <c r="R19" s="873" t="e">
        <v>#N/A</v>
      </c>
      <c r="S19" s="36" t="n"/>
      <c r="U19" s="76" t="n"/>
      <c r="V19" s="77" t="n"/>
      <c r="W19" s="51" t="n"/>
      <c r="X19" s="52" t="n"/>
      <c r="Y19" s="52" t="n"/>
      <c r="Z19" s="52" t="n"/>
      <c r="AA19" s="52" t="n"/>
      <c r="AB19" s="52" t="n"/>
      <c r="AC19" s="53" t="n"/>
      <c r="AD19" s="52" t="n"/>
      <c r="AE19" s="52" t="n"/>
      <c r="AF19" s="52" t="n"/>
      <c r="AG19" s="52" t="n"/>
      <c r="AH19" s="47" t="n"/>
    </row>
    <row r="20" ht="17.25" customHeight="1" s="759" thickBot="1">
      <c r="D20" s="78" t="n"/>
      <c r="E20" s="79" t="n"/>
      <c r="F20" s="54" t="inlineStr">
        <is>
          <t>3Q 변동금액</t>
        </is>
      </c>
      <c r="G20" s="885" t="e">
        <v>#N/A</v>
      </c>
      <c r="H20" s="886" t="e">
        <v>#N/A</v>
      </c>
      <c r="I20" s="886" t="e">
        <v>#N/A</v>
      </c>
      <c r="J20" s="886" t="e">
        <v>#N/A</v>
      </c>
      <c r="K20" s="886" t="e">
        <v>#N/A</v>
      </c>
      <c r="L20" s="886" t="e">
        <v>#N/A</v>
      </c>
      <c r="M20" s="887" t="e">
        <v>#N/A</v>
      </c>
      <c r="N20" s="886" t="e">
        <v>#N/A</v>
      </c>
      <c r="O20" s="886" t="e">
        <v>#N/A</v>
      </c>
      <c r="P20" s="886" t="e">
        <v>#N/A</v>
      </c>
      <c r="Q20" s="886" t="e">
        <v>#N/A</v>
      </c>
      <c r="R20" s="888" t="e">
        <v>#N/A</v>
      </c>
      <c r="S20" s="36" t="n"/>
      <c r="U20" s="78" t="n"/>
      <c r="V20" s="79" t="n"/>
      <c r="W20" s="55" t="inlineStr">
        <is>
          <t>△2,319</t>
        </is>
      </c>
      <c r="X20" s="56" t="inlineStr">
        <is>
          <t xml:space="preserve">△27,442 </t>
        </is>
      </c>
      <c r="Y20" s="56" t="inlineStr">
        <is>
          <t>△13,606</t>
        </is>
      </c>
      <c r="Z20" s="56" t="inlineStr">
        <is>
          <t>△10,621</t>
        </is>
      </c>
      <c r="AA20" s="56" t="inlineStr">
        <is>
          <t>△5,252</t>
        </is>
      </c>
      <c r="AB20" s="56" t="inlineStr">
        <is>
          <t>△4,239</t>
        </is>
      </c>
      <c r="AC20" s="58" t="inlineStr">
        <is>
          <t>△3,961</t>
        </is>
      </c>
      <c r="AD20" s="56" t="inlineStr">
        <is>
          <t xml:space="preserve">△1,811 </t>
        </is>
      </c>
      <c r="AE20" s="56" t="inlineStr">
        <is>
          <t>△6,817</t>
        </is>
      </c>
      <c r="AF20" s="56" t="inlineStr">
        <is>
          <t xml:space="preserve">△815 </t>
        </is>
      </c>
      <c r="AG20" s="56" t="inlineStr">
        <is>
          <t>△3,046</t>
        </is>
      </c>
      <c r="AH20" s="80" t="inlineStr">
        <is>
          <t>△4,973</t>
        </is>
      </c>
    </row>
    <row r="21">
      <c r="D21" s="734" t="inlineStr">
        <is>
          <t>K-ICS비율(E)</t>
        </is>
      </c>
      <c r="E21" s="699" t="n"/>
      <c r="F21" s="700" t="n"/>
      <c r="G21" s="916" t="n">
        <v>0</v>
      </c>
      <c r="H21" s="917" t="n">
        <v>0</v>
      </c>
      <c r="I21" s="917" t="inlineStr">
        <is>
          <t>미공시</t>
        </is>
      </c>
      <c r="J21" s="917" t="n">
        <v>0</v>
      </c>
      <c r="K21" s="917" t="n">
        <v>0</v>
      </c>
      <c r="L21" s="917" t="n">
        <v>0</v>
      </c>
      <c r="M21" s="918" t="n">
        <v>0</v>
      </c>
      <c r="N21" s="917" t="n">
        <v>0</v>
      </c>
      <c r="O21" s="917" t="n">
        <v>0</v>
      </c>
      <c r="P21" s="917" t="n">
        <v>0</v>
      </c>
      <c r="Q21" s="917" t="n">
        <v>0</v>
      </c>
      <c r="R21" s="919" t="n">
        <v>0</v>
      </c>
      <c r="S21" s="36" t="n"/>
      <c r="U21" s="730" t="inlineStr">
        <is>
          <t>K-ICS비율(E)</t>
        </is>
      </c>
      <c r="V21" s="699" t="n"/>
      <c r="W21" s="81" t="n">
        <v>1.971</v>
      </c>
      <c r="X21" s="52" t="inlineStr">
        <is>
          <t>200~210%</t>
        </is>
      </c>
      <c r="Y21" s="52" t="inlineStr">
        <is>
          <t>미공시</t>
        </is>
      </c>
      <c r="Z21" s="82" t="n">
        <v>1.63</v>
      </c>
      <c r="AA21" s="82" t="n">
        <v>2.38</v>
      </c>
      <c r="AB21" s="82" t="n">
        <v>1.671</v>
      </c>
      <c r="AC21" s="83" t="n">
        <v>3.135</v>
      </c>
      <c r="AD21" s="82" t="n">
        <v>2.789</v>
      </c>
      <c r="AE21" s="82" t="n">
        <v>1.697</v>
      </c>
      <c r="AF21" s="82" t="n">
        <v>2.249</v>
      </c>
      <c r="AG21" s="82" t="n">
        <v>2.028</v>
      </c>
      <c r="AH21" s="84" t="n">
        <v>2.282</v>
      </c>
    </row>
    <row r="22">
      <c r="D22" s="85" t="inlineStr">
        <is>
          <t xml:space="preserve"> 부채할인율 1Q -6bp / 2Q -27bp</t>
        </is>
      </c>
      <c r="U22" s="85" t="inlineStr">
        <is>
          <t xml:space="preserve"> 부채할인율 1Q -6bp / 2Q -27bp</t>
        </is>
      </c>
    </row>
    <row r="23">
      <c r="D23" s="86" t="inlineStr">
        <is>
          <t>삼성전자 1분기 +9천 / 2분기 -1천억, 화재 +4천억</t>
        </is>
      </c>
      <c r="U23" s="86" t="inlineStr">
        <is>
          <t>삼성전자 1분기 +9천 / 2분기 -1천억, 화재 +4천억</t>
        </is>
      </c>
    </row>
    <row r="24">
      <c r="D24" s="35" t="n"/>
      <c r="U24" s="35" t="n"/>
    </row>
    <row r="25">
      <c r="D25" s="35" t="n"/>
      <c r="U25" s="35" t="n"/>
    </row>
    <row r="26">
      <c r="D26" s="85" t="inlineStr">
        <is>
          <t xml:space="preserve">  지분증권 (삼성전자등) / 세전</t>
        </is>
      </c>
      <c r="U26" s="85" t="inlineStr">
        <is>
          <t xml:space="preserve">  지분증권 (삼성전자등) / 세전</t>
        </is>
      </c>
    </row>
    <row r="27">
      <c r="D27" s="35" t="inlineStr">
        <is>
          <t xml:space="preserve">   1Q+3,768억 / 2Q -583억</t>
        </is>
      </c>
      <c r="U27" s="35" t="inlineStr">
        <is>
          <t xml:space="preserve">   1Q+3,768억 / 2Q -583억</t>
        </is>
      </c>
    </row>
    <row r="28">
      <c r="D28" s="86" t="inlineStr">
        <is>
          <t>채무증권 /세전</t>
        </is>
      </c>
      <c r="U28" s="86" t="inlineStr">
        <is>
          <t>채무증권 /세전</t>
        </is>
      </c>
    </row>
    <row r="29">
      <c r="D29" s="35" t="inlineStr">
        <is>
          <t xml:space="preserve"> 1Q -4,280억 / 2Q +3,010억</t>
        </is>
      </c>
      <c r="U29" s="35" t="inlineStr">
        <is>
          <t xml:space="preserve"> 1Q -4,280억 / 2Q +3,010억</t>
        </is>
      </c>
    </row>
    <row r="30">
      <c r="D30" s="35" t="n"/>
      <c r="U30" s="35" t="n"/>
    </row>
    <row r="31">
      <c r="D31" s="86" t="inlineStr">
        <is>
          <t>부채(할인율)   / 세전- 1분기 왜 그런지 모르겠음</t>
        </is>
      </c>
      <c r="U31" s="86" t="inlineStr">
        <is>
          <t>부채(할인율)   / 세전- 1분기 왜 그런지 모르겠음</t>
        </is>
      </c>
    </row>
    <row r="32">
      <c r="D32" s="35" t="inlineStr">
        <is>
          <t>1Q   +2,057억   / 2Q -5,259억</t>
        </is>
      </c>
      <c r="U32" s="35" t="inlineStr">
        <is>
          <t>1Q   +2,057억   / 2Q -5,259억</t>
        </is>
      </c>
    </row>
    <row r="33">
      <c r="D33" s="85" t="inlineStr">
        <is>
          <t xml:space="preserve"> 지분증권(세전)</t>
        </is>
      </c>
      <c r="U33" s="85" t="inlineStr">
        <is>
          <t xml:space="preserve"> 지분증권(세전)</t>
        </is>
      </c>
    </row>
    <row r="34">
      <c r="D34" s="35" t="inlineStr">
        <is>
          <t>1Q  +44억 / 2Q +141억</t>
        </is>
      </c>
      <c r="U34" s="35" t="inlineStr">
        <is>
          <t>1Q  +44억 / 2Q +141억</t>
        </is>
      </c>
    </row>
    <row r="35">
      <c r="D35" s="86" t="inlineStr">
        <is>
          <t>채무증권(세전)</t>
        </is>
      </c>
      <c r="U35" s="86" t="inlineStr">
        <is>
          <t>채무증권(세전)</t>
        </is>
      </c>
    </row>
    <row r="36">
      <c r="D36" s="35" t="inlineStr">
        <is>
          <t>1Q -3,259억 / 2Q +3,343억</t>
        </is>
      </c>
      <c r="U36" s="35" t="inlineStr">
        <is>
          <t>1Q -3,259억 / 2Q +3,343억</t>
        </is>
      </c>
    </row>
    <row r="37">
      <c r="D37" s="35" t="n"/>
      <c r="U37" s="35" t="n"/>
    </row>
    <row r="38">
      <c r="D38" s="86" t="inlineStr">
        <is>
          <t>투자손익 1Q -4,287억 / 2Q 4,926억</t>
        </is>
      </c>
      <c r="U38" s="86" t="inlineStr">
        <is>
          <t>투자손익 1Q -4,287억 / 2Q 4,926억</t>
        </is>
      </c>
    </row>
    <row r="39">
      <c r="D39" s="35" t="n"/>
      <c r="U39" s="35" t="n"/>
    </row>
    <row r="40">
      <c r="D40" s="86" t="inlineStr">
        <is>
          <t>부채(세전)</t>
        </is>
      </c>
      <c r="U40" s="86" t="inlineStr">
        <is>
          <t>부채(세전)</t>
        </is>
      </c>
    </row>
    <row r="41">
      <c r="D41" s="35" t="inlineStr">
        <is>
          <t>1Q -2,259억 /2Q -7,733억</t>
        </is>
      </c>
      <c r="U41" s="35" t="inlineStr">
        <is>
          <t>1Q -2,259억 /2Q -7,733억</t>
        </is>
      </c>
    </row>
    <row r="42">
      <c r="D42" s="35" t="n"/>
      <c r="U42" s="35" t="n"/>
    </row>
    <row r="43">
      <c r="D43" s="86" t="inlineStr">
        <is>
          <t>재평가잉여금 +872억</t>
        </is>
      </c>
      <c r="U43" s="86" t="inlineStr">
        <is>
          <t>재평가잉여금 +872억</t>
        </is>
      </c>
    </row>
    <row r="44">
      <c r="D44" s="35" t="n"/>
      <c r="U44" s="35" t="n"/>
    </row>
    <row r="64" ht="17.25" customHeight="1" s="759" thickBot="1"/>
    <row r="65">
      <c r="D65" s="705" t="inlineStr">
        <is>
          <t>구분</t>
        </is>
      </c>
      <c r="E65" s="699" t="n"/>
      <c r="F65" s="700" t="n"/>
      <c r="G65" s="701" t="inlineStr">
        <is>
          <t>당사</t>
        </is>
      </c>
      <c r="H65" s="718" t="inlineStr">
        <is>
          <t>생보사</t>
        </is>
      </c>
      <c r="I65" s="709" t="n"/>
      <c r="J65" s="709" t="n"/>
      <c r="K65" s="709" t="n"/>
      <c r="L65" s="709" t="n"/>
      <c r="M65" s="719" t="n"/>
      <c r="N65" s="708" t="inlineStr">
        <is>
          <t>손보사</t>
        </is>
      </c>
      <c r="O65" s="709" t="n"/>
      <c r="P65" s="709" t="n"/>
      <c r="Q65" s="709" t="n"/>
      <c r="R65" s="709" t="n"/>
    </row>
    <row r="66" ht="17.25" customHeight="1" s="759" thickBot="1">
      <c r="D66" s="706" t="n"/>
      <c r="E66" s="706" t="n"/>
      <c r="F66" s="707" t="n"/>
      <c r="G66" s="702" t="n"/>
      <c r="H66" s="34" t="inlineStr">
        <is>
          <t>삼성</t>
        </is>
      </c>
      <c r="I66" s="34" t="inlineStr">
        <is>
          <t>교보</t>
        </is>
      </c>
      <c r="J66" s="34" t="inlineStr">
        <is>
          <t>한화</t>
        </is>
      </c>
      <c r="K66" s="34" t="inlineStr">
        <is>
          <t>신한</t>
        </is>
      </c>
      <c r="L66" s="34" t="inlineStr">
        <is>
          <t>동양</t>
        </is>
      </c>
      <c r="M66" s="217" t="inlineStr">
        <is>
          <t>KB</t>
        </is>
      </c>
      <c r="N66" s="34" t="inlineStr">
        <is>
          <t>삼성</t>
        </is>
      </c>
      <c r="O66" s="34" t="inlineStr">
        <is>
          <t>현대</t>
        </is>
      </c>
      <c r="P66" s="34" t="inlineStr">
        <is>
          <t>메리츠</t>
        </is>
      </c>
      <c r="Q66" s="34" t="inlineStr">
        <is>
          <t>KB</t>
        </is>
      </c>
      <c r="R66" s="216" t="inlineStr">
        <is>
          <t>DB</t>
        </is>
      </c>
    </row>
    <row r="67">
      <c r="D67" s="712" t="inlineStr">
        <is>
          <t>세전손익</t>
        </is>
      </c>
      <c r="E67" s="713" t="n"/>
      <c r="F67" s="714" t="n"/>
      <c r="G67" s="870" t="n">
        <v>0</v>
      </c>
      <c r="H67" s="871" t="n">
        <v>0</v>
      </c>
      <c r="I67" s="871" t="n">
        <v>0</v>
      </c>
      <c r="J67" s="871" t="n">
        <v>0</v>
      </c>
      <c r="K67" s="871" t="n">
        <v>0</v>
      </c>
      <c r="L67" s="871" t="n">
        <v>0</v>
      </c>
      <c r="M67" s="872" t="n">
        <v>0</v>
      </c>
      <c r="N67" s="871" t="n">
        <v>0</v>
      </c>
      <c r="O67" s="871" t="n">
        <v>0</v>
      </c>
      <c r="P67" s="871" t="n">
        <v>0</v>
      </c>
      <c r="Q67" s="871" t="n">
        <v>0</v>
      </c>
      <c r="R67" s="873" t="n">
        <v>0</v>
      </c>
      <c r="S67" s="920" t="n"/>
    </row>
    <row r="68">
      <c r="D68" s="113" t="n"/>
      <c r="E68" s="113" t="inlineStr">
        <is>
          <t>전기대비</t>
        </is>
      </c>
      <c r="F68" s="114" t="n"/>
      <c r="G68" s="870" t="n">
        <v>0</v>
      </c>
      <c r="H68" s="871" t="n">
        <v>0</v>
      </c>
      <c r="I68" s="871" t="n">
        <v>0</v>
      </c>
      <c r="J68" s="871" t="n">
        <v>0</v>
      </c>
      <c r="K68" s="871" t="n">
        <v>0</v>
      </c>
      <c r="L68" s="871" t="n">
        <v>0</v>
      </c>
      <c r="M68" s="872" t="n">
        <v>0</v>
      </c>
      <c r="N68" s="871" t="n">
        <v>0</v>
      </c>
      <c r="O68" s="871" t="n">
        <v>0</v>
      </c>
      <c r="P68" s="871" t="n">
        <v>0</v>
      </c>
      <c r="Q68" s="871" t="n">
        <v>0</v>
      </c>
      <c r="R68" s="873" t="n">
        <v>0</v>
      </c>
      <c r="S68" s="920" t="n"/>
    </row>
    <row r="69">
      <c r="D69" s="41" t="n"/>
      <c r="E69" s="725" t="inlineStr">
        <is>
          <t>① 보험손익</t>
        </is>
      </c>
      <c r="F69" s="726" t="n"/>
      <c r="G69" s="912" t="n">
        <v>0</v>
      </c>
      <c r="H69" s="913" t="n">
        <v>0</v>
      </c>
      <c r="I69" s="913" t="n">
        <v>0</v>
      </c>
      <c r="J69" s="913" t="n">
        <v>0</v>
      </c>
      <c r="K69" s="913" t="n">
        <v>0</v>
      </c>
      <c r="L69" s="913" t="n">
        <v>0</v>
      </c>
      <c r="M69" s="914" t="n">
        <v>0</v>
      </c>
      <c r="N69" s="913" t="n">
        <v>0</v>
      </c>
      <c r="O69" s="913" t="n">
        <v>0</v>
      </c>
      <c r="P69" s="913" t="n">
        <v>0</v>
      </c>
      <c r="Q69" s="913" t="n">
        <v>0</v>
      </c>
      <c r="R69" s="915" t="n">
        <v>0</v>
      </c>
      <c r="S69" s="920" t="n"/>
    </row>
    <row r="70">
      <c r="D70" s="47" t="n"/>
      <c r="E70" s="731" t="inlineStr">
        <is>
          <t>비중</t>
        </is>
      </c>
      <c r="F70" s="732" t="n"/>
      <c r="G70" s="921" t="e">
        <v>#DIV/0!</v>
      </c>
      <c r="H70" s="922" t="e">
        <v>#DIV/0!</v>
      </c>
      <c r="I70" s="922" t="e">
        <v>#DIV/0!</v>
      </c>
      <c r="J70" s="922" t="e">
        <v>#DIV/0!</v>
      </c>
      <c r="K70" s="922" t="e">
        <v>#DIV/0!</v>
      </c>
      <c r="L70" s="922" t="e">
        <v>#DIV/0!</v>
      </c>
      <c r="M70" s="923" t="e">
        <v>#DIV/0!</v>
      </c>
      <c r="N70" s="922" t="e">
        <v>#DIV/0!</v>
      </c>
      <c r="O70" s="922" t="e">
        <v>#DIV/0!</v>
      </c>
      <c r="P70" s="922" t="e">
        <v>#DIV/0!</v>
      </c>
      <c r="Q70" s="922" t="e">
        <v>#DIV/0!</v>
      </c>
      <c r="R70" s="924" t="e">
        <v>#DIV/0!</v>
      </c>
      <c r="S70" s="925" t="n"/>
      <c r="T70" s="925" t="n"/>
    </row>
    <row r="71">
      <c r="D71" s="41" t="n"/>
      <c r="E71" s="214" t="n"/>
      <c r="F71" s="213" t="inlineStr">
        <is>
          <t>전기대비</t>
        </is>
      </c>
      <c r="G71" s="912" t="n">
        <v>0</v>
      </c>
      <c r="H71" s="913" t="n">
        <v>0</v>
      </c>
      <c r="I71" s="913" t="n">
        <v>0</v>
      </c>
      <c r="J71" s="913" t="n">
        <v>0</v>
      </c>
      <c r="K71" s="913" t="n">
        <v>0</v>
      </c>
      <c r="L71" s="913" t="n">
        <v>0</v>
      </c>
      <c r="M71" s="914" t="n">
        <v>0</v>
      </c>
      <c r="N71" s="913" t="n">
        <v>0</v>
      </c>
      <c r="O71" s="913" t="n">
        <v>0</v>
      </c>
      <c r="P71" s="913" t="n">
        <v>0</v>
      </c>
      <c r="Q71" s="913" t="n">
        <v>0</v>
      </c>
      <c r="R71" s="915" t="n">
        <v>0</v>
      </c>
      <c r="S71" s="920" t="n"/>
    </row>
    <row r="72" ht="27" customHeight="1" s="759">
      <c r="D72" s="41" t="n"/>
      <c r="E72" s="88" t="n"/>
      <c r="F72" s="42" t="inlineStr">
        <is>
          <t>② CSM상각액</t>
        </is>
      </c>
      <c r="G72" s="912" t="n">
        <v>0</v>
      </c>
      <c r="H72" s="913" t="n">
        <v>0</v>
      </c>
      <c r="I72" s="913" t="n">
        <v>0</v>
      </c>
      <c r="J72" s="913" t="n">
        <v>0</v>
      </c>
      <c r="K72" s="913" t="n">
        <v>0</v>
      </c>
      <c r="L72" s="913" t="n">
        <v>0</v>
      </c>
      <c r="M72" s="914" t="n">
        <v>0</v>
      </c>
      <c r="N72" s="913" t="n">
        <v>0</v>
      </c>
      <c r="O72" s="913" t="n">
        <v>0</v>
      </c>
      <c r="P72" s="913" t="n">
        <v>0</v>
      </c>
      <c r="Q72" s="913" t="n">
        <v>0</v>
      </c>
      <c r="R72" s="915" t="n">
        <v>0</v>
      </c>
      <c r="S72" s="920" t="n"/>
    </row>
    <row r="73">
      <c r="D73" s="41" t="n"/>
      <c r="E73" s="88" t="n"/>
      <c r="F73" s="49" t="inlineStr">
        <is>
          <t>②/①</t>
        </is>
      </c>
      <c r="G73" s="874" t="e">
        <v>#DIV/0!</v>
      </c>
      <c r="H73" s="875" t="e">
        <v>#DIV/0!</v>
      </c>
      <c r="I73" s="875" t="e">
        <v>#DIV/0!</v>
      </c>
      <c r="J73" s="875" t="e">
        <v>#DIV/0!</v>
      </c>
      <c r="K73" s="875" t="e">
        <v>#DIV/0!</v>
      </c>
      <c r="L73" s="875" t="e">
        <v>#DIV/0!</v>
      </c>
      <c r="M73" s="876" t="e">
        <v>#DIV/0!</v>
      </c>
      <c r="N73" s="875" t="e">
        <v>#DIV/0!</v>
      </c>
      <c r="O73" s="875" t="e">
        <v>#DIV/0!</v>
      </c>
      <c r="P73" s="875" t="e">
        <v>#DIV/0!</v>
      </c>
      <c r="Q73" s="875" t="e">
        <v>#DIV/0!</v>
      </c>
      <c r="R73" s="877" t="e">
        <v>#DIV/0!</v>
      </c>
      <c r="S73" s="920" t="n"/>
    </row>
    <row r="74">
      <c r="D74" s="41" t="n"/>
      <c r="E74" s="725" t="inlineStr">
        <is>
          <t>투자손익</t>
        </is>
      </c>
      <c r="F74" s="726" t="n"/>
      <c r="G74" s="870" t="n">
        <v>0</v>
      </c>
      <c r="H74" s="871" t="n">
        <v>0</v>
      </c>
      <c r="I74" s="871" t="n">
        <v>0</v>
      </c>
      <c r="J74" s="871" t="n">
        <v>0</v>
      </c>
      <c r="K74" s="871" t="n">
        <v>0</v>
      </c>
      <c r="L74" s="871" t="n">
        <v>0</v>
      </c>
      <c r="M74" s="872" t="n">
        <v>0</v>
      </c>
      <c r="N74" s="871" t="n">
        <v>0</v>
      </c>
      <c r="O74" s="871" t="n">
        <v>0</v>
      </c>
      <c r="P74" s="871" t="n">
        <v>0</v>
      </c>
      <c r="Q74" s="871" t="n">
        <v>0</v>
      </c>
      <c r="R74" s="873" t="n">
        <v>0</v>
      </c>
      <c r="S74" s="920" t="n"/>
    </row>
    <row r="75">
      <c r="D75" s="41" t="n"/>
      <c r="E75" s="214" t="n"/>
      <c r="F75" s="213" t="inlineStr">
        <is>
          <t>전기대비</t>
        </is>
      </c>
      <c r="G75" s="912" t="n">
        <v>0</v>
      </c>
      <c r="H75" s="913" t="n">
        <v>0</v>
      </c>
      <c r="I75" s="913" t="n">
        <v>0</v>
      </c>
      <c r="J75" s="913" t="n">
        <v>0</v>
      </c>
      <c r="K75" s="913" t="n">
        <v>0</v>
      </c>
      <c r="L75" s="913" t="n">
        <v>0</v>
      </c>
      <c r="M75" s="914" t="n">
        <v>0</v>
      </c>
      <c r="N75" s="913" t="n">
        <v>0</v>
      </c>
      <c r="O75" s="913" t="n">
        <v>0</v>
      </c>
      <c r="P75" s="913" t="n">
        <v>0</v>
      </c>
      <c r="Q75" s="913" t="n">
        <v>0</v>
      </c>
      <c r="R75" s="915" t="n">
        <v>0</v>
      </c>
      <c r="S75" s="920" t="n"/>
    </row>
    <row r="76">
      <c r="G76" s="920" t="n"/>
      <c r="H76" s="920" t="n"/>
      <c r="I76" s="920" t="n"/>
      <c r="J76" s="920" t="n"/>
      <c r="K76" s="920" t="n"/>
      <c r="L76" s="920" t="n"/>
      <c r="M76" s="920" t="n"/>
      <c r="N76" s="920" t="n"/>
      <c r="O76" s="920" t="n"/>
      <c r="P76" s="920" t="n"/>
      <c r="Q76" s="920" t="n"/>
      <c r="R76" s="920" t="n"/>
      <c r="S76" s="920" t="n"/>
    </row>
    <row r="78" ht="17.25" customHeight="1" s="759" thickBot="1"/>
    <row r="79" ht="17.25" customHeight="1" s="759" thickTop="1">
      <c r="D79" s="727" t="inlineStr">
        <is>
          <t>구분</t>
        </is>
      </c>
      <c r="E79" s="711" t="n"/>
      <c r="F79" s="715" t="inlineStr">
        <is>
          <t>당사</t>
        </is>
      </c>
      <c r="G79" s="723" t="inlineStr">
        <is>
          <t>생보사</t>
        </is>
      </c>
      <c r="H79" s="709" t="n"/>
      <c r="I79" s="709" t="n"/>
      <c r="J79" s="709" t="n"/>
      <c r="K79" s="709" t="n"/>
      <c r="L79" s="724" t="n"/>
      <c r="M79" s="722" t="inlineStr">
        <is>
          <t>손보사</t>
        </is>
      </c>
      <c r="N79" s="709" t="n"/>
      <c r="O79" s="709" t="n"/>
      <c r="P79" s="709" t="n"/>
      <c r="Q79" s="709" t="n"/>
      <c r="R79" s="709" t="n"/>
    </row>
    <row r="80" ht="17.25" customHeight="1" s="759" thickBot="1">
      <c r="D80" s="728" t="n"/>
      <c r="E80" s="704" t="n"/>
      <c r="F80" s="716" t="n"/>
      <c r="G80" s="89" t="inlineStr">
        <is>
          <t>삼성</t>
        </is>
      </c>
      <c r="H80" s="90" t="inlineStr">
        <is>
          <t>교보</t>
        </is>
      </c>
      <c r="I80" s="90" t="inlineStr">
        <is>
          <t>한화</t>
        </is>
      </c>
      <c r="J80" s="90" t="inlineStr">
        <is>
          <t>신한</t>
        </is>
      </c>
      <c r="K80" s="90" t="inlineStr">
        <is>
          <t>동양</t>
        </is>
      </c>
      <c r="L80" s="91" t="inlineStr">
        <is>
          <t>KB</t>
        </is>
      </c>
      <c r="M80" s="89" t="inlineStr">
        <is>
          <t>삼성</t>
        </is>
      </c>
      <c r="N80" s="89" t="inlineStr">
        <is>
          <t>현대</t>
        </is>
      </c>
      <c r="O80" s="89" t="inlineStr">
        <is>
          <t>메리츠</t>
        </is>
      </c>
      <c r="P80" s="89" t="inlineStr">
        <is>
          <t>KB</t>
        </is>
      </c>
      <c r="Q80" s="212" t="inlineStr">
        <is>
          <t>DB</t>
        </is>
      </c>
      <c r="R80" s="36" t="n"/>
    </row>
    <row r="81">
      <c r="D81" s="710" t="inlineStr">
        <is>
          <t>①CSM잔액</t>
        </is>
      </c>
      <c r="E81" s="711" t="n"/>
      <c r="F81" s="92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4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5" t="n">
        <v>0</v>
      </c>
      <c r="R81" s="36" t="n"/>
    </row>
    <row r="82" ht="27.75" customHeight="1" s="759" thickBot="1">
      <c r="D82" s="96" t="n"/>
      <c r="E82" s="97" t="inlineStr">
        <is>
          <t>전기대비 증가율</t>
        </is>
      </c>
      <c r="F82" s="926" t="e">
        <v>#DIV/0!</v>
      </c>
      <c r="G82" s="927" t="e">
        <v>#DIV/0!</v>
      </c>
      <c r="H82" s="927" t="e">
        <v>#DIV/0!</v>
      </c>
      <c r="I82" s="927" t="e">
        <v>#DIV/0!</v>
      </c>
      <c r="J82" s="927" t="e">
        <v>#DIV/0!</v>
      </c>
      <c r="K82" s="927" t="e">
        <v>#DIV/0!</v>
      </c>
      <c r="L82" s="928" t="e">
        <v>#DIV/0!</v>
      </c>
      <c r="M82" s="927" t="e">
        <v>#DIV/0!</v>
      </c>
      <c r="N82" s="927" t="e">
        <v>#DIV/0!</v>
      </c>
      <c r="O82" s="927" t="e">
        <v>#DIV/0!</v>
      </c>
      <c r="P82" s="927" t="e">
        <v>#DIV/0!</v>
      </c>
      <c r="Q82" s="929" t="e">
        <v>#DIV/0!</v>
      </c>
      <c r="R82" s="36" t="n"/>
    </row>
    <row r="83">
      <c r="D83" s="733" t="inlineStr">
        <is>
          <t>②  신계약CSM</t>
        </is>
      </c>
      <c r="E83" s="699" t="n"/>
      <c r="F83" s="115" t="n">
        <v>0</v>
      </c>
      <c r="G83" s="116" t="n">
        <v>0</v>
      </c>
      <c r="H83" s="116" t="n">
        <v>0</v>
      </c>
      <c r="I83" s="116" t="n">
        <v>0</v>
      </c>
      <c r="J83" s="116" t="n">
        <v>0</v>
      </c>
      <c r="K83" s="116" t="n">
        <v>0</v>
      </c>
      <c r="L83" s="117" t="n">
        <v>0</v>
      </c>
      <c r="M83" s="116" t="n">
        <v>0</v>
      </c>
      <c r="N83" s="116" t="n">
        <v>0</v>
      </c>
      <c r="O83" s="116" t="n">
        <v>0</v>
      </c>
      <c r="P83" s="116" t="n">
        <v>0</v>
      </c>
      <c r="Q83" s="118" t="n">
        <v>0</v>
      </c>
      <c r="R83" s="36" t="n"/>
    </row>
    <row r="84" ht="27" customHeight="1" s="759">
      <c r="D84" s="119" t="n"/>
      <c r="E84" s="127" t="inlineStr">
        <is>
          <t>전기대비 증가율</t>
        </is>
      </c>
      <c r="F84" s="926" t="e">
        <v>#DIV/0!</v>
      </c>
      <c r="G84" s="927" t="e">
        <v>#DIV/0!</v>
      </c>
      <c r="H84" s="927" t="e">
        <v>#DIV/0!</v>
      </c>
      <c r="I84" s="927" t="e">
        <v>#DIV/0!</v>
      </c>
      <c r="J84" s="927" t="e">
        <v>#DIV/0!</v>
      </c>
      <c r="K84" s="927" t="e">
        <v>#DIV/0!</v>
      </c>
      <c r="L84" s="928" t="e">
        <v>#DIV/0!</v>
      </c>
      <c r="M84" s="927" t="e">
        <v>#DIV/0!</v>
      </c>
      <c r="N84" s="927" t="e">
        <v>#DIV/0!</v>
      </c>
      <c r="O84" s="927" t="e">
        <v>#DIV/0!</v>
      </c>
      <c r="P84" s="927" t="e">
        <v>#DIV/0!</v>
      </c>
      <c r="Q84" s="929" t="e">
        <v>#DIV/0!</v>
      </c>
      <c r="R84" s="36" t="n"/>
    </row>
    <row r="85" ht="17.25" customHeight="1" s="759" thickBot="1">
      <c r="D85" s="120" t="n"/>
      <c r="E85" s="128" t="inlineStr">
        <is>
          <t>②/①</t>
        </is>
      </c>
      <c r="F85" s="930" t="e">
        <v>#DIV/0!</v>
      </c>
      <c r="G85" s="931" t="e">
        <v>#DIV/0!</v>
      </c>
      <c r="H85" s="931" t="e">
        <v>#DIV/0!</v>
      </c>
      <c r="I85" s="931" t="e">
        <v>#DIV/0!</v>
      </c>
      <c r="J85" s="931" t="e">
        <v>#DIV/0!</v>
      </c>
      <c r="K85" s="931" t="e">
        <v>#DIV/0!</v>
      </c>
      <c r="L85" s="932" t="e">
        <v>#DIV/0!</v>
      </c>
      <c r="M85" s="931" t="e">
        <v>#DIV/0!</v>
      </c>
      <c r="N85" s="931" t="e">
        <v>#DIV/0!</v>
      </c>
      <c r="O85" s="931" t="e">
        <v>#DIV/0!</v>
      </c>
      <c r="P85" s="931" t="e">
        <v>#DIV/0!</v>
      </c>
      <c r="Q85" s="933" t="e">
        <v>#DIV/0!</v>
      </c>
      <c r="R85" s="36" t="n"/>
    </row>
    <row r="86">
      <c r="D86" s="720" t="inlineStr">
        <is>
          <t>③ CSM상각액</t>
        </is>
      </c>
      <c r="E86" s="699" t="n"/>
      <c r="F86" s="121" t="n">
        <v>0</v>
      </c>
      <c r="G86" s="122" t="n">
        <v>0</v>
      </c>
      <c r="H86" s="122" t="n">
        <v>0</v>
      </c>
      <c r="I86" s="122" t="n">
        <v>0</v>
      </c>
      <c r="J86" s="122" t="n">
        <v>0</v>
      </c>
      <c r="K86" s="122" t="n">
        <v>0</v>
      </c>
      <c r="L86" s="123" t="n">
        <v>0</v>
      </c>
      <c r="M86" s="122" t="n">
        <v>0</v>
      </c>
      <c r="N86" s="122" t="n">
        <v>0</v>
      </c>
      <c r="O86" s="122" t="n">
        <v>0</v>
      </c>
      <c r="P86" s="122" t="n">
        <v>0</v>
      </c>
      <c r="Q86" s="124" t="n">
        <v>0</v>
      </c>
      <c r="R86" s="36" t="n"/>
    </row>
    <row r="87" ht="27" customHeight="1" s="759">
      <c r="E87" s="125" t="inlineStr">
        <is>
          <t>전기대비 증가율</t>
        </is>
      </c>
      <c r="F87" s="934" t="e">
        <v>#DIV/0!</v>
      </c>
      <c r="G87" s="935" t="e">
        <v>#DIV/0!</v>
      </c>
      <c r="H87" s="935" t="e">
        <v>#DIV/0!</v>
      </c>
      <c r="I87" s="935" t="e">
        <v>#DIV/0!</v>
      </c>
      <c r="J87" s="935" t="e">
        <v>#DIV/0!</v>
      </c>
      <c r="K87" s="935" t="e">
        <v>#DIV/0!</v>
      </c>
      <c r="L87" s="936" t="e">
        <v>#DIV/0!</v>
      </c>
      <c r="M87" s="935" t="e">
        <v>#DIV/0!</v>
      </c>
      <c r="N87" s="935" t="e">
        <v>#DIV/0!</v>
      </c>
      <c r="O87" s="935" t="e">
        <v>#DIV/0!</v>
      </c>
      <c r="P87" s="935" t="e">
        <v>#DIV/0!</v>
      </c>
      <c r="Q87" s="937" t="e">
        <v>#DIV/0!</v>
      </c>
      <c r="R87" s="36" t="n"/>
    </row>
    <row r="88" ht="17.25" customHeight="1" s="759" thickBot="1">
      <c r="E88" s="126" t="inlineStr">
        <is>
          <t>②/③</t>
        </is>
      </c>
      <c r="F88" s="938" t="e">
        <v>#DIV/0!</v>
      </c>
      <c r="G88" s="939" t="n">
        <v>2.32</v>
      </c>
      <c r="H88" s="939" t="n">
        <v>2.34</v>
      </c>
      <c r="I88" s="939" t="n">
        <v>2.16</v>
      </c>
      <c r="J88" s="939" t="n">
        <v>1.7</v>
      </c>
      <c r="K88" s="939" t="n">
        <v>2.89</v>
      </c>
      <c r="L88" s="940" t="n">
        <v>1.73</v>
      </c>
      <c r="M88" s="939" t="n">
        <v>2.05</v>
      </c>
      <c r="N88" s="939" t="n">
        <v>1.82</v>
      </c>
      <c r="O88" s="939" t="n">
        <v>1.23</v>
      </c>
      <c r="P88" s="939" t="n">
        <v>2.14</v>
      </c>
      <c r="Q88" s="941" t="n">
        <v>2.2</v>
      </c>
      <c r="R88" s="36" t="n"/>
    </row>
    <row r="89" ht="17.25" customHeight="1" s="759">
      <c r="E89" s="129" t="n"/>
      <c r="F89" s="130" t="n"/>
      <c r="G89" s="131" t="n"/>
      <c r="H89" s="131" t="n"/>
      <c r="I89" s="131" t="n"/>
      <c r="J89" s="131" t="n"/>
      <c r="K89" s="131" t="n"/>
      <c r="L89" s="132" t="n"/>
      <c r="M89" s="131" t="n"/>
      <c r="N89" s="131" t="n"/>
      <c r="O89" s="131" t="n"/>
      <c r="P89" s="131" t="n"/>
      <c r="Q89" s="133" t="n"/>
      <c r="R89" s="36" t="n"/>
    </row>
    <row r="90" ht="17.25" customHeight="1" s="759">
      <c r="D90" s="129" t="inlineStr">
        <is>
          <t>전기</t>
        </is>
      </c>
      <c r="E90" s="697" t="inlineStr">
        <is>
          <t>신계약</t>
        </is>
      </c>
      <c r="F90" s="942" t="n">
        <v>0</v>
      </c>
      <c r="G90" s="943" t="n">
        <v>0</v>
      </c>
      <c r="H90" s="943" t="n">
        <v>0</v>
      </c>
      <c r="I90" s="943" t="n">
        <v>0</v>
      </c>
      <c r="J90" s="943" t="n">
        <v>0</v>
      </c>
      <c r="K90" s="943" t="n">
        <v>0</v>
      </c>
      <c r="L90" s="944" t="n">
        <v>0</v>
      </c>
      <c r="M90" s="943" t="n">
        <v>0</v>
      </c>
      <c r="N90" s="943" t="n">
        <v>0</v>
      </c>
      <c r="O90" s="943" t="n">
        <v>0</v>
      </c>
      <c r="P90" s="943" t="n">
        <v>0</v>
      </c>
      <c r="Q90" s="945" t="n">
        <v>0</v>
      </c>
      <c r="R90" s="36" t="n"/>
    </row>
    <row r="91" ht="17.25" customHeight="1" s="759">
      <c r="E91" s="129" t="inlineStr">
        <is>
          <t>상각액</t>
        </is>
      </c>
      <c r="F91" s="942" t="n">
        <v>0</v>
      </c>
      <c r="G91" s="943" t="n">
        <v>0</v>
      </c>
      <c r="H91" s="943" t="n">
        <v>0</v>
      </c>
      <c r="I91" s="943" t="n">
        <v>0</v>
      </c>
      <c r="J91" s="943" t="n">
        <v>0</v>
      </c>
      <c r="K91" s="943" t="n">
        <v>0</v>
      </c>
      <c r="L91" s="944" t="n">
        <v>0</v>
      </c>
      <c r="M91" s="943" t="n">
        <v>0</v>
      </c>
      <c r="N91" s="943" t="n">
        <v>0</v>
      </c>
      <c r="O91" s="943" t="n">
        <v>0</v>
      </c>
      <c r="P91" s="943" t="n">
        <v>0</v>
      </c>
      <c r="Q91" s="945" t="n">
        <v>0</v>
      </c>
      <c r="R91" s="36" t="n"/>
    </row>
    <row r="92">
      <c r="F92" s="946" t="e">
        <v>#REF!</v>
      </c>
      <c r="G92" s="947" t="e">
        <v>#REF!</v>
      </c>
      <c r="H92" s="947" t="e">
        <v>#REF!</v>
      </c>
      <c r="I92" s="947" t="e">
        <v>#REF!</v>
      </c>
      <c r="J92" s="947" t="e">
        <v>#REF!</v>
      </c>
      <c r="K92" s="947" t="e">
        <v>#REF!</v>
      </c>
      <c r="L92" s="948" t="e">
        <v>#REF!</v>
      </c>
      <c r="M92" s="947" t="e">
        <v>#REF!</v>
      </c>
      <c r="N92" s="947" t="e">
        <v>#REF!</v>
      </c>
      <c r="O92" s="947" t="e">
        <v>#REF!</v>
      </c>
      <c r="P92" s="947" t="e">
        <v>#REF!</v>
      </c>
      <c r="Q92" s="949" t="e">
        <v>#REF!</v>
      </c>
    </row>
    <row r="93">
      <c r="F93" s="849" t="e">
        <v>#REF!</v>
      </c>
      <c r="G93" s="849" t="e">
        <v>#REF!</v>
      </c>
      <c r="H93" s="849" t="e">
        <v>#REF!</v>
      </c>
      <c r="I93" s="849" t="e">
        <v>#REF!</v>
      </c>
      <c r="J93" s="849" t="e">
        <v>#REF!</v>
      </c>
      <c r="K93" s="849" t="e">
        <v>#REF!</v>
      </c>
      <c r="L93" s="849" t="e">
        <v>#REF!</v>
      </c>
      <c r="M93" s="849" t="e">
        <v>#REF!</v>
      </c>
      <c r="N93" s="849" t="e">
        <v>#REF!</v>
      </c>
      <c r="O93" s="849" t="e">
        <v>#REF!</v>
      </c>
      <c r="P93" s="849" t="e">
        <v>#REF!</v>
      </c>
      <c r="Q93" s="849" t="e">
        <v>#REF!</v>
      </c>
    </row>
    <row r="94" ht="17.25" customHeight="1" s="759" thickBot="1"/>
    <row r="95" ht="17.25" customHeight="1" s="759" thickTop="1">
      <c r="D95" s="727" t="inlineStr">
        <is>
          <t>구분</t>
        </is>
      </c>
      <c r="E95" s="711" t="n"/>
      <c r="F95" s="715" t="inlineStr">
        <is>
          <t>당사</t>
        </is>
      </c>
      <c r="G95" s="723" t="inlineStr">
        <is>
          <t>생보사</t>
        </is>
      </c>
      <c r="H95" s="709" t="n"/>
      <c r="I95" s="709" t="n"/>
      <c r="J95" s="709" t="n"/>
      <c r="K95" s="709" t="n"/>
      <c r="L95" s="724" t="n"/>
      <c r="M95" s="722" t="inlineStr">
        <is>
          <t>손보사</t>
        </is>
      </c>
      <c r="N95" s="709" t="n"/>
      <c r="O95" s="709" t="n"/>
      <c r="P95" s="709" t="n"/>
      <c r="Q95" s="709" t="n"/>
      <c r="R95" s="709" t="n"/>
    </row>
    <row r="96" ht="17.25" customHeight="1" s="759" thickBot="1">
      <c r="D96" s="728" t="n"/>
      <c r="E96" s="704" t="n"/>
      <c r="F96" s="716" t="n"/>
      <c r="G96" s="89" t="inlineStr">
        <is>
          <t>삼성</t>
        </is>
      </c>
      <c r="H96" s="90" t="inlineStr">
        <is>
          <t>교보</t>
        </is>
      </c>
      <c r="I96" s="90" t="inlineStr">
        <is>
          <t>한화</t>
        </is>
      </c>
      <c r="J96" s="90" t="inlineStr">
        <is>
          <t>신한</t>
        </is>
      </c>
      <c r="K96" s="90" t="inlineStr">
        <is>
          <t>동양</t>
        </is>
      </c>
      <c r="L96" s="91" t="inlineStr">
        <is>
          <t>KB</t>
        </is>
      </c>
      <c r="M96" s="89" t="inlineStr">
        <is>
          <t>삼성</t>
        </is>
      </c>
      <c r="N96" s="89" t="inlineStr">
        <is>
          <t>현대</t>
        </is>
      </c>
      <c r="O96" s="89" t="inlineStr">
        <is>
          <t>메리츠</t>
        </is>
      </c>
      <c r="P96" s="89" t="inlineStr">
        <is>
          <t>KB</t>
        </is>
      </c>
      <c r="Q96" s="212" t="inlineStr">
        <is>
          <t>DB</t>
        </is>
      </c>
      <c r="R96" s="36" t="n"/>
    </row>
    <row r="97">
      <c r="D97" s="710" t="inlineStr">
        <is>
          <t>ROE 1)</t>
        </is>
      </c>
      <c r="E97" s="711" t="n"/>
      <c r="F97" s="950" t="e">
        <v>#DIV/0!</v>
      </c>
      <c r="G97" s="951" t="e">
        <v>#DIV/0!</v>
      </c>
      <c r="H97" s="951" t="e">
        <v>#DIV/0!</v>
      </c>
      <c r="I97" s="951" t="e">
        <v>#DIV/0!</v>
      </c>
      <c r="J97" s="951" t="e">
        <v>#DIV/0!</v>
      </c>
      <c r="K97" s="951" t="e">
        <v>#DIV/0!</v>
      </c>
      <c r="L97" s="952" t="e">
        <v>#DIV/0!</v>
      </c>
      <c r="M97" s="951" t="e">
        <v>#DIV/0!</v>
      </c>
      <c r="N97" s="951" t="e">
        <v>#DIV/0!</v>
      </c>
      <c r="O97" s="951" t="e">
        <v>#DIV/0!</v>
      </c>
      <c r="P97" s="951" t="e">
        <v>#DIV/0!</v>
      </c>
      <c r="Q97" s="953" t="e">
        <v>#DIV/0!</v>
      </c>
      <c r="R97" s="36" t="n"/>
    </row>
    <row r="98" ht="17.25" customHeight="1" s="759" thickBot="1">
      <c r="D98" s="98" t="n"/>
      <c r="E98" s="99" t="inlineStr">
        <is>
          <t>1Q</t>
        </is>
      </c>
      <c r="F98" s="954" t="n">
        <v>0.057</v>
      </c>
      <c r="G98" s="955" t="n">
        <v>0.07000000000000001</v>
      </c>
      <c r="H98" s="955" t="n">
        <v>0.135</v>
      </c>
      <c r="I98" s="955" t="n">
        <v>0.064</v>
      </c>
      <c r="J98" s="955" t="n">
        <v>0.078</v>
      </c>
      <c r="K98" s="955" t="n">
        <v>0.128</v>
      </c>
      <c r="L98" s="956" t="n">
        <v>0.081</v>
      </c>
      <c r="M98" s="955" t="n">
        <v>0.171</v>
      </c>
      <c r="N98" s="955" t="n">
        <v>0.32</v>
      </c>
      <c r="O98" s="955" t="n">
        <v>0.381</v>
      </c>
      <c r="P98" s="955" t="n">
        <v>0.195</v>
      </c>
      <c r="Q98" s="957" t="n">
        <v>0.273</v>
      </c>
      <c r="R98" s="36" t="n"/>
    </row>
    <row r="99" ht="17.25" customHeight="1" s="759" thickBot="1">
      <c r="D99" s="98" t="n"/>
      <c r="E99" s="100" t="inlineStr">
        <is>
          <t>2Q</t>
        </is>
      </c>
      <c r="F99" s="954" t="e">
        <v>#N/A</v>
      </c>
      <c r="G99" s="955" t="e">
        <v>#N/A</v>
      </c>
      <c r="H99" s="955" t="e">
        <v>#N/A</v>
      </c>
      <c r="I99" s="955" t="e">
        <v>#N/A</v>
      </c>
      <c r="J99" s="955" t="e">
        <v>#N/A</v>
      </c>
      <c r="K99" s="955" t="e">
        <v>#N/A</v>
      </c>
      <c r="L99" s="956" t="e">
        <v>#N/A</v>
      </c>
      <c r="M99" s="955" t="e">
        <v>#N/A</v>
      </c>
      <c r="N99" s="955" t="e">
        <v>#N/A</v>
      </c>
      <c r="O99" s="955" t="e">
        <v>#N/A</v>
      </c>
      <c r="P99" s="955" t="e">
        <v>#N/A</v>
      </c>
      <c r="Q99" s="957" t="e">
        <v>#N/A</v>
      </c>
      <c r="R99" s="36" t="n"/>
    </row>
    <row r="100" ht="17.25" customHeight="1" s="759" thickBot="1">
      <c r="D100" s="703" t="inlineStr">
        <is>
          <t>요구자본 대비 CSM 2)</t>
        </is>
      </c>
      <c r="E100" s="704" t="n"/>
      <c r="F100" s="954" t="e">
        <v>#DIV/0!</v>
      </c>
      <c r="G100" s="955" t="e">
        <v>#DIV/0!</v>
      </c>
      <c r="H100" s="955" t="e">
        <v>#DIV/0!</v>
      </c>
      <c r="I100" s="955" t="e">
        <v>#DIV/0!</v>
      </c>
      <c r="J100" s="955" t="e">
        <v>#DIV/0!</v>
      </c>
      <c r="K100" s="955" t="e">
        <v>#DIV/0!</v>
      </c>
      <c r="L100" s="956" t="e">
        <v>#DIV/0!</v>
      </c>
      <c r="M100" s="955" t="e">
        <v>#DIV/0!</v>
      </c>
      <c r="N100" s="955" t="e">
        <v>#DIV/0!</v>
      </c>
      <c r="O100" s="955" t="e">
        <v>#DIV/0!</v>
      </c>
      <c r="P100" s="955" t="e">
        <v>#DIV/0!</v>
      </c>
      <c r="Q100" s="957" t="e">
        <v>#DIV/0!</v>
      </c>
      <c r="R100" s="36" t="n"/>
    </row>
    <row r="101">
      <c r="D101" s="697" t="inlineStr">
        <is>
          <t>요구자본대비 자기자본</t>
        </is>
      </c>
      <c r="F101" s="954" t="e">
        <v>#DIV/0!</v>
      </c>
      <c r="G101" s="955" t="e">
        <v>#DIV/0!</v>
      </c>
      <c r="H101" s="955" t="e">
        <v>#DIV/0!</v>
      </c>
      <c r="I101" s="955" t="e">
        <v>#DIV/0!</v>
      </c>
      <c r="J101" s="955" t="e">
        <v>#DIV/0!</v>
      </c>
      <c r="K101" s="955" t="e">
        <v>#DIV/0!</v>
      </c>
      <c r="L101" s="956" t="e">
        <v>#DIV/0!</v>
      </c>
      <c r="M101" s="955" t="e">
        <v>#DIV/0!</v>
      </c>
      <c r="N101" s="955" t="e">
        <v>#DIV/0!</v>
      </c>
      <c r="O101" s="955" t="e">
        <v>#DIV/0!</v>
      </c>
      <c r="P101" s="955" t="e">
        <v>#DIV/0!</v>
      </c>
      <c r="Q101" s="957" t="e">
        <v>#DIV/0!</v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59" min="4" max="4"/>
    <col width="17.875" bestFit="1" customWidth="1" style="759" min="5" max="7"/>
    <col width="16.125" customWidth="1" style="759" min="8" max="8"/>
    <col width="13" bestFit="1" customWidth="1" style="759" min="12" max="12"/>
    <col width="11.875" bestFit="1" customWidth="1" style="759" min="13" max="13"/>
    <col width="10.875" bestFit="1" customWidth="1" style="759" min="14" max="19"/>
    <col width="13.5" bestFit="1" customWidth="1" style="759" min="20" max="20"/>
    <col width="10.875" bestFit="1" customWidth="1" style="759" min="24" max="25"/>
    <col width="9.375" bestFit="1" customWidth="1" style="759" min="32" max="32"/>
    <col width="10.875" bestFit="1" customWidth="1" style="759" min="33" max="34"/>
    <col width="9.375" bestFit="1" customWidth="1" style="759" min="35" max="35"/>
    <col width="10.875" bestFit="1" customWidth="1" style="759" min="36" max="36"/>
    <col width="14.625" bestFit="1" customWidth="1" style="759" min="37" max="37"/>
    <col width="16.75" bestFit="1" customWidth="1" style="759" min="40" max="40"/>
    <col width="9.375" bestFit="1" customWidth="1" style="759" min="41" max="41"/>
    <col width="9.375" bestFit="1" customWidth="1" style="759" min="43" max="44"/>
    <col width="10.875" bestFit="1" customWidth="1" style="759" min="55" max="55"/>
    <col width="9.375" bestFit="1" customWidth="1" style="759" min="56" max="56"/>
    <col width="10.875" bestFit="1" customWidth="1" style="759" min="58" max="58"/>
    <col width="9.375" bestFit="1" customWidth="1" style="759" min="59" max="59"/>
    <col width="10.875" bestFit="1" customWidth="1" style="759" min="63" max="63"/>
    <col width="10.875" bestFit="1" customWidth="1" style="759" min="65" max="65"/>
    <col width="9.375" bestFit="1" customWidth="1" style="759" min="66" max="66"/>
    <col width="9.375" bestFit="1" customWidth="1" style="759" min="68" max="68"/>
    <col width="10.875" bestFit="1" customWidth="1" style="759" min="71" max="71"/>
  </cols>
  <sheetData>
    <row r="2" ht="27.75" customFormat="1" customHeight="1" s="643">
      <c r="D2" s="958" t="inlineStr">
        <is>
          <t>B/S</t>
        </is>
      </c>
      <c r="U2" s="959" t="n"/>
      <c r="V2" s="959" t="n"/>
      <c r="W2" s="959" t="n"/>
      <c r="X2" s="960" t="n"/>
      <c r="Y2" s="960" t="n"/>
      <c r="Z2" s="960" t="n"/>
      <c r="AA2" s="960" t="n"/>
      <c r="AB2" s="960" t="n"/>
      <c r="AC2" s="960" t="n"/>
      <c r="AD2" s="960" t="n"/>
      <c r="AE2" s="960" t="n"/>
      <c r="AF2" s="961" t="inlineStr">
        <is>
          <t>P/L</t>
        </is>
      </c>
      <c r="AS2" s="787" t="n"/>
      <c r="AT2" s="787" t="n"/>
      <c r="AU2" s="787" t="n"/>
      <c r="AV2" s="787" t="n"/>
      <c r="AW2" s="787" t="n"/>
      <c r="AX2" s="787" t="n"/>
      <c r="AY2" s="787" t="n"/>
      <c r="AZ2" s="787" t="n"/>
      <c r="BA2" s="787" t="n"/>
      <c r="BB2" s="787" t="n"/>
      <c r="BC2" s="962" t="inlineStr">
        <is>
          <t>기타포괄손익</t>
        </is>
      </c>
      <c r="BM2" s="740" t="inlineStr">
        <is>
          <t>이익잉여금</t>
        </is>
      </c>
      <c r="BT2" s="787" t="n"/>
      <c r="BU2" s="962" t="inlineStr">
        <is>
          <t>부채금액(순부채기준_24.12월부터 수정함)</t>
        </is>
      </c>
      <c r="CD2" s="787" t="n"/>
      <c r="CE2" s="962" t="inlineStr">
        <is>
          <t>CSM 기간별 기대수익인식금액(재보제외)</t>
        </is>
      </c>
      <c r="CK2" s="787" t="n"/>
      <c r="CL2" s="787" t="n"/>
      <c r="CM2" s="787" t="n"/>
      <c r="CN2" s="962" t="inlineStr">
        <is>
          <t>재무건전성(잠정치)</t>
        </is>
      </c>
      <c r="CQ2" s="963" t="inlineStr">
        <is>
          <t>재무건전성(최종))</t>
        </is>
      </c>
      <c r="CU2" s="643" t="inlineStr">
        <is>
          <t>해약환급금준비금</t>
        </is>
      </c>
      <c r="CW2" s="964" t="inlineStr">
        <is>
          <t>손해율(연간누계)</t>
        </is>
      </c>
      <c r="DC2" s="964" t="inlineStr">
        <is>
          <t>손해율(연간누계)</t>
        </is>
      </c>
      <c r="DF2" s="787" t="n"/>
      <c r="DG2" s="962" t="inlineStr">
        <is>
          <t>예실차</t>
        </is>
      </c>
      <c r="DR2" s="787" t="n"/>
      <c r="DS2" s="787" t="n"/>
      <c r="DT2" s="787" t="n"/>
      <c r="DU2" s="787" t="n"/>
      <c r="DV2" s="787" t="n"/>
      <c r="DW2" s="787" t="n"/>
      <c r="DY2" s="787" t="n"/>
      <c r="DZ2" s="787" t="n"/>
      <c r="EA2" s="787" t="n"/>
      <c r="EB2" s="787" t="n"/>
      <c r="EC2" s="787" t="n"/>
      <c r="ED2" s="787" t="n"/>
      <c r="EE2" s="787" t="n"/>
    </row>
    <row r="3" ht="27.75" customFormat="1" customHeight="1" s="643">
      <c r="D3" s="787" t="inlineStr">
        <is>
          <t>총자산</t>
        </is>
      </c>
      <c r="E3" s="787" t="n"/>
      <c r="F3" s="787" t="n"/>
      <c r="G3" s="787" t="n"/>
      <c r="H3" s="787" t="n"/>
      <c r="I3" s="965" t="inlineStr">
        <is>
          <t>총자산대비 비중</t>
        </is>
      </c>
      <c r="J3" s="965" t="n"/>
      <c r="K3" s="965" t="n"/>
      <c r="L3" s="787" t="inlineStr">
        <is>
          <t>부채</t>
        </is>
      </c>
      <c r="M3" s="787" t="n"/>
      <c r="N3" s="966" t="inlineStr">
        <is>
          <t>자본(신종자본증권제외)</t>
        </is>
      </c>
      <c r="O3" s="966" t="inlineStr">
        <is>
          <t>자본</t>
        </is>
      </c>
      <c r="P3" s="966" t="n"/>
      <c r="Q3" s="966" t="n"/>
      <c r="R3" s="966" t="n"/>
      <c r="S3" s="966" t="inlineStr">
        <is>
          <t>기시자본</t>
        </is>
      </c>
      <c r="T3" s="966" t="inlineStr">
        <is>
          <t>기시자본(신종자본증권제외)</t>
        </is>
      </c>
      <c r="U3" s="788" t="inlineStr">
        <is>
          <t>자산운용률</t>
        </is>
      </c>
      <c r="V3" s="788" t="n"/>
      <c r="W3" s="788" t="n"/>
      <c r="X3" s="966" t="inlineStr">
        <is>
          <t>기타포괄손익누계액</t>
        </is>
      </c>
      <c r="Y3" s="966" t="n"/>
      <c r="Z3" s="966" t="n"/>
      <c r="AA3" s="966" t="n"/>
      <c r="AB3" s="966" t="n"/>
      <c r="AC3" s="966" t="n"/>
      <c r="AD3" s="966" t="n"/>
      <c r="AE3" s="966" t="n"/>
      <c r="AF3" s="787" t="inlineStr">
        <is>
          <t>보험손익</t>
        </is>
      </c>
      <c r="AG3" s="787" t="n"/>
      <c r="AH3" s="787" t="n"/>
      <c r="AI3" s="787" t="inlineStr">
        <is>
          <t>투자손익</t>
        </is>
      </c>
      <c r="AJ3" s="787" t="n"/>
      <c r="AK3" s="787" t="n"/>
      <c r="AL3" s="787" t="n"/>
      <c r="AM3" s="787" t="n"/>
      <c r="AN3" s="967" t="inlineStr">
        <is>
          <t>수수료수익,임대료수입,기타영업수익/비용</t>
        </is>
      </c>
      <c r="AO3" s="787" t="inlineStr">
        <is>
          <t>영업이익</t>
        </is>
      </c>
      <c r="AP3" s="787" t="inlineStr">
        <is>
          <t>영업외손익</t>
        </is>
      </c>
      <c r="AQ3" s="966" t="inlineStr">
        <is>
          <t>세전손익</t>
        </is>
      </c>
      <c r="AR3" s="966" t="inlineStr">
        <is>
          <t>당기순이익</t>
        </is>
      </c>
      <c r="AS3" s="787" t="inlineStr">
        <is>
          <t>CHECK1</t>
        </is>
      </c>
      <c r="AT3" s="787" t="inlineStr">
        <is>
          <t>CHECK2</t>
        </is>
      </c>
      <c r="AU3" s="787" t="inlineStr">
        <is>
          <t>CHECK3</t>
        </is>
      </c>
      <c r="AV3" s="968" t="inlineStr">
        <is>
          <t>보험손익</t>
        </is>
      </c>
      <c r="AW3" s="968" t="inlineStr">
        <is>
          <t>투자손익</t>
        </is>
      </c>
      <c r="AX3" s="968" t="inlineStr">
        <is>
          <t>영업외손익</t>
        </is>
      </c>
      <c r="AY3" s="968" t="inlineStr">
        <is>
          <t>합계</t>
        </is>
      </c>
      <c r="AZ3" s="787" t="n"/>
      <c r="BA3" s="787" t="n"/>
      <c r="BB3" s="787" t="n"/>
      <c r="BC3" s="787" t="inlineStr">
        <is>
          <t>기초</t>
        </is>
      </c>
      <c r="BD3" s="787" t="n"/>
      <c r="BE3" s="787" t="n"/>
      <c r="BF3" s="787" t="n"/>
      <c r="BG3" s="787" t="n"/>
      <c r="BH3" s="787" t="n"/>
      <c r="BI3" s="787" t="n"/>
      <c r="BJ3" s="787" t="inlineStr">
        <is>
          <t>해외사업환산손익</t>
        </is>
      </c>
      <c r="BK3" s="787" t="inlineStr">
        <is>
          <t>기말</t>
        </is>
      </c>
      <c r="BL3" s="966" t="inlineStr">
        <is>
          <t>check</t>
        </is>
      </c>
      <c r="BM3" s="787" t="inlineStr">
        <is>
          <t>기초</t>
        </is>
      </c>
      <c r="BN3" s="787" t="n"/>
      <c r="BO3" s="787" t="n"/>
      <c r="BP3" s="787" t="n"/>
      <c r="BQ3" s="969" t="inlineStr">
        <is>
          <t>가업결합 등</t>
        </is>
      </c>
      <c r="BR3" s="969" t="inlineStr">
        <is>
          <t>24.3월부터</t>
        </is>
      </c>
      <c r="BS3" s="787" t="inlineStr">
        <is>
          <t>기말</t>
        </is>
      </c>
      <c r="BT3" s="787" t="n"/>
      <c r="BU3" s="966" t="inlineStr">
        <is>
          <t>BEL</t>
        </is>
      </c>
      <c r="BV3" s="966" t="inlineStr">
        <is>
          <t>RA</t>
        </is>
      </c>
      <c r="BW3" s="966" t="inlineStr">
        <is>
          <t>CSM</t>
        </is>
      </c>
      <c r="BX3" s="135" t="n"/>
      <c r="BY3" s="135" t="n"/>
      <c r="BZ3" s="135" t="n"/>
      <c r="CA3" s="135" t="n"/>
      <c r="CB3" s="135" t="n"/>
      <c r="CC3" s="787" t="inlineStr">
        <is>
          <t>보험료배분접근법</t>
        </is>
      </c>
      <c r="CD3" s="787" t="n"/>
      <c r="CE3" s="784" t="inlineStr">
        <is>
          <t>1년이하</t>
        </is>
      </c>
      <c r="CF3" s="784" t="inlineStr">
        <is>
          <t>1~3년</t>
        </is>
      </c>
      <c r="CG3" s="784" t="inlineStr">
        <is>
          <t>3~5년</t>
        </is>
      </c>
      <c r="CH3" s="784" t="inlineStr">
        <is>
          <t>5~10년</t>
        </is>
      </c>
      <c r="CI3" s="784" t="inlineStr">
        <is>
          <t>10년초과</t>
        </is>
      </c>
      <c r="CJ3" s="784" t="inlineStr">
        <is>
          <t>합계</t>
        </is>
      </c>
      <c r="CK3" s="970" t="inlineStr">
        <is>
          <t>check</t>
        </is>
      </c>
      <c r="CL3" s="787" t="n"/>
      <c r="CM3" s="787" t="n"/>
      <c r="CN3" s="787" t="inlineStr">
        <is>
          <t>K-ICS</t>
        </is>
      </c>
      <c r="CO3" s="787" t="inlineStr">
        <is>
          <t>가용자본</t>
        </is>
      </c>
      <c r="CP3" s="787" t="inlineStr">
        <is>
          <t>요구자본</t>
        </is>
      </c>
      <c r="CQ3" s="787" t="inlineStr">
        <is>
          <t>K-ICS</t>
        </is>
      </c>
      <c r="CR3" s="787" t="inlineStr">
        <is>
          <t>가용자본</t>
        </is>
      </c>
      <c r="CS3" s="787" t="inlineStr">
        <is>
          <t>요구자본</t>
        </is>
      </c>
      <c r="CW3" s="643" t="inlineStr">
        <is>
          <t>예상손해율 a</t>
        </is>
      </c>
      <c r="CX3" s="643" t="inlineStr">
        <is>
          <t>실제손해율 b</t>
        </is>
      </c>
      <c r="CY3" s="643" t="inlineStr">
        <is>
          <t>보험금예실차비율</t>
        </is>
      </c>
      <c r="CZ3" s="643" t="inlineStr">
        <is>
          <t>실제보허금/예상보험금</t>
        </is>
      </c>
      <c r="DC3" s="786" t="inlineStr">
        <is>
          <t>손해율</t>
        </is>
      </c>
      <c r="DD3" s="787" t="inlineStr">
        <is>
          <t>위험보험료</t>
        </is>
      </c>
      <c r="DE3" s="787" t="inlineStr">
        <is>
          <t>사고보험금(간접제외)</t>
        </is>
      </c>
      <c r="DF3" s="787" t="n"/>
      <c r="DG3" s="787" t="inlineStr">
        <is>
          <t>예실차</t>
        </is>
      </c>
      <c r="DH3" s="966" t="inlineStr">
        <is>
          <t>보험금예실차</t>
        </is>
      </c>
      <c r="DI3" s="787" t="n"/>
      <c r="DJ3" s="787" t="n"/>
      <c r="DK3" s="966" t="inlineStr">
        <is>
          <t>사업비예실차</t>
        </is>
      </c>
      <c r="DL3" s="787" t="n"/>
      <c r="DM3" s="787" t="n"/>
      <c r="DN3" s="787" t="n"/>
      <c r="DO3" s="787" t="n"/>
      <c r="DP3" s="787" t="n"/>
      <c r="DQ3" s="787" t="n"/>
      <c r="DR3" s="787" t="n"/>
      <c r="DS3" s="787" t="n"/>
      <c r="DT3" s="787" t="inlineStr">
        <is>
          <t>사업비</t>
        </is>
      </c>
      <c r="DU3" s="787" t="n"/>
      <c r="DV3" s="787" t="n"/>
      <c r="DW3" s="787" t="n"/>
      <c r="DY3" s="787" t="inlineStr">
        <is>
          <t>기타사업비</t>
        </is>
      </c>
      <c r="DZ3" s="787" t="n"/>
      <c r="EA3" s="787" t="n"/>
      <c r="EB3" s="787" t="n"/>
      <c r="EC3" s="787" t="n"/>
      <c r="ED3" s="787" t="inlineStr">
        <is>
          <t>취득현금흐름</t>
        </is>
      </c>
      <c r="EE3" s="787" t="n"/>
    </row>
    <row r="4" ht="27.75" customFormat="1" customHeight="1" s="643">
      <c r="B4" s="643" t="inlineStr">
        <is>
          <t>월도</t>
        </is>
      </c>
      <c r="C4" s="643" t="inlineStr">
        <is>
          <t>회사명</t>
        </is>
      </c>
      <c r="D4" s="787" t="n"/>
      <c r="E4" s="787" t="inlineStr">
        <is>
          <t>FVPL</t>
        </is>
      </c>
      <c r="F4" s="787" t="inlineStr">
        <is>
          <t>FVOCI</t>
        </is>
      </c>
      <c r="G4" s="787" t="inlineStr">
        <is>
          <t>AC</t>
        </is>
      </c>
      <c r="H4" s="971" t="inlineStr">
        <is>
          <t>종속기업
관계기업</t>
        </is>
      </c>
      <c r="I4" s="965" t="inlineStr">
        <is>
          <t>FVPL</t>
        </is>
      </c>
      <c r="J4" s="965" t="inlineStr">
        <is>
          <t>FVOCI</t>
        </is>
      </c>
      <c r="K4" s="965" t="inlineStr">
        <is>
          <t>AC</t>
        </is>
      </c>
      <c r="L4" s="787" t="n"/>
      <c r="M4" s="787" t="inlineStr">
        <is>
          <t>보험계약부채</t>
        </is>
      </c>
      <c r="N4" s="966" t="n"/>
      <c r="O4" s="966" t="n"/>
      <c r="P4" s="966" t="inlineStr">
        <is>
          <t>신종자본증권</t>
        </is>
      </c>
      <c r="Q4" s="966" t="inlineStr">
        <is>
          <t>기타포괄손익누계액</t>
        </is>
      </c>
      <c r="R4" s="966" t="inlineStr">
        <is>
          <t>이익잉여금</t>
        </is>
      </c>
      <c r="S4" s="966" t="n"/>
      <c r="T4" s="966" t="n"/>
      <c r="U4" s="788" t="inlineStr">
        <is>
          <t>총자산</t>
        </is>
      </c>
      <c r="V4" s="788" t="inlineStr">
        <is>
          <t>운용자산</t>
        </is>
      </c>
      <c r="W4" s="788" t="inlineStr">
        <is>
          <t>자산운용률</t>
        </is>
      </c>
      <c r="X4" s="966" t="inlineStr">
        <is>
          <t>합계</t>
        </is>
      </c>
      <c r="Y4" s="966" t="inlineStr">
        <is>
          <t>FVOCI평가손익</t>
        </is>
      </c>
      <c r="Z4" s="966" t="inlineStr">
        <is>
          <t>보험계약자산(부채)순금융손익</t>
        </is>
      </c>
      <c r="AA4" s="966" t="inlineStr">
        <is>
          <t>재보험계약자산(부채)</t>
        </is>
      </c>
      <c r="AB4" s="966" t="inlineStr">
        <is>
          <t>현금흐름위험회피</t>
        </is>
      </c>
      <c r="AC4" s="966" t="inlineStr">
        <is>
          <t>재평가잉여금</t>
        </is>
      </c>
      <c r="AD4" s="966" t="inlineStr">
        <is>
          <t>확정급여부채</t>
        </is>
      </c>
      <c r="AE4" s="966" t="inlineStr">
        <is>
          <t>CHECK</t>
        </is>
      </c>
      <c r="AF4" s="787" t="n"/>
      <c r="AG4" s="971" t="inlineStr">
        <is>
          <t>보험서비스수익
(일반+출재)</t>
        </is>
      </c>
      <c r="AH4" s="971" t="inlineStr">
        <is>
          <t>보험서비스비용
(일반+출재+기타사업비용)</t>
        </is>
      </c>
      <c r="AI4" s="787" t="n"/>
      <c r="AJ4" s="971" t="inlineStr">
        <is>
          <t>보험금융손익
(수익-비용)</t>
        </is>
      </c>
      <c r="AK4" s="971" t="inlineStr">
        <is>
          <t>재보험금융손익
'(수익-비용)</t>
        </is>
      </c>
      <c r="AL4" s="787" t="inlineStr">
        <is>
          <t>금융손익</t>
        </is>
      </c>
      <c r="AM4" s="787" t="inlineStr">
        <is>
          <t>재산관리비</t>
        </is>
      </c>
      <c r="AN4" s="787" t="inlineStr">
        <is>
          <t>기타투자손익</t>
        </is>
      </c>
      <c r="AO4" s="787" t="n"/>
      <c r="AP4" s="787" t="n"/>
      <c r="AQ4" s="966" t="n"/>
      <c r="AR4" s="966" t="n"/>
      <c r="AS4" s="787" t="n"/>
      <c r="AT4" s="787" t="n"/>
      <c r="AU4" s="787" t="n"/>
      <c r="AV4" s="965" t="n"/>
      <c r="AW4" s="965" t="n"/>
      <c r="AX4" s="965" t="n"/>
      <c r="AY4" s="965" t="n"/>
      <c r="AZ4" s="787" t="n"/>
      <c r="BA4" s="787" t="n"/>
      <c r="BB4" s="787" t="n"/>
      <c r="BC4" s="787" t="n"/>
      <c r="BD4" s="787" t="inlineStr">
        <is>
          <t>금융자산평가손익</t>
        </is>
      </c>
      <c r="BE4" s="787" t="inlineStr">
        <is>
          <t>대손충당금</t>
        </is>
      </c>
      <c r="BF4" s="787" t="inlineStr">
        <is>
          <t>보험계약금융손익(재보포함)</t>
        </is>
      </c>
      <c r="BG4" s="787" t="inlineStr">
        <is>
          <t>현금흐름위험회피파생상품</t>
        </is>
      </c>
      <c r="BH4" s="787" t="inlineStr">
        <is>
          <t>재평가잉여금</t>
        </is>
      </c>
      <c r="BI4" s="787" t="inlineStr">
        <is>
          <t>확정급여부채</t>
        </is>
      </c>
      <c r="BJ4" s="787" t="inlineStr">
        <is>
          <t>기타</t>
        </is>
      </c>
      <c r="BK4" s="787" t="n"/>
      <c r="BL4" s="787" t="n"/>
      <c r="BM4" s="787" t="n"/>
      <c r="BN4" s="787" t="inlineStr">
        <is>
          <t>결산배당</t>
        </is>
      </c>
      <c r="BO4" s="787" t="inlineStr">
        <is>
          <t>자기주식취득/처분</t>
        </is>
      </c>
      <c r="BP4" s="787" t="inlineStr">
        <is>
          <t>순이익</t>
        </is>
      </c>
      <c r="BQ4" s="787" t="inlineStr">
        <is>
          <t>기타</t>
        </is>
      </c>
      <c r="BR4" s="787" t="inlineStr">
        <is>
          <t>기타 배당(신종자본증권 등)</t>
        </is>
      </c>
      <c r="BS4" s="787" t="n"/>
      <c r="BT4" s="787" t="inlineStr">
        <is>
          <t>22년말(ifrs4)</t>
        </is>
      </c>
      <c r="BU4" s="135" t="n"/>
      <c r="BV4" s="135" t="n"/>
      <c r="BW4" s="135" t="n"/>
      <c r="BX4" s="966" t="inlineStr">
        <is>
          <t xml:space="preserve"> 신계약CSM</t>
        </is>
      </c>
      <c r="BY4" s="966" t="inlineStr">
        <is>
          <t xml:space="preserve"> CSM상각</t>
        </is>
      </c>
      <c r="BZ4" s="966" t="inlineStr">
        <is>
          <t>CSM조정</t>
        </is>
      </c>
      <c r="CA4" s="972" t="inlineStr">
        <is>
          <t>이자부리 등 
보험금융손익</t>
        </is>
      </c>
      <c r="CB4" s="966" t="inlineStr">
        <is>
          <t xml:space="preserve"> 전기CSM</t>
        </is>
      </c>
      <c r="CD4" s="787" t="n"/>
      <c r="CE4" s="787" t="n"/>
      <c r="CF4" s="787" t="inlineStr">
        <is>
          <t>1~2년</t>
        </is>
      </c>
      <c r="CG4" s="787" t="inlineStr">
        <is>
          <t>2~5년</t>
        </is>
      </c>
      <c r="CH4" s="787" t="n"/>
      <c r="CI4" s="787" t="n"/>
      <c r="CJ4" s="787" t="n"/>
      <c r="CK4" s="787" t="n"/>
      <c r="CL4" s="787" t="n"/>
      <c r="CM4" s="787" t="n"/>
      <c r="CN4" s="787" t="n"/>
      <c r="CO4" s="787" t="n"/>
      <c r="CP4" s="787" t="n"/>
      <c r="CQ4" s="787" t="n"/>
      <c r="CR4" s="787" t="n"/>
      <c r="CS4" s="787" t="n"/>
      <c r="CW4" s="643" t="inlineStr">
        <is>
          <t>당기 예상보험금 ÷ 당기 실제위험보험료</t>
        </is>
      </c>
      <c r="CX4" s="643" t="inlineStr">
        <is>
          <t>(당기 발생보험금 + 당기 발생사고 요소 조정) ÷당기 실제위험보험료</t>
        </is>
      </c>
      <c r="CY4" s="643" t="inlineStr">
        <is>
          <t>b-a</t>
        </is>
      </c>
      <c r="DC4" s="786" t="n"/>
      <c r="DD4" s="787" t="n"/>
      <c r="DE4" s="787" t="n"/>
      <c r="DF4" s="787" t="n"/>
      <c r="DG4" s="787" t="n"/>
      <c r="DH4" s="966" t="n"/>
      <c r="DI4" s="787" t="inlineStr">
        <is>
          <t>예상보험금</t>
        </is>
      </c>
      <c r="DJ4" s="787" t="inlineStr">
        <is>
          <t>실제보험금</t>
        </is>
      </c>
      <c r="DK4" s="966" t="n"/>
      <c r="DL4" s="787" t="inlineStr">
        <is>
          <t>예상사업비</t>
        </is>
      </c>
      <c r="DM4" s="787" t="inlineStr">
        <is>
          <t>실제사업비</t>
        </is>
      </c>
      <c r="DN4" s="787" t="inlineStr">
        <is>
          <t xml:space="preserve">   - 보험서비스수익_보험취득현금흐름의 상각</t>
        </is>
      </c>
      <c r="DO4" s="787" t="inlineStr">
        <is>
          <t xml:space="preserve">   - 보험서비스비용_보험취득현금흐름의 상각</t>
        </is>
      </c>
      <c r="DP4" s="787" t="inlineStr">
        <is>
          <t xml:space="preserve">  - 기타보험서비스수익</t>
        </is>
      </c>
      <c r="DQ4" s="787" t="inlineStr">
        <is>
          <t xml:space="preserve">  - 기타보험서비스비용</t>
        </is>
      </c>
      <c r="DR4" s="787" t="n"/>
      <c r="DS4" s="787" t="n"/>
      <c r="DT4" s="787" t="inlineStr">
        <is>
          <t>보험취득현금흐름</t>
        </is>
      </c>
      <c r="DU4" s="787" t="inlineStr">
        <is>
          <t>계약유지비용</t>
        </is>
      </c>
      <c r="DV4" s="787" t="inlineStr">
        <is>
          <t>투자관리비용</t>
        </is>
      </c>
      <c r="DW4" s="787" t="inlineStr">
        <is>
          <t>손해조사비용</t>
        </is>
      </c>
      <c r="DX4" s="643" t="inlineStr">
        <is>
          <t>합계</t>
        </is>
      </c>
      <c r="DY4" s="787" t="inlineStr">
        <is>
          <t>신계약비</t>
        </is>
      </c>
      <c r="DZ4" s="787" t="inlineStr">
        <is>
          <t>유지비</t>
        </is>
      </c>
      <c r="EA4" s="787" t="inlineStr">
        <is>
          <t>재산관리비</t>
        </is>
      </c>
      <c r="EB4" s="787" t="inlineStr">
        <is>
          <t>사업비 총계</t>
        </is>
      </c>
      <c r="EC4" s="787" t="n"/>
      <c r="ED4" s="787" t="inlineStr">
        <is>
          <t>비례수당</t>
        </is>
      </c>
      <c r="EE4" s="787" t="inlineStr">
        <is>
          <t>판촉비</t>
        </is>
      </c>
      <c r="EF4" s="643" t="inlineStr">
        <is>
          <t>기타</t>
        </is>
      </c>
      <c r="EG4" s="643" t="inlineStr">
        <is>
          <t>회수예상액</t>
        </is>
      </c>
    </row>
    <row r="5" customFormat="1" s="849">
      <c r="C5" s="849" t="inlineStr">
        <is>
          <t>교보</t>
        </is>
      </c>
      <c r="D5" s="849" t="n">
        <v>127213347.303222</v>
      </c>
      <c r="E5" s="849" t="n">
        <v>33587374.99602</v>
      </c>
      <c r="F5" s="849" t="n">
        <v>61044087.170703</v>
      </c>
      <c r="G5" s="849" t="n">
        <v>21428384.401341</v>
      </c>
      <c r="H5" s="849" t="n">
        <v>3302882.833591</v>
      </c>
      <c r="L5" s="849" t="n">
        <v>120412433.540692</v>
      </c>
      <c r="M5" s="849" t="n">
        <v>99364709.846058</v>
      </c>
      <c r="N5" s="849" t="n">
        <v>4595187.554316999</v>
      </c>
      <c r="O5" s="849" t="n">
        <v>6800913.76253</v>
      </c>
      <c r="P5" s="849" t="n">
        <v>2205726.208213</v>
      </c>
      <c r="Q5" s="849" t="n">
        <v>-3117696.479842</v>
      </c>
      <c r="R5" s="849" t="n">
        <v>7441652.486049</v>
      </c>
      <c r="S5" s="849" t="n">
        <v>7305017.718577</v>
      </c>
      <c r="T5" s="973" t="n">
        <v>5099291.510364</v>
      </c>
      <c r="X5" s="849" t="n">
        <v>-3117696.479842</v>
      </c>
      <c r="AF5" s="849" t="n">
        <v>253601.557184</v>
      </c>
      <c r="AG5" s="849" t="n">
        <v>2150383.316392</v>
      </c>
      <c r="AH5" s="849" t="n">
        <v>1896781.759208</v>
      </c>
      <c r="AI5" s="849" t="n">
        <v>496917.777961</v>
      </c>
      <c r="AJ5" s="849" t="n">
        <v>-2588369.498665</v>
      </c>
      <c r="AK5" s="849" t="n">
        <v>-1527.403432</v>
      </c>
      <c r="AM5" s="849" t="n">
        <v>33009.466964</v>
      </c>
      <c r="AN5" s="849" t="n">
        <v>470524.096537</v>
      </c>
      <c r="AO5" s="849" t="n">
        <v>750519.335145</v>
      </c>
      <c r="AP5" s="849" t="n">
        <v>15386.836193</v>
      </c>
      <c r="AQ5" s="849" t="n">
        <v>765906.171338</v>
      </c>
      <c r="AR5" s="849" t="n">
        <v>585307.486474</v>
      </c>
      <c r="BC5" s="849" t="n">
        <v>-2205732.209538</v>
      </c>
      <c r="BD5" s="849" t="n">
        <v>315068.637157</v>
      </c>
      <c r="BE5" s="849" t="n">
        <v>344.045666</v>
      </c>
      <c r="BF5" s="849" t="n">
        <v>-1131008.319808</v>
      </c>
      <c r="BG5" s="849" t="n">
        <v>-100273.747007</v>
      </c>
      <c r="BH5" s="849" t="n">
        <v>4221.537825</v>
      </c>
      <c r="BI5" s="849" t="n">
        <v>-316.424137</v>
      </c>
      <c r="BK5" s="849" t="n">
        <v>-3117696.479842</v>
      </c>
      <c r="BM5" s="849" t="n">
        <v>7034002.116592</v>
      </c>
      <c r="BN5" s="849" t="n">
        <v>-120487.3068</v>
      </c>
      <c r="BP5" s="849" t="n">
        <v>585307.486474</v>
      </c>
      <c r="BR5" s="849" t="n">
        <v>-57169.810217</v>
      </c>
      <c r="BS5" s="849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CW2:CY2"/>
    <mergeCell ref="D2:T2"/>
    <mergeCell ref="BM2:BS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0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4" sqref="G14"/>
    </sheetView>
  </sheetViews>
  <sheetFormatPr baseColWidth="8" defaultRowHeight="15"/>
  <cols>
    <col width="9.375" customWidth="1" style="643" min="1" max="1"/>
    <col width="13.125" customWidth="1" style="643" min="2" max="2"/>
    <col width="15.125" customWidth="1" style="643" min="3" max="3"/>
    <col width="15.375" customWidth="1" style="787" min="4" max="7"/>
    <col width="14.25" customWidth="1" style="787" min="8" max="8"/>
    <col width="13" customWidth="1" style="787" min="9" max="11"/>
    <col width="15.625" customWidth="1" style="787" min="12" max="13"/>
    <col width="21.5" customWidth="1" style="966" min="14" max="14"/>
    <col width="13.5" customWidth="1" style="966" min="15" max="15"/>
    <col width="13" customWidth="1" style="966" min="16" max="19"/>
    <col width="14.375" customWidth="1" style="966" min="20" max="20"/>
    <col width="13.875" customWidth="1" style="788" min="21" max="22"/>
    <col width="13" customWidth="1" style="788" min="23" max="23"/>
    <col width="13" customWidth="1" style="966" min="24" max="31"/>
    <col width="13.375" bestFit="1" customWidth="1" style="787" min="32" max="32"/>
    <col width="13.375" customWidth="1" style="787" min="33" max="37"/>
    <col width="12.25" bestFit="1" customWidth="1" style="787" min="38" max="38"/>
    <col width="12.75" customWidth="1" style="787" min="39" max="39"/>
    <col width="17.375" bestFit="1" customWidth="1" style="787" min="40" max="40"/>
    <col width="13" customWidth="1" style="787" min="41" max="42"/>
    <col width="13" customWidth="1" style="966" min="43" max="44"/>
    <col width="13" customWidth="1" style="787" min="45" max="54"/>
    <col width="15.625" customWidth="1" style="787" min="55" max="63"/>
    <col width="13" customWidth="1" style="787" min="64" max="72"/>
    <col width="14.875" customWidth="1" style="966" min="73" max="73"/>
    <col width="13" customWidth="1" style="966" min="74" max="80"/>
    <col width="13" customWidth="1" style="787" min="81" max="102"/>
    <col width="25.625" customWidth="1" style="787" min="103" max="103"/>
    <col width="13" customWidth="1" style="787" min="104" max="106"/>
    <col width="13" customWidth="1" style="786" min="107" max="107"/>
    <col width="13" customWidth="1" style="787" min="108" max="123"/>
    <col width="17.25" customWidth="1" style="787" min="124" max="124"/>
    <col width="13" customWidth="1" style="787" min="125" max="131"/>
    <col width="13.875" customWidth="1" style="787" min="132" max="132"/>
    <col width="10.125" customWidth="1" style="787" min="133" max="135"/>
    <col width="10.375" bestFit="1" customWidth="1" style="643" min="136" max="137"/>
    <col width="9" customWidth="1" style="643" min="138" max="138"/>
    <col width="11.875" bestFit="1" customWidth="1" style="643" min="139" max="139"/>
    <col width="12.25" bestFit="1" customWidth="1" style="643" min="140" max="140"/>
    <col width="9.5" bestFit="1" customWidth="1" style="643" min="141" max="141"/>
    <col width="9.375" bestFit="1" customWidth="1" style="643" min="142" max="142"/>
    <col width="9.125" bestFit="1" customWidth="1" style="643" min="143" max="143"/>
    <col width="10.5" bestFit="1" customWidth="1" style="643" min="144" max="144"/>
    <col width="9" customWidth="1" style="643" min="145" max="145"/>
    <col width="12.25" bestFit="1" customWidth="1" style="787" min="146" max="148"/>
    <col width="10.75" bestFit="1" customWidth="1" style="787" min="149" max="149"/>
    <col width="12.25" bestFit="1" customWidth="1" style="787" min="150" max="151"/>
    <col width="10.375" bestFit="1" customWidth="1" style="787" min="152" max="152"/>
    <col width="12.25" bestFit="1" customWidth="1" style="787" min="153" max="158"/>
    <col width="12.25" bestFit="1" customWidth="1" style="643" min="159" max="159"/>
    <col width="9" customWidth="1" style="643" min="160" max="161"/>
    <col width="9" customWidth="1" style="643" min="162" max="16384"/>
  </cols>
  <sheetData>
    <row r="1">
      <c r="A1" s="643" t="n">
        <v>1</v>
      </c>
      <c r="B1" s="643" t="n">
        <v>2</v>
      </c>
      <c r="C1" s="643" t="n">
        <v>3</v>
      </c>
      <c r="D1" s="643" t="n">
        <v>4</v>
      </c>
      <c r="E1" s="643" t="n">
        <v>5</v>
      </c>
      <c r="F1" s="643" t="n">
        <v>6</v>
      </c>
      <c r="G1" s="643" t="n">
        <v>7</v>
      </c>
      <c r="H1" s="643" t="n">
        <v>8</v>
      </c>
      <c r="I1" s="643" t="n">
        <v>9</v>
      </c>
      <c r="J1" s="643" t="n">
        <v>10</v>
      </c>
      <c r="K1" s="643" t="n">
        <v>11</v>
      </c>
      <c r="L1" s="643" t="n">
        <v>12</v>
      </c>
      <c r="M1" s="643" t="n">
        <v>13</v>
      </c>
      <c r="N1" s="135" t="n">
        <v>14</v>
      </c>
      <c r="O1" s="135" t="n">
        <v>15</v>
      </c>
      <c r="P1" s="135" t="n">
        <v>16</v>
      </c>
      <c r="Q1" s="135" t="n">
        <v>17</v>
      </c>
      <c r="R1" s="135" t="n">
        <v>18</v>
      </c>
      <c r="S1" s="135" t="n">
        <v>19</v>
      </c>
      <c r="T1" s="135" t="n">
        <v>20</v>
      </c>
      <c r="U1" s="109" t="n">
        <v>21</v>
      </c>
      <c r="V1" s="109" t="n">
        <v>22</v>
      </c>
      <c r="W1" s="109" t="n">
        <v>23</v>
      </c>
      <c r="X1" s="135" t="n">
        <v>24</v>
      </c>
      <c r="Y1" s="135" t="n">
        <v>25</v>
      </c>
      <c r="Z1" s="135" t="n">
        <v>26</v>
      </c>
      <c r="AA1" s="135" t="n">
        <v>27</v>
      </c>
      <c r="AB1" s="135" t="n">
        <v>28</v>
      </c>
      <c r="AC1" s="135" t="n">
        <v>29</v>
      </c>
      <c r="AD1" s="135" t="n">
        <v>30</v>
      </c>
      <c r="AE1" s="135" t="n">
        <v>31</v>
      </c>
      <c r="AF1" s="643" t="n">
        <v>32</v>
      </c>
      <c r="AG1" s="643" t="n">
        <v>33</v>
      </c>
      <c r="AH1" s="643" t="n">
        <v>34</v>
      </c>
      <c r="AI1" s="643" t="n">
        <v>35</v>
      </c>
      <c r="AJ1" s="643" t="n">
        <v>36</v>
      </c>
      <c r="AK1" s="643" t="n">
        <v>37</v>
      </c>
      <c r="AL1" s="643" t="n">
        <v>38</v>
      </c>
      <c r="AM1" s="643" t="n">
        <v>39</v>
      </c>
      <c r="AN1" s="643" t="n">
        <v>40</v>
      </c>
      <c r="AO1" s="643" t="n">
        <v>41</v>
      </c>
      <c r="AP1" s="643" t="n">
        <v>42</v>
      </c>
      <c r="AQ1" s="135" t="n">
        <v>43</v>
      </c>
      <c r="AR1" s="135" t="n">
        <v>44</v>
      </c>
      <c r="AS1" s="643" t="n">
        <v>45</v>
      </c>
      <c r="AT1" s="643" t="n">
        <v>46</v>
      </c>
      <c r="AU1" s="643" t="n">
        <v>47</v>
      </c>
      <c r="AV1" s="643" t="n">
        <v>48</v>
      </c>
      <c r="AW1" s="643" t="n">
        <v>49</v>
      </c>
      <c r="AX1" s="643" t="n">
        <v>50</v>
      </c>
      <c r="AY1" s="643" t="n">
        <v>51</v>
      </c>
      <c r="AZ1" s="643" t="n">
        <v>52</v>
      </c>
      <c r="BA1" s="643" t="n">
        <v>53</v>
      </c>
      <c r="BB1" s="643" t="n">
        <v>54</v>
      </c>
      <c r="BC1" s="643" t="n">
        <v>55</v>
      </c>
      <c r="BD1" s="643" t="n">
        <v>56</v>
      </c>
      <c r="BE1" s="643" t="n">
        <v>57</v>
      </c>
      <c r="BF1" s="643" t="n">
        <v>58</v>
      </c>
      <c r="BG1" s="643" t="n">
        <v>59</v>
      </c>
      <c r="BH1" s="643" t="n">
        <v>60</v>
      </c>
      <c r="BI1" s="643" t="n">
        <v>61</v>
      </c>
      <c r="BJ1" s="643" t="n">
        <v>62</v>
      </c>
      <c r="BK1" s="643" t="n">
        <v>63</v>
      </c>
      <c r="BL1" s="643" t="n">
        <v>64</v>
      </c>
      <c r="BM1" s="643" t="n">
        <v>65</v>
      </c>
      <c r="BN1" s="643" t="n">
        <v>66</v>
      </c>
      <c r="BO1" s="643" t="n">
        <v>67</v>
      </c>
      <c r="BP1" s="643" t="n">
        <v>68</v>
      </c>
      <c r="BQ1" s="643" t="n">
        <v>69</v>
      </c>
      <c r="BR1" s="643" t="n">
        <v>70</v>
      </c>
      <c r="BS1" s="643" t="n">
        <v>71</v>
      </c>
      <c r="BT1" s="643" t="n">
        <v>72</v>
      </c>
      <c r="BU1" s="135" t="n">
        <v>73</v>
      </c>
      <c r="BV1" s="135" t="n">
        <v>74</v>
      </c>
      <c r="BW1" s="135" t="n">
        <v>75</v>
      </c>
      <c r="BX1" s="135" t="n">
        <v>76</v>
      </c>
      <c r="BY1" s="135" t="n">
        <v>77</v>
      </c>
      <c r="BZ1" s="135" t="n">
        <v>78</v>
      </c>
      <c r="CA1" s="135" t="n">
        <v>79</v>
      </c>
      <c r="CB1" s="135" t="n">
        <v>80</v>
      </c>
      <c r="CC1" s="643" t="n">
        <v>81</v>
      </c>
      <c r="CD1" s="643" t="n">
        <v>82</v>
      </c>
      <c r="CE1" s="643" t="n">
        <v>83</v>
      </c>
      <c r="CF1" s="643" t="n">
        <v>84</v>
      </c>
      <c r="CG1" s="643" t="n">
        <v>85</v>
      </c>
      <c r="CH1" s="643" t="n">
        <v>86</v>
      </c>
      <c r="CI1" s="643" t="n">
        <v>87</v>
      </c>
      <c r="CJ1" s="643" t="n">
        <v>88</v>
      </c>
      <c r="CK1" s="643" t="n">
        <v>89</v>
      </c>
      <c r="CL1" s="643" t="n">
        <v>90</v>
      </c>
      <c r="CM1" s="643" t="n">
        <v>91</v>
      </c>
      <c r="CN1" s="643" t="n">
        <v>92</v>
      </c>
      <c r="CO1" s="643" t="n">
        <v>93</v>
      </c>
      <c r="CP1" s="643" t="n">
        <v>94</v>
      </c>
      <c r="CQ1" s="643" t="n">
        <v>95</v>
      </c>
      <c r="CR1" s="643" t="n">
        <v>96</v>
      </c>
      <c r="CS1" s="643" t="n">
        <v>97</v>
      </c>
      <c r="CT1" s="643" t="n">
        <v>98</v>
      </c>
      <c r="CU1" s="643" t="n">
        <v>99</v>
      </c>
      <c r="CV1" s="643" t="n">
        <v>100</v>
      </c>
      <c r="CW1" s="643" t="n">
        <v>101</v>
      </c>
      <c r="CX1" s="643" t="n">
        <v>102</v>
      </c>
      <c r="CY1" s="643" t="n">
        <v>103</v>
      </c>
      <c r="CZ1" s="643" t="n">
        <v>104</v>
      </c>
      <c r="DA1" s="643" t="n">
        <v>105</v>
      </c>
      <c r="DB1" s="643" t="n">
        <v>106</v>
      </c>
      <c r="DC1" s="643" t="n">
        <v>107</v>
      </c>
      <c r="DD1" s="643" t="n">
        <v>108</v>
      </c>
      <c r="DE1" s="643" t="n">
        <v>109</v>
      </c>
      <c r="DF1" s="643" t="n">
        <v>110</v>
      </c>
      <c r="DG1" s="643" t="n">
        <v>111</v>
      </c>
      <c r="DH1" s="643" t="n">
        <v>112</v>
      </c>
      <c r="DI1" s="643" t="n">
        <v>113</v>
      </c>
      <c r="DJ1" s="643" t="n">
        <v>114</v>
      </c>
      <c r="DK1" s="643" t="n">
        <v>115</v>
      </c>
      <c r="DL1" s="643" t="n">
        <v>116</v>
      </c>
      <c r="DM1" s="643" t="n">
        <v>117</v>
      </c>
      <c r="DN1" s="643" t="n">
        <v>118</v>
      </c>
      <c r="DO1" s="643" t="n">
        <v>119</v>
      </c>
      <c r="DP1" s="643" t="n">
        <v>120</v>
      </c>
      <c r="DQ1" s="643" t="n">
        <v>121</v>
      </c>
      <c r="DR1" s="643" t="n">
        <v>122</v>
      </c>
      <c r="DS1" s="643" t="n">
        <v>123</v>
      </c>
      <c r="DT1" s="643" t="n">
        <v>124</v>
      </c>
      <c r="DU1" s="643" t="n">
        <v>125</v>
      </c>
      <c r="DV1" s="643" t="n">
        <v>126</v>
      </c>
      <c r="DW1" s="643" t="n">
        <v>127</v>
      </c>
      <c r="DX1" s="643" t="n">
        <v>128</v>
      </c>
      <c r="DY1" s="643" t="n">
        <v>129</v>
      </c>
      <c r="DZ1" s="643" t="n">
        <v>130</v>
      </c>
      <c r="EA1" s="643" t="n">
        <v>131</v>
      </c>
      <c r="EB1" s="643" t="n">
        <v>132</v>
      </c>
      <c r="EC1" s="643" t="n">
        <v>133</v>
      </c>
      <c r="ED1" s="643" t="n">
        <v>134</v>
      </c>
      <c r="EE1" s="643" t="n">
        <v>135</v>
      </c>
      <c r="EF1" s="643" t="n">
        <v>136</v>
      </c>
      <c r="EG1" s="643" t="n">
        <v>137</v>
      </c>
      <c r="EH1" s="643" t="n">
        <v>138</v>
      </c>
      <c r="EI1" s="643" t="n">
        <v>139</v>
      </c>
      <c r="EJ1" s="643" t="n">
        <v>140</v>
      </c>
      <c r="EK1" s="643" t="n">
        <v>141</v>
      </c>
      <c r="EL1" s="643" t="n">
        <v>142</v>
      </c>
      <c r="EM1" s="643" t="n">
        <v>143</v>
      </c>
      <c r="EN1" s="643" t="n">
        <v>144</v>
      </c>
      <c r="EO1" s="643" t="n">
        <v>145</v>
      </c>
      <c r="EP1" s="643" t="n">
        <v>146</v>
      </c>
      <c r="EQ1" s="643" t="n">
        <v>147</v>
      </c>
      <c r="ER1" s="643" t="n">
        <v>148</v>
      </c>
      <c r="ES1" s="643" t="n">
        <v>149</v>
      </c>
      <c r="ET1" s="643" t="n">
        <v>150</v>
      </c>
      <c r="EU1" s="643" t="n">
        <v>151</v>
      </c>
      <c r="EV1" s="643" t="n">
        <v>152</v>
      </c>
      <c r="EW1" s="643" t="n">
        <v>153</v>
      </c>
      <c r="EX1" s="643" t="n">
        <v>154</v>
      </c>
      <c r="EY1" s="643" t="n">
        <v>155</v>
      </c>
      <c r="EZ1" s="643" t="n">
        <v>156</v>
      </c>
      <c r="FA1" s="643" t="n">
        <v>157</v>
      </c>
      <c r="FB1" s="643" t="n">
        <v>158</v>
      </c>
      <c r="FC1" s="643" t="n">
        <v>159</v>
      </c>
      <c r="FD1" s="643" t="n">
        <v>160</v>
      </c>
      <c r="FE1" s="643" t="n">
        <v>161</v>
      </c>
    </row>
    <row r="2" ht="18.75" customHeight="1" s="759">
      <c r="B2" s="1" t="inlineStr">
        <is>
          <t>□ 동업사 공시 취합</t>
        </is>
      </c>
      <c r="BB2" s="974" t="inlineStr">
        <is>
          <t>[ 자본변동 세부 ]</t>
        </is>
      </c>
      <c r="BC2" s="643" t="n"/>
      <c r="BD2" s="643" t="n"/>
      <c r="BE2" s="643" t="n"/>
      <c r="BF2" s="643" t="n"/>
      <c r="BG2" s="643" t="n"/>
      <c r="BH2" s="643" t="n"/>
      <c r="BI2" s="643" t="n"/>
      <c r="BJ2" s="643" t="n"/>
      <c r="BK2" s="643" t="n"/>
      <c r="BL2" s="643" t="n"/>
      <c r="BM2" s="643" t="n"/>
      <c r="BN2" s="643" t="n"/>
      <c r="BO2" s="643" t="n"/>
      <c r="BP2" s="643" t="n"/>
      <c r="BQ2" s="643" t="n"/>
      <c r="BR2" s="643" t="n"/>
      <c r="BS2" s="643" t="n"/>
      <c r="CN2" s="643" t="n"/>
      <c r="CO2" s="643" t="n"/>
      <c r="CP2" s="643" t="n"/>
      <c r="CQ2" s="643" t="n"/>
      <c r="CR2" s="643" t="n"/>
      <c r="CS2" s="643" t="n"/>
      <c r="CT2" s="643" t="n"/>
      <c r="CU2" s="643" t="n"/>
      <c r="CV2" s="643" t="n"/>
      <c r="CW2" s="643" t="n"/>
      <c r="CX2" s="643" t="n"/>
      <c r="CY2" s="643" t="n"/>
      <c r="CZ2" s="643" t="n"/>
      <c r="DA2" s="643" t="n"/>
      <c r="DB2" s="643" t="n"/>
      <c r="DD2" s="643" t="n"/>
      <c r="DE2" s="643" t="n"/>
      <c r="DF2" s="643" t="n"/>
      <c r="DG2" s="643" t="n"/>
      <c r="DH2" s="643" t="n"/>
      <c r="DI2" s="643" t="n"/>
      <c r="DJ2" s="643" t="n"/>
      <c r="DK2" s="643" t="n"/>
      <c r="DL2" s="643" t="n"/>
      <c r="DM2" s="643" t="n"/>
    </row>
    <row r="3" ht="27.75" customHeight="1" s="759">
      <c r="D3" s="958" t="inlineStr">
        <is>
          <t>B/S</t>
        </is>
      </c>
      <c r="U3" s="959" t="n"/>
      <c r="V3" s="959" t="n"/>
      <c r="W3" s="959" t="n"/>
      <c r="X3" s="960" t="n"/>
      <c r="Y3" s="960" t="n"/>
      <c r="Z3" s="960" t="n"/>
      <c r="AA3" s="960" t="n"/>
      <c r="AB3" s="960" t="n"/>
      <c r="AC3" s="960" t="n"/>
      <c r="AD3" s="960" t="n"/>
      <c r="AE3" s="960" t="n"/>
      <c r="AF3" s="961" t="inlineStr">
        <is>
          <t>P/L</t>
        </is>
      </c>
      <c r="BC3" s="962" t="inlineStr">
        <is>
          <t>기타포괄손익</t>
        </is>
      </c>
      <c r="BL3" s="643" t="n"/>
      <c r="BM3" s="740" t="inlineStr">
        <is>
          <t>이익잉여금</t>
        </is>
      </c>
      <c r="BU3" s="962" t="inlineStr">
        <is>
          <t>부채금액(순부채기준_24.12월부터 수정함)</t>
        </is>
      </c>
      <c r="CE3" s="962" t="inlineStr">
        <is>
          <t>CSM 기간별 기대수익인식금액(재보제외)</t>
        </is>
      </c>
      <c r="CN3" s="962" t="inlineStr">
        <is>
          <t>재무건전성(잠정치)</t>
        </is>
      </c>
      <c r="CQ3" s="963" t="inlineStr">
        <is>
          <t>재무건전성(최종))</t>
        </is>
      </c>
      <c r="CT3" s="643" t="n"/>
      <c r="CU3" s="643" t="inlineStr">
        <is>
          <t>해약환급금준비금</t>
        </is>
      </c>
      <c r="CV3" s="643" t="n"/>
      <c r="CW3" s="964" t="inlineStr">
        <is>
          <t>손해율(연간누계)</t>
        </is>
      </c>
      <c r="CZ3" s="643" t="n"/>
      <c r="DA3" s="643" t="n"/>
      <c r="DB3" s="643" t="n"/>
      <c r="DC3" s="964" t="inlineStr">
        <is>
          <t>손해율(연간누계)</t>
        </is>
      </c>
      <c r="DG3" s="962" t="inlineStr">
        <is>
          <t>예실차</t>
        </is>
      </c>
      <c r="DX3" s="643" t="n"/>
      <c r="EW3" s="975" t="inlineStr">
        <is>
          <t>가정변경</t>
        </is>
      </c>
    </row>
    <row r="4" ht="27.75" customHeight="1" s="759">
      <c r="D4" s="787" t="inlineStr">
        <is>
          <t>총자산</t>
        </is>
      </c>
      <c r="I4" s="965" t="inlineStr">
        <is>
          <t>총자산대비 비중</t>
        </is>
      </c>
      <c r="J4" s="965" t="n"/>
      <c r="K4" s="965" t="n"/>
      <c r="L4" s="787" t="inlineStr">
        <is>
          <t>부채</t>
        </is>
      </c>
      <c r="N4" s="966" t="inlineStr">
        <is>
          <t>자본(신종자본증권제외)</t>
        </is>
      </c>
      <c r="O4" s="966" t="inlineStr">
        <is>
          <t>자본</t>
        </is>
      </c>
      <c r="S4" s="966" t="inlineStr">
        <is>
          <t>기시자본</t>
        </is>
      </c>
      <c r="T4" s="966" t="inlineStr">
        <is>
          <t>기시자본(신종자본증권제외)</t>
        </is>
      </c>
      <c r="U4" s="976" t="inlineStr">
        <is>
          <t>자산운용률</t>
        </is>
      </c>
      <c r="X4" s="966" t="inlineStr">
        <is>
          <t>기타포괄손익누계액</t>
        </is>
      </c>
      <c r="AF4" s="787" t="inlineStr">
        <is>
          <t>보험손익</t>
        </is>
      </c>
      <c r="AI4" s="787" t="inlineStr">
        <is>
          <t>투자손익</t>
        </is>
      </c>
      <c r="AN4" s="967" t="inlineStr">
        <is>
          <t>수수료수익,임대료수입,기타영업수익/비용</t>
        </is>
      </c>
      <c r="AO4" s="787" t="inlineStr">
        <is>
          <t>영업이익</t>
        </is>
      </c>
      <c r="AP4" s="787" t="inlineStr">
        <is>
          <t>영업외손익</t>
        </is>
      </c>
      <c r="AQ4" s="966" t="inlineStr">
        <is>
          <t>세전손익</t>
        </is>
      </c>
      <c r="AR4" s="966" t="inlineStr">
        <is>
          <t>당기순이익</t>
        </is>
      </c>
      <c r="AS4" s="787" t="inlineStr">
        <is>
          <t>CHECK1</t>
        </is>
      </c>
      <c r="AT4" s="787" t="inlineStr">
        <is>
          <t>CHECK2</t>
        </is>
      </c>
      <c r="AU4" s="787" t="inlineStr">
        <is>
          <t>CHECK3</t>
        </is>
      </c>
      <c r="AV4" s="968" t="inlineStr">
        <is>
          <t>보험손익</t>
        </is>
      </c>
      <c r="AW4" s="968" t="inlineStr">
        <is>
          <t>투자손익</t>
        </is>
      </c>
      <c r="AX4" s="968" t="inlineStr">
        <is>
          <t>영업외손익</t>
        </is>
      </c>
      <c r="AY4" s="968" t="inlineStr">
        <is>
          <t>합계</t>
        </is>
      </c>
      <c r="BC4" s="787" t="inlineStr">
        <is>
          <t>기초</t>
        </is>
      </c>
      <c r="BJ4" s="787" t="inlineStr">
        <is>
          <t>해외사업환산손익</t>
        </is>
      </c>
      <c r="BK4" s="787" t="inlineStr">
        <is>
          <t>기말</t>
        </is>
      </c>
      <c r="BL4" s="966" t="inlineStr">
        <is>
          <t>check</t>
        </is>
      </c>
      <c r="BM4" s="787" t="inlineStr">
        <is>
          <t>기초</t>
        </is>
      </c>
      <c r="BQ4" s="969" t="inlineStr">
        <is>
          <t>가업결합 등</t>
        </is>
      </c>
      <c r="BR4" s="969" t="inlineStr">
        <is>
          <t>24.3월부터</t>
        </is>
      </c>
      <c r="BS4" s="787" t="inlineStr">
        <is>
          <t>기말</t>
        </is>
      </c>
      <c r="BU4" s="966" t="inlineStr">
        <is>
          <t>BEL</t>
        </is>
      </c>
      <c r="BV4" s="966" t="inlineStr">
        <is>
          <t>RA</t>
        </is>
      </c>
      <c r="BW4" s="966" t="inlineStr">
        <is>
          <t>CSM</t>
        </is>
      </c>
      <c r="BX4" s="135" t="n"/>
      <c r="BY4" s="135" t="n"/>
      <c r="BZ4" s="135" t="n"/>
      <c r="CA4" s="135" t="n"/>
      <c r="CB4" s="135" t="n"/>
      <c r="CC4" s="787" t="inlineStr">
        <is>
          <t>보험료배분접근법</t>
        </is>
      </c>
      <c r="CE4" s="784" t="inlineStr">
        <is>
          <t>1년이하</t>
        </is>
      </c>
      <c r="CF4" s="784" t="inlineStr">
        <is>
          <t>1~3년</t>
        </is>
      </c>
      <c r="CG4" s="784" t="inlineStr">
        <is>
          <t>3~5년</t>
        </is>
      </c>
      <c r="CH4" s="784" t="inlineStr">
        <is>
          <t>5~10년</t>
        </is>
      </c>
      <c r="CI4" s="784" t="inlineStr">
        <is>
          <t>10년초과</t>
        </is>
      </c>
      <c r="CJ4" s="784" t="inlineStr">
        <is>
          <t>합계</t>
        </is>
      </c>
      <c r="CK4" s="970" t="inlineStr">
        <is>
          <t>check</t>
        </is>
      </c>
      <c r="CN4" s="787" t="inlineStr">
        <is>
          <t>K-ICS</t>
        </is>
      </c>
      <c r="CO4" s="787" t="inlineStr">
        <is>
          <t>가용자본</t>
        </is>
      </c>
      <c r="CP4" s="787" t="inlineStr">
        <is>
          <t>요구자본</t>
        </is>
      </c>
      <c r="CQ4" s="787" t="inlineStr">
        <is>
          <t>K-ICS</t>
        </is>
      </c>
      <c r="CR4" s="787" t="inlineStr">
        <is>
          <t>가용자본</t>
        </is>
      </c>
      <c r="CS4" s="787" t="inlineStr">
        <is>
          <t>요구자본</t>
        </is>
      </c>
      <c r="CT4" s="643" t="n"/>
      <c r="CU4" s="643" t="n"/>
      <c r="CV4" s="643" t="n"/>
      <c r="CW4" s="2" t="inlineStr">
        <is>
          <t>예상손해율 a</t>
        </is>
      </c>
      <c r="CX4" s="643" t="inlineStr">
        <is>
          <t>실제손해율 b</t>
        </is>
      </c>
      <c r="CY4" s="643" t="inlineStr">
        <is>
          <t>보험금예실차비율</t>
        </is>
      </c>
      <c r="CZ4" s="643" t="inlineStr">
        <is>
          <t>실제보허금/예상보험금</t>
        </is>
      </c>
      <c r="DA4" s="643" t="n"/>
      <c r="DB4" s="643" t="n"/>
      <c r="DC4" s="786" t="inlineStr">
        <is>
          <t>손해율</t>
        </is>
      </c>
      <c r="DD4" s="787" t="inlineStr">
        <is>
          <t>위험보험료</t>
        </is>
      </c>
      <c r="DE4" s="787" t="inlineStr">
        <is>
          <t>사고보험금(간접제외)</t>
        </is>
      </c>
      <c r="DG4" s="787" t="inlineStr">
        <is>
          <t>예실차</t>
        </is>
      </c>
      <c r="DH4" s="966" t="inlineStr">
        <is>
          <t>보험금예실차</t>
        </is>
      </c>
      <c r="DK4" s="966" t="inlineStr">
        <is>
          <t>사업비예실차</t>
        </is>
      </c>
      <c r="DT4" s="787" t="inlineStr">
        <is>
          <t>사업비</t>
        </is>
      </c>
      <c r="DX4" s="643" t="n"/>
      <c r="DY4" s="787" t="inlineStr">
        <is>
          <t>기타사업비</t>
        </is>
      </c>
      <c r="ED4" s="787" t="inlineStr">
        <is>
          <t>취득현금흐름</t>
        </is>
      </c>
      <c r="EI4" s="643" t="inlineStr">
        <is>
          <t>처음인식한</t>
        </is>
      </c>
      <c r="EP4" s="787" t="inlineStr">
        <is>
          <t>BEL+RA기준</t>
        </is>
      </c>
      <c r="EW4" s="787" t="inlineStr">
        <is>
          <t>CSM기준</t>
        </is>
      </c>
    </row>
    <row r="5" ht="27.75" customHeight="1" s="759">
      <c r="B5" s="643" t="inlineStr">
        <is>
          <t>월도</t>
        </is>
      </c>
      <c r="C5" s="643" t="inlineStr">
        <is>
          <t>회사명</t>
        </is>
      </c>
      <c r="E5" s="787" t="inlineStr">
        <is>
          <t>FVPL</t>
        </is>
      </c>
      <c r="F5" s="787" t="inlineStr">
        <is>
          <t>FVOCI</t>
        </is>
      </c>
      <c r="G5" s="787" t="inlineStr">
        <is>
          <t>AC</t>
        </is>
      </c>
      <c r="H5" s="971" t="inlineStr">
        <is>
          <t>종속기업
관계기업</t>
        </is>
      </c>
      <c r="I5" s="965" t="inlineStr">
        <is>
          <t>FVPL</t>
        </is>
      </c>
      <c r="J5" s="965" t="inlineStr">
        <is>
          <t>FVOCI</t>
        </is>
      </c>
      <c r="K5" s="965" t="inlineStr">
        <is>
          <t>AC</t>
        </is>
      </c>
      <c r="M5" s="787" t="inlineStr">
        <is>
          <t>보험계약부채</t>
        </is>
      </c>
      <c r="P5" s="966" t="inlineStr">
        <is>
          <t>신종자본증권</t>
        </is>
      </c>
      <c r="Q5" s="966" t="inlineStr">
        <is>
          <t>기타포괄손익누계액</t>
        </is>
      </c>
      <c r="R5" s="966" t="inlineStr">
        <is>
          <t>이익잉여금</t>
        </is>
      </c>
      <c r="U5" s="788" t="inlineStr">
        <is>
          <t>총자산</t>
        </is>
      </c>
      <c r="V5" s="788" t="inlineStr">
        <is>
          <t>운용자산</t>
        </is>
      </c>
      <c r="W5" s="788" t="inlineStr">
        <is>
          <t>자산운용률</t>
        </is>
      </c>
      <c r="X5" s="966" t="inlineStr">
        <is>
          <t>합계</t>
        </is>
      </c>
      <c r="Y5" s="966" t="inlineStr">
        <is>
          <t>FVOCI평가손익</t>
        </is>
      </c>
      <c r="Z5" s="966" t="inlineStr">
        <is>
          <t>보험계약자산(부채)순금융손익</t>
        </is>
      </c>
      <c r="AA5" s="966" t="inlineStr">
        <is>
          <t>재보험계약자산(부채)</t>
        </is>
      </c>
      <c r="AB5" s="966" t="inlineStr">
        <is>
          <t>현금흐름위험회피</t>
        </is>
      </c>
      <c r="AC5" s="966" t="inlineStr">
        <is>
          <t>재평가잉여금</t>
        </is>
      </c>
      <c r="AD5" s="966" t="inlineStr">
        <is>
          <t>확정급여부채</t>
        </is>
      </c>
      <c r="AE5" s="966" t="inlineStr">
        <is>
          <t>CHECK</t>
        </is>
      </c>
      <c r="AG5" s="971" t="inlineStr">
        <is>
          <t>보험서비스수익
(일반+출재)</t>
        </is>
      </c>
      <c r="AH5" s="971" t="inlineStr">
        <is>
          <t>보험서비스비용
(일반+출재+기타사업비용)</t>
        </is>
      </c>
      <c r="AJ5" s="971" t="inlineStr">
        <is>
          <t>보험금융손익
(수익-비용)</t>
        </is>
      </c>
      <c r="AK5" s="971" t="inlineStr">
        <is>
          <t>재보험금융손익
'(수익-비용)</t>
        </is>
      </c>
      <c r="AL5" s="787" t="inlineStr">
        <is>
          <t>금융손익</t>
        </is>
      </c>
      <c r="AM5" s="787" t="inlineStr">
        <is>
          <t>재산관리비</t>
        </is>
      </c>
      <c r="AN5" s="787" t="inlineStr">
        <is>
          <t>기타투자손익</t>
        </is>
      </c>
      <c r="AV5" s="965" t="n"/>
      <c r="AW5" s="965" t="n"/>
      <c r="AX5" s="965" t="n"/>
      <c r="AY5" s="965" t="n"/>
      <c r="BD5" s="787" t="inlineStr">
        <is>
          <t>금융자산평가손익</t>
        </is>
      </c>
      <c r="BE5" s="787" t="inlineStr">
        <is>
          <t>대손충당금</t>
        </is>
      </c>
      <c r="BF5" s="787" t="inlineStr">
        <is>
          <t>보험계약금융손익(재보포함)</t>
        </is>
      </c>
      <c r="BG5" s="787" t="inlineStr">
        <is>
          <t>현금흐름위험회피파생상품</t>
        </is>
      </c>
      <c r="BH5" s="787" t="inlineStr">
        <is>
          <t>재평가잉여금</t>
        </is>
      </c>
      <c r="BI5" s="787" t="inlineStr">
        <is>
          <t>확정급여부채</t>
        </is>
      </c>
      <c r="BJ5" s="787" t="inlineStr">
        <is>
          <t>기타</t>
        </is>
      </c>
      <c r="BN5" s="787" t="inlineStr">
        <is>
          <t>결산배당</t>
        </is>
      </c>
      <c r="BO5" s="787" t="inlineStr">
        <is>
          <t>자기주식취득/처분</t>
        </is>
      </c>
      <c r="BP5" s="787" t="inlineStr">
        <is>
          <t>순이익</t>
        </is>
      </c>
      <c r="BQ5" s="787" t="inlineStr">
        <is>
          <t>기타</t>
        </is>
      </c>
      <c r="BR5" s="787" t="inlineStr">
        <is>
          <t>기타 배당(신종자본증권 등)</t>
        </is>
      </c>
      <c r="BT5" s="787" t="inlineStr">
        <is>
          <t>22년말(ifrs4)</t>
        </is>
      </c>
      <c r="BU5" s="135" t="n"/>
      <c r="BV5" s="135" t="n"/>
      <c r="BW5" s="135" t="n"/>
      <c r="BX5" s="966" t="inlineStr">
        <is>
          <t xml:space="preserve"> 신계약CSM</t>
        </is>
      </c>
      <c r="BY5" s="966" t="inlineStr">
        <is>
          <t xml:space="preserve"> CSM상각</t>
        </is>
      </c>
      <c r="BZ5" s="966" t="inlineStr">
        <is>
          <t>CSM조정</t>
        </is>
      </c>
      <c r="CA5" s="972" t="inlineStr">
        <is>
          <t>이자부리 등 
보험금융손익</t>
        </is>
      </c>
      <c r="CB5" s="966" t="inlineStr">
        <is>
          <t xml:space="preserve"> 전기CSM</t>
        </is>
      </c>
      <c r="CC5" s="643" t="n"/>
      <c r="CF5" s="787" t="inlineStr">
        <is>
          <t>1~2년</t>
        </is>
      </c>
      <c r="CG5" s="787" t="inlineStr">
        <is>
          <t>2~5년</t>
        </is>
      </c>
      <c r="CT5" s="643" t="n"/>
      <c r="CU5" s="643" t="n"/>
      <c r="CV5" s="643" t="n"/>
      <c r="CW5" s="643" t="inlineStr">
        <is>
          <t>당기 예상보험금 ÷ 당기 실제위험보험료</t>
        </is>
      </c>
      <c r="CX5" s="643" t="inlineStr">
        <is>
          <t>(당기 발생보험금 + 당기 발생사고 요소 조정) ÷당기 실제위험보험료</t>
        </is>
      </c>
      <c r="CY5" s="643" t="inlineStr">
        <is>
          <t>b-a</t>
        </is>
      </c>
      <c r="CZ5" s="643" t="n"/>
      <c r="DA5" s="643" t="n"/>
      <c r="DB5" s="643" t="n"/>
      <c r="DH5" s="966" t="n"/>
      <c r="DI5" s="787" t="inlineStr">
        <is>
          <t>예상보험금</t>
        </is>
      </c>
      <c r="DJ5" s="787" t="inlineStr">
        <is>
          <t>실제보험금</t>
        </is>
      </c>
      <c r="DK5" s="966" t="n"/>
      <c r="DL5" s="787" t="inlineStr">
        <is>
          <t>예상사업비</t>
        </is>
      </c>
      <c r="DM5" s="787" t="inlineStr">
        <is>
          <t>실제사업비</t>
        </is>
      </c>
      <c r="DN5" s="787" t="inlineStr">
        <is>
          <t xml:space="preserve">   - 보험서비스수익_보험취득현금흐름의 상각</t>
        </is>
      </c>
      <c r="DO5" s="787" t="inlineStr">
        <is>
          <t xml:space="preserve">   - 보험서비스비용_보험취득현금흐름의 상각</t>
        </is>
      </c>
      <c r="DP5" s="787" t="inlineStr">
        <is>
          <t xml:space="preserve">  - 기타보험서비스수익</t>
        </is>
      </c>
      <c r="DQ5" s="787" t="inlineStr">
        <is>
          <t xml:space="preserve">  - 기타보험서비스비용</t>
        </is>
      </c>
      <c r="DT5" s="787" t="inlineStr">
        <is>
          <t>보험취득현금흐름</t>
        </is>
      </c>
      <c r="DU5" s="787" t="inlineStr">
        <is>
          <t>계약유지비용</t>
        </is>
      </c>
      <c r="DV5" s="787" t="inlineStr">
        <is>
          <t>투자관리비용</t>
        </is>
      </c>
      <c r="DW5" s="787" t="inlineStr">
        <is>
          <t>손해조사비용</t>
        </is>
      </c>
      <c r="DX5" s="643" t="inlineStr">
        <is>
          <t>합계</t>
        </is>
      </c>
      <c r="DY5" s="787" t="inlineStr">
        <is>
          <t>신계약비</t>
        </is>
      </c>
      <c r="DZ5" s="787" t="inlineStr">
        <is>
          <t>유지비</t>
        </is>
      </c>
      <c r="EA5" s="787" t="inlineStr">
        <is>
          <t>재산관리비</t>
        </is>
      </c>
      <c r="EB5" s="787" t="inlineStr">
        <is>
          <t>사업비 총계</t>
        </is>
      </c>
      <c r="ED5" s="787" t="inlineStr">
        <is>
          <t>비례수당</t>
        </is>
      </c>
      <c r="EE5" s="787" t="inlineStr">
        <is>
          <t>판촉비</t>
        </is>
      </c>
      <c r="EF5" s="643" t="inlineStr">
        <is>
          <t>기타</t>
        </is>
      </c>
      <c r="EG5" s="643" t="inlineStr">
        <is>
          <t>회수예상액</t>
        </is>
      </c>
      <c r="EI5" s="643" t="inlineStr">
        <is>
          <t>사망</t>
        </is>
      </c>
      <c r="EJ5" s="643" t="inlineStr">
        <is>
          <t>건강</t>
        </is>
      </c>
      <c r="EK5" s="643" t="inlineStr">
        <is>
          <t>연금</t>
        </is>
      </c>
      <c r="EL5" s="643" t="inlineStr">
        <is>
          <t>저축</t>
        </is>
      </c>
      <c r="EM5" s="643" t="inlineStr">
        <is>
          <t>기타</t>
        </is>
      </c>
      <c r="EN5" s="643" t="inlineStr">
        <is>
          <t>합계</t>
        </is>
      </c>
      <c r="EP5" s="787" t="inlineStr">
        <is>
          <t>해지율</t>
        </is>
      </c>
      <c r="EQ5" s="787" t="inlineStr">
        <is>
          <t>위험률</t>
        </is>
      </c>
      <c r="ER5" s="787" t="inlineStr">
        <is>
          <t>사업비율</t>
        </is>
      </c>
      <c r="ES5" s="787" t="inlineStr">
        <is>
          <t>기타</t>
        </is>
      </c>
      <c r="ET5" s="787" t="inlineStr">
        <is>
          <t>물량, 예실차</t>
        </is>
      </c>
      <c r="EW5" s="787" t="inlineStr">
        <is>
          <t>해지율</t>
        </is>
      </c>
      <c r="EX5" s="787" t="inlineStr">
        <is>
          <t>위험률</t>
        </is>
      </c>
      <c r="EY5" s="787" t="inlineStr">
        <is>
          <t>사업비율</t>
        </is>
      </c>
      <c r="EZ5" s="787" t="inlineStr">
        <is>
          <t>기타</t>
        </is>
      </c>
      <c r="FA5" s="787" t="inlineStr">
        <is>
          <t>물량, 예실차</t>
        </is>
      </c>
      <c r="FB5" s="787" t="inlineStr">
        <is>
          <t>손실요소</t>
        </is>
      </c>
    </row>
    <row r="6" customFormat="1" s="101">
      <c r="A6" s="101" t="inlineStr">
        <is>
          <t>2212미래</t>
        </is>
      </c>
      <c r="B6" s="101" t="n">
        <v>2212</v>
      </c>
      <c r="C6" s="101" t="inlineStr">
        <is>
          <t>미래</t>
        </is>
      </c>
      <c r="D6" s="977" t="n"/>
      <c r="E6" s="977" t="n"/>
      <c r="F6" s="977" t="n"/>
      <c r="G6" s="977" t="n"/>
      <c r="H6" s="977" t="n"/>
      <c r="I6" s="978" t="n"/>
      <c r="J6" s="978" t="n"/>
      <c r="K6" s="978" t="n"/>
      <c r="L6" s="977" t="n"/>
      <c r="M6" s="977" t="n"/>
      <c r="N6" s="979" t="n"/>
      <c r="O6" s="1192" t="n"/>
      <c r="P6" s="979" t="n"/>
      <c r="Q6" s="1192" t="n"/>
      <c r="R6" s="1192" t="n"/>
      <c r="S6" s="979" t="n"/>
      <c r="T6" s="979" t="n"/>
      <c r="U6" s="980" t="n"/>
      <c r="V6" s="980" t="n"/>
      <c r="W6" s="980" t="n"/>
      <c r="X6" s="979" t="n"/>
      <c r="Y6" s="1192" t="n"/>
      <c r="Z6" s="1192" t="n"/>
      <c r="AA6" s="1192" t="n"/>
      <c r="AB6" s="1192" t="n"/>
      <c r="AC6" s="1192" t="n"/>
      <c r="AD6" s="1192" t="n"/>
      <c r="AE6" s="979" t="n"/>
      <c r="AF6" s="977" t="n"/>
      <c r="AG6" s="977" t="n"/>
      <c r="AH6" s="977" t="n"/>
      <c r="AI6" s="977" t="n"/>
      <c r="AJ6" s="977" t="n"/>
      <c r="AK6" s="977" t="n"/>
      <c r="AL6" s="977" t="n"/>
      <c r="AM6" s="977" t="n"/>
      <c r="AN6" s="977" t="n"/>
      <c r="AO6" s="977" t="n"/>
      <c r="AP6" s="977" t="n"/>
      <c r="AQ6" s="979" t="n"/>
      <c r="AR6" s="979" t="n"/>
      <c r="AS6" s="979" t="n"/>
      <c r="AT6" s="979" t="n"/>
      <c r="AU6" s="979" t="n"/>
      <c r="AV6" s="979" t="n"/>
      <c r="AW6" s="979" t="n"/>
      <c r="AX6" s="979" t="n"/>
      <c r="AY6" s="979" t="n"/>
      <c r="AZ6" s="977" t="n"/>
      <c r="BA6" s="977" t="n"/>
      <c r="BB6" s="1201" t="n"/>
      <c r="BC6" s="977" t="n"/>
      <c r="BD6" s="977" t="n"/>
      <c r="BE6" s="977" t="n"/>
      <c r="BF6" s="977" t="n"/>
      <c r="BG6" s="977" t="n"/>
      <c r="BH6" s="977" t="n"/>
      <c r="BI6" s="977" t="n"/>
      <c r="BJ6" s="977" t="n"/>
      <c r="BK6" s="977" t="n"/>
      <c r="BL6" s="979" t="n"/>
      <c r="BM6" s="977" t="n"/>
      <c r="BN6" s="977" t="n"/>
      <c r="BO6" s="977" t="n"/>
      <c r="BP6" s="977" t="n"/>
      <c r="BQ6" s="977" t="n"/>
      <c r="BR6" s="977" t="n"/>
      <c r="BS6" s="977" t="n"/>
      <c r="BT6" s="1192" t="n"/>
      <c r="BU6" s="1192" t="n"/>
      <c r="BV6" s="1192" t="n"/>
      <c r="BW6" s="1192" t="n"/>
      <c r="BX6" s="979" t="n"/>
      <c r="BY6" s="979" t="n"/>
      <c r="BZ6" s="979" t="n"/>
      <c r="CA6" s="979" t="n"/>
      <c r="CB6" s="979" t="n"/>
      <c r="CC6" s="977" t="n"/>
      <c r="CD6" s="977" t="n"/>
      <c r="CE6" s="977" t="n"/>
      <c r="CF6" s="977" t="n"/>
      <c r="CG6" s="977" t="n"/>
      <c r="CH6" s="977" t="n"/>
      <c r="CI6" s="977" t="n"/>
      <c r="CJ6" s="977" t="n"/>
      <c r="CK6" s="977" t="n"/>
      <c r="CL6" s="977" t="n"/>
      <c r="CM6" s="977" t="n"/>
      <c r="CN6" s="978" t="n"/>
      <c r="CO6" s="977" t="n"/>
      <c r="CP6" s="977" t="n"/>
      <c r="CQ6" s="978" t="n"/>
      <c r="CR6" s="977" t="n"/>
      <c r="CS6" s="977" t="n"/>
      <c r="CT6" s="977" t="n"/>
      <c r="CU6" s="977" t="n"/>
      <c r="CV6" s="977" t="n"/>
      <c r="CW6" s="977" t="n"/>
      <c r="CX6" s="977" t="n"/>
      <c r="CY6" s="977" t="n"/>
      <c r="CZ6" s="977" t="n"/>
      <c r="DA6" s="977" t="n"/>
      <c r="DB6" s="977" t="n"/>
      <c r="DC6" s="978" t="n"/>
      <c r="DD6" s="977" t="n"/>
      <c r="DE6" s="977" t="n"/>
      <c r="DF6" s="977" t="n"/>
      <c r="DG6" s="977" t="n"/>
      <c r="DH6" s="977" t="n"/>
      <c r="DI6" s="977" t="n"/>
      <c r="DJ6" s="977" t="n"/>
      <c r="DK6" s="977" t="n"/>
      <c r="DL6" s="977" t="n"/>
      <c r="DM6" s="977" t="n"/>
      <c r="DN6" s="977" t="n"/>
      <c r="DO6" s="977" t="n"/>
      <c r="DP6" s="977" t="n"/>
      <c r="DQ6" s="977" t="n"/>
      <c r="DR6" s="977" t="n"/>
      <c r="DS6" s="977" t="n"/>
      <c r="DT6" s="977" t="n"/>
      <c r="DU6" s="977" t="n"/>
      <c r="DV6" s="977" t="n"/>
      <c r="DW6" s="977" t="n"/>
      <c r="DX6" s="977" t="n"/>
      <c r="DY6" s="977" t="n"/>
      <c r="DZ6" s="977" t="n"/>
      <c r="EA6" s="977" t="n"/>
      <c r="EB6" s="977" t="n"/>
      <c r="EC6" s="977" t="n"/>
      <c r="ED6" s="977" t="n"/>
      <c r="EE6" s="977" t="n"/>
      <c r="EP6" s="977" t="n"/>
      <c r="EQ6" s="977" t="n"/>
      <c r="ER6" s="977" t="n"/>
      <c r="ES6" s="977" t="n"/>
      <c r="ET6" s="977" t="n"/>
      <c r="EU6" s="977" t="n"/>
      <c r="EV6" s="977" t="n"/>
      <c r="EW6" s="977" t="n"/>
      <c r="EX6" s="977" t="n"/>
      <c r="EY6" s="977" t="n"/>
      <c r="EZ6" s="977" t="n"/>
      <c r="FA6" s="977" t="n"/>
      <c r="FB6" s="977" t="n"/>
    </row>
    <row r="7" customFormat="1" s="101">
      <c r="A7" s="101" t="inlineStr">
        <is>
          <t>2312미래</t>
        </is>
      </c>
      <c r="B7" s="101" t="n">
        <v>2312</v>
      </c>
      <c r="C7" s="101" t="inlineStr">
        <is>
          <t>미래</t>
        </is>
      </c>
      <c r="D7" s="977" t="n">
        <v>33046193.024997</v>
      </c>
      <c r="E7" s="977" t="n">
        <v>15850238.18747</v>
      </c>
      <c r="F7" s="977" t="n">
        <v>11226454.380747</v>
      </c>
      <c r="G7" s="977" t="n">
        <v>4193467.376169</v>
      </c>
      <c r="H7" s="977" t="n">
        <v>142042.965503</v>
      </c>
      <c r="I7" s="978">
        <f>E7/D7</f>
        <v/>
      </c>
      <c r="J7" s="978">
        <f>F7/D7</f>
        <v/>
      </c>
      <c r="K7" s="978">
        <f>G7/D7</f>
        <v/>
      </c>
      <c r="L7" s="1191" t="n">
        <v>30131929.468494</v>
      </c>
      <c r="M7" s="1191" t="n">
        <v>25782954.737248</v>
      </c>
      <c r="N7" s="979">
        <f>O7-P7</f>
        <v/>
      </c>
      <c r="O7" s="1192" t="n">
        <v>2914263.556503</v>
      </c>
      <c r="P7" s="979" t="n"/>
      <c r="Q7" s="979" t="n">
        <v>400103.553823</v>
      </c>
      <c r="R7" s="1192" t="n">
        <v>1713236.222735</v>
      </c>
      <c r="S7" s="1192" t="n">
        <v>4088525.345261</v>
      </c>
      <c r="T7" s="1192" t="n">
        <v>4088525.345261</v>
      </c>
      <c r="U7" s="1196" t="n"/>
      <c r="V7" s="1196" t="n">
        <v>19625964.457714</v>
      </c>
      <c r="W7" s="1202" t="n"/>
      <c r="X7" s="979">
        <f>Q7</f>
        <v/>
      </c>
      <c r="Y7" s="1192" t="n"/>
      <c r="Z7" s="1192" t="n"/>
      <c r="AA7" s="1192" t="n"/>
      <c r="AB7" s="1192" t="n">
        <v>-1505051</v>
      </c>
      <c r="AC7" s="1192" t="n"/>
      <c r="AD7" s="1192" t="n"/>
      <c r="AE7" s="979" t="n"/>
      <c r="AF7" s="1191" t="n">
        <v>252341.229704</v>
      </c>
      <c r="AG7" s="977" t="n">
        <v>918978.651356</v>
      </c>
      <c r="AH7" s="981" t="n">
        <v>749977.884748</v>
      </c>
      <c r="AI7" s="1191" t="n">
        <v>-2228.957191</v>
      </c>
      <c r="AJ7" s="1191" t="n">
        <v>-2321762.310757</v>
      </c>
      <c r="AK7" s="977" t="n">
        <v>542.984642</v>
      </c>
      <c r="AL7" s="977">
        <f>AI7-AJ7-AK7+AM7-AN7</f>
        <v/>
      </c>
      <c r="AM7" s="977" t="n">
        <v>20518.1339</v>
      </c>
      <c r="AN7" s="977" t="n">
        <v>-28167.8732</v>
      </c>
      <c r="AO7" s="1191" t="n">
        <v>166771.809417</v>
      </c>
      <c r="AP7" s="977" t="n">
        <v>-4017.126837</v>
      </c>
      <c r="AQ7" s="1192" t="n">
        <v>162754.68258</v>
      </c>
      <c r="AR7" s="1192" t="n">
        <v>125000.222534</v>
      </c>
      <c r="AS7" s="979">
        <f>AO7+AP7-AQ7</f>
        <v/>
      </c>
      <c r="AT7" s="979">
        <f>AJ7+AK7+AL7-AM7+AN7-AI7</f>
        <v/>
      </c>
      <c r="AU7" s="979">
        <f>AF7+AI7-AO7</f>
        <v/>
      </c>
      <c r="AV7" s="979">
        <f>AF7</f>
        <v/>
      </c>
      <c r="AW7" s="979">
        <f>AI7</f>
        <v/>
      </c>
      <c r="AX7" s="979">
        <f>AP7</f>
        <v/>
      </c>
      <c r="AY7" s="979">
        <f>AV7+AW7+AX7</f>
        <v/>
      </c>
      <c r="AZ7" s="977" t="n"/>
      <c r="BA7" s="977" t="n"/>
      <c r="BB7" s="1201" t="n"/>
      <c r="BC7" s="1191" t="n">
        <v>1684656.761128</v>
      </c>
      <c r="BD7" s="977" t="n">
        <v>653391.347447</v>
      </c>
      <c r="BE7" s="977" t="n">
        <v>-59.389117</v>
      </c>
      <c r="BF7" s="1191" t="n">
        <v>-793351.181847</v>
      </c>
      <c r="BG7" s="977" t="n">
        <v>141688.02544</v>
      </c>
      <c r="BH7" s="977" t="n">
        <v>0.002835</v>
      </c>
      <c r="BI7" s="977" t="n">
        <v>-3282.093264</v>
      </c>
      <c r="BJ7" s="1191" t="n"/>
      <c r="BK7" s="977">
        <f>Q7</f>
        <v/>
      </c>
      <c r="BL7" s="979">
        <f>BK7-BC7-SUM(BD7:BJ7)</f>
        <v/>
      </c>
      <c r="BM7" s="1191" t="n">
        <v>1602944.804188</v>
      </c>
      <c r="BN7" s="977" t="n"/>
      <c r="BO7" s="977" t="n"/>
      <c r="BP7" s="977">
        <f>AR7</f>
        <v/>
      </c>
      <c r="BQ7" s="1191" t="n"/>
      <c r="BR7" s="977" t="n"/>
      <c r="BS7" s="977">
        <f>R7</f>
        <v/>
      </c>
      <c r="BT7" s="979" t="n">
        <v>0</v>
      </c>
      <c r="BU7" s="1192" t="n"/>
      <c r="BV7" s="1192" t="n">
        <v>380499.378612</v>
      </c>
      <c r="BW7" s="1192" t="n">
        <v>2021450.854804</v>
      </c>
      <c r="BX7" s="1192" t="n"/>
      <c r="BY7" s="1192" t="n"/>
      <c r="BZ7" s="1203" t="n"/>
      <c r="CA7" s="1192" t="n"/>
      <c r="CB7" s="1192" t="n"/>
      <c r="CC7" s="977" t="n"/>
      <c r="CD7" s="977" t="n"/>
      <c r="CE7" s="1191" t="n"/>
      <c r="CF7" s="1191" t="n"/>
      <c r="CG7" s="1191" t="n"/>
      <c r="CH7" s="1191" t="n"/>
      <c r="CI7" s="1191" t="n"/>
      <c r="CJ7" s="977" t="n"/>
      <c r="CK7" s="977" t="n"/>
      <c r="CL7" s="977" t="n"/>
      <c r="CM7" s="977" t="n"/>
      <c r="CN7" s="978" t="n">
        <v>2.112</v>
      </c>
      <c r="CO7" s="977" t="n">
        <v>3815594</v>
      </c>
      <c r="CP7" s="977" t="n">
        <v>1806245</v>
      </c>
      <c r="CQ7" s="1201" t="n">
        <v>2.112</v>
      </c>
      <c r="CR7" s="1191" t="n">
        <v>3815594</v>
      </c>
      <c r="CS7" s="1191" t="n">
        <v>1806245</v>
      </c>
      <c r="CT7" s="977" t="n"/>
      <c r="CU7" s="977" t="n">
        <v>1037584.108003</v>
      </c>
      <c r="CV7" s="977" t="n"/>
      <c r="CW7" s="977" t="n"/>
      <c r="CX7" s="977" t="n"/>
      <c r="CY7" s="977" t="n"/>
      <c r="CZ7" s="977" t="n"/>
      <c r="DA7" s="977" t="n"/>
      <c r="DB7" s="977" t="n"/>
      <c r="DC7" s="1201" t="n"/>
      <c r="DD7" s="1191" t="n"/>
      <c r="DE7" s="1191" t="n"/>
      <c r="DF7" s="977" t="n"/>
      <c r="DG7" s="1191" t="n"/>
      <c r="DH7" s="1191" t="n"/>
      <c r="DI7" s="1191" t="n"/>
      <c r="DJ7" s="1191" t="n"/>
      <c r="DK7" s="1191" t="n"/>
      <c r="DL7" s="1191" t="n"/>
      <c r="DM7" s="1191" t="n"/>
      <c r="DN7" s="977" t="n"/>
      <c r="DO7" s="977" t="n"/>
      <c r="DP7" s="977" t="n"/>
      <c r="DQ7" s="977" t="n"/>
      <c r="DR7" s="977" t="n"/>
      <c r="DS7" s="977" t="n"/>
      <c r="DT7" s="977" t="n"/>
      <c r="DU7" s="977" t="n"/>
      <c r="DV7" s="977" t="n"/>
      <c r="DW7" s="977" t="n"/>
      <c r="DX7" s="977" t="n"/>
      <c r="DY7" s="977" t="n"/>
      <c r="DZ7" s="977" t="n"/>
      <c r="EA7" s="977" t="n"/>
      <c r="EB7" s="977" t="n"/>
      <c r="EC7" s="977" t="n"/>
      <c r="ED7" s="977" t="n"/>
      <c r="EE7" s="977" t="n"/>
      <c r="EP7" s="977" t="n"/>
      <c r="EQ7" s="977" t="n"/>
      <c r="ER7" s="977" t="n"/>
      <c r="ES7" s="977" t="n"/>
      <c r="ET7" s="977" t="n"/>
      <c r="EU7" s="977" t="n"/>
      <c r="EV7" s="977" t="n"/>
      <c r="EW7" s="977" t="n"/>
      <c r="EX7" s="977" t="n"/>
      <c r="EY7" s="977" t="n"/>
      <c r="EZ7" s="977" t="n"/>
      <c r="FA7" s="977" t="n"/>
      <c r="FB7" s="977" t="n"/>
    </row>
    <row r="8" customFormat="1" s="101">
      <c r="A8" s="101" t="inlineStr">
        <is>
          <t>2412미래</t>
        </is>
      </c>
      <c r="B8" s="101" t="n">
        <v>2412</v>
      </c>
      <c r="C8" s="101" t="inlineStr">
        <is>
          <t>미래</t>
        </is>
      </c>
      <c r="D8" s="977" t="n">
        <v>32404438.804746</v>
      </c>
      <c r="E8" s="977" t="n">
        <v>15392284.369489</v>
      </c>
      <c r="F8" s="977" t="n">
        <v>11969183.336759</v>
      </c>
      <c r="G8" s="977" t="n">
        <v>3499463.44569</v>
      </c>
      <c r="H8" s="977" t="n">
        <v>142042.965503</v>
      </c>
      <c r="I8" s="978">
        <f>E8/D8</f>
        <v/>
      </c>
      <c r="J8" s="978">
        <f>F8/D8</f>
        <v/>
      </c>
      <c r="K8" s="978">
        <f>G8/D8</f>
        <v/>
      </c>
      <c r="L8" s="977" t="n">
        <v>29851200.854978</v>
      </c>
      <c r="M8" s="977" t="n">
        <v>26248411.835353</v>
      </c>
      <c r="N8" s="979">
        <f>O8-P8</f>
        <v/>
      </c>
      <c r="O8" s="979" t="n">
        <v>2553237.949768</v>
      </c>
      <c r="P8" s="979" t="n"/>
      <c r="Q8" s="979" t="n">
        <v>-190609.909176</v>
      </c>
      <c r="R8" s="979" t="n">
        <v>1942924.078999</v>
      </c>
      <c r="S8" s="979" t="n">
        <v>3019027.063545</v>
      </c>
      <c r="T8" s="979" t="n">
        <v>3019027.063545</v>
      </c>
      <c r="U8" s="1196" t="n"/>
      <c r="V8" s="1196" t="n">
        <v>19251277.201448</v>
      </c>
      <c r="W8" s="1202" t="n"/>
      <c r="X8" s="979">
        <f>Q8</f>
        <v/>
      </c>
      <c r="Y8" s="1192" t="n"/>
      <c r="Z8" s="1192" t="n"/>
      <c r="AA8" s="1192" t="n"/>
      <c r="AB8" s="1192" t="n"/>
      <c r="AC8" s="1192" t="n"/>
      <c r="AD8" s="1192" t="n"/>
      <c r="AE8" s="979">
        <f>X8-(Y8+Z8+AA8+AB8+AC8+AD8)</f>
        <v/>
      </c>
      <c r="AF8" s="977" t="n">
        <v>119275.544347</v>
      </c>
      <c r="AG8" s="977" t="n">
        <v>983399.644285</v>
      </c>
      <c r="AH8" s="977" t="n">
        <v>864124.099938</v>
      </c>
      <c r="AI8" s="977" t="n">
        <v>-4336.640029</v>
      </c>
      <c r="AJ8" s="977" t="n">
        <v>-2073905.147373</v>
      </c>
      <c r="AK8" s="977" t="n">
        <v>805.881624</v>
      </c>
      <c r="AL8" s="977">
        <f>AI8-AJ8-AK8+AM8-AN8</f>
        <v/>
      </c>
      <c r="AM8" s="977" t="n">
        <v>20023.981185</v>
      </c>
      <c r="AN8" s="977" t="n">
        <v>23553.670503</v>
      </c>
      <c r="AO8" s="977" t="n">
        <v>114938.904318</v>
      </c>
      <c r="AP8" s="977" t="n">
        <v>883.982452</v>
      </c>
      <c r="AQ8" s="979" t="n">
        <v>115822.88677</v>
      </c>
      <c r="AR8" s="979" t="n">
        <v>125038.95284</v>
      </c>
      <c r="AS8" s="979">
        <f>AO8+AP8-AQ8</f>
        <v/>
      </c>
      <c r="AT8" s="979">
        <f>AJ8+AK8+AL8-AM8+AN8-AI8</f>
        <v/>
      </c>
      <c r="AU8" s="979">
        <f>AF8+AI8-AO8</f>
        <v/>
      </c>
      <c r="AV8" s="979">
        <f>AF8</f>
        <v/>
      </c>
      <c r="AW8" s="979">
        <f>AI8</f>
        <v/>
      </c>
      <c r="AX8" s="979">
        <f>AP8</f>
        <v/>
      </c>
      <c r="AY8" s="979">
        <f>AV8+AW8+AX8</f>
        <v/>
      </c>
      <c r="AZ8" s="977" t="n"/>
      <c r="BA8" s="977" t="n"/>
      <c r="BB8" s="1201" t="n"/>
      <c r="BC8" s="977" t="n">
        <v>400218.841246</v>
      </c>
      <c r="BD8" s="977" t="n">
        <v>187559.891758</v>
      </c>
      <c r="BE8" s="977" t="n"/>
      <c r="BF8" s="977" t="n">
        <v>-887196.893983</v>
      </c>
      <c r="BG8" s="977" t="n">
        <v>108707.310233</v>
      </c>
      <c r="BH8" s="977" t="n">
        <v>0.209707</v>
      </c>
      <c r="BI8" s="977" t="n">
        <v>101.415668</v>
      </c>
      <c r="BJ8" s="1191" t="n"/>
      <c r="BK8" s="977">
        <f>Q8</f>
        <v/>
      </c>
      <c r="BL8" s="982">
        <f>BK8-BC8-SUM(BD8:BJ8)</f>
        <v/>
      </c>
      <c r="BM8" s="977" t="n">
        <v>1817884.442354</v>
      </c>
      <c r="BN8" s="977" t="n"/>
      <c r="BO8" s="977" t="n"/>
      <c r="BP8" s="977">
        <f>AR8</f>
        <v/>
      </c>
      <c r="BQ8" s="1191" t="n"/>
      <c r="BR8" s="977" t="n"/>
      <c r="BS8" s="977">
        <f>R8</f>
        <v/>
      </c>
      <c r="BT8" s="979" t="n">
        <v>0</v>
      </c>
      <c r="BU8" s="1192" t="n"/>
      <c r="BV8" s="1192" t="n">
        <v>386712.684541</v>
      </c>
      <c r="BW8" s="1192" t="n">
        <v>2078212.068979</v>
      </c>
      <c r="BX8" s="1192" t="n"/>
      <c r="BY8" s="1192" t="n"/>
      <c r="BZ8" s="1192" t="n"/>
      <c r="CA8" s="1192" t="n"/>
      <c r="CB8" s="1192" t="n"/>
      <c r="CC8" s="1204" t="n"/>
      <c r="CD8" s="977" t="n"/>
      <c r="CE8" s="1191" t="n"/>
      <c r="CF8" s="1191" t="n"/>
      <c r="CG8" s="1191" t="n"/>
      <c r="CH8" s="1191" t="n"/>
      <c r="CI8" s="1191" t="n"/>
      <c r="CJ8" s="977" t="n"/>
      <c r="CK8" s="977" t="n"/>
      <c r="CL8" s="977" t="n"/>
      <c r="CM8" s="977" t="n"/>
      <c r="CN8" s="978" t="n">
        <v>1.924</v>
      </c>
      <c r="CO8" s="977" t="n">
        <v>3579638</v>
      </c>
      <c r="CP8" s="977" t="n">
        <v>1860572</v>
      </c>
      <c r="CQ8" s="1201" t="n">
        <v>1.924</v>
      </c>
      <c r="CR8" s="1191" t="n">
        <v>3579638</v>
      </c>
      <c r="CS8" s="1191" t="n">
        <v>1860572</v>
      </c>
      <c r="CT8" s="977" t="n"/>
      <c r="CU8" s="1191" t="n">
        <v>992343.1609050001</v>
      </c>
      <c r="CV8" s="977" t="n"/>
      <c r="CW8" s="102" t="n">
        <v>0.97</v>
      </c>
      <c r="CX8" s="102" t="n">
        <v>1.03</v>
      </c>
      <c r="CY8" s="102">
        <f>CW8-CX8</f>
        <v/>
      </c>
      <c r="CZ8" s="197">
        <f>CX8/CW8</f>
        <v/>
      </c>
      <c r="DA8" s="977" t="n"/>
      <c r="DB8" s="977" t="n"/>
      <c r="DC8" s="1201" t="n"/>
      <c r="DD8" s="1191" t="n"/>
      <c r="DE8" s="1191" t="n"/>
      <c r="DF8" s="977" t="n"/>
      <c r="DG8" s="1191" t="n"/>
      <c r="DH8" s="1191" t="n"/>
      <c r="DI8" s="1191" t="n"/>
      <c r="DJ8" s="1191" t="n"/>
      <c r="DK8" s="1191" t="n"/>
      <c r="DL8" s="1191" t="n"/>
      <c r="DM8" s="1191" t="n"/>
      <c r="DN8" s="977" t="n"/>
      <c r="DO8" s="977" t="n"/>
      <c r="DP8" s="977" t="n"/>
      <c r="DQ8" s="977" t="n"/>
      <c r="DR8" s="977" t="n"/>
      <c r="DS8" s="977" t="n"/>
      <c r="DT8" s="977" t="n"/>
      <c r="DU8" s="977" t="n"/>
      <c r="DV8" s="977" t="n"/>
      <c r="DW8" s="977" t="n"/>
      <c r="DX8" s="977" t="n"/>
      <c r="DY8" s="977" t="n"/>
      <c r="DZ8" s="977" t="n"/>
      <c r="EA8" s="977" t="n"/>
      <c r="EB8" s="977" t="n"/>
      <c r="EC8" s="977" t="n"/>
      <c r="ED8" s="977" t="n"/>
      <c r="EE8" s="977" t="n"/>
      <c r="EP8" s="977" t="n">
        <v>322240</v>
      </c>
      <c r="EQ8" s="977" t="n">
        <v>-284866</v>
      </c>
      <c r="ER8" s="977" t="n">
        <v>41396</v>
      </c>
      <c r="ES8" s="977" t="n">
        <v>479026</v>
      </c>
      <c r="ET8" s="1191" t="n">
        <v>-341670</v>
      </c>
      <c r="EU8" s="977" t="n"/>
      <c r="EV8" s="977" t="n"/>
      <c r="EW8" s="977" t="n">
        <v>-322240</v>
      </c>
      <c r="EX8" s="977" t="n">
        <v>284866</v>
      </c>
      <c r="EY8" s="977" t="n">
        <v>-41396</v>
      </c>
      <c r="EZ8" s="977" t="n">
        <v>-479026</v>
      </c>
      <c r="FA8" s="977" t="n">
        <v>341670</v>
      </c>
      <c r="FB8" s="977" t="n">
        <v>24576</v>
      </c>
      <c r="FC8" s="697" t="n">
        <v>0</v>
      </c>
    </row>
    <row r="9" customFormat="1" s="101">
      <c r="A9" s="101" t="inlineStr">
        <is>
          <t>2503미래</t>
        </is>
      </c>
      <c r="B9" s="101" t="n">
        <v>2503</v>
      </c>
      <c r="C9" s="101" t="inlineStr">
        <is>
          <t>미래</t>
        </is>
      </c>
      <c r="D9" s="977" t="n">
        <v>32214588.505664</v>
      </c>
      <c r="E9" s="977" t="n">
        <v>15112991.502851</v>
      </c>
      <c r="F9" s="977" t="n">
        <v>12442117.804534</v>
      </c>
      <c r="G9" s="977" t="n">
        <v>3110827.729214</v>
      </c>
      <c r="H9" s="977" t="n">
        <v>142042.965503</v>
      </c>
      <c r="I9" s="978">
        <f>E9/D9</f>
        <v/>
      </c>
      <c r="J9" s="978">
        <f>F9/D9</f>
        <v/>
      </c>
      <c r="K9" s="978">
        <f>G9/D9</f>
        <v/>
      </c>
      <c r="L9" s="977" t="n">
        <v>29747791.285061</v>
      </c>
      <c r="M9" s="977" t="n">
        <v>26550413.233904</v>
      </c>
      <c r="N9" s="979">
        <f>O9-P9</f>
        <v/>
      </c>
      <c r="O9" s="979" t="n">
        <v>2466797.220603</v>
      </c>
      <c r="P9" s="979" t="n"/>
      <c r="Q9" s="979" t="n">
        <v>-301370.406516</v>
      </c>
      <c r="R9" s="979" t="n">
        <v>1967243.847174</v>
      </c>
      <c r="S9" s="979" t="n">
        <v>2553237.949768</v>
      </c>
      <c r="T9" s="979" t="n">
        <v>2553237.949768</v>
      </c>
      <c r="U9" s="1196" t="n">
        <v>19873173</v>
      </c>
      <c r="V9" s="1196" t="n">
        <v>19288638.628703</v>
      </c>
      <c r="W9" s="1202" t="n">
        <v>0.9596</v>
      </c>
      <c r="X9" s="979">
        <f>Q9</f>
        <v/>
      </c>
      <c r="Y9" s="1192" t="n"/>
      <c r="Z9" s="1192" t="n"/>
      <c r="AA9" s="1192" t="n"/>
      <c r="AB9" s="1192" t="n"/>
      <c r="AC9" s="1192" t="n"/>
      <c r="AD9" s="1192" t="n"/>
      <c r="AE9" s="979">
        <f>X9-(Y9+Z9+AA9+AB9+AC9+AD9)</f>
        <v/>
      </c>
      <c r="AF9" s="977" t="n">
        <v>38885.306583</v>
      </c>
      <c r="AG9" s="977" t="n">
        <v>265006.263782</v>
      </c>
      <c r="AH9" s="977" t="n">
        <v>226120.957199</v>
      </c>
      <c r="AI9" s="977" t="n">
        <v>352.608881</v>
      </c>
      <c r="AJ9" s="977" t="n">
        <v>-16143.160979</v>
      </c>
      <c r="AK9" s="1191" t="n">
        <v>249.762431</v>
      </c>
      <c r="AL9" s="977">
        <f>AI9-AJ9-AK9+AM9-AN9</f>
        <v/>
      </c>
      <c r="AM9" s="977" t="n">
        <v>5082.588551</v>
      </c>
      <c r="AN9" s="977" t="n">
        <v>28134.391367</v>
      </c>
      <c r="AO9" s="977" t="n">
        <v>39237.915464</v>
      </c>
      <c r="AP9" s="977" t="n">
        <v>-973.4016</v>
      </c>
      <c r="AQ9" s="979" t="n">
        <v>38264.513864</v>
      </c>
      <c r="AR9" s="979" t="n">
        <v>24319.768175</v>
      </c>
      <c r="AS9" s="979">
        <f>AO9+AP9-AQ9</f>
        <v/>
      </c>
      <c r="AT9" s="979">
        <f>AJ9+AK9+AL9-AM9+AN9-AI9</f>
        <v/>
      </c>
      <c r="AU9" s="979">
        <f>AF9+AI9-AO9</f>
        <v/>
      </c>
      <c r="AV9" s="979">
        <f>AF9</f>
        <v/>
      </c>
      <c r="AW9" s="979">
        <f>AI9</f>
        <v/>
      </c>
      <c r="AX9" s="979">
        <f>AP9</f>
        <v/>
      </c>
      <c r="AY9" s="979">
        <f>AV9+AW9+AX9</f>
        <v/>
      </c>
      <c r="AZ9" s="977" t="n"/>
      <c r="BA9" s="977" t="n"/>
      <c r="BB9" s="978" t="n"/>
      <c r="BC9" s="977" t="n">
        <v>-190609.909176</v>
      </c>
      <c r="BD9" s="977" t="n">
        <v>294887.487859</v>
      </c>
      <c r="BE9" s="977" t="n"/>
      <c r="BF9" s="977" t="n">
        <v>-468292.981578</v>
      </c>
      <c r="BG9" s="977" t="n">
        <v>62495.836189</v>
      </c>
      <c r="BH9" s="977" t="n">
        <v>-0.003762</v>
      </c>
      <c r="BI9" s="977" t="n">
        <v>149.163952</v>
      </c>
      <c r="BJ9" s="977" t="n"/>
      <c r="BK9" s="977">
        <f>Q9</f>
        <v/>
      </c>
      <c r="BL9" s="979">
        <f>BK9-BC9-SUM(BD9:BJ9)</f>
        <v/>
      </c>
      <c r="BM9" s="977" t="n">
        <v>1942924.078999</v>
      </c>
      <c r="BN9" s="977" t="n"/>
      <c r="BO9" s="977" t="n"/>
      <c r="BP9" s="977">
        <f>AR9</f>
        <v/>
      </c>
      <c r="BQ9" s="977" t="n"/>
      <c r="BR9" s="977" t="n"/>
      <c r="BS9" s="977">
        <f>R9</f>
        <v/>
      </c>
      <c r="BT9" s="979" t="n">
        <v>0</v>
      </c>
      <c r="BU9" s="1192" t="n">
        <v>24594300</v>
      </c>
      <c r="BV9" s="1192" t="n">
        <v>384418.589201</v>
      </c>
      <c r="BW9" s="1192" t="n">
        <v>2084726.635596</v>
      </c>
      <c r="BX9" s="1192" t="n"/>
      <c r="BY9" s="1192" t="n"/>
      <c r="BZ9" s="1192" t="n"/>
      <c r="CA9" s="1192" t="n"/>
      <c r="CB9" s="1192" t="n"/>
      <c r="CC9" s="977" t="n"/>
      <c r="CD9" s="977" t="n"/>
      <c r="CE9" s="1191" t="n"/>
      <c r="CF9" s="1191" t="n"/>
      <c r="CG9" s="1191" t="n"/>
      <c r="CH9" s="1191" t="n"/>
      <c r="CI9" s="1191" t="n"/>
      <c r="CJ9" s="977">
        <f>BW9</f>
        <v/>
      </c>
      <c r="CK9" s="977" t="n"/>
      <c r="CL9" s="977" t="n"/>
      <c r="CM9" s="977" t="n"/>
      <c r="CN9" s="978" t="n"/>
      <c r="CO9" s="977" t="n"/>
      <c r="CP9" s="977" t="n"/>
      <c r="CQ9" s="1201" t="n">
        <v>1.8328</v>
      </c>
      <c r="CR9" s="1191" t="n">
        <v>3451121.767</v>
      </c>
      <c r="CS9" s="1191" t="n">
        <v>1883004.111</v>
      </c>
      <c r="CT9" s="977" t="n"/>
      <c r="CU9" s="1191" t="n">
        <v>1031843.28691</v>
      </c>
      <c r="CV9" s="977" t="n"/>
      <c r="CW9" s="102" t="n"/>
      <c r="CX9" s="102" t="n"/>
      <c r="CY9" s="102" t="n"/>
      <c r="CZ9" s="197" t="n"/>
      <c r="DA9" s="977" t="n"/>
      <c r="DB9" s="977" t="n"/>
      <c r="DC9" s="1201" t="n"/>
      <c r="DD9" s="1191" t="n"/>
      <c r="DE9" s="1191" t="n"/>
      <c r="DF9" s="977" t="n"/>
      <c r="DG9" s="1191" t="n"/>
      <c r="DH9" s="1191" t="n"/>
      <c r="DI9" s="1191" t="n"/>
      <c r="DJ9" s="1191" t="n"/>
      <c r="DK9" s="1191" t="n"/>
      <c r="DL9" s="1191" t="n"/>
      <c r="DM9" s="1191" t="n"/>
      <c r="DN9" s="977" t="n"/>
      <c r="DO9" s="977" t="n"/>
      <c r="DP9" s="977" t="n"/>
      <c r="DQ9" s="977" t="n"/>
      <c r="DR9" s="977" t="n"/>
      <c r="DS9" s="977" t="n"/>
      <c r="DT9" s="977" t="n"/>
      <c r="DU9" s="977" t="n"/>
      <c r="DV9" s="977" t="n"/>
      <c r="DW9" s="977" t="n"/>
      <c r="DX9" s="977" t="n"/>
      <c r="DY9" s="977" t="n"/>
      <c r="DZ9" s="977" t="n"/>
      <c r="EA9" s="977" t="n"/>
      <c r="EB9" s="977" t="n"/>
      <c r="EC9" s="977" t="n"/>
      <c r="ED9" s="977" t="n"/>
      <c r="EE9" s="977" t="n"/>
      <c r="EP9" s="977" t="n"/>
      <c r="EQ9" s="977" t="n"/>
      <c r="ER9" s="977" t="n"/>
      <c r="ES9" s="977" t="n"/>
      <c r="ET9" s="977" t="n"/>
      <c r="EU9" s="977" t="n"/>
      <c r="EV9" s="977" t="n"/>
      <c r="EW9" s="977" t="n"/>
      <c r="EX9" s="977" t="n"/>
      <c r="EY9" s="977" t="n"/>
      <c r="EZ9" s="977" t="n"/>
      <c r="FA9" s="977" t="n"/>
      <c r="FB9" s="977" t="n"/>
    </row>
    <row r="10" customFormat="1" s="101">
      <c r="A10" s="101" t="inlineStr">
        <is>
          <t>2506미래</t>
        </is>
      </c>
      <c r="B10" s="101" t="n">
        <v>2506</v>
      </c>
      <c r="C10" s="101" t="inlineStr">
        <is>
          <t>미래</t>
        </is>
      </c>
      <c r="D10" s="977" t="n">
        <v>32215468.491141</v>
      </c>
      <c r="E10" s="977" t="n">
        <v>15656028.855631</v>
      </c>
      <c r="F10" s="977" t="n">
        <v>12053808.702816</v>
      </c>
      <c r="G10" s="977" t="n">
        <v>3067006.105679</v>
      </c>
      <c r="H10" s="977" t="n">
        <v>142042.965503</v>
      </c>
      <c r="I10" s="978">
        <f>E10/D10</f>
        <v/>
      </c>
      <c r="J10" s="978">
        <f>F10/D10</f>
        <v/>
      </c>
      <c r="K10" s="978">
        <f>G10/D10</f>
        <v/>
      </c>
      <c r="L10" s="977" t="n">
        <v>29744745.599781</v>
      </c>
      <c r="M10" s="977" t="n">
        <v>26726920.177778</v>
      </c>
      <c r="N10" s="979">
        <f>O10-P10</f>
        <v/>
      </c>
      <c r="O10" s="979" t="n">
        <v>2470722.89136</v>
      </c>
      <c r="P10" s="979" t="n"/>
      <c r="Q10" s="979" t="n">
        <v>-347798.366721</v>
      </c>
      <c r="R10" s="979" t="n">
        <v>2017597.478136</v>
      </c>
      <c r="S10" s="979" t="n">
        <v>2553237.949768</v>
      </c>
      <c r="T10" s="979" t="n">
        <v>2553237.949768</v>
      </c>
      <c r="U10" s="1196" t="n"/>
      <c r="V10" s="1196" t="n">
        <v>18966515.444032</v>
      </c>
      <c r="W10" s="1202" t="n"/>
      <c r="X10" s="979">
        <f>Q10</f>
        <v/>
      </c>
      <c r="Y10" s="979" t="n">
        <v>-514563.224048</v>
      </c>
      <c r="Z10" s="979" t="n">
        <v>-28949.164986</v>
      </c>
      <c r="AA10" s="979" t="n">
        <v>-2208.532674</v>
      </c>
      <c r="AB10" s="979" t="n">
        <v>198983.62318</v>
      </c>
      <c r="AC10" s="1192" t="n">
        <v>0.724592</v>
      </c>
      <c r="AD10" s="979" t="n">
        <v>-1061.789737</v>
      </c>
      <c r="AE10" s="979">
        <f>X10-(Y10+Z10+AA10+AB10+AC10+AD10)</f>
        <v/>
      </c>
      <c r="AF10" s="977" t="n">
        <v>83561.57513899999</v>
      </c>
      <c r="AG10" s="977" t="n">
        <v>532293.41955</v>
      </c>
      <c r="AH10" s="977" t="n">
        <v>448731.844411</v>
      </c>
      <c r="AI10" s="977" t="n">
        <v>20415.610316</v>
      </c>
      <c r="AJ10" s="977" t="n">
        <v>-594740.187898</v>
      </c>
      <c r="AK10" s="977" t="n">
        <v>483.380778</v>
      </c>
      <c r="AL10" s="977">
        <f>AI10-AJ10-AK10+AM10-AN10</f>
        <v/>
      </c>
      <c r="AM10" s="977" t="n">
        <v>10167.640203</v>
      </c>
      <c r="AN10" s="977" t="n">
        <v>41737.11187</v>
      </c>
      <c r="AO10" s="977" t="n">
        <v>103977.185455</v>
      </c>
      <c r="AP10" s="977" t="n">
        <v>-2377.131308</v>
      </c>
      <c r="AQ10" s="979" t="n">
        <v>101600.054147</v>
      </c>
      <c r="AR10" s="979" t="n">
        <v>74673.399137</v>
      </c>
      <c r="AS10" s="979">
        <f>AO10+AP10-AQ10</f>
        <v/>
      </c>
      <c r="AT10" s="979">
        <f>AJ10+AK10+AL10-AM10+AN10-AI10</f>
        <v/>
      </c>
      <c r="AU10" s="979">
        <f>AF10+AI10-AO10</f>
        <v/>
      </c>
      <c r="AV10" s="979">
        <f>AF10</f>
        <v/>
      </c>
      <c r="AW10" s="979">
        <f>AI10</f>
        <v/>
      </c>
      <c r="AX10" s="979">
        <f>AP10</f>
        <v/>
      </c>
      <c r="AY10" s="979">
        <f>AV10+AW10+AX10</f>
        <v/>
      </c>
      <c r="AZ10" s="977" t="n"/>
      <c r="BA10" s="977" t="n"/>
      <c r="BB10" s="978" t="n"/>
      <c r="BC10" s="977" t="n">
        <v>-190609.909176</v>
      </c>
      <c r="BD10" s="979" t="n">
        <v>149007.451646</v>
      </c>
      <c r="BE10" s="979" t="n"/>
      <c r="BF10" s="979" t="n">
        <v>-290284.574693</v>
      </c>
      <c r="BG10" s="979" t="n">
        <v>-16444.27315</v>
      </c>
      <c r="BH10" s="979" t="n">
        <v>-0.003048</v>
      </c>
      <c r="BI10" s="979" t="n">
        <v>532.9417</v>
      </c>
      <c r="BJ10" s="979" t="n"/>
      <c r="BK10" s="977">
        <f>Q10</f>
        <v/>
      </c>
      <c r="BL10" s="979">
        <f>BK10-BC10-SUM(BD10:BJ10)</f>
        <v/>
      </c>
      <c r="BM10" s="977" t="n">
        <v>1942924.078999</v>
      </c>
      <c r="BN10" s="977" t="n"/>
      <c r="BO10" s="977" t="n"/>
      <c r="BP10" s="977">
        <f>AR10</f>
        <v/>
      </c>
      <c r="BQ10" s="977" t="n"/>
      <c r="BR10" s="977" t="n"/>
      <c r="BS10" s="977">
        <f>R10</f>
        <v/>
      </c>
      <c r="BT10" s="979" t="n">
        <v>0</v>
      </c>
      <c r="BU10" s="979" t="n">
        <v>24139969.938636</v>
      </c>
      <c r="BV10" s="979" t="n">
        <v>401723.316677</v>
      </c>
      <c r="BW10" s="979" t="n">
        <v>2185226.92247</v>
      </c>
      <c r="BX10" s="1192" t="n">
        <v>245194.972691</v>
      </c>
      <c r="BY10" s="1192" t="n">
        <v>99207.397518</v>
      </c>
      <c r="BZ10" s="1192" t="n">
        <v>-68549.585918</v>
      </c>
      <c r="CA10" s="1192" t="n">
        <v>29576.864236</v>
      </c>
      <c r="CB10" s="1192" t="n"/>
      <c r="CC10" s="977" t="n"/>
      <c r="CD10" s="977" t="n"/>
      <c r="CE10" s="1191" t="n"/>
      <c r="CF10" s="1191" t="n"/>
      <c r="CG10" s="1191" t="n"/>
      <c r="CH10" s="1191" t="n"/>
      <c r="CI10" s="1191" t="n"/>
      <c r="CJ10" s="977">
        <f>BW10</f>
        <v/>
      </c>
      <c r="CK10" s="983" t="n"/>
      <c r="CL10" s="977" t="n">
        <v>0</v>
      </c>
      <c r="CM10" s="977" t="n"/>
      <c r="CN10" s="978" t="n"/>
      <c r="CO10" s="977" t="n"/>
      <c r="CP10" s="977" t="n"/>
      <c r="CQ10" s="1201" t="n">
        <v>1.835</v>
      </c>
      <c r="CR10" s="1191" t="n">
        <v>3548526.845</v>
      </c>
      <c r="CS10" s="1191" t="n">
        <v>1933825.785</v>
      </c>
      <c r="CT10" s="977" t="n"/>
      <c r="CU10" s="977" t="n">
        <v>1075511.159716</v>
      </c>
      <c r="CV10" s="977" t="n"/>
      <c r="CW10" s="102" t="n"/>
      <c r="CX10" s="102" t="n"/>
      <c r="CY10" s="102" t="n"/>
      <c r="CZ10" s="197" t="n"/>
      <c r="DA10" s="977" t="n"/>
      <c r="DB10" s="977" t="n"/>
      <c r="DC10" s="1201" t="n"/>
      <c r="DD10" s="1191" t="n"/>
      <c r="DE10" s="1191" t="n"/>
      <c r="DF10" s="977" t="n"/>
      <c r="DG10" s="1191" t="n"/>
      <c r="DH10" s="1191" t="n"/>
      <c r="DI10" s="1191" t="n"/>
      <c r="DJ10" s="1191" t="n"/>
      <c r="DK10" s="1191" t="n"/>
      <c r="DL10" s="1191" t="n"/>
      <c r="DM10" s="1191" t="n"/>
      <c r="DN10" s="977" t="n"/>
      <c r="DO10" s="977" t="n"/>
      <c r="DP10" s="977" t="n"/>
      <c r="DQ10" s="977" t="n"/>
      <c r="DR10" s="977" t="n"/>
      <c r="DS10" s="977" t="n"/>
      <c r="DT10" s="977" t="n"/>
      <c r="DU10" s="977" t="n"/>
      <c r="DV10" s="977" t="n"/>
      <c r="DW10" s="977" t="n"/>
      <c r="DX10" s="977" t="n"/>
      <c r="DY10" s="977" t="n"/>
      <c r="DZ10" s="977" t="n"/>
      <c r="EA10" s="977" t="n"/>
      <c r="EB10" s="977" t="n"/>
      <c r="EC10" s="977" t="n"/>
      <c r="ED10" s="977" t="n"/>
      <c r="EE10" s="977" t="n"/>
      <c r="EP10" s="977" t="n"/>
      <c r="EQ10" s="977" t="n"/>
      <c r="ER10" s="977" t="n"/>
      <c r="ES10" s="977" t="n"/>
      <c r="ET10" s="977" t="n"/>
      <c r="EU10" s="977" t="n"/>
      <c r="EV10" s="977" t="n"/>
      <c r="EW10" s="977" t="n"/>
      <c r="EX10" s="977" t="n"/>
      <c r="EY10" s="977" t="n"/>
      <c r="EZ10" s="977" t="n"/>
      <c r="FA10" s="977" t="n"/>
      <c r="FB10" s="977" t="n"/>
    </row>
    <row r="11" customFormat="1" s="101">
      <c r="A11" s="101" t="inlineStr">
        <is>
          <t>2509미래</t>
        </is>
      </c>
      <c r="B11" s="101" t="n">
        <v>2509</v>
      </c>
      <c r="C11" s="101" t="inlineStr">
        <is>
          <t>미래</t>
        </is>
      </c>
      <c r="D11" s="977" t="n">
        <v>33165463.238684</v>
      </c>
      <c r="E11" s="977" t="n">
        <v>16558856.627634</v>
      </c>
      <c r="F11" s="977" t="n">
        <v>12326566.814335</v>
      </c>
      <c r="G11" s="977" t="n">
        <v>2883514.038402</v>
      </c>
      <c r="H11" s="977" t="n">
        <v>142042.965503</v>
      </c>
      <c r="I11" s="978">
        <f>E11/D11</f>
        <v/>
      </c>
      <c r="J11" s="978">
        <f>F11/D11</f>
        <v/>
      </c>
      <c r="K11" s="978">
        <f>G11/D11</f>
        <v/>
      </c>
      <c r="L11" s="977" t="n">
        <v>30683351.810687</v>
      </c>
      <c r="M11" s="977" t="n">
        <v>27342067.893353</v>
      </c>
      <c r="N11" s="979">
        <f>O11-P11</f>
        <v/>
      </c>
      <c r="O11" s="979" t="n">
        <v>2482111.427997</v>
      </c>
      <c r="P11" s="979" t="n"/>
      <c r="Q11" s="979" t="n">
        <v>-382933.654079</v>
      </c>
      <c r="R11" s="979" t="n">
        <v>2064121.302131</v>
      </c>
      <c r="S11" s="979" t="n">
        <v>2553237.949768</v>
      </c>
      <c r="T11" s="979" t="n">
        <v>2553237.949768</v>
      </c>
      <c r="U11" s="1196" t="n"/>
      <c r="V11" s="1196" t="n">
        <v>19069966.73644</v>
      </c>
      <c r="W11" s="1202" t="n"/>
      <c r="X11" s="979">
        <f>Q11</f>
        <v/>
      </c>
      <c r="Y11" s="979" t="n">
        <v>-563472.233294</v>
      </c>
      <c r="Z11" s="979" t="n">
        <v>69595.550106</v>
      </c>
      <c r="AA11" s="979" t="n">
        <v>-1981.914014</v>
      </c>
      <c r="AB11" s="979" t="n">
        <v>113268.772136</v>
      </c>
      <c r="AC11" s="1192" t="n">
        <v>0.724592</v>
      </c>
      <c r="AD11" s="979" t="n">
        <v>-344.550824</v>
      </c>
      <c r="AE11" s="979">
        <f>X11-(Y11+Z11+AA11+AB11+AC11+AD11)</f>
        <v/>
      </c>
      <c r="AF11" s="977" t="n">
        <v>117870.78557</v>
      </c>
      <c r="AG11" s="977" t="n">
        <v>814383.521239</v>
      </c>
      <c r="AH11" s="977" t="n">
        <v>696512.735669</v>
      </c>
      <c r="AI11" s="977" t="n">
        <v>44958.711119</v>
      </c>
      <c r="AJ11" s="977" t="n">
        <v>-1632522.389875</v>
      </c>
      <c r="AK11" s="977" t="n">
        <v>736.40515</v>
      </c>
      <c r="AL11" s="977">
        <f>AI11-AJ11-AK11+AM11-AN11</f>
        <v/>
      </c>
      <c r="AM11" s="977" t="n">
        <v>15483.933791</v>
      </c>
      <c r="AN11" s="977" t="n">
        <v>47816.916994</v>
      </c>
      <c r="AO11" s="977" t="n">
        <v>162829.496689</v>
      </c>
      <c r="AP11" s="977" t="n">
        <v>-2693.664055</v>
      </c>
      <c r="AQ11" s="979" t="n">
        <v>160135.832634</v>
      </c>
      <c r="AR11" s="979" t="n">
        <v>121197.223132</v>
      </c>
      <c r="AS11" s="979">
        <f>AO11+AP11-AQ11</f>
        <v/>
      </c>
      <c r="AT11" s="979">
        <f>AJ11+AK11+AL11-AM11+AN11-AI11</f>
        <v/>
      </c>
      <c r="AU11" s="979">
        <f>AF11+AI11-AO11</f>
        <v/>
      </c>
      <c r="AV11" s="979">
        <f>AF11</f>
        <v/>
      </c>
      <c r="AW11" s="979">
        <f>AI11</f>
        <v/>
      </c>
      <c r="AX11" s="979">
        <f>AP11</f>
        <v/>
      </c>
      <c r="AY11" s="979">
        <f>AV11+AW11+AX11</f>
        <v/>
      </c>
      <c r="AZ11" s="977" t="n"/>
      <c r="BA11" s="977" t="n"/>
      <c r="BB11" s="978" t="n"/>
      <c r="BC11" s="977" t="n">
        <v>-190609.909176</v>
      </c>
      <c r="BD11" s="977" t="n">
        <v>100098.4424</v>
      </c>
      <c r="BE11" s="977" t="n"/>
      <c r="BF11" s="977" t="n">
        <v>-191513.240941</v>
      </c>
      <c r="BG11" s="977" t="n">
        <v>-102159.124194</v>
      </c>
      <c r="BH11" s="1191" t="n">
        <v>-0.002781</v>
      </c>
      <c r="BI11" s="977" t="n">
        <v>1250.180613</v>
      </c>
      <c r="BJ11" s="977" t="n"/>
      <c r="BK11" s="977">
        <f>Q11</f>
        <v/>
      </c>
      <c r="BL11" s="979">
        <f>BK11-BC11-SUM(BD11:BJ11)</f>
        <v/>
      </c>
      <c r="BM11" s="977" t="n">
        <v>1942924.078999</v>
      </c>
      <c r="BN11" s="977" t="n"/>
      <c r="BO11" s="977" t="n"/>
      <c r="BP11" s="977">
        <f>AR11</f>
        <v/>
      </c>
      <c r="BQ11" s="977" t="n"/>
      <c r="BR11" s="977" t="n"/>
      <c r="BS11" s="977">
        <f>R11</f>
        <v/>
      </c>
      <c r="BT11" s="979" t="n">
        <v>0</v>
      </c>
      <c r="BU11" s="979" t="n">
        <v>24594265.991564</v>
      </c>
      <c r="BV11" s="979" t="n">
        <v>414869.508507</v>
      </c>
      <c r="BW11" s="977" t="n">
        <v>2332932.393282</v>
      </c>
      <c r="BX11" s="1192" t="n">
        <v>396289.298547</v>
      </c>
      <c r="BY11" s="1191" t="n">
        <v>153120.516457</v>
      </c>
      <c r="BZ11" s="1192" t="n">
        <v>-33316.996406</v>
      </c>
      <c r="CA11" s="1192" t="n">
        <v>44868.538619</v>
      </c>
      <c r="CB11" s="1192" t="n"/>
      <c r="CC11" s="977" t="n"/>
      <c r="CD11" s="977" t="n"/>
      <c r="CE11" s="1191" t="n"/>
      <c r="CF11" s="1191" t="n"/>
      <c r="CG11" s="1191" t="n"/>
      <c r="CH11" s="1191" t="n"/>
      <c r="CI11" s="1191" t="n"/>
      <c r="CJ11" s="977">
        <f>BW11</f>
        <v/>
      </c>
      <c r="CK11" s="983" t="n"/>
      <c r="CL11" s="977" t="n">
        <v>0</v>
      </c>
      <c r="CM11" s="977" t="n"/>
      <c r="CN11" s="978" t="n"/>
      <c r="CO11" s="977" t="n"/>
      <c r="CP11" s="977" t="n"/>
      <c r="CQ11" s="1201" t="n">
        <v>1.8298</v>
      </c>
      <c r="CR11" s="1191" t="n">
        <v>3666941.616</v>
      </c>
      <c r="CS11" s="1191" t="n">
        <v>2004066.811</v>
      </c>
      <c r="CT11" s="977" t="n"/>
      <c r="CU11" s="977" t="n">
        <v>1147657.428006</v>
      </c>
      <c r="CV11" s="977" t="n"/>
      <c r="CW11" s="102" t="n"/>
      <c r="CX11" s="102" t="n"/>
      <c r="CY11" s="102" t="n"/>
      <c r="CZ11" s="197" t="n"/>
      <c r="DA11" s="977" t="n"/>
      <c r="DB11" s="977" t="n"/>
      <c r="DC11" s="1201" t="n"/>
      <c r="DD11" s="1191" t="n"/>
      <c r="DE11" s="1191" t="n"/>
      <c r="DF11" s="977" t="n"/>
      <c r="DG11" s="1191" t="n"/>
      <c r="DH11" s="1191" t="n"/>
      <c r="DI11" s="1191" t="n"/>
      <c r="DJ11" s="1191" t="n"/>
      <c r="DK11" s="1191" t="n"/>
      <c r="DL11" s="1191" t="n"/>
      <c r="DM11" s="1191" t="n"/>
      <c r="DN11" s="977" t="n"/>
      <c r="DO11" s="977" t="n"/>
      <c r="DP11" s="977" t="n"/>
      <c r="DQ11" s="977" t="n"/>
      <c r="DR11" s="977" t="n"/>
      <c r="DS11" s="977" t="n"/>
      <c r="DT11" s="977" t="n"/>
      <c r="DU11" s="977" t="n"/>
      <c r="DV11" s="977" t="n"/>
      <c r="DW11" s="977" t="n"/>
      <c r="DX11" s="977" t="n"/>
      <c r="DY11" s="977" t="n"/>
      <c r="DZ11" s="977" t="n"/>
      <c r="EA11" s="977" t="n"/>
      <c r="EB11" s="977" t="n"/>
      <c r="EC11" s="977" t="n"/>
      <c r="ED11" s="977" t="n"/>
      <c r="EE11" s="977" t="n"/>
      <c r="EI11" s="1191" t="n"/>
      <c r="EJ11" s="1191" t="n"/>
      <c r="EK11" s="1191" t="n"/>
      <c r="EL11" s="1191" t="n"/>
      <c r="EM11" s="1191" t="n"/>
      <c r="EN11" s="1191" t="n"/>
      <c r="EO11" s="1198" t="n"/>
      <c r="EP11" s="977" t="n"/>
      <c r="EQ11" s="977" t="n"/>
      <c r="ER11" s="977" t="n"/>
      <c r="ES11" s="977" t="n"/>
      <c r="ET11" s="977" t="n"/>
      <c r="EU11" s="977" t="n"/>
      <c r="EV11" s="977" t="n"/>
      <c r="EW11" s="977" t="n"/>
      <c r="EX11" s="977" t="n"/>
      <c r="EY11" s="977" t="n"/>
      <c r="EZ11" s="977" t="n"/>
      <c r="FA11" s="977" t="n"/>
      <c r="FB11" s="977" t="n"/>
    </row>
    <row r="12" ht="16.5" customFormat="1" customHeight="1" s="101">
      <c r="A12" s="101" t="inlineStr">
        <is>
          <t>2512미래</t>
        </is>
      </c>
      <c r="B12" s="101" t="n">
        <v>2512</v>
      </c>
      <c r="C12" s="101" t="inlineStr">
        <is>
          <t>미래</t>
        </is>
      </c>
      <c r="D12" s="977" t="n">
        <v>32855181.935106</v>
      </c>
      <c r="E12" s="977" t="n">
        <v>16944446.771969</v>
      </c>
      <c r="F12" s="977" t="n">
        <v>11663557.366015</v>
      </c>
      <c r="G12" s="977" t="n">
        <v>2801450.399792</v>
      </c>
      <c r="H12" s="977" t="n">
        <v>142042.965503</v>
      </c>
      <c r="I12" s="978">
        <f>E12/D12</f>
        <v/>
      </c>
      <c r="J12" s="978">
        <f>F12/D12</f>
        <v/>
      </c>
      <c r="K12" s="978">
        <f>G12/D12</f>
        <v/>
      </c>
      <c r="L12" s="977" t="n">
        <v>30418680.379437</v>
      </c>
      <c r="M12" s="977" t="n">
        <v>26996698.255523</v>
      </c>
      <c r="N12" s="979">
        <f>O12-P12</f>
        <v/>
      </c>
      <c r="O12" s="979" t="n">
        <v>2436501.555669</v>
      </c>
      <c r="P12" s="979" t="n"/>
      <c r="Q12" s="979" t="n">
        <v>-432246.692496</v>
      </c>
      <c r="R12" s="979" t="n">
        <v>2067824.46822</v>
      </c>
      <c r="S12" s="979" t="n">
        <v>2553237.949768</v>
      </c>
      <c r="T12" s="979" t="n">
        <v>2553237.949768</v>
      </c>
      <c r="U12" s="980" t="n">
        <v>19367952</v>
      </c>
      <c r="V12" s="980" t="n">
        <v>18541089.297056</v>
      </c>
      <c r="W12" s="107" t="n">
        <v>0.9573</v>
      </c>
      <c r="X12" s="979">
        <f>Q12</f>
        <v/>
      </c>
      <c r="Y12" s="979" t="n">
        <v>-1046247.890303</v>
      </c>
      <c r="Z12" s="979" t="n">
        <v>632811.513596</v>
      </c>
      <c r="AA12" s="979" t="n">
        <v>-2748.773194</v>
      </c>
      <c r="AB12" s="979" t="n">
        <v>-20537.736696</v>
      </c>
      <c r="AC12" s="979" t="n">
        <v>0.724592</v>
      </c>
      <c r="AD12" s="979" t="n">
        <v>4475.435459</v>
      </c>
      <c r="AE12" s="979">
        <f>X12-(Y12+Z12+AA12+AB12+AC12+AD12)</f>
        <v/>
      </c>
      <c r="AF12" s="977" t="n">
        <v>111990.109584</v>
      </c>
      <c r="AG12" s="977" t="n">
        <v>1104076.687337</v>
      </c>
      <c r="AH12" s="977" t="n">
        <v>992086.577753</v>
      </c>
      <c r="AI12" s="977" t="n">
        <v>73866.15652400001</v>
      </c>
      <c r="AJ12" s="977" t="n">
        <v>-2272778.94919</v>
      </c>
      <c r="AK12" s="977" t="n">
        <v>1023.809514</v>
      </c>
      <c r="AL12" s="977">
        <f>AI12-AJ12-AK12+AM12-AN12</f>
        <v/>
      </c>
      <c r="AM12" s="977" t="n">
        <v>20658.569665</v>
      </c>
      <c r="AN12" s="977" t="n">
        <v>59223.758914</v>
      </c>
      <c r="AO12" s="977" t="n">
        <v>185856.266108</v>
      </c>
      <c r="AP12" s="977" t="n">
        <v>3400.510773</v>
      </c>
      <c r="AQ12" s="979" t="n">
        <v>189256.776881</v>
      </c>
      <c r="AR12" s="979" t="n">
        <v>124900.389221</v>
      </c>
      <c r="AS12" s="979">
        <f>AO12+AP12-AQ12</f>
        <v/>
      </c>
      <c r="AT12" s="979">
        <f>AJ12+AK12+AL12-AM12+AN12-AI12</f>
        <v/>
      </c>
      <c r="AU12" s="979">
        <f>AF12+AI12-AO12</f>
        <v/>
      </c>
      <c r="AV12" s="979">
        <f>AF12</f>
        <v/>
      </c>
      <c r="AW12" s="979">
        <f>AI12</f>
        <v/>
      </c>
      <c r="AX12" s="979">
        <f>AP12</f>
        <v/>
      </c>
      <c r="AY12" s="979">
        <f>AV12+AW12+AX12</f>
        <v/>
      </c>
      <c r="AZ12" s="977" t="n"/>
      <c r="BA12" s="977" t="n"/>
      <c r="BB12" s="978" t="n"/>
      <c r="BC12" s="977" t="n">
        <v>-190609.909176</v>
      </c>
      <c r="BD12" s="977" t="n">
        <v>-382677.214609</v>
      </c>
      <c r="BE12" s="977" t="n"/>
      <c r="BF12" s="977" t="n">
        <v>370935.863369</v>
      </c>
      <c r="BG12" s="977" t="n">
        <v>-235965.633026</v>
      </c>
      <c r="BH12" s="977" t="n">
        <v>0.03405</v>
      </c>
      <c r="BI12" s="977" t="n">
        <v>6070.166896</v>
      </c>
      <c r="BJ12" s="977" t="n"/>
      <c r="BK12" s="977">
        <f>Q12</f>
        <v/>
      </c>
      <c r="BL12" s="982">
        <f>BK12-BC12-SUM(BD12:BJ12)</f>
        <v/>
      </c>
      <c r="BM12" s="977" t="n">
        <v>1942924.078999</v>
      </c>
      <c r="BN12" s="977" t="n"/>
      <c r="BO12" s="977" t="n"/>
      <c r="BP12" s="977">
        <f>AR12</f>
        <v/>
      </c>
      <c r="BQ12" s="977" t="n"/>
      <c r="BR12" s="977" t="n"/>
      <c r="BS12" s="977">
        <f>R12</f>
        <v/>
      </c>
      <c r="BT12" s="979" t="n">
        <v>0</v>
      </c>
      <c r="BU12" s="979" t="n">
        <v>24532228.634432</v>
      </c>
      <c r="BV12" s="979" t="n">
        <v>406046.501044</v>
      </c>
      <c r="BW12" s="979" t="n">
        <v>2058423.120047</v>
      </c>
      <c r="BX12" s="979" t="n">
        <v>539878.115343</v>
      </c>
      <c r="BY12" s="979" t="n">
        <v>205831.483765</v>
      </c>
      <c r="BZ12" s="979" t="n">
        <v>-414493.503843</v>
      </c>
      <c r="CA12" s="979" t="n">
        <v>60657.923333</v>
      </c>
      <c r="CB12" s="979" t="n">
        <v>2078212.068979</v>
      </c>
      <c r="CC12" s="977" t="n"/>
      <c r="CD12" s="977">
        <f>CB12+BX12-BY12+BZ12+CA12-BW12</f>
        <v/>
      </c>
      <c r="CE12" s="1191" t="n"/>
      <c r="CF12" s="1191" t="n"/>
      <c r="CG12" s="1191" t="n"/>
      <c r="CH12" s="1191" t="n"/>
      <c r="CI12" s="1191" t="n"/>
      <c r="CJ12" s="977">
        <f>BW12</f>
        <v/>
      </c>
      <c r="CK12" s="983" t="n"/>
      <c r="CL12" s="977" t="n">
        <v>0</v>
      </c>
      <c r="CM12" s="977" t="n"/>
      <c r="CN12" s="978" t="n">
        <v>1.767</v>
      </c>
      <c r="CO12" s="977" t="n">
        <v>3702239</v>
      </c>
      <c r="CP12" s="977" t="n">
        <v>2095393</v>
      </c>
      <c r="CQ12" s="978" t="n">
        <v>1.767</v>
      </c>
      <c r="CR12" s="977" t="n">
        <v>3702239</v>
      </c>
      <c r="CS12" s="977" t="n">
        <v>2095393</v>
      </c>
      <c r="CT12" s="977" t="n"/>
      <c r="CU12" s="977" t="n">
        <v>1219968.190692</v>
      </c>
      <c r="CV12" s="977" t="n"/>
      <c r="CW12" s="102" t="n">
        <v>0.96</v>
      </c>
      <c r="CX12" s="105" t="n">
        <v>1.01</v>
      </c>
      <c r="CY12" s="102">
        <f>CW12-CX12</f>
        <v/>
      </c>
      <c r="CZ12" s="197">
        <f>CX12/CW12</f>
        <v/>
      </c>
      <c r="DA12" s="977" t="n"/>
      <c r="DB12" s="977" t="n"/>
      <c r="DC12" s="1201" t="n"/>
      <c r="DD12" s="1191" t="n"/>
      <c r="DE12" s="1191" t="n"/>
      <c r="DF12" s="977" t="n"/>
      <c r="DG12" s="1191" t="n"/>
      <c r="DH12" s="1191" t="n"/>
      <c r="DI12" s="1191" t="n"/>
      <c r="DJ12" s="1191" t="n"/>
      <c r="DK12" s="1191" t="n"/>
      <c r="DL12" s="1191" t="n"/>
      <c r="DM12" s="1191" t="n"/>
      <c r="DN12" s="977" t="n"/>
      <c r="DO12" s="977" t="n"/>
      <c r="DP12" s="977" t="n"/>
      <c r="DQ12" s="977" t="n"/>
      <c r="DR12" s="977" t="n"/>
      <c r="DS12" s="977" t="n"/>
      <c r="DT12" s="977" t="n"/>
      <c r="DU12" s="977" t="n"/>
      <c r="DV12" s="977" t="n"/>
      <c r="DW12" s="977" t="n"/>
      <c r="DX12" s="977" t="n"/>
      <c r="DY12" s="977" t="n"/>
      <c r="DZ12" s="977" t="n"/>
      <c r="EA12" s="977" t="n"/>
      <c r="EB12" s="977" t="n"/>
      <c r="EC12" s="977" t="n"/>
      <c r="ED12" s="977" t="n"/>
      <c r="EE12" s="977" t="n"/>
      <c r="EP12" s="977" t="n">
        <v>254778.168699</v>
      </c>
      <c r="EQ12" s="977" t="n">
        <v>231654.272224</v>
      </c>
      <c r="ER12" s="977" t="n">
        <v>45015.046446</v>
      </c>
      <c r="ES12" s="977" t="n">
        <v>290961.332148</v>
      </c>
      <c r="ET12" s="977" t="n">
        <v>-349592.252486</v>
      </c>
      <c r="EU12" s="977" t="n"/>
      <c r="EV12" s="977" t="n"/>
      <c r="EW12" s="977" t="n">
        <v>-254778.168699</v>
      </c>
      <c r="EX12" s="977" t="n">
        <v>-231654.272224</v>
      </c>
      <c r="EY12" s="977" t="n">
        <v>-45015.046446</v>
      </c>
      <c r="EZ12" s="977" t="n">
        <v>-290961.332148</v>
      </c>
      <c r="FA12" s="977" t="n">
        <v>349592.252486</v>
      </c>
      <c r="FB12" s="977" t="n">
        <v>58323.063188</v>
      </c>
      <c r="FC12" s="697" t="n">
        <v>0</v>
      </c>
    </row>
    <row r="13" customFormat="1" s="101">
      <c r="D13" s="977" t="n"/>
      <c r="E13" s="977" t="n"/>
      <c r="F13" s="977" t="n"/>
      <c r="G13" s="977" t="n"/>
      <c r="H13" s="977" t="n"/>
      <c r="I13" s="978" t="n"/>
      <c r="J13" s="978" t="n"/>
      <c r="K13" s="978" t="n"/>
      <c r="L13" s="977" t="n"/>
      <c r="M13" s="977" t="n"/>
      <c r="N13" s="979" t="n"/>
      <c r="O13" s="979" t="n"/>
      <c r="P13" s="979" t="n"/>
      <c r="Q13" s="979" t="n"/>
      <c r="R13" s="979" t="n"/>
      <c r="S13" s="979" t="n"/>
      <c r="T13" s="979" t="n"/>
      <c r="U13" s="980" t="n"/>
      <c r="V13" s="980" t="n"/>
      <c r="W13" s="107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7" t="n"/>
      <c r="AG13" s="977" t="n"/>
      <c r="AH13" s="977" t="n"/>
      <c r="AI13" s="977" t="n"/>
      <c r="AJ13" s="977" t="n"/>
      <c r="AK13" s="977" t="n"/>
      <c r="AL13" s="977" t="n"/>
      <c r="AM13" s="977" t="n"/>
      <c r="AN13" s="977" t="n"/>
      <c r="AO13" s="977" t="n"/>
      <c r="AP13" s="977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7" t="n"/>
      <c r="BA13" s="977" t="n"/>
      <c r="BB13" s="978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82" t="n"/>
      <c r="BM13" s="977" t="n"/>
      <c r="BN13" s="977" t="n"/>
      <c r="BO13" s="977" t="n"/>
      <c r="BP13" s="977" t="n"/>
      <c r="BQ13" s="977" t="n"/>
      <c r="BR13" s="977" t="n"/>
      <c r="BS13" s="977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8" t="n"/>
      <c r="CO13" s="977" t="n"/>
      <c r="CP13" s="977" t="n"/>
      <c r="CQ13" s="978" t="n"/>
      <c r="CR13" s="977" t="n"/>
      <c r="CS13" s="977" t="n"/>
      <c r="CT13" s="977" t="n"/>
      <c r="CU13" s="977" t="n"/>
      <c r="CV13" s="977" t="n"/>
      <c r="CW13" s="102" t="n"/>
      <c r="CX13" s="102" t="n"/>
      <c r="CY13" s="102" t="n"/>
      <c r="CZ13" s="197" t="n"/>
      <c r="DA13" s="977" t="n"/>
      <c r="DB13" s="977" t="n"/>
      <c r="DC13" s="978" t="n"/>
      <c r="DD13" s="977" t="n"/>
      <c r="DE13" s="977" t="n"/>
      <c r="DF13" s="977" t="n"/>
      <c r="DG13" s="977" t="n"/>
      <c r="DH13" s="977" t="n"/>
      <c r="DI13" s="977" t="n"/>
      <c r="DJ13" s="978" t="n"/>
      <c r="DK13" s="977" t="n"/>
      <c r="DL13" s="977" t="n"/>
      <c r="DM13" s="977" t="n"/>
      <c r="DN13" s="977" t="n"/>
      <c r="DO13" s="977" t="n"/>
      <c r="DP13" s="977" t="n"/>
      <c r="DQ13" s="977" t="n"/>
      <c r="DR13" s="977" t="n"/>
      <c r="DS13" s="977" t="n"/>
      <c r="DT13" s="977" t="n"/>
      <c r="DU13" s="977" t="n"/>
      <c r="DV13" s="977" t="n"/>
      <c r="DW13" s="977" t="n"/>
      <c r="DX13" s="977" t="n"/>
      <c r="DY13" s="977" t="n"/>
      <c r="DZ13" s="977" t="n"/>
      <c r="EA13" s="977" t="n"/>
      <c r="EB13" s="977" t="n"/>
      <c r="EC13" s="977" t="n"/>
      <c r="ED13" s="977" t="n"/>
      <c r="EE13" s="977" t="n"/>
      <c r="EP13" s="977" t="n"/>
      <c r="EQ13" s="977" t="n"/>
      <c r="ER13" s="977" t="n"/>
      <c r="ES13" s="977" t="n"/>
      <c r="ET13" s="977" t="n"/>
      <c r="EU13" s="977" t="n"/>
      <c r="EV13" s="977" t="n"/>
      <c r="EW13" s="977" t="n"/>
      <c r="EX13" s="977" t="n"/>
      <c r="EY13" s="977" t="n"/>
      <c r="EZ13" s="977" t="n"/>
      <c r="FA13" s="977" t="n"/>
      <c r="FB13" s="977" t="n"/>
    </row>
    <row r="14" ht="15.75" customFormat="1" customHeight="1" s="140">
      <c r="A14" s="140" t="inlineStr">
        <is>
          <t>2212삼성</t>
        </is>
      </c>
      <c r="B14" s="140" t="n">
        <v>2212</v>
      </c>
      <c r="C14" s="140" t="inlineStr">
        <is>
          <t>삼성</t>
        </is>
      </c>
      <c r="D14" s="985" t="n"/>
      <c r="E14" s="985" t="n"/>
      <c r="F14" s="985" t="n"/>
      <c r="G14" s="985" t="n"/>
      <c r="H14" s="985" t="n"/>
      <c r="I14" s="986" t="n"/>
      <c r="J14" s="986" t="n"/>
      <c r="K14" s="986" t="n"/>
      <c r="L14" s="985" t="n"/>
      <c r="M14" s="985" t="n"/>
      <c r="N14" s="987" t="n"/>
      <c r="O14" s="1192" t="n"/>
      <c r="P14" s="987" t="n"/>
      <c r="Q14" s="1192" t="n"/>
      <c r="R14" s="1192" t="n"/>
      <c r="S14" s="987" t="n"/>
      <c r="T14" s="987" t="n"/>
      <c r="U14" s="988" t="n"/>
      <c r="V14" s="988" t="n"/>
      <c r="W14" s="988" t="n"/>
      <c r="X14" s="987" t="n"/>
      <c r="Y14" s="1192" t="n"/>
      <c r="Z14" s="1192" t="n"/>
      <c r="AA14" s="1192" t="n"/>
      <c r="AB14" s="1192" t="n"/>
      <c r="AC14" s="987" t="n"/>
      <c r="AD14" s="1192" t="n"/>
      <c r="AE14" s="987" t="n"/>
      <c r="AF14" s="985" t="n"/>
      <c r="AG14" s="985" t="n"/>
      <c r="AH14" s="985" t="n"/>
      <c r="AI14" s="985" t="n"/>
      <c r="AJ14" s="985" t="n"/>
      <c r="AK14" s="985" t="n"/>
      <c r="AL14" s="985" t="n"/>
      <c r="AM14" s="985" t="n"/>
      <c r="AN14" s="985" t="n"/>
      <c r="AO14" s="985" t="n"/>
      <c r="AP14" s="985" t="n"/>
      <c r="AQ14" s="987" t="n"/>
      <c r="AR14" s="987" t="n"/>
      <c r="AS14" s="987" t="n"/>
      <c r="AT14" s="987" t="n"/>
      <c r="AU14" s="987" t="n"/>
      <c r="AV14" s="987" t="n"/>
      <c r="AW14" s="987" t="n"/>
      <c r="AX14" s="987" t="n"/>
      <c r="AY14" s="987" t="n"/>
      <c r="AZ14" s="985" t="n"/>
      <c r="BA14" s="985" t="n"/>
      <c r="BB14" s="986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7" t="n"/>
      <c r="BM14" s="985" t="n"/>
      <c r="BN14" s="985" t="n"/>
      <c r="BO14" s="985" t="n"/>
      <c r="BP14" s="985" t="n"/>
      <c r="BQ14" s="985" t="n"/>
      <c r="BR14" s="985" t="n"/>
      <c r="BS14" s="985" t="n"/>
      <c r="BT14" s="1192" t="n"/>
      <c r="BU14" s="1192" t="n"/>
      <c r="BV14" s="1192" t="n"/>
      <c r="BW14" s="1192" t="n"/>
      <c r="BX14" s="987" t="n"/>
      <c r="BY14" s="987" t="n"/>
      <c r="BZ14" s="987" t="n"/>
      <c r="CA14" s="987" t="n"/>
      <c r="CB14" s="987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6" t="n"/>
      <c r="CO14" s="985" t="n"/>
      <c r="CP14" s="985" t="n"/>
      <c r="CQ14" s="986" t="n"/>
      <c r="CR14" s="985" t="n"/>
      <c r="CS14" s="985" t="n"/>
      <c r="CT14" s="985" t="n"/>
      <c r="CU14" s="985" t="n"/>
      <c r="CV14" s="985" t="n"/>
      <c r="CW14" s="985" t="n"/>
      <c r="CX14" s="985" t="n"/>
      <c r="CY14" s="985" t="n"/>
      <c r="CZ14" s="985" t="n"/>
      <c r="DA14" s="985" t="n"/>
      <c r="DB14" s="985" t="n"/>
      <c r="DC14" s="986" t="n"/>
      <c r="DD14" s="985" t="n"/>
      <c r="DE14" s="985" t="n"/>
      <c r="DF14" s="985" t="n"/>
      <c r="DG14" s="985" t="n"/>
      <c r="DH14" s="985" t="n"/>
      <c r="DI14" s="985" t="n"/>
      <c r="DJ14" s="985" t="n"/>
      <c r="DK14" s="985" t="n"/>
      <c r="DL14" s="985" t="n"/>
      <c r="DM14" s="985" t="n"/>
      <c r="DN14" s="985" t="n"/>
      <c r="DO14" s="985" t="n"/>
      <c r="DP14" s="985" t="n"/>
      <c r="DQ14" s="985" t="n"/>
      <c r="DR14" s="985" t="n"/>
      <c r="DS14" s="985" t="n"/>
      <c r="DT14" s="985" t="n"/>
      <c r="DU14" s="985" t="n"/>
      <c r="DV14" s="985" t="n"/>
      <c r="DW14" s="985" t="n"/>
      <c r="DX14" s="985" t="n"/>
      <c r="DY14" s="985" t="n"/>
      <c r="DZ14" s="985" t="n"/>
      <c r="EA14" s="985" t="n"/>
      <c r="EB14" s="985" t="n"/>
      <c r="EC14" s="985" t="n"/>
      <c r="ED14" s="985" t="n"/>
      <c r="EE14" s="985" t="n"/>
      <c r="EP14" s="985" t="n"/>
      <c r="EQ14" s="985" t="n"/>
      <c r="ER14" s="985" t="n"/>
      <c r="ES14" s="985" t="n"/>
      <c r="ET14" s="985" t="n"/>
      <c r="EU14" s="985" t="n"/>
      <c r="EV14" s="985" t="n"/>
      <c r="EW14" s="985" t="n"/>
      <c r="EX14" s="985" t="n"/>
      <c r="EY14" s="985" t="n"/>
      <c r="EZ14" s="985" t="n"/>
      <c r="FA14" s="985" t="n"/>
      <c r="FB14" s="985" t="n"/>
    </row>
    <row r="15" customFormat="1" s="140">
      <c r="A15" s="140" t="inlineStr">
        <is>
          <t>2312삼성</t>
        </is>
      </c>
      <c r="B15" s="140" t="n">
        <v>2312</v>
      </c>
      <c r="C15" s="140" t="inlineStr">
        <is>
          <t>삼성</t>
        </is>
      </c>
      <c r="D15" s="985" t="n">
        <v>279474086</v>
      </c>
      <c r="E15" s="985" t="n">
        <v>36668457</v>
      </c>
      <c r="F15" s="985" t="n">
        <v>166226450</v>
      </c>
      <c r="G15" s="985" t="n">
        <v>49614533</v>
      </c>
      <c r="H15" s="985" t="n">
        <v>16581623</v>
      </c>
      <c r="I15" s="986">
        <f>E15/D15</f>
        <v/>
      </c>
      <c r="J15" s="986">
        <f>F15/D15</f>
        <v/>
      </c>
      <c r="K15" s="986">
        <f>G15/D15</f>
        <v/>
      </c>
      <c r="L15" s="985" t="n">
        <v>241946361</v>
      </c>
      <c r="M15" s="985" t="n">
        <v>189573714</v>
      </c>
      <c r="N15" s="987">
        <f>O15-P15</f>
        <v/>
      </c>
      <c r="O15" s="987" t="n">
        <v>37527725</v>
      </c>
      <c r="P15" s="987" t="n"/>
      <c r="Q15" s="987" t="n">
        <v>26354009</v>
      </c>
      <c r="R15" s="987" t="n">
        <v>13177954</v>
      </c>
      <c r="S15" s="1192" t="n">
        <v>35080056</v>
      </c>
      <c r="T15" s="987" t="n">
        <v>35080056</v>
      </c>
      <c r="U15" s="1196" t="n"/>
      <c r="V15" s="1196" t="n">
        <v>247053040.105</v>
      </c>
      <c r="W15" s="1202" t="n"/>
      <c r="X15" s="987">
        <f>Q15</f>
        <v/>
      </c>
      <c r="Y15" s="1192" t="n">
        <v>15177675</v>
      </c>
      <c r="Z15" s="1192" t="n"/>
      <c r="AA15" s="1192" t="n">
        <v>-9570827</v>
      </c>
      <c r="AB15" s="1192" t="n">
        <v>794306</v>
      </c>
      <c r="AC15" s="987" t="n"/>
      <c r="AD15" s="1192" t="n">
        <v>-46382</v>
      </c>
      <c r="AE15" s="987">
        <f>X15-(Y15+Z15+AA15+AB15+AC15+AD15)</f>
        <v/>
      </c>
      <c r="AF15" s="985" t="n">
        <v>1448544</v>
      </c>
      <c r="AG15" s="985" t="n">
        <v>8575730</v>
      </c>
      <c r="AH15" s="985" t="n">
        <v>7127186</v>
      </c>
      <c r="AI15" s="985" t="n">
        <v>-23709</v>
      </c>
      <c r="AJ15" s="985" t="n">
        <v>-9188983</v>
      </c>
      <c r="AK15" s="985" t="n">
        <v>7365</v>
      </c>
      <c r="AL15" s="985">
        <f>AI15-AJ15-AK15+AM15-AN15</f>
        <v/>
      </c>
      <c r="AM15" s="985" t="n">
        <v>304503</v>
      </c>
      <c r="AN15" s="1191" t="n">
        <v>9684</v>
      </c>
      <c r="AO15" s="985" t="n">
        <v>1424835</v>
      </c>
      <c r="AP15" s="985" t="n">
        <v>256348</v>
      </c>
      <c r="AQ15" s="987" t="n">
        <v>1681183</v>
      </c>
      <c r="AR15" s="987" t="n">
        <v>1382902</v>
      </c>
      <c r="AS15" s="987">
        <f>AO15+AP15-AQ15</f>
        <v/>
      </c>
      <c r="AT15" s="987">
        <f>AJ15+AK15+AL15-AM15+AN15-AI15</f>
        <v/>
      </c>
      <c r="AU15" s="987">
        <f>AF15+AI15-AO15</f>
        <v/>
      </c>
      <c r="AV15" s="987">
        <f>AF15</f>
        <v/>
      </c>
      <c r="AW15" s="987">
        <f>AI15</f>
        <v/>
      </c>
      <c r="AX15" s="987">
        <f>AP15</f>
        <v/>
      </c>
      <c r="AY15" s="987">
        <f>AV15+AW15+AX15</f>
        <v/>
      </c>
      <c r="AZ15" s="985" t="n"/>
      <c r="BA15" s="985" t="n"/>
      <c r="BB15" s="1201" t="n"/>
      <c r="BC15" s="1191" t="n">
        <v>24604878</v>
      </c>
      <c r="BD15" s="985" t="n">
        <v>11217248</v>
      </c>
      <c r="BE15" s="985" t="n"/>
      <c r="BF15" s="985" t="n">
        <v>-7070275</v>
      </c>
      <c r="BG15" s="985" t="n">
        <v>586939</v>
      </c>
      <c r="BH15" s="985" t="n"/>
      <c r="BI15" s="985" t="n">
        <v>-34278</v>
      </c>
      <c r="BJ15" s="985" t="n"/>
      <c r="BK15" s="985">
        <f>Q15</f>
        <v/>
      </c>
      <c r="BL15" s="987" t="n"/>
      <c r="BM15" s="1191" t="n">
        <v>12479416</v>
      </c>
      <c r="BN15" s="985" t="n">
        <v>-538725</v>
      </c>
      <c r="BO15" s="985" t="n"/>
      <c r="BP15" s="985">
        <f>AR15</f>
        <v/>
      </c>
      <c r="BQ15" s="985" t="n"/>
      <c r="BR15" s="985" t="n"/>
      <c r="BS15" s="985">
        <f>R15</f>
        <v/>
      </c>
      <c r="BT15" s="987" t="n">
        <v>0</v>
      </c>
      <c r="BU15" s="1192" t="n"/>
      <c r="BV15" s="1192" t="n">
        <v>2864689.89</v>
      </c>
      <c r="BW15" s="1192" t="n">
        <v>12247372.358</v>
      </c>
      <c r="BX15" s="1192" t="n"/>
      <c r="BY15" s="1192" t="n"/>
      <c r="BZ15" s="1192" t="n"/>
      <c r="CA15" s="1192" t="n"/>
      <c r="CB15" s="1192" t="n"/>
      <c r="CC15" s="985" t="n"/>
      <c r="CD15" s="985" t="n"/>
      <c r="CE15" s="1191" t="n"/>
      <c r="CF15" s="1191" t="n"/>
      <c r="CG15" s="1191" t="n"/>
      <c r="CH15" s="1191" t="n"/>
      <c r="CI15" s="985" t="n"/>
      <c r="CJ15" s="985" t="n"/>
      <c r="CK15" s="985" t="n"/>
      <c r="CL15" s="1191" t="n"/>
      <c r="CM15" s="985" t="n"/>
      <c r="CN15" s="986" t="n">
        <v>2.188</v>
      </c>
      <c r="CO15" s="985" t="n">
        <v>53372509</v>
      </c>
      <c r="CP15" s="985" t="n">
        <v>24389648</v>
      </c>
      <c r="CQ15" s="1201" t="n">
        <v>2.188</v>
      </c>
      <c r="CR15" s="1191" t="n">
        <v>53372509</v>
      </c>
      <c r="CS15" s="1191" t="n">
        <v>24389648</v>
      </c>
      <c r="CT15" s="985" t="n"/>
      <c r="CU15" s="985" t="n"/>
      <c r="CV15" s="985" t="n"/>
      <c r="CW15" s="985" t="n"/>
      <c r="CX15" s="985" t="n"/>
      <c r="CY15" s="985" t="n"/>
      <c r="CZ15" s="985" t="n"/>
      <c r="DA15" s="985" t="n"/>
      <c r="DB15" s="985" t="n"/>
      <c r="DC15" s="1201" t="n"/>
      <c r="DD15" s="1191" t="n"/>
      <c r="DE15" s="1191" t="n"/>
      <c r="DF15" s="985" t="n"/>
      <c r="DG15" s="1191" t="n"/>
      <c r="DH15" s="1191" t="n"/>
      <c r="DI15" s="1191" t="n"/>
      <c r="DJ15" s="1191" t="n"/>
      <c r="DK15" s="1191" t="n"/>
      <c r="DL15" s="1191" t="n"/>
      <c r="DM15" s="1191" t="n"/>
      <c r="DN15" s="1191" t="n"/>
      <c r="DO15" s="1191" t="n"/>
      <c r="DP15" s="985" t="n"/>
      <c r="DQ15" s="985" t="n"/>
      <c r="DR15" s="985" t="n"/>
      <c r="DS15" s="985" t="n"/>
      <c r="DT15" s="985" t="n"/>
      <c r="DU15" s="985" t="n"/>
      <c r="DV15" s="985" t="n"/>
      <c r="DW15" s="985" t="n"/>
      <c r="DX15" s="985" t="n"/>
      <c r="DY15" s="985" t="n"/>
      <c r="DZ15" s="985" t="n"/>
      <c r="EA15" s="985" t="n"/>
      <c r="EB15" s="985" t="n"/>
      <c r="EC15" s="985" t="n"/>
      <c r="ED15" s="985" t="n"/>
      <c r="EE15" s="985" t="n"/>
      <c r="EF15" s="985" t="n"/>
      <c r="EP15" s="985" t="n"/>
      <c r="EQ15" s="985" t="n"/>
      <c r="ER15" s="985" t="n"/>
      <c r="ES15" s="985" t="n"/>
      <c r="ET15" s="985" t="n"/>
      <c r="EU15" s="985" t="n"/>
      <c r="EV15" s="985" t="n"/>
      <c r="EW15" s="985" t="n"/>
      <c r="EX15" s="985" t="n"/>
      <c r="EY15" s="985" t="n"/>
      <c r="EZ15" s="985" t="n"/>
      <c r="FA15" s="985" t="n"/>
      <c r="FB15" s="985" t="n"/>
    </row>
    <row r="16" customFormat="1" s="2">
      <c r="A16" s="2" t="inlineStr">
        <is>
          <t>2412삼성</t>
        </is>
      </c>
      <c r="B16" s="2" t="n">
        <v>2412</v>
      </c>
      <c r="C16" s="2" t="inlineStr">
        <is>
          <t>삼성</t>
        </is>
      </c>
      <c r="D16" s="975" t="n">
        <v>275321056</v>
      </c>
      <c r="E16" s="975" t="n">
        <v>35547807</v>
      </c>
      <c r="F16" s="975" t="n">
        <v>161933749</v>
      </c>
      <c r="G16" s="975" t="n">
        <v>45371811</v>
      </c>
      <c r="H16" s="975" t="n">
        <v>21523726</v>
      </c>
      <c r="I16" s="843">
        <f>E16/D16</f>
        <v/>
      </c>
      <c r="J16" s="843">
        <f>F16/D16</f>
        <v/>
      </c>
      <c r="K16" s="843">
        <f>G16/D16</f>
        <v/>
      </c>
      <c r="L16" s="1194" t="n">
        <v>250223698</v>
      </c>
      <c r="M16" s="975" t="n">
        <v>202156297</v>
      </c>
      <c r="N16" s="990">
        <f>O16-P16</f>
        <v/>
      </c>
      <c r="O16" s="1194" t="n">
        <v>25097358</v>
      </c>
      <c r="P16" s="990" t="n"/>
      <c r="Q16" s="1194" t="n">
        <v>13101010</v>
      </c>
      <c r="R16" s="990" t="n">
        <v>14000586</v>
      </c>
      <c r="S16" s="990" t="n">
        <v>37527725</v>
      </c>
      <c r="T16" s="990" t="n">
        <v>37527725</v>
      </c>
      <c r="U16" s="1196" t="n"/>
      <c r="V16" s="1196" t="n">
        <v>243299231.931</v>
      </c>
      <c r="W16" s="1202" t="n"/>
      <c r="X16" s="989">
        <f>Q16</f>
        <v/>
      </c>
      <c r="Y16" s="1194" t="n"/>
      <c r="Z16" s="1192" t="n"/>
      <c r="AA16" s="1192" t="n"/>
      <c r="AB16" s="1192" t="n"/>
      <c r="AC16" s="990" t="n"/>
      <c r="AD16" s="1192" t="n"/>
      <c r="AE16" s="990">
        <f>X16-(Y16+Z16+AA16+AB16+AC16+AD16)</f>
        <v/>
      </c>
      <c r="AF16" s="975" t="n">
        <v>541990</v>
      </c>
      <c r="AG16" s="975" t="n">
        <v>9118505</v>
      </c>
      <c r="AH16" s="975" t="n">
        <v>8576515</v>
      </c>
      <c r="AI16" s="975" t="n">
        <v>1000936</v>
      </c>
      <c r="AJ16" s="975" t="n">
        <v>-6208429</v>
      </c>
      <c r="AK16" s="975" t="n">
        <v>51144</v>
      </c>
      <c r="AL16" s="975">
        <f>AI16-AJ16-AK16+AM16-AN16</f>
        <v/>
      </c>
      <c r="AM16" s="975" t="n">
        <v>334101</v>
      </c>
      <c r="AN16" s="1191" t="n">
        <v>-74481</v>
      </c>
      <c r="AO16" s="975" t="n">
        <v>1542926</v>
      </c>
      <c r="AP16" s="975" t="n">
        <v>278364</v>
      </c>
      <c r="AQ16" s="990" t="n">
        <v>1821290</v>
      </c>
      <c r="AR16" s="990" t="n">
        <v>1486936</v>
      </c>
      <c r="AS16" s="990">
        <f>AO16+AP16-AQ16</f>
        <v/>
      </c>
      <c r="AT16" s="990">
        <f>AJ16+AK16+AL16-AM16+AN16-AI16</f>
        <v/>
      </c>
      <c r="AU16" s="990">
        <f>AF16+AI16-AO16</f>
        <v/>
      </c>
      <c r="AV16" s="990">
        <f>AF16</f>
        <v/>
      </c>
      <c r="AW16" s="990">
        <f>AI16</f>
        <v/>
      </c>
      <c r="AX16" s="990">
        <f>AP16</f>
        <v/>
      </c>
      <c r="AY16" s="990">
        <f>AV16+AW16+AX16</f>
        <v/>
      </c>
      <c r="AZ16" s="975" t="n"/>
      <c r="BA16" s="975" t="n"/>
      <c r="BB16" s="1201" t="n"/>
      <c r="BC16" s="1194" t="n">
        <v>26354009</v>
      </c>
      <c r="BD16" s="1194" t="n">
        <v>-4538274</v>
      </c>
      <c r="BE16" s="975" t="n"/>
      <c r="BF16" s="975" t="n">
        <v>-9035861</v>
      </c>
      <c r="BG16" s="975" t="n">
        <v>354297</v>
      </c>
      <c r="BH16" s="975" t="n"/>
      <c r="BI16" s="975" t="n">
        <v>-33161</v>
      </c>
      <c r="BJ16" s="975" t="n"/>
      <c r="BK16" s="989">
        <f>Q16</f>
        <v/>
      </c>
      <c r="BL16" s="990" t="n"/>
      <c r="BM16" s="975" t="n">
        <v>13177954</v>
      </c>
      <c r="BN16" s="975" t="n">
        <v>-664427</v>
      </c>
      <c r="BO16" s="975" t="n"/>
      <c r="BP16" s="975">
        <f>AR16</f>
        <v/>
      </c>
      <c r="BQ16" s="975" t="n">
        <v>123</v>
      </c>
      <c r="BR16" s="975" t="n"/>
      <c r="BS16" s="975">
        <f>R16</f>
        <v/>
      </c>
      <c r="BT16" s="990" t="n">
        <v>0</v>
      </c>
      <c r="BU16" s="1192" t="n"/>
      <c r="BV16" s="1192" t="n">
        <v>2969033.182</v>
      </c>
      <c r="BW16" s="1192" t="n">
        <v>12902021.594</v>
      </c>
      <c r="BX16" s="1192" t="n"/>
      <c r="BY16" s="1192" t="n"/>
      <c r="BZ16" s="1192" t="n"/>
      <c r="CA16" s="1192" t="n"/>
      <c r="CB16" s="1192" t="n"/>
      <c r="CC16" s="1204" t="n"/>
      <c r="CD16" s="975" t="n"/>
      <c r="CE16" s="1191" t="n"/>
      <c r="CF16" s="1191" t="n"/>
      <c r="CG16" s="1191" t="n"/>
      <c r="CH16" s="1191" t="n"/>
      <c r="CI16" s="975" t="n"/>
      <c r="CJ16" s="975" t="n"/>
      <c r="CK16" s="975" t="n"/>
      <c r="CL16" s="1191" t="n"/>
      <c r="CM16" s="975" t="n"/>
      <c r="CN16" s="843" t="n">
        <v>1.849</v>
      </c>
      <c r="CO16" s="975" t="n">
        <v>44336081</v>
      </c>
      <c r="CP16" s="975" t="n">
        <v>23980612</v>
      </c>
      <c r="CQ16" s="1201" t="n">
        <v>1.849</v>
      </c>
      <c r="CR16" s="1191" t="n">
        <v>44336081</v>
      </c>
      <c r="CS16" s="1191" t="n">
        <v>23980612</v>
      </c>
      <c r="CT16" s="975" t="n"/>
      <c r="CU16" s="975" t="n"/>
      <c r="CV16" s="975" t="n"/>
      <c r="CW16" s="138" t="n">
        <v>0.908</v>
      </c>
      <c r="CX16" s="138" t="n">
        <v>0.99</v>
      </c>
      <c r="CY16" s="138">
        <f>CW16-CX16</f>
        <v/>
      </c>
      <c r="CZ16" s="139">
        <f>CX16/CW16</f>
        <v/>
      </c>
      <c r="DA16" s="975" t="n"/>
      <c r="DB16" s="975" t="n"/>
      <c r="DC16" s="1201" t="n"/>
      <c r="DD16" s="1191" t="n"/>
      <c r="DE16" s="1191" t="n"/>
      <c r="DF16" s="975" t="n"/>
      <c r="DG16" s="1191" t="n"/>
      <c r="DH16" s="1191" t="n"/>
      <c r="DI16" s="1191" t="n"/>
      <c r="DJ16" s="1191" t="n"/>
      <c r="DK16" s="1191" t="n"/>
      <c r="DL16" s="1191" t="n"/>
      <c r="DM16" s="1191" t="n"/>
      <c r="DN16" s="975" t="n"/>
      <c r="DO16" s="975" t="n"/>
      <c r="DP16" s="975" t="n"/>
      <c r="DQ16" s="975" t="n"/>
      <c r="DR16" s="975" t="n"/>
      <c r="DS16" s="975" t="n"/>
      <c r="DT16" s="975" t="n"/>
      <c r="DU16" s="975" t="n"/>
      <c r="DV16" s="975" t="n"/>
      <c r="DW16" s="975" t="n"/>
      <c r="DX16" s="975" t="n"/>
      <c r="DY16" s="975" t="n"/>
      <c r="DZ16" s="975" t="n"/>
      <c r="EA16" s="975" t="n"/>
      <c r="EB16" s="975" t="n"/>
      <c r="EC16" s="975" t="n"/>
      <c r="ED16" s="975" t="n"/>
      <c r="EE16" s="975" t="n"/>
      <c r="EF16" s="975" t="n"/>
      <c r="EI16" s="975" t="n"/>
      <c r="EJ16" s="975" t="n"/>
      <c r="EK16" s="975" t="n"/>
      <c r="EP16" s="1191" t="n"/>
      <c r="EQ16" s="1191" t="n"/>
      <c r="ER16" s="1191" t="n"/>
      <c r="ES16" s="1191" t="n"/>
      <c r="ET16" s="1191" t="n"/>
      <c r="EU16" s="975" t="n"/>
      <c r="EV16" s="975" t="n"/>
      <c r="EW16" s="1191" t="n"/>
      <c r="EX16" s="1191" t="n"/>
      <c r="EY16" s="1191" t="n"/>
      <c r="EZ16" s="1191" t="n"/>
      <c r="FA16" s="1191" t="n"/>
      <c r="FB16" s="1191" t="n"/>
      <c r="FC16" s="1198" t="n"/>
    </row>
    <row r="17">
      <c r="A17" s="643" t="inlineStr">
        <is>
          <t>2503삼성</t>
        </is>
      </c>
      <c r="B17" s="643" t="n">
        <v>2503</v>
      </c>
      <c r="C17" s="643" t="inlineStr">
        <is>
          <t>삼성</t>
        </is>
      </c>
      <c r="D17" s="697" t="n">
        <v>281011504</v>
      </c>
      <c r="E17" s="697" t="n">
        <v>34343581</v>
      </c>
      <c r="F17" s="697" t="n">
        <v>168070744</v>
      </c>
      <c r="G17" s="697" t="n">
        <v>45712850</v>
      </c>
      <c r="H17" s="697" t="n">
        <v>22163909</v>
      </c>
      <c r="I17" s="786">
        <f>E17/D17</f>
        <v/>
      </c>
      <c r="J17" s="786">
        <f>F17/D17</f>
        <v/>
      </c>
      <c r="K17" s="786">
        <f>G17/D17</f>
        <v/>
      </c>
      <c r="L17" s="697" t="n">
        <v>257067089</v>
      </c>
      <c r="M17" s="697" t="n">
        <v>208066521</v>
      </c>
      <c r="N17" s="697">
        <f>O17-P17</f>
        <v/>
      </c>
      <c r="O17" s="697" t="n">
        <v>23944415</v>
      </c>
      <c r="Q17" s="697" t="n">
        <v>11823636</v>
      </c>
      <c r="R17" s="697" t="n">
        <v>14125017</v>
      </c>
      <c r="S17" s="697" t="n">
        <v>25097358</v>
      </c>
      <c r="T17" s="1192" t="n">
        <v>25097358</v>
      </c>
      <c r="U17" s="1205" t="n">
        <v>267599194</v>
      </c>
      <c r="V17" s="1205" t="n">
        <v>247992742.704</v>
      </c>
      <c r="W17" s="1202" t="n">
        <v>0.9791</v>
      </c>
      <c r="X17" s="697">
        <f>Q17</f>
        <v/>
      </c>
      <c r="Y17" s="1205" t="n"/>
      <c r="Z17" s="1205" t="n"/>
      <c r="AA17" s="1205" t="n"/>
      <c r="AB17" s="1205" t="n"/>
      <c r="AD17" s="1205" t="n"/>
      <c r="AE17" s="990">
        <f>X17-(Y17+Z17+AA17+AB17+AC17+AD17)</f>
        <v/>
      </c>
      <c r="AF17" s="697" t="n">
        <v>277882</v>
      </c>
      <c r="AG17" s="697" t="n">
        <v>2419778</v>
      </c>
      <c r="AH17" s="697" t="n">
        <v>2141896</v>
      </c>
      <c r="AI17" s="697" t="n">
        <v>199067</v>
      </c>
      <c r="AJ17" s="697" t="n">
        <v>-1915002</v>
      </c>
      <c r="AK17" s="697" t="n">
        <v>17501</v>
      </c>
      <c r="AL17" s="697">
        <f>AI17-AJ17-AK17+AM17-AN17</f>
        <v/>
      </c>
      <c r="AM17" s="697" t="n">
        <v>76584</v>
      </c>
      <c r="AN17" s="1195" t="n">
        <v>-18056</v>
      </c>
      <c r="AO17" s="697" t="n">
        <v>476949</v>
      </c>
      <c r="AP17" s="697" t="n">
        <v>331502</v>
      </c>
      <c r="AQ17" s="697" t="n">
        <v>808451</v>
      </c>
      <c r="AR17" s="697" t="n">
        <v>703719</v>
      </c>
      <c r="AS17" s="966">
        <f>AO17+AP17-AQ17</f>
        <v/>
      </c>
      <c r="AT17" s="966">
        <f>AJ17+AK17+AL17-AM17+AN17-AI17</f>
        <v/>
      </c>
      <c r="AU17" s="966">
        <f>AF17+AI17-AO17</f>
        <v/>
      </c>
      <c r="AV17" s="966">
        <f>AF17</f>
        <v/>
      </c>
      <c r="AW17" s="966">
        <f>AI17</f>
        <v/>
      </c>
      <c r="AX17" s="966">
        <f>AP17</f>
        <v/>
      </c>
      <c r="AY17" s="966">
        <f>AV17+AW17+AX17</f>
        <v/>
      </c>
      <c r="BB17" s="786" t="n"/>
      <c r="BC17" s="697" t="n">
        <v>13101010</v>
      </c>
      <c r="BD17" s="697" t="n">
        <v>2657362</v>
      </c>
      <c r="BF17" s="697" t="n">
        <v>-4160329</v>
      </c>
      <c r="BG17" s="697" t="n">
        <v>226572</v>
      </c>
      <c r="BI17" s="697" t="n">
        <v>-979</v>
      </c>
      <c r="BK17" s="697">
        <f>Q17</f>
        <v/>
      </c>
      <c r="BL17" s="966" t="n"/>
      <c r="BM17" s="697" t="n">
        <v>14000586</v>
      </c>
      <c r="BN17" s="1205" t="n"/>
      <c r="BP17" s="697">
        <f>AR17</f>
        <v/>
      </c>
      <c r="BQ17" s="697" t="n">
        <v>228798</v>
      </c>
      <c r="BS17" s="697">
        <f>R17</f>
        <v/>
      </c>
      <c r="BT17" s="966" t="n">
        <v>0</v>
      </c>
      <c r="BU17" s="1205" t="n">
        <v>186206577</v>
      </c>
      <c r="BV17" s="1205" t="n">
        <v>2952908.822</v>
      </c>
      <c r="BW17" s="1205" t="n">
        <v>13309045.961</v>
      </c>
      <c r="BX17" s="1205" t="n"/>
      <c r="BY17" s="1205" t="n"/>
      <c r="BZ17" s="1205" t="n"/>
      <c r="CA17" s="1205" t="n"/>
      <c r="CB17" s="1205" t="n"/>
      <c r="CE17" s="1205" t="n">
        <v>938021</v>
      </c>
      <c r="CF17" s="1205" t="n">
        <v>1518980</v>
      </c>
      <c r="CG17" s="1205" t="n">
        <v>1233004</v>
      </c>
      <c r="CH17" s="1205" t="n">
        <v>10576450</v>
      </c>
      <c r="CI17" s="697" t="n">
        <v>0</v>
      </c>
      <c r="CJ17" s="697">
        <f>BW17</f>
        <v/>
      </c>
      <c r="CL17" s="1205" t="n"/>
      <c r="CN17" s="786" t="n"/>
      <c r="CQ17" s="1201" t="n">
        <v>1.7717</v>
      </c>
      <c r="CR17" s="1205" t="n">
        <v>45193535.021242</v>
      </c>
      <c r="CS17" s="1205" t="n">
        <v>25508612.706996</v>
      </c>
      <c r="CW17" s="103" t="n"/>
      <c r="CX17" s="103" t="n"/>
      <c r="CY17" s="103" t="n"/>
      <c r="CZ17" s="104" t="n"/>
      <c r="DC17" s="1205" t="n"/>
      <c r="DD17" s="1205" t="n"/>
      <c r="DE17" s="1205" t="n"/>
      <c r="DG17" s="1205" t="n"/>
      <c r="DH17" s="1205" t="n"/>
      <c r="DI17" s="1205" t="n"/>
      <c r="DJ17" s="1205" t="n"/>
      <c r="DK17" s="1205" t="n"/>
      <c r="DL17" s="1205" t="n"/>
      <c r="DM17" s="1205" t="n"/>
      <c r="EF17" s="787" t="n"/>
    </row>
    <row r="18">
      <c r="A18" s="643" t="inlineStr">
        <is>
          <t>2506삼성</t>
        </is>
      </c>
      <c r="B18" s="643" t="n">
        <v>2506</v>
      </c>
      <c r="C18" s="643" t="inlineStr">
        <is>
          <t>삼성</t>
        </is>
      </c>
      <c r="D18" s="697" t="n">
        <v>280990354</v>
      </c>
      <c r="E18" s="697" t="n">
        <v>36026344</v>
      </c>
      <c r="F18" s="697" t="n">
        <v>168569341</v>
      </c>
      <c r="G18" s="697" t="n">
        <v>43113870</v>
      </c>
      <c r="H18" s="697" t="n">
        <v>22764496</v>
      </c>
      <c r="I18" s="786">
        <f>E18/D18</f>
        <v/>
      </c>
      <c r="J18" s="786">
        <f>F18/D18</f>
        <v/>
      </c>
      <c r="K18" s="786">
        <f>G18/D18</f>
        <v/>
      </c>
      <c r="L18" s="697" t="n">
        <v>255077729</v>
      </c>
      <c r="M18" s="697" t="n">
        <v>207294908</v>
      </c>
      <c r="N18" s="697">
        <f>O18-P18</f>
        <v/>
      </c>
      <c r="O18" s="697" t="n">
        <v>25912625</v>
      </c>
      <c r="Q18" s="697" t="n">
        <v>13354503</v>
      </c>
      <c r="R18" s="697" t="n">
        <v>14562360</v>
      </c>
      <c r="S18" s="697" t="n">
        <v>25097358</v>
      </c>
      <c r="T18" s="1192" t="n">
        <v>25097358</v>
      </c>
      <c r="U18" s="1205" t="n"/>
      <c r="V18" s="1205" t="n">
        <v>247654231.646</v>
      </c>
      <c r="W18" s="1202" t="n"/>
      <c r="X18" s="697">
        <f>Q18</f>
        <v/>
      </c>
      <c r="Y18" s="1195" t="n">
        <v>12295118</v>
      </c>
      <c r="Z18" s="1195" t="n">
        <v>-599004</v>
      </c>
      <c r="AA18" s="1205" t="n"/>
      <c r="AB18" s="697" t="n">
        <v>296614</v>
      </c>
      <c r="AC18" s="697" t="n">
        <v>6131</v>
      </c>
      <c r="AD18" s="1195" t="n">
        <v>169381</v>
      </c>
      <c r="AE18" s="990" t="n"/>
      <c r="AF18" s="697" t="n">
        <v>831345</v>
      </c>
      <c r="AG18" s="697" t="n">
        <v>4831273</v>
      </c>
      <c r="AH18" s="697" t="n">
        <v>3999928</v>
      </c>
      <c r="AI18" s="697" t="n">
        <v>289056</v>
      </c>
      <c r="AJ18" s="697" t="n">
        <v>-4877218</v>
      </c>
      <c r="AK18" s="697" t="n">
        <v>34219</v>
      </c>
      <c r="AL18" s="697">
        <f>AI18-AJ18-AK18+AM18-AN18</f>
        <v/>
      </c>
      <c r="AM18" s="1195" t="n">
        <v>151376</v>
      </c>
      <c r="AN18" s="697" t="n">
        <v>112904</v>
      </c>
      <c r="AO18" s="697" t="n">
        <v>1120401</v>
      </c>
      <c r="AP18" s="697" t="n">
        <v>342072</v>
      </c>
      <c r="AQ18" s="697" t="n">
        <v>1462473</v>
      </c>
      <c r="AR18" s="697" t="n">
        <v>1200474</v>
      </c>
      <c r="AS18" s="966">
        <f>AO18+AP18-AQ18</f>
        <v/>
      </c>
      <c r="AT18" s="966">
        <f>AJ18+AK18+AL18-AM18+AN18-AI18</f>
        <v/>
      </c>
      <c r="AU18" s="966">
        <f>AF18+AI18-AO18</f>
        <v/>
      </c>
      <c r="AV18" s="966">
        <f>AF18</f>
        <v/>
      </c>
      <c r="AW18" s="966">
        <f>AI18</f>
        <v/>
      </c>
      <c r="AX18" s="966">
        <f>AP18</f>
        <v/>
      </c>
      <c r="AY18" s="966">
        <f>AV18+AW18+AX18</f>
        <v/>
      </c>
      <c r="BB18" s="786" t="n"/>
      <c r="BC18" s="697" t="n">
        <v>13101010</v>
      </c>
      <c r="BD18" s="697" t="n">
        <v>2703322</v>
      </c>
      <c r="BF18" s="697" t="n">
        <v>-2341608</v>
      </c>
      <c r="BG18" s="697" t="n">
        <v>-106640</v>
      </c>
      <c r="BI18" s="697" t="n">
        <v>-1581</v>
      </c>
      <c r="BK18" s="697">
        <f>Q18</f>
        <v/>
      </c>
      <c r="BL18" s="966" t="n"/>
      <c r="BM18" s="697" t="n">
        <v>14000586</v>
      </c>
      <c r="BN18" s="697" t="n">
        <v>-808086</v>
      </c>
      <c r="BP18" s="697">
        <f>AR18</f>
        <v/>
      </c>
      <c r="BQ18" s="697" t="n">
        <v>169386</v>
      </c>
      <c r="BS18" s="697">
        <f>R18</f>
        <v/>
      </c>
      <c r="BT18" s="966" t="n">
        <v>0</v>
      </c>
      <c r="BU18" s="697" t="n">
        <v>190529574</v>
      </c>
      <c r="BV18" s="697" t="n">
        <v>3019268.521</v>
      </c>
      <c r="BW18" s="697" t="n">
        <v>13746065.778</v>
      </c>
      <c r="BX18" s="1205" t="n">
        <v>1426337</v>
      </c>
      <c r="BY18" s="1205" t="n">
        <v>743661</v>
      </c>
      <c r="BZ18" s="1205" t="n">
        <v>72271</v>
      </c>
      <c r="CA18" s="1205" t="n">
        <v>233638</v>
      </c>
      <c r="CB18" s="1205" t="n">
        <v>12902023</v>
      </c>
      <c r="CD18" s="697">
        <f>CB18+BX18-BY18+BZ18+CA18-BW18</f>
        <v/>
      </c>
      <c r="CE18" s="1205" t="n"/>
      <c r="CF18" s="1205" t="n"/>
      <c r="CG18" s="1205" t="n"/>
      <c r="CH18" s="1205" t="n"/>
      <c r="CJ18" s="697">
        <f>BW18</f>
        <v/>
      </c>
      <c r="CL18" s="697" t="n">
        <v>0</v>
      </c>
      <c r="CN18" s="786" t="n"/>
      <c r="CQ18" s="1201" t="n">
        <v>1.8675</v>
      </c>
      <c r="CR18" s="1205" t="n">
        <v>47793909.771625</v>
      </c>
      <c r="CS18" s="1205" t="n">
        <v>25592686.299223</v>
      </c>
      <c r="CW18" s="103" t="n"/>
      <c r="CX18" s="103" t="n"/>
      <c r="CY18" s="103" t="n"/>
      <c r="CZ18" s="104" t="n"/>
      <c r="DC18" s="1205" t="n"/>
      <c r="DD18" s="1205" t="n"/>
      <c r="DE18" s="1205" t="n"/>
      <c r="DG18" s="1205" t="n"/>
      <c r="DH18" s="1205" t="n"/>
      <c r="DI18" s="1205" t="n"/>
      <c r="DJ18" s="1205" t="n"/>
      <c r="DK18" s="1205" t="n"/>
      <c r="DL18" s="1205" t="n"/>
      <c r="DM18" s="1205" t="n"/>
      <c r="EF18" s="787" t="n"/>
    </row>
    <row r="19">
      <c r="A19" s="643" t="inlineStr">
        <is>
          <t>2509삼성</t>
        </is>
      </c>
      <c r="B19" s="643" t="n">
        <v>2509</v>
      </c>
      <c r="C19" s="643" t="inlineStr">
        <is>
          <t>삼성</t>
        </is>
      </c>
      <c r="D19" s="697" t="n">
        <v>295578120</v>
      </c>
      <c r="E19" s="697" t="n">
        <v>37991991</v>
      </c>
      <c r="F19" s="697" t="n">
        <v>183641145</v>
      </c>
      <c r="G19" s="697" t="n">
        <v>41744574</v>
      </c>
      <c r="H19" s="697" t="n">
        <v>22421361</v>
      </c>
      <c r="I19" s="786">
        <f>E19/D19</f>
        <v/>
      </c>
      <c r="J19" s="786">
        <f>F19/D19</f>
        <v/>
      </c>
      <c r="K19" s="786">
        <f>G19/D19</f>
        <v/>
      </c>
      <c r="L19" s="697" t="n">
        <v>262873644</v>
      </c>
      <c r="M19" s="697" t="n">
        <v>207631921</v>
      </c>
      <c r="N19" s="697">
        <f>O19-P19</f>
        <v/>
      </c>
      <c r="O19" s="697" t="n">
        <v>32704476</v>
      </c>
      <c r="Q19" s="697" t="n">
        <v>19735638</v>
      </c>
      <c r="R19" s="697" t="n">
        <v>14973076</v>
      </c>
      <c r="S19" s="697" t="n">
        <v>25097358</v>
      </c>
      <c r="T19" s="1192" t="n">
        <v>25097358</v>
      </c>
      <c r="U19" s="1205" t="n"/>
      <c r="V19" s="1205" t="n">
        <v>262018956.178</v>
      </c>
      <c r="W19" s="1202" t="n"/>
      <c r="X19" s="697">
        <f>Q19</f>
        <v/>
      </c>
      <c r="Y19" s="697" t="n">
        <v>17831442</v>
      </c>
      <c r="Z19" s="697" t="n">
        <v>1716945</v>
      </c>
      <c r="AA19" s="1205" t="n"/>
      <c r="AB19" s="697" t="n">
        <v>30598</v>
      </c>
      <c r="AC19" s="697" t="n">
        <v>6131</v>
      </c>
      <c r="AD19" s="697" t="n">
        <v>-170160</v>
      </c>
      <c r="AE19" s="990" t="n"/>
      <c r="AF19" s="697" t="n">
        <v>1092943</v>
      </c>
      <c r="AG19" s="697" t="n">
        <v>7316460</v>
      </c>
      <c r="AH19" s="697" t="n">
        <v>6223517</v>
      </c>
      <c r="AI19" s="697" t="n">
        <v>544697</v>
      </c>
      <c r="AJ19" s="697" t="n">
        <v>-7503225</v>
      </c>
      <c r="AK19" s="697" t="n">
        <v>53997</v>
      </c>
      <c r="AL19" s="697">
        <f>AI19-AJ19-AK19+AM19-AN19</f>
        <v/>
      </c>
      <c r="AM19" s="697" t="n">
        <v>233758</v>
      </c>
      <c r="AN19" s="697" t="n">
        <v>397358</v>
      </c>
      <c r="AO19" s="697" t="n">
        <v>1637640</v>
      </c>
      <c r="AP19" s="697" t="n">
        <v>347934</v>
      </c>
      <c r="AQ19" s="697" t="n">
        <v>1985574</v>
      </c>
      <c r="AR19" s="697" t="n">
        <v>1609894</v>
      </c>
      <c r="AS19" s="966">
        <f>AO19+AP19-AQ19</f>
        <v/>
      </c>
      <c r="AT19" s="966">
        <f>AJ19+AK19+AL19-AM19+AN19-AI19</f>
        <v/>
      </c>
      <c r="AU19" s="966">
        <f>AF19+AI19-AO19</f>
        <v/>
      </c>
      <c r="AV19" s="966">
        <f>AF19</f>
        <v/>
      </c>
      <c r="AW19" s="966">
        <f>AI19</f>
        <v/>
      </c>
      <c r="AX19" s="966">
        <f>AP19</f>
        <v/>
      </c>
      <c r="AY19" s="966">
        <f>AV19+AW19+AX19</f>
        <v/>
      </c>
      <c r="BB19" s="786" t="n"/>
      <c r="BC19" s="697" t="n">
        <v>13101010</v>
      </c>
      <c r="BD19" s="697" t="n">
        <v>8239138</v>
      </c>
      <c r="BF19" s="697" t="n">
        <v>-1229494</v>
      </c>
      <c r="BG19" s="697" t="n">
        <v>-372656</v>
      </c>
      <c r="BI19" s="697" t="n">
        <v>-2360</v>
      </c>
      <c r="BK19" s="697">
        <f>Q19</f>
        <v/>
      </c>
      <c r="BL19" s="966" t="n"/>
      <c r="BM19" s="697" t="n">
        <v>14000586</v>
      </c>
      <c r="BN19" s="697" t="n">
        <v>-808086</v>
      </c>
      <c r="BP19" s="697">
        <f>AR19</f>
        <v/>
      </c>
      <c r="BQ19" s="697" t="n">
        <v>170682</v>
      </c>
      <c r="BS19" s="697">
        <f>R19</f>
        <v/>
      </c>
      <c r="BT19" s="966" t="n">
        <v>0</v>
      </c>
      <c r="BU19" s="697" t="n">
        <v>190521472</v>
      </c>
      <c r="BV19" s="697" t="n">
        <v>3063428.336</v>
      </c>
      <c r="BW19" s="697" t="n">
        <v>14047020.029</v>
      </c>
      <c r="BX19" s="1205" t="n">
        <v>2297751</v>
      </c>
      <c r="BY19" s="1205" t="n">
        <v>1122023</v>
      </c>
      <c r="BZ19" s="1205" t="n">
        <v>393576</v>
      </c>
      <c r="CA19" s="1205" t="n">
        <v>362846</v>
      </c>
      <c r="CB19" s="1205" t="n">
        <v>12902023</v>
      </c>
      <c r="CD19" s="697">
        <f>CB19+BX19-BY19+BZ19+CA19-BW19</f>
        <v/>
      </c>
      <c r="CE19" s="1205" t="n"/>
      <c r="CF19" s="1205" t="n"/>
      <c r="CG19" s="1205" t="n"/>
      <c r="CH19" s="1205" t="n"/>
      <c r="CJ19" s="697">
        <f>BW19</f>
        <v/>
      </c>
      <c r="CL19" s="697" t="n">
        <v>0</v>
      </c>
      <c r="CN19" s="786" t="n"/>
      <c r="CQ19" s="1201" t="n">
        <v>1.9273</v>
      </c>
      <c r="CR19" s="1205" t="n">
        <v>55722336.436565</v>
      </c>
      <c r="CS19" s="1205" t="n">
        <v>28911771.425349</v>
      </c>
      <c r="CW19" s="103" t="n"/>
      <c r="CX19" s="103" t="n"/>
      <c r="CY19" s="103" t="n"/>
      <c r="CZ19" s="104" t="n"/>
      <c r="DC19" s="1205" t="n"/>
      <c r="DD19" s="1205" t="n"/>
      <c r="DE19" s="1205" t="n"/>
      <c r="DG19" s="1205" t="n"/>
      <c r="DH19" s="1205" t="n"/>
      <c r="DI19" s="1205" t="n"/>
      <c r="DJ19" s="1205" t="n"/>
      <c r="DK19" s="1205" t="n"/>
      <c r="DL19" s="1205" t="n"/>
      <c r="DM19" s="1205" t="n"/>
      <c r="EF19" s="787" t="n"/>
      <c r="EI19" s="1205" t="n"/>
      <c r="EJ19" s="1205" t="n"/>
      <c r="EK19" s="1205" t="n"/>
      <c r="EN19" s="1205" t="n"/>
      <c r="EO19" s="1205" t="n"/>
    </row>
    <row r="20" ht="16.5" customHeight="1" s="759">
      <c r="A20" s="643" t="inlineStr">
        <is>
          <t>2512삼성</t>
        </is>
      </c>
      <c r="B20" s="643" t="n">
        <v>2512</v>
      </c>
      <c r="C20" s="643" t="inlineStr">
        <is>
          <t>삼성</t>
        </is>
      </c>
      <c r="D20" s="697" t="n">
        <v>309948294</v>
      </c>
      <c r="E20" s="697" t="n">
        <v>38209635</v>
      </c>
      <c r="F20" s="697" t="n">
        <v>196888832</v>
      </c>
      <c r="G20" s="697" t="n">
        <v>41115626</v>
      </c>
      <c r="H20" s="697" t="n">
        <v>23986536</v>
      </c>
      <c r="I20" s="786">
        <f>E20/D20</f>
        <v/>
      </c>
      <c r="J20" s="786">
        <f>F20/D20</f>
        <v/>
      </c>
      <c r="K20" s="786">
        <f>G20/D20</f>
        <v/>
      </c>
      <c r="L20" s="697" t="n">
        <v>253531479</v>
      </c>
      <c r="M20" s="697" t="n">
        <v>200846347</v>
      </c>
      <c r="N20" s="697">
        <f>O20-P20</f>
        <v/>
      </c>
      <c r="O20" s="697" t="n">
        <v>56416815</v>
      </c>
      <c r="Q20" s="697" t="n">
        <v>43358109</v>
      </c>
      <c r="R20" s="697" t="n">
        <v>15062944</v>
      </c>
      <c r="S20" s="697" t="n">
        <v>30488497</v>
      </c>
      <c r="T20" s="979" t="n">
        <v>30488497</v>
      </c>
      <c r="U20" s="1205" t="n"/>
      <c r="V20" s="1205" t="n">
        <v>275325806.485</v>
      </c>
      <c r="W20" s="1202" t="n"/>
      <c r="X20" s="697">
        <f>Q20</f>
        <v/>
      </c>
      <c r="Y20" s="697" t="n">
        <v>36260495</v>
      </c>
      <c r="Z20" s="697" t="n">
        <v>7891090</v>
      </c>
      <c r="AA20" s="1205" t="n">
        <v>-52988</v>
      </c>
      <c r="AB20" s="697" t="n">
        <v>-874000</v>
      </c>
      <c r="AC20" s="697" t="n">
        <v>6131</v>
      </c>
      <c r="AD20" s="697" t="n">
        <v>-187846</v>
      </c>
      <c r="AE20" s="990" t="n"/>
      <c r="AF20" s="697" t="n">
        <v>974716</v>
      </c>
      <c r="AG20" s="697" t="n">
        <v>9788568</v>
      </c>
      <c r="AH20" s="697" t="n">
        <v>8813852</v>
      </c>
      <c r="AI20" s="697" t="n">
        <v>691745</v>
      </c>
      <c r="AJ20" s="697" t="n">
        <v>-10546039</v>
      </c>
      <c r="AK20" s="697" t="n">
        <v>71231</v>
      </c>
      <c r="AL20" s="697">
        <f>AI20-AJ20-AK20+AM20-AN20</f>
        <v/>
      </c>
      <c r="AM20" s="697" t="n">
        <v>342173</v>
      </c>
      <c r="AN20" s="697" t="n">
        <v>638546</v>
      </c>
      <c r="AO20" s="697" t="n">
        <v>1666461</v>
      </c>
      <c r="AP20" s="697" t="n">
        <v>340545</v>
      </c>
      <c r="AQ20" s="697" t="n">
        <v>2007006</v>
      </c>
      <c r="AR20" s="697" t="n">
        <v>1699762</v>
      </c>
      <c r="AS20" s="966">
        <f>AO20+AP20-AQ20</f>
        <v/>
      </c>
      <c r="AT20" s="966">
        <f>AJ20+AK20+AL20-AM20+AN20-AI20</f>
        <v/>
      </c>
      <c r="AU20" s="966">
        <f>AF20+AI20-AO20</f>
        <v/>
      </c>
      <c r="AV20" s="966">
        <f>AF20</f>
        <v/>
      </c>
      <c r="AW20" s="966">
        <f>AI20</f>
        <v/>
      </c>
      <c r="AX20" s="966">
        <f>AP20</f>
        <v/>
      </c>
      <c r="AY20" s="966">
        <f>AV20+AW20+AX20</f>
        <v/>
      </c>
      <c r="BB20" s="786" t="n"/>
      <c r="BC20" s="697" t="n">
        <v>18492149</v>
      </c>
      <c r="BD20" s="697" t="n">
        <v>21264540</v>
      </c>
      <c r="BF20" s="697" t="n">
        <v>4898720</v>
      </c>
      <c r="BG20" s="697" t="n">
        <v>-1277254</v>
      </c>
      <c r="BI20" s="697" t="n">
        <v>-20046</v>
      </c>
      <c r="BK20" s="697">
        <f>Q20</f>
        <v/>
      </c>
      <c r="BL20" s="966" t="n"/>
      <c r="BM20" s="697" t="n">
        <v>14000586</v>
      </c>
      <c r="BN20" s="697" t="n">
        <v>-808086</v>
      </c>
      <c r="BP20" s="697">
        <f>AR20</f>
        <v/>
      </c>
      <c r="BQ20" s="697" t="n">
        <v>170682</v>
      </c>
      <c r="BS20" s="697">
        <f>R20</f>
        <v/>
      </c>
      <c r="BT20" s="966" t="n">
        <v>0</v>
      </c>
      <c r="BU20" s="697" t="n">
        <v>184463264</v>
      </c>
      <c r="BV20" s="697" t="n">
        <v>3165209</v>
      </c>
      <c r="BW20" s="697" t="n">
        <v>13217874</v>
      </c>
      <c r="BX20" s="697" t="n">
        <v>3059472</v>
      </c>
      <c r="BY20" s="697" t="n">
        <v>1479599</v>
      </c>
      <c r="BZ20" s="697" t="n">
        <v>-1757775</v>
      </c>
      <c r="CA20" s="697" t="n">
        <v>493753</v>
      </c>
      <c r="CB20" s="697" t="n">
        <v>12902023</v>
      </c>
      <c r="CD20" s="697">
        <f>CB20+BX20-BY20+BZ20+CA20-BW20</f>
        <v/>
      </c>
      <c r="CE20" s="1205" t="n"/>
      <c r="CF20" s="1205" t="n"/>
      <c r="CG20" s="1205" t="n"/>
      <c r="CH20" s="1205" t="n"/>
      <c r="CJ20" s="697">
        <f>BW20</f>
        <v/>
      </c>
      <c r="CL20" s="697" t="n">
        <v>0</v>
      </c>
      <c r="CN20" s="1201" t="n">
        <v>1.98</v>
      </c>
      <c r="CO20" s="1205" t="n">
        <v>65740178</v>
      </c>
      <c r="CP20" s="1205" t="n">
        <v>33207526</v>
      </c>
      <c r="CQ20" s="1200" t="n">
        <v>1.98</v>
      </c>
      <c r="CR20" s="1192" t="n">
        <v>65740178</v>
      </c>
      <c r="CS20" s="1192" t="n">
        <v>33207526</v>
      </c>
      <c r="CU20" s="697" t="n">
        <v>832412.144</v>
      </c>
      <c r="CW20" s="103" t="n">
        <v>0.921</v>
      </c>
      <c r="CX20" s="103" t="n">
        <v>0.991</v>
      </c>
      <c r="CY20" s="103">
        <f>CW20-CX20</f>
        <v/>
      </c>
      <c r="CZ20" s="104">
        <f>CX20/CW20</f>
        <v/>
      </c>
      <c r="DC20" s="1205" t="n"/>
      <c r="DD20" s="1205" t="n"/>
      <c r="DE20" s="1205" t="n"/>
      <c r="DG20" s="1205" t="n"/>
      <c r="DH20" s="1205" t="n"/>
      <c r="DI20" s="1205" t="n"/>
      <c r="DJ20" s="1205" t="n"/>
      <c r="DK20" s="1205" t="n"/>
      <c r="DL20" s="1205" t="n"/>
      <c r="DM20" s="1205" t="n"/>
      <c r="EF20" s="787" t="n"/>
      <c r="EP20" s="697" t="n">
        <v>258004</v>
      </c>
      <c r="EQ20" s="697" t="n">
        <v>421543</v>
      </c>
      <c r="ER20" s="697" t="n">
        <v>487958</v>
      </c>
      <c r="ES20" s="1205" t="n"/>
      <c r="ET20" s="697" t="n">
        <v>906405</v>
      </c>
      <c r="EW20" s="697" t="n">
        <v>-258004</v>
      </c>
      <c r="EX20" s="697" t="n">
        <v>-421543</v>
      </c>
      <c r="EY20" s="697" t="n">
        <v>-487958</v>
      </c>
      <c r="EZ20" s="1205" t="n"/>
      <c r="FA20" s="697" t="n">
        <v>-906405</v>
      </c>
      <c r="FB20" s="697" t="n">
        <v>282088</v>
      </c>
      <c r="FC20" s="767" t="n">
        <v>0</v>
      </c>
    </row>
    <row r="21">
      <c r="I21" s="786" t="n"/>
      <c r="J21" s="786" t="n"/>
      <c r="K21" s="786" t="n"/>
      <c r="T21" s="979" t="n"/>
      <c r="W21" s="142" t="n"/>
      <c r="AS21" s="966" t="n"/>
      <c r="AT21" s="966" t="n"/>
      <c r="AU21" s="966" t="n"/>
      <c r="AV21" s="966" t="n"/>
      <c r="AW21" s="966" t="n"/>
      <c r="AX21" s="966" t="n"/>
      <c r="AY21" s="966" t="n"/>
      <c r="BB21" s="786" t="n"/>
      <c r="BL21" s="966" t="n"/>
      <c r="BT21" s="966" t="n"/>
      <c r="CN21" s="786" t="n"/>
      <c r="CQ21" s="786" t="n"/>
      <c r="CW21" s="103" t="n"/>
      <c r="CX21" s="103" t="n"/>
      <c r="CY21" s="103" t="n"/>
      <c r="CZ21" s="104" t="n"/>
      <c r="DJ21" s="978" t="n"/>
      <c r="EF21" s="787" t="n"/>
    </row>
    <row r="22" customFormat="1" s="106">
      <c r="A22" s="106" t="inlineStr">
        <is>
          <t>2212교보</t>
        </is>
      </c>
      <c r="B22" s="106" t="n">
        <v>2212</v>
      </c>
      <c r="C22" s="106" t="inlineStr">
        <is>
          <t>교보</t>
        </is>
      </c>
      <c r="D22" s="980" t="n"/>
      <c r="E22" s="980" t="n"/>
      <c r="F22" s="980" t="n"/>
      <c r="G22" s="980" t="n"/>
      <c r="H22" s="980" t="n"/>
      <c r="I22" s="992" t="n"/>
      <c r="J22" s="992" t="n"/>
      <c r="K22" s="992" t="n"/>
      <c r="L22" s="980" t="n"/>
      <c r="M22" s="980" t="n"/>
      <c r="N22" s="979" t="n"/>
      <c r="O22" s="1192" t="n"/>
      <c r="P22" s="1192" t="n"/>
      <c r="Q22" s="1192" t="n"/>
      <c r="R22" s="1192" t="n"/>
      <c r="S22" s="979" t="n"/>
      <c r="T22" s="979" t="n"/>
      <c r="U22" s="980" t="n"/>
      <c r="V22" s="980" t="n"/>
      <c r="W22" s="980" t="n"/>
      <c r="X22" s="979" t="n"/>
      <c r="Y22" s="1192" t="n"/>
      <c r="Z22" s="1192" t="n"/>
      <c r="AA22" s="1192" t="n"/>
      <c r="AB22" s="1192" t="n"/>
      <c r="AC22" s="1192" t="n"/>
      <c r="AD22" s="1192" t="n"/>
      <c r="AE22" s="979" t="n"/>
      <c r="AF22" s="980" t="n"/>
      <c r="AG22" s="980" t="n"/>
      <c r="AH22" s="980" t="n"/>
      <c r="AI22" s="980" t="n"/>
      <c r="AJ22" s="980" t="n"/>
      <c r="AK22" s="980" t="n"/>
      <c r="AL22" s="980" t="n"/>
      <c r="AM22" s="980" t="n"/>
      <c r="AN22" s="980" t="n"/>
      <c r="AO22" s="980" t="n"/>
      <c r="AP22" s="980" t="n"/>
      <c r="AQ22" s="979" t="n"/>
      <c r="AR22" s="979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92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1196" t="n"/>
      <c r="BU22" s="1192" t="n"/>
      <c r="BV22" s="1192" t="n"/>
      <c r="BW22" s="1192" t="n"/>
      <c r="BX22" s="979" t="n"/>
      <c r="BY22" s="979" t="n"/>
      <c r="BZ22" s="979" t="n"/>
      <c r="CA22" s="979" t="n"/>
      <c r="CB22" s="979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92" t="n"/>
      <c r="CO22" s="980" t="n"/>
      <c r="CP22" s="980" t="n"/>
      <c r="CQ22" s="992" t="n"/>
      <c r="CR22" s="980" t="n"/>
      <c r="CS22" s="980" t="n"/>
      <c r="CT22" s="980" t="n"/>
      <c r="CU22" s="980" t="n"/>
      <c r="CV22" s="980" t="n"/>
      <c r="CW22" s="980" t="n"/>
      <c r="CX22" s="980" t="n"/>
      <c r="CY22" s="980" t="n"/>
      <c r="CZ22" s="980" t="n"/>
      <c r="DA22" s="980" t="n"/>
      <c r="DB22" s="980" t="n"/>
      <c r="DC22" s="992" t="n"/>
      <c r="DD22" s="980" t="n"/>
      <c r="DE22" s="980" t="n"/>
      <c r="DF22" s="980" t="n"/>
      <c r="DG22" s="980" t="n"/>
      <c r="DH22" s="980" t="n"/>
      <c r="DI22" s="980" t="n"/>
      <c r="DJ22" s="980" t="n"/>
      <c r="DK22" s="980" t="n"/>
      <c r="DL22" s="980" t="n"/>
      <c r="DM22" s="980" t="n"/>
      <c r="DN22" s="980" t="n"/>
      <c r="DO22" s="980" t="n"/>
      <c r="DP22" s="980" t="n"/>
      <c r="DQ22" s="980" t="n"/>
      <c r="DR22" s="980" t="n"/>
      <c r="DS22" s="980" t="n"/>
      <c r="DT22" s="980" t="n"/>
      <c r="DU22" s="980" t="n"/>
      <c r="DV22" s="980" t="n"/>
      <c r="DW22" s="980" t="n"/>
      <c r="DX22" s="980" t="n"/>
      <c r="DY22" s="980" t="n"/>
      <c r="DZ22" s="980" t="n"/>
      <c r="EA22" s="980" t="n"/>
      <c r="EB22" s="980" t="n"/>
      <c r="EC22" s="980" t="n"/>
      <c r="ED22" s="980" t="n"/>
      <c r="EE22" s="980" t="n"/>
      <c r="EF22" s="980" t="n"/>
      <c r="EP22" s="980" t="n"/>
      <c r="EQ22" s="980" t="n"/>
      <c r="ER22" s="980" t="n"/>
      <c r="ES22" s="980" t="n"/>
      <c r="ET22" s="980" t="n"/>
      <c r="EU22" s="980" t="n"/>
      <c r="EV22" s="980" t="n"/>
      <c r="EW22" s="980" t="n"/>
      <c r="EX22" s="980" t="n"/>
      <c r="EY22" s="980" t="n"/>
      <c r="EZ22" s="980" t="n"/>
      <c r="FA22" s="980" t="n"/>
      <c r="FB22" s="980" t="n"/>
    </row>
    <row r="23" customFormat="1" s="106">
      <c r="A23" s="106" t="inlineStr">
        <is>
          <t>2312교보</t>
        </is>
      </c>
      <c r="B23" s="106" t="n">
        <v>2312</v>
      </c>
      <c r="C23" s="106" t="inlineStr">
        <is>
          <t>교보</t>
        </is>
      </c>
      <c r="D23" s="980" t="n">
        <v>115079638.554295</v>
      </c>
      <c r="E23" s="980" t="n">
        <v>34153491.484438</v>
      </c>
      <c r="F23" s="980" t="n">
        <v>49724360.239462</v>
      </c>
      <c r="G23" s="980" t="n">
        <v>21463504.771095</v>
      </c>
      <c r="H23" s="980" t="n">
        <v>2048122.40218</v>
      </c>
      <c r="I23" s="992">
        <f>E23/D23</f>
        <v/>
      </c>
      <c r="J23" s="992">
        <f>F23/D23</f>
        <v/>
      </c>
      <c r="K23" s="992">
        <f>G23/D23</f>
        <v/>
      </c>
      <c r="L23" s="1196" t="n">
        <v>105317246.584092</v>
      </c>
      <c r="M23" s="1196" t="n">
        <v>87533336.48834801</v>
      </c>
      <c r="N23" s="979">
        <f>O23-P23</f>
        <v/>
      </c>
      <c r="O23" s="1192" t="n">
        <v>9762391.970202999</v>
      </c>
      <c r="P23" s="979" t="n">
        <v>1607440.428213</v>
      </c>
      <c r="Q23" s="979" t="n">
        <v>1670167.445676</v>
      </c>
      <c r="R23" s="1192" t="n">
        <v>6213762.493004</v>
      </c>
      <c r="S23" s="1192" t="n">
        <v>12715631.482359</v>
      </c>
      <c r="T23" s="1192" t="n">
        <v>11606732.534146</v>
      </c>
      <c r="U23" s="980" t="n">
        <v>99476394</v>
      </c>
      <c r="V23" s="980" t="n">
        <v>97258910.047427</v>
      </c>
      <c r="W23" s="107" t="n">
        <v>0.9777</v>
      </c>
      <c r="X23" s="979">
        <f>Q23</f>
        <v/>
      </c>
      <c r="Y23" s="1192" t="n">
        <v>-3519061</v>
      </c>
      <c r="Z23" s="1192" t="n">
        <v>4371761</v>
      </c>
      <c r="AA23" s="1192" t="n">
        <v>12855</v>
      </c>
      <c r="AB23" s="979" t="n">
        <v>265018</v>
      </c>
      <c r="AC23" s="1192" t="n"/>
      <c r="AD23" s="1192" t="n">
        <v>29480</v>
      </c>
      <c r="AE23" s="979" t="n"/>
      <c r="AF23" s="1196" t="n">
        <v>42073.679167</v>
      </c>
      <c r="AG23" s="1196" t="n">
        <v>3693666.189701</v>
      </c>
      <c r="AH23" s="1196" t="n">
        <v>3651592.510534</v>
      </c>
      <c r="AI23" s="1196" t="n">
        <v>600006.228335</v>
      </c>
      <c r="AJ23" s="980" t="n">
        <v>-4287191.01458</v>
      </c>
      <c r="AK23" s="980" t="n">
        <v>-4505.277842</v>
      </c>
      <c r="AL23" s="980">
        <f>AI23-AJ23-AK23+AM23-AN23</f>
        <v/>
      </c>
      <c r="AM23" s="980" t="n">
        <v>84976.538414</v>
      </c>
      <c r="AN23" s="1196" t="n">
        <v>809028.711775</v>
      </c>
      <c r="AO23" s="1196" t="n">
        <v>642079.907502</v>
      </c>
      <c r="AP23" s="980" t="n">
        <v>3018.609483</v>
      </c>
      <c r="AQ23" s="1192" t="n">
        <v>645098.516985</v>
      </c>
      <c r="AR23" s="1192" t="n">
        <v>489081.577795</v>
      </c>
      <c r="AS23" s="980">
        <f>AO23+AP23-AQ23</f>
        <v/>
      </c>
      <c r="AT23" s="980">
        <f>AJ23+AK23+AL23-AM23+AN23-AI23</f>
        <v/>
      </c>
      <c r="AU23" s="980">
        <f>AF23+AI23-AO23</f>
        <v/>
      </c>
      <c r="AV23" s="980">
        <f>AF23</f>
        <v/>
      </c>
      <c r="AW23" s="980">
        <f>AI23</f>
        <v/>
      </c>
      <c r="AX23" s="980">
        <f>AP23</f>
        <v/>
      </c>
      <c r="AY23" s="980">
        <f>AV23+AW23+AX23</f>
        <v/>
      </c>
      <c r="AZ23" s="980" t="n"/>
      <c r="BA23" s="980" t="n"/>
      <c r="BB23" s="1199" t="n"/>
      <c r="BC23" s="1196" t="n">
        <v>4534291.588534</v>
      </c>
      <c r="BD23" s="980" t="n">
        <v>2306391.530503</v>
      </c>
      <c r="BE23" s="788" t="n">
        <v>2095.38389</v>
      </c>
      <c r="BF23" s="980" t="n">
        <v>-3579905.098156</v>
      </c>
      <c r="BG23" s="980" t="n">
        <v>357360.796277</v>
      </c>
      <c r="BH23" s="980" t="n">
        <v>-3640.898588</v>
      </c>
      <c r="BI23" s="980" t="n">
        <v>-3946.2729</v>
      </c>
      <c r="BJ23" s="1196" t="n"/>
      <c r="BK23" s="980">
        <f>Q23</f>
        <v/>
      </c>
      <c r="BL23" s="980">
        <f>BK23-BC23-SUM(BD23:BJ23)</f>
        <v/>
      </c>
      <c r="BM23" s="1196" t="n">
        <v>6717411.466702</v>
      </c>
      <c r="BN23" s="980" t="n">
        <v>-51250</v>
      </c>
      <c r="BO23" s="980" t="n"/>
      <c r="BP23" s="980">
        <f>AR23</f>
        <v/>
      </c>
      <c r="BQ23" s="980" t="n"/>
      <c r="BR23" s="980" t="n">
        <v>-74244.91667000001</v>
      </c>
      <c r="BS23" s="980">
        <f>R23</f>
        <v/>
      </c>
      <c r="BT23" s="980" t="n">
        <v>0</v>
      </c>
      <c r="BU23" s="979" t="n">
        <v>80176057</v>
      </c>
      <c r="BV23" s="979" t="n">
        <v>1241898</v>
      </c>
      <c r="BW23" s="979" t="n">
        <v>5824924</v>
      </c>
      <c r="BX23" s="1192" t="n"/>
      <c r="BY23" s="1192" t="n"/>
      <c r="BZ23" s="1192" t="n"/>
      <c r="CA23" s="1192" t="n"/>
      <c r="CB23" s="1192" t="n"/>
      <c r="CC23" s="980" t="n"/>
      <c r="CD23" s="980" t="n"/>
      <c r="CE23" s="1196" t="n"/>
      <c r="CF23" s="1196" t="n"/>
      <c r="CG23" s="1196" t="n"/>
      <c r="CH23" s="1196" t="n"/>
      <c r="CI23" s="1196" t="n"/>
      <c r="CJ23" s="980">
        <f>BW23</f>
        <v/>
      </c>
      <c r="CK23" s="980" t="n"/>
      <c r="CL23" s="980" t="n">
        <v>0</v>
      </c>
      <c r="CM23" s="980" t="n"/>
      <c r="CN23" s="992" t="n">
        <v>1.9378</v>
      </c>
      <c r="CO23" s="980" t="n">
        <v>14515588</v>
      </c>
      <c r="CP23" s="980" t="n">
        <v>7490863</v>
      </c>
      <c r="CQ23" s="1199" t="n">
        <v>1.9378</v>
      </c>
      <c r="CR23" s="1196" t="n">
        <v>14515588</v>
      </c>
      <c r="CS23" s="1196" t="n">
        <v>7490863</v>
      </c>
      <c r="CT23" s="980" t="n"/>
      <c r="CU23" s="980" t="n"/>
      <c r="CV23" s="980" t="n"/>
      <c r="CW23" s="980" t="n"/>
      <c r="CX23" s="980" t="n"/>
      <c r="CY23" s="980" t="n"/>
      <c r="CZ23" s="980" t="n"/>
      <c r="DA23" s="980" t="n"/>
      <c r="DB23" s="980" t="n"/>
      <c r="DC23" s="992" t="n"/>
      <c r="DD23" s="980" t="n"/>
      <c r="DE23" s="980" t="n"/>
      <c r="DF23" s="980" t="n"/>
      <c r="DG23" s="980" t="n"/>
      <c r="DH23" s="980" t="n"/>
      <c r="DI23" s="980" t="n"/>
      <c r="DJ23" s="980" t="n"/>
      <c r="DK23" s="980" t="n"/>
      <c r="DL23" s="980" t="n"/>
      <c r="DM23" s="980" t="n"/>
      <c r="DN23" s="980" t="n"/>
      <c r="DO23" s="980" t="n"/>
      <c r="DP23" s="980" t="n"/>
      <c r="DQ23" s="980" t="n"/>
      <c r="DR23" s="980" t="n"/>
      <c r="DS23" s="980" t="n"/>
      <c r="DT23" s="980" t="n"/>
      <c r="DU23" s="980" t="n"/>
      <c r="DV23" s="980" t="n"/>
      <c r="DW23" s="980" t="n"/>
      <c r="DX23" s="980" t="n"/>
      <c r="DY23" s="980" t="n"/>
      <c r="DZ23" s="980" t="n"/>
      <c r="EA23" s="980" t="n"/>
      <c r="EB23" s="980" t="n"/>
      <c r="EC23" s="980" t="n"/>
      <c r="ED23" s="980" t="n"/>
      <c r="EE23" s="980" t="n"/>
      <c r="EF23" s="980" t="n"/>
      <c r="EP23" s="980" t="n"/>
      <c r="EQ23" s="980" t="n"/>
      <c r="ER23" s="980" t="n"/>
      <c r="ES23" s="980" t="n"/>
      <c r="ET23" s="980" t="n"/>
      <c r="EU23" s="980" t="n"/>
      <c r="EV23" s="980" t="n"/>
      <c r="EW23" s="980" t="n"/>
      <c r="EX23" s="980" t="n"/>
      <c r="EY23" s="980" t="n"/>
      <c r="EZ23" s="980" t="n"/>
      <c r="FA23" s="980" t="n"/>
      <c r="FB23" s="980" t="n"/>
    </row>
    <row r="24" customFormat="1" s="106">
      <c r="A24" s="106" t="inlineStr">
        <is>
          <t>2412교보</t>
        </is>
      </c>
      <c r="B24" s="106" t="n">
        <v>2412</v>
      </c>
      <c r="C24" s="106" t="inlineStr">
        <is>
          <t>교보</t>
        </is>
      </c>
      <c r="D24" s="993" t="n">
        <v>122408983.045999</v>
      </c>
      <c r="E24" s="980" t="n">
        <v>32211658.924788</v>
      </c>
      <c r="F24" s="980" t="n">
        <v>58025921.849151</v>
      </c>
      <c r="G24" s="993" t="n">
        <v>21294759.61627</v>
      </c>
      <c r="H24" s="980" t="n">
        <v>2910745.314498</v>
      </c>
      <c r="I24" s="992">
        <f>E24/D24</f>
        <v/>
      </c>
      <c r="J24" s="992">
        <f>F24/D24</f>
        <v/>
      </c>
      <c r="K24" s="992">
        <f>G24/D24</f>
        <v/>
      </c>
      <c r="L24" s="993" t="n">
        <v>115103965.327422</v>
      </c>
      <c r="M24" s="980" t="n">
        <v>94441284.045036</v>
      </c>
      <c r="N24" s="979">
        <f>O24-P24</f>
        <v/>
      </c>
      <c r="O24" s="994" t="n">
        <v>7305017.718577</v>
      </c>
      <c r="P24" s="979" t="n">
        <v>2205726.208213</v>
      </c>
      <c r="Q24" s="994" t="n">
        <v>-2205732.209538</v>
      </c>
      <c r="R24" s="979" t="n">
        <v>7034002.116592</v>
      </c>
      <c r="S24" s="979" t="n">
        <v>9975755.359695001</v>
      </c>
      <c r="T24" s="979" t="n">
        <v>8368314.931482</v>
      </c>
      <c r="U24" s="1196" t="n"/>
      <c r="V24" s="1196" t="n">
        <v>104248230.593671</v>
      </c>
      <c r="W24" s="1202" t="n"/>
      <c r="X24" s="994">
        <f>Q24</f>
        <v/>
      </c>
      <c r="Y24" s="1197" t="n">
        <v>-3305617</v>
      </c>
      <c r="Z24" s="994" t="n">
        <v>230655</v>
      </c>
      <c r="AA24" s="994" t="n">
        <v>3809</v>
      </c>
      <c r="AB24" s="1197" t="n">
        <v>301368</v>
      </c>
      <c r="AC24" s="1197" t="n"/>
      <c r="AD24" s="994" t="n">
        <v>43453</v>
      </c>
      <c r="AE24" s="979" t="n"/>
      <c r="AF24" s="980" t="n">
        <v>473623.864404</v>
      </c>
      <c r="AG24" s="980" t="n">
        <v>4010999.811204</v>
      </c>
      <c r="AH24" s="980" t="n">
        <v>3537375.9468</v>
      </c>
      <c r="AI24" s="980" t="n">
        <v>671399.6277299999</v>
      </c>
      <c r="AJ24" s="980" t="n">
        <v>-2923905.728455</v>
      </c>
      <c r="AK24" s="980" t="n">
        <v>-3376.843818</v>
      </c>
      <c r="AL24" s="980">
        <f>AI24-AJ24-AK24+AM24-AN24</f>
        <v/>
      </c>
      <c r="AM24" s="980" t="n">
        <v>87499.136193</v>
      </c>
      <c r="AN24" s="1196" t="n">
        <v>845967.306542</v>
      </c>
      <c r="AO24" s="980" t="n">
        <v>1145023.492134</v>
      </c>
      <c r="AP24" s="980" t="n">
        <v>-264233.609378</v>
      </c>
      <c r="AQ24" s="979" t="n">
        <v>880789.882756</v>
      </c>
      <c r="AR24" s="979" t="n">
        <v>698736.0893399999</v>
      </c>
      <c r="AS24" s="980">
        <f>AO24+AP24-AQ24</f>
        <v/>
      </c>
      <c r="AT24" s="980">
        <f>AJ24+AK24+AL24-AM24+AN24-AI24</f>
        <v/>
      </c>
      <c r="AU24" s="980">
        <f>AF24+AI24-AO24</f>
        <v/>
      </c>
      <c r="AV24" s="980">
        <f>AF24</f>
        <v/>
      </c>
      <c r="AW24" s="980">
        <f>AI24</f>
        <v/>
      </c>
      <c r="AX24" s="980">
        <f>AP24</f>
        <v/>
      </c>
      <c r="AY24" s="980">
        <f>AV24+AW24+AX24</f>
        <v/>
      </c>
      <c r="AZ24" s="980" t="n"/>
      <c r="BA24" s="980" t="n"/>
      <c r="BB24" s="1199" t="n"/>
      <c r="BC24" s="1197" t="n">
        <v>1670167.445676</v>
      </c>
      <c r="BD24" s="1197" t="n">
        <v>254014.466024</v>
      </c>
      <c r="BE24" s="788" t="n">
        <v>-3355.361292</v>
      </c>
      <c r="BF24" s="980" t="n">
        <v>-4161073.809181</v>
      </c>
      <c r="BG24" s="980" t="n">
        <v>36349.57474</v>
      </c>
      <c r="BH24" s="980" t="n">
        <v>-9037.39532</v>
      </c>
      <c r="BI24" s="980" t="n">
        <v>7202.869815</v>
      </c>
      <c r="BJ24" s="980" t="n"/>
      <c r="BK24" s="994">
        <f>Q24</f>
        <v/>
      </c>
      <c r="BL24" s="980">
        <f>BK24-BC24-SUM(BD24:BJ24)</f>
        <v/>
      </c>
      <c r="BM24" s="980" t="n">
        <v>6427125.882496</v>
      </c>
      <c r="BN24" s="1196" t="n"/>
      <c r="BO24" s="980" t="n"/>
      <c r="BP24" s="980">
        <f>AR24</f>
        <v/>
      </c>
      <c r="BQ24" s="1196" t="n"/>
      <c r="BR24" s="980" t="n">
        <v>-91708.112504</v>
      </c>
      <c r="BS24" s="980">
        <f>R24</f>
        <v/>
      </c>
      <c r="BT24" s="980" t="n">
        <v>0</v>
      </c>
      <c r="BU24" s="979" t="n">
        <v>86660888</v>
      </c>
      <c r="BV24" s="979" t="n">
        <v>1342338</v>
      </c>
      <c r="BW24" s="979" t="n">
        <v>6438058</v>
      </c>
      <c r="BX24" s="979" t="n">
        <v>1371568</v>
      </c>
      <c r="BY24" s="979" t="n">
        <v>600984</v>
      </c>
      <c r="BZ24" s="979" t="n">
        <v>-260820</v>
      </c>
      <c r="CA24" s="979" t="n">
        <v>103371</v>
      </c>
      <c r="CB24" s="979" t="n">
        <v>5824923</v>
      </c>
      <c r="CC24" s="1204" t="n"/>
      <c r="CD24" s="980">
        <f>CB24+BX24-BY24+BZ24+CA24-BW24</f>
        <v/>
      </c>
      <c r="CE24" s="980" t="n">
        <v>572479</v>
      </c>
      <c r="CF24" s="980" t="n">
        <v>948672</v>
      </c>
      <c r="CG24" s="980" t="n">
        <v>775664</v>
      </c>
      <c r="CH24" s="980" t="n">
        <v>1421174</v>
      </c>
      <c r="CI24" s="980" t="n">
        <v>2720068</v>
      </c>
      <c r="CJ24" s="980">
        <f>BW24</f>
        <v/>
      </c>
      <c r="CK24" s="980">
        <f>CJ24-SUM(CE24:CI24)</f>
        <v/>
      </c>
      <c r="CL24" s="980" t="n">
        <v>0</v>
      </c>
      <c r="CM24" s="980" t="n"/>
      <c r="CN24" s="992" t="n">
        <v>1.6416</v>
      </c>
      <c r="CO24" s="980" t="n">
        <v>13986471</v>
      </c>
      <c r="CP24" s="980" t="n">
        <v>8520212</v>
      </c>
      <c r="CQ24" s="1199" t="n">
        <v>1.6416</v>
      </c>
      <c r="CR24" s="1196" t="n">
        <v>13986471</v>
      </c>
      <c r="CS24" s="1196" t="n">
        <v>8520212</v>
      </c>
      <c r="CT24" s="980" t="n"/>
      <c r="CU24" s="980" t="n"/>
      <c r="CV24" s="980" t="n"/>
      <c r="CW24" s="107" t="n">
        <v>0.764</v>
      </c>
      <c r="CX24" s="107" t="n">
        <v>0.759</v>
      </c>
      <c r="CY24" s="107">
        <f>CW24-CX24</f>
        <v/>
      </c>
      <c r="CZ24" s="992">
        <f>CX24/CW24</f>
        <v/>
      </c>
      <c r="DA24" s="980" t="n"/>
      <c r="DB24" s="980" t="n"/>
      <c r="DC24" s="992" t="n"/>
      <c r="DD24" s="980" t="n"/>
      <c r="DE24" s="980" t="n"/>
      <c r="DF24" s="980" t="n"/>
      <c r="DG24" s="980" t="n"/>
      <c r="DH24" s="980" t="n"/>
      <c r="DI24" s="980" t="n"/>
      <c r="DJ24" s="980" t="n"/>
      <c r="DK24" s="980" t="n"/>
      <c r="DL24" s="980" t="n"/>
      <c r="DM24" s="980" t="n"/>
      <c r="DN24" s="980" t="n"/>
      <c r="DO24" s="980" t="n"/>
      <c r="DP24" s="980" t="n"/>
      <c r="DQ24" s="980" t="n"/>
      <c r="DR24" s="980" t="n"/>
      <c r="DS24" s="980" t="n"/>
      <c r="DT24" s="980" t="n"/>
      <c r="DU24" s="980" t="n"/>
      <c r="DV24" s="980" t="n"/>
      <c r="DW24" s="980" t="n"/>
      <c r="DX24" s="980" t="n"/>
      <c r="DY24" s="980" t="n"/>
      <c r="DZ24" s="980" t="n"/>
      <c r="EA24" s="980" t="n"/>
      <c r="EB24" s="980" t="n"/>
      <c r="EC24" s="980" t="n"/>
      <c r="ED24" s="980" t="n"/>
      <c r="EE24" s="980" t="n"/>
      <c r="EP24" s="980" t="n">
        <v>596500</v>
      </c>
      <c r="EQ24" s="980" t="n">
        <v>-700700</v>
      </c>
      <c r="ER24" s="980" t="n">
        <v>-132100</v>
      </c>
      <c r="ES24" s="980" t="n">
        <v>-39300</v>
      </c>
      <c r="ET24" s="980" t="n">
        <v>805700</v>
      </c>
      <c r="EU24" s="980" t="n"/>
      <c r="EV24" s="980" t="n"/>
      <c r="EW24" s="980" t="n">
        <v>-596500</v>
      </c>
      <c r="EX24" s="980" t="n">
        <v>700700</v>
      </c>
      <c r="EY24" s="980" t="n">
        <v>132100</v>
      </c>
      <c r="EZ24" s="980" t="n">
        <v>39300</v>
      </c>
      <c r="FA24" s="980" t="n">
        <v>-805700</v>
      </c>
      <c r="FB24" s="980" t="n">
        <v>269400</v>
      </c>
      <c r="FC24" s="697" t="n">
        <v>0</v>
      </c>
    </row>
    <row r="25" customFormat="1" s="106">
      <c r="A25" s="106" t="inlineStr">
        <is>
          <t>2503교보</t>
        </is>
      </c>
      <c r="B25" s="106" t="n">
        <v>2503</v>
      </c>
      <c r="C25" s="106" t="inlineStr">
        <is>
          <t>교보</t>
        </is>
      </c>
      <c r="D25" s="980" t="n">
        <v>126859785.228232</v>
      </c>
      <c r="E25" s="980" t="n">
        <v>33157762.128662</v>
      </c>
      <c r="F25" s="980" t="n">
        <v>61122832.921236</v>
      </c>
      <c r="G25" s="980" t="n">
        <v>21902515.984605</v>
      </c>
      <c r="H25" s="980" t="n">
        <v>2962428.410329</v>
      </c>
      <c r="I25" s="992">
        <f>E25/D25</f>
        <v/>
      </c>
      <c r="J25" s="992">
        <f>F25/D25</f>
        <v/>
      </c>
      <c r="K25" s="992">
        <f>G25/D25</f>
        <v/>
      </c>
      <c r="L25" s="980" t="n">
        <v>120327285.76426</v>
      </c>
      <c r="M25" s="980" t="n">
        <v>98627700.36550801</v>
      </c>
      <c r="N25" s="979">
        <f>O25-P25</f>
        <v/>
      </c>
      <c r="O25" s="979" t="n">
        <v>6532499.463972</v>
      </c>
      <c r="P25" s="979" t="n">
        <v>2205726.208213</v>
      </c>
      <c r="Q25" s="979" t="n">
        <v>-3143991.714419</v>
      </c>
      <c r="R25" s="979" t="n">
        <v>7199743.366868</v>
      </c>
      <c r="S25" s="979" t="n">
        <v>7305017.718577</v>
      </c>
      <c r="T25" s="979" t="n">
        <v>5099291.510364</v>
      </c>
      <c r="U25" s="1196" t="n">
        <v>112152563</v>
      </c>
      <c r="V25" s="1196" t="n">
        <v>107824762.538846</v>
      </c>
      <c r="W25" s="1202" t="n">
        <v>0.9689</v>
      </c>
      <c r="X25" s="979">
        <f>Q25</f>
        <v/>
      </c>
      <c r="Y25" s="1192" t="n"/>
      <c r="Z25" s="1192" t="n"/>
      <c r="AA25" s="1192" t="n"/>
      <c r="AB25" s="1192" t="n"/>
      <c r="AC25" s="1192" t="n"/>
      <c r="AD25" s="1192" t="n"/>
      <c r="AE25" s="979">
        <f>X25-(Y25+Z25+AA25+AB25+AC25+AD25)</f>
        <v/>
      </c>
      <c r="AF25" s="980" t="n">
        <v>163110.340125</v>
      </c>
      <c r="AG25" s="980" t="n">
        <v>970191.269151</v>
      </c>
      <c r="AH25" s="980" t="n">
        <v>807080.929026</v>
      </c>
      <c r="AI25" s="980" t="n">
        <v>242344.822745</v>
      </c>
      <c r="AJ25" s="980" t="n">
        <v>-1128993.921725</v>
      </c>
      <c r="AK25" s="980" t="n">
        <v>-546.077459</v>
      </c>
      <c r="AL25" s="980">
        <f>AI25-AJ25-AK25+AM25-AN25</f>
        <v/>
      </c>
      <c r="AM25" s="980" t="n">
        <v>15848.336368</v>
      </c>
      <c r="AN25" s="980" t="n">
        <v>261203.485966</v>
      </c>
      <c r="AO25" s="980" t="n">
        <v>405455.16287</v>
      </c>
      <c r="AP25" s="980" t="n">
        <v>4911.592125</v>
      </c>
      <c r="AQ25" s="979" t="n">
        <v>410366.754995</v>
      </c>
      <c r="AR25" s="979" t="n">
        <v>315282.486839</v>
      </c>
      <c r="AS25" s="980">
        <f>AO25+AP25-AQ25</f>
        <v/>
      </c>
      <c r="AT25" s="980">
        <f>AJ25+AK25+AL25-AM25+AN25-AI25</f>
        <v/>
      </c>
      <c r="AU25" s="980">
        <f>AF25+AI25-AO25</f>
        <v/>
      </c>
      <c r="AV25" s="980">
        <f>AF25</f>
        <v/>
      </c>
      <c r="AW25" s="980">
        <f>AI25</f>
        <v/>
      </c>
      <c r="AX25" s="980">
        <f>AP25</f>
        <v/>
      </c>
      <c r="AY25" s="980">
        <f>AV25+AW25+AX25</f>
        <v/>
      </c>
      <c r="AZ25" s="980" t="n"/>
      <c r="BA25" s="980" t="n"/>
      <c r="BB25" s="992" t="n"/>
      <c r="BC25" s="980" t="n">
        <v>-2205732.209538</v>
      </c>
      <c r="BD25" s="980" t="n">
        <v>893186.898872</v>
      </c>
      <c r="BE25" s="788" t="n">
        <v>338.356994</v>
      </c>
      <c r="BF25" s="980" t="n">
        <v>-1874117.708752</v>
      </c>
      <c r="BG25" s="1196" t="n"/>
      <c r="BH25" s="1196" t="n"/>
      <c r="BI25" s="980" t="n">
        <v>-216.375094</v>
      </c>
      <c r="BJ25" s="980" t="n"/>
      <c r="BK25" s="980">
        <f>Q25</f>
        <v/>
      </c>
      <c r="BL25" s="980" t="n"/>
      <c r="BM25" s="980" t="n">
        <v>7034002.116592</v>
      </c>
      <c r="BN25" s="1196" t="n"/>
      <c r="BO25" s="980" t="n"/>
      <c r="BP25" s="980">
        <f>AR25</f>
        <v/>
      </c>
      <c r="BQ25" s="980" t="n"/>
      <c r="BR25" s="1196" t="n"/>
      <c r="BS25" s="980">
        <f>R25</f>
        <v/>
      </c>
      <c r="BT25" s="980" t="n">
        <v>0</v>
      </c>
      <c r="BU25" s="1192" t="n">
        <v>89737700</v>
      </c>
      <c r="BV25" s="1192" t="n">
        <v>1350702.555229</v>
      </c>
      <c r="BW25" s="1192" t="n">
        <v>6197895.089398</v>
      </c>
      <c r="BX25" s="1192" t="n"/>
      <c r="BY25" s="1192" t="n"/>
      <c r="BZ25" s="1192" t="n"/>
      <c r="CA25" s="1192" t="n"/>
      <c r="CB25" s="1192" t="n"/>
      <c r="CC25" s="980" t="n"/>
      <c r="CD25" s="980" t="n"/>
      <c r="CE25" s="1196" t="n">
        <v>564199</v>
      </c>
      <c r="CF25" s="1196" t="n">
        <v>925341</v>
      </c>
      <c r="CG25" s="1196" t="n">
        <v>754552</v>
      </c>
      <c r="CH25" s="1196" t="n">
        <v>1394280</v>
      </c>
      <c r="CI25" s="1196" t="n">
        <v>2750170</v>
      </c>
      <c r="CJ25" s="980">
        <f>BW25</f>
        <v/>
      </c>
      <c r="CK25" s="980" t="n"/>
      <c r="CL25" s="1196" t="n"/>
      <c r="CM25" s="980" t="n"/>
      <c r="CN25" s="992" t="n"/>
      <c r="CO25" s="980" t="n"/>
      <c r="CP25" s="980" t="n"/>
      <c r="CQ25" s="1199" t="n">
        <v>1.4584</v>
      </c>
      <c r="CR25" s="1196" t="n">
        <v>13086745.11314</v>
      </c>
      <c r="CS25" s="1196" t="n">
        <v>8973285.459319999</v>
      </c>
      <c r="CT25" s="980" t="n"/>
      <c r="CU25" s="980" t="n"/>
      <c r="CV25" s="980" t="n"/>
      <c r="CW25" s="107" t="n"/>
      <c r="CX25" s="107" t="n"/>
      <c r="CY25" s="107" t="n"/>
      <c r="CZ25" s="992" t="n"/>
      <c r="DA25" s="980" t="n"/>
      <c r="DB25" s="980" t="n"/>
      <c r="DC25" s="992" t="n"/>
      <c r="DD25" s="980" t="n"/>
      <c r="DE25" s="980" t="n"/>
      <c r="DF25" s="980" t="n"/>
      <c r="DG25" s="980" t="n"/>
      <c r="DH25" s="980" t="n"/>
      <c r="DI25" s="980" t="n"/>
      <c r="DJ25" s="980" t="n"/>
      <c r="DK25" s="980" t="n"/>
      <c r="DL25" s="980" t="n"/>
      <c r="DM25" s="980" t="n"/>
      <c r="DN25" s="980" t="n"/>
      <c r="DO25" s="980" t="n"/>
      <c r="DP25" s="980" t="n"/>
      <c r="DQ25" s="980" t="n"/>
      <c r="DR25" s="980" t="n"/>
      <c r="DS25" s="980" t="n"/>
      <c r="DT25" s="980" t="n"/>
      <c r="DU25" s="980" t="n"/>
      <c r="DV25" s="980" t="n"/>
      <c r="DW25" s="980" t="n"/>
      <c r="DX25" s="980" t="n"/>
      <c r="DY25" s="980" t="n"/>
      <c r="DZ25" s="980" t="n"/>
      <c r="EA25" s="980" t="n"/>
      <c r="EB25" s="980" t="n"/>
      <c r="EC25" s="980" t="n"/>
      <c r="ED25" s="980" t="n"/>
      <c r="EE25" s="980" t="n"/>
      <c r="EP25" s="980" t="n"/>
      <c r="EQ25" s="980" t="n"/>
      <c r="ER25" s="980" t="n"/>
      <c r="ES25" s="980" t="n"/>
      <c r="ET25" s="980" t="n"/>
      <c r="EU25" s="980" t="n"/>
      <c r="EV25" s="980" t="n"/>
      <c r="EW25" s="980" t="n"/>
      <c r="EX25" s="980" t="n"/>
      <c r="EY25" s="980" t="n"/>
      <c r="EZ25" s="980" t="n"/>
      <c r="FA25" s="980" t="n"/>
      <c r="FB25" s="980" t="n"/>
    </row>
    <row r="26" customFormat="1" s="106">
      <c r="A26" s="106" t="inlineStr">
        <is>
          <t>2506교보</t>
        </is>
      </c>
      <c r="B26" s="106" t="n">
        <v>2506</v>
      </c>
      <c r="C26" s="106" t="inlineStr">
        <is>
          <t>교보</t>
        </is>
      </c>
      <c r="D26" s="980" t="n">
        <v>127213347.303222</v>
      </c>
      <c r="E26" s="980" t="n">
        <v>33587374.99602</v>
      </c>
      <c r="F26" s="980" t="n">
        <v>61044087.170703</v>
      </c>
      <c r="G26" s="980" t="n">
        <v>21428384.401341</v>
      </c>
      <c r="H26" s="980" t="n">
        <v>3302882.833591</v>
      </c>
      <c r="I26" s="992">
        <f>E26/D26</f>
        <v/>
      </c>
      <c r="J26" s="992">
        <f>F26/D26</f>
        <v/>
      </c>
      <c r="K26" s="992">
        <f>G26/D26</f>
        <v/>
      </c>
      <c r="L26" s="980" t="n">
        <v>120412433.540692</v>
      </c>
      <c r="M26" s="980" t="n">
        <v>99364709.846058</v>
      </c>
      <c r="N26" s="979">
        <f>O26-P26</f>
        <v/>
      </c>
      <c r="O26" s="979" t="n">
        <v>6800913.76253</v>
      </c>
      <c r="P26" s="979" t="n">
        <v>2205726.208213</v>
      </c>
      <c r="Q26" s="979" t="n">
        <v>-3117696.479842</v>
      </c>
      <c r="R26" s="979" t="n">
        <v>7441652.486049</v>
      </c>
      <c r="S26" s="979" t="n">
        <v>7305017.718577</v>
      </c>
      <c r="T26" s="979" t="n">
        <v>5099291.510364</v>
      </c>
      <c r="U26" s="1196" t="n"/>
      <c r="V26" s="1196" t="n">
        <v>107214693.164438</v>
      </c>
      <c r="W26" s="1202" t="n"/>
      <c r="X26" s="979">
        <f>Q26</f>
        <v/>
      </c>
      <c r="Y26" s="1192" t="n"/>
      <c r="Z26" s="1192" t="n"/>
      <c r="AA26" s="1192" t="n"/>
      <c r="AB26" s="1192" t="n"/>
      <c r="AC26" s="1192" t="n"/>
      <c r="AD26" s="1192" t="n"/>
      <c r="AE26" s="979">
        <f>X26-(Y26+Z26+AA26+AB26+AC26+AD26)</f>
        <v/>
      </c>
      <c r="AF26" s="980" t="n">
        <v>253601.557184</v>
      </c>
      <c r="AG26" s="980" t="n">
        <v>2150383.316392</v>
      </c>
      <c r="AH26" s="980" t="n">
        <v>1896781.759208</v>
      </c>
      <c r="AI26" s="980" t="n">
        <v>496917.777961</v>
      </c>
      <c r="AJ26" s="980" t="n">
        <v>-2588369.498665</v>
      </c>
      <c r="AK26" s="980" t="n">
        <v>-1527.403432</v>
      </c>
      <c r="AL26" s="980">
        <f>AI26-AJ26-AK26+AM26-AN26</f>
        <v/>
      </c>
      <c r="AM26" s="980" t="n">
        <v>33009.466964</v>
      </c>
      <c r="AN26" s="980" t="n">
        <v>470524.096537</v>
      </c>
      <c r="AO26" s="980" t="n">
        <v>750519.335145</v>
      </c>
      <c r="AP26" s="980" t="n">
        <v>15386.836193</v>
      </c>
      <c r="AQ26" s="979" t="n">
        <v>765906.171338</v>
      </c>
      <c r="AR26" s="979" t="n">
        <v>585307.486474</v>
      </c>
      <c r="AS26" s="980">
        <f>AO26+AP26-AQ26</f>
        <v/>
      </c>
      <c r="AT26" s="980">
        <f>AJ26+AK26+AL26-AM26+AN26-AI26</f>
        <v/>
      </c>
      <c r="AU26" s="980">
        <f>AF26+AI26-AO26</f>
        <v/>
      </c>
      <c r="AV26" s="980">
        <f>AF26</f>
        <v/>
      </c>
      <c r="AW26" s="980">
        <f>AI26</f>
        <v/>
      </c>
      <c r="AX26" s="980">
        <f>AP26</f>
        <v/>
      </c>
      <c r="AY26" s="980">
        <f>AV26+AW26+AX26</f>
        <v/>
      </c>
      <c r="AZ26" s="980" t="n"/>
      <c r="BA26" s="980" t="n"/>
      <c r="BB26" s="992" t="n"/>
      <c r="BC26" s="980" t="n">
        <v>-2205732.209538</v>
      </c>
      <c r="BD26" s="980" t="n">
        <v>315068.637157</v>
      </c>
      <c r="BE26" s="788" t="n">
        <v>344.045666</v>
      </c>
      <c r="BF26" s="980" t="n">
        <v>-1131008.319808</v>
      </c>
      <c r="BG26" s="1196" t="n"/>
      <c r="BH26" s="1196" t="n"/>
      <c r="BI26" s="980" t="n">
        <v>-316.424137</v>
      </c>
      <c r="BJ26" s="980" t="n"/>
      <c r="BK26" s="980">
        <f>Q26</f>
        <v/>
      </c>
      <c r="BL26" s="980" t="n"/>
      <c r="BM26" s="980" t="n">
        <v>7034002.116592</v>
      </c>
      <c r="BN26" s="980" t="n">
        <v>-120487.3068</v>
      </c>
      <c r="BO26" s="980" t="n"/>
      <c r="BP26" s="980">
        <f>AR26</f>
        <v/>
      </c>
      <c r="BQ26" s="980" t="n"/>
      <c r="BR26" s="980" t="n">
        <v>-57169.810217</v>
      </c>
      <c r="BS26" s="980">
        <f>R26</f>
        <v/>
      </c>
      <c r="BT26" s="980" t="n">
        <v>0</v>
      </c>
      <c r="BU26" s="1192" t="n">
        <v>89737700</v>
      </c>
      <c r="BV26" s="1192" t="n">
        <v>1378860.032395</v>
      </c>
      <c r="BW26" s="1192" t="n">
        <v>6241065.055542</v>
      </c>
      <c r="BX26" s="1192" t="n"/>
      <c r="BY26" s="1192" t="n"/>
      <c r="BZ26" s="1192" t="n"/>
      <c r="CA26" s="1192" t="n"/>
      <c r="CB26" s="1192" t="n"/>
      <c r="CC26" s="980" t="n"/>
      <c r="CD26" s="980" t="n"/>
      <c r="CE26" s="1196" t="n"/>
      <c r="CF26" s="1196" t="n"/>
      <c r="CG26" s="1196" t="n"/>
      <c r="CH26" s="1196" t="n"/>
      <c r="CI26" s="1196" t="n"/>
      <c r="CJ26" s="980">
        <f>BW26</f>
        <v/>
      </c>
      <c r="CK26" s="980" t="n"/>
      <c r="CL26" s="1196" t="n"/>
      <c r="CM26" s="980" t="n"/>
      <c r="CN26" s="992" t="n"/>
      <c r="CO26" s="980" t="n"/>
      <c r="CP26" s="980" t="n"/>
      <c r="CQ26" s="1199" t="n">
        <v>1.5274</v>
      </c>
      <c r="CR26" s="1196" t="n">
        <v>13497709.2984</v>
      </c>
      <c r="CS26" s="1196" t="n">
        <v>8837165.519479999</v>
      </c>
      <c r="CT26" s="980" t="n"/>
      <c r="CU26" s="980" t="n"/>
      <c r="CV26" s="980" t="n"/>
      <c r="CW26" s="107" t="n"/>
      <c r="CX26" s="107" t="n"/>
      <c r="CY26" s="107" t="n"/>
      <c r="CZ26" s="992" t="n"/>
      <c r="DA26" s="980" t="n"/>
      <c r="DB26" s="980" t="n"/>
      <c r="DC26" s="992" t="n"/>
      <c r="DD26" s="980" t="n"/>
      <c r="DE26" s="980" t="n"/>
      <c r="DF26" s="980" t="n"/>
      <c r="DG26" s="980" t="n"/>
      <c r="DH26" s="980" t="n"/>
      <c r="DI26" s="980" t="n"/>
      <c r="DJ26" s="980" t="n"/>
      <c r="DK26" s="980" t="n"/>
      <c r="DL26" s="980" t="n"/>
      <c r="DM26" s="980" t="n"/>
      <c r="DN26" s="980" t="n"/>
      <c r="DO26" s="980" t="n"/>
      <c r="DP26" s="980" t="n"/>
      <c r="DQ26" s="980" t="n"/>
      <c r="DR26" s="980" t="n"/>
      <c r="DS26" s="980" t="n"/>
      <c r="DT26" s="980" t="n"/>
      <c r="DU26" s="980" t="n"/>
      <c r="DV26" s="980" t="n"/>
      <c r="DW26" s="980" t="n"/>
      <c r="DX26" s="980" t="n"/>
      <c r="DY26" s="980" t="n"/>
      <c r="DZ26" s="980" t="n"/>
      <c r="EA26" s="980" t="n"/>
      <c r="EB26" s="980" t="n"/>
      <c r="EC26" s="980" t="n"/>
      <c r="ED26" s="980" t="n"/>
      <c r="EE26" s="980" t="n"/>
      <c r="EP26" s="980" t="n"/>
      <c r="EQ26" s="980" t="n"/>
      <c r="ER26" s="980" t="n"/>
      <c r="ES26" s="980" t="n"/>
      <c r="ET26" s="980" t="n"/>
      <c r="EU26" s="980" t="n"/>
      <c r="EV26" s="980" t="n"/>
      <c r="EW26" s="980" t="n"/>
      <c r="EX26" s="980" t="n"/>
      <c r="EY26" s="980" t="n"/>
      <c r="EZ26" s="980" t="n"/>
      <c r="FA26" s="980" t="n"/>
      <c r="FB26" s="980" t="n"/>
    </row>
    <row r="27" customFormat="1" s="106">
      <c r="A27" s="106" t="inlineStr">
        <is>
          <t>2509교보</t>
        </is>
      </c>
      <c r="B27" s="106" t="n">
        <v>2509</v>
      </c>
      <c r="C27" s="106" t="inlineStr">
        <is>
          <t>교보</t>
        </is>
      </c>
      <c r="D27" s="980" t="n">
        <v>128834955.558457</v>
      </c>
      <c r="E27" s="980" t="n">
        <v>34613499.508074</v>
      </c>
      <c r="F27" s="980" t="n">
        <v>62288665.739015</v>
      </c>
      <c r="G27" s="980" t="n">
        <v>21073764.32719</v>
      </c>
      <c r="H27" s="980" t="n">
        <v>3500217.621002</v>
      </c>
      <c r="I27" s="992">
        <f>E27/D27</f>
        <v/>
      </c>
      <c r="J27" s="992">
        <f>F27/D27</f>
        <v/>
      </c>
      <c r="K27" s="992">
        <f>G27/D27</f>
        <v/>
      </c>
      <c r="L27" s="980" t="n">
        <v>121671773.914205</v>
      </c>
      <c r="M27" s="980" t="n">
        <v>100053052.334892</v>
      </c>
      <c r="N27" s="979">
        <f>O27-P27</f>
        <v/>
      </c>
      <c r="O27" s="979" t="n">
        <v>7163181.644252</v>
      </c>
      <c r="P27" s="979" t="n">
        <v>2205726.208213</v>
      </c>
      <c r="Q27" s="979" t="n">
        <v>-2988311.663637</v>
      </c>
      <c r="R27" s="979" t="n">
        <v>7674535.551566</v>
      </c>
      <c r="S27" s="979" t="n">
        <v>7305017.718577</v>
      </c>
      <c r="T27" s="979" t="n">
        <v>5099291.510364</v>
      </c>
      <c r="U27" s="1196" t="n"/>
      <c r="V27" s="1196" t="n">
        <v>108659790.056657</v>
      </c>
      <c r="W27" s="1202" t="n"/>
      <c r="X27" s="979">
        <f>Q27</f>
        <v/>
      </c>
      <c r="Y27" s="1192" t="n"/>
      <c r="Z27" s="1192" t="n"/>
      <c r="AA27" s="1192" t="n"/>
      <c r="AB27" s="1192" t="n"/>
      <c r="AC27" s="1192" t="n"/>
      <c r="AD27" s="1192" t="n"/>
      <c r="AE27" s="979">
        <f>X27-(Y27+Z27+AA27+AB27+AC27+AD27)</f>
        <v/>
      </c>
      <c r="AF27" s="980" t="n">
        <v>421527.868588</v>
      </c>
      <c r="AG27" s="980" t="n">
        <v>3261117.785471</v>
      </c>
      <c r="AH27" s="980" t="n">
        <v>2839589.916883</v>
      </c>
      <c r="AI27" s="980" t="n">
        <v>670619.9822729999</v>
      </c>
      <c r="AJ27" s="980" t="n">
        <v>-3806466.568396</v>
      </c>
      <c r="AK27" s="980" t="n">
        <v>-2118.495443</v>
      </c>
      <c r="AL27" s="980">
        <f>AI27-AJ27-AK27+AM27-AN27</f>
        <v/>
      </c>
      <c r="AM27" s="980" t="n">
        <v>58810.998163</v>
      </c>
      <c r="AN27" s="980" t="n">
        <v>693145.770629</v>
      </c>
      <c r="AO27" s="980" t="n">
        <v>1092147.850861</v>
      </c>
      <c r="AP27" s="980" t="n">
        <v>17799.643272</v>
      </c>
      <c r="AQ27" s="979" t="n">
        <v>1109947.494133</v>
      </c>
      <c r="AR27" s="979" t="n">
        <v>846971.897826</v>
      </c>
      <c r="AS27" s="980">
        <f>AO27+AP27-AQ27</f>
        <v/>
      </c>
      <c r="AT27" s="980">
        <f>AJ27+AK27+AL27-AM27+AN27-AI27</f>
        <v/>
      </c>
      <c r="AU27" s="980">
        <f>AF27+AI27-AO27</f>
        <v/>
      </c>
      <c r="AV27" s="980">
        <f>AF27</f>
        <v/>
      </c>
      <c r="AW27" s="980">
        <f>AI27</f>
        <v/>
      </c>
      <c r="AX27" s="980">
        <f>AP27</f>
        <v/>
      </c>
      <c r="AY27" s="980">
        <f>AV27+AW27+AX27</f>
        <v/>
      </c>
      <c r="AZ27" s="980" t="n"/>
      <c r="BA27" s="980" t="n"/>
      <c r="BB27" s="992" t="n"/>
      <c r="BC27" s="980" t="n">
        <v>-2205732.209538</v>
      </c>
      <c r="BD27" s="980" t="n">
        <v>8289.769442999999</v>
      </c>
      <c r="BE27" s="788" t="n">
        <v>197.173577</v>
      </c>
      <c r="BF27" s="980" t="n">
        <v>-619722.662101</v>
      </c>
      <c r="BG27" s="1196" t="n"/>
      <c r="BH27" s="1196" t="n"/>
      <c r="BI27" s="980" t="n">
        <v>-477.073849</v>
      </c>
      <c r="BJ27" s="980" t="n"/>
      <c r="BK27" s="980">
        <f>Q27</f>
        <v/>
      </c>
      <c r="BL27" s="980" t="n"/>
      <c r="BM27" s="980" t="n">
        <v>7034002.116592</v>
      </c>
      <c r="BN27" s="980" t="n">
        <v>-120487.3068</v>
      </c>
      <c r="BO27" s="980" t="n"/>
      <c r="BP27" s="980">
        <f>AR27</f>
        <v/>
      </c>
      <c r="BQ27" s="980" t="n"/>
      <c r="BR27" s="980" t="n">
        <v>-85951.15605200001</v>
      </c>
      <c r="BS27" s="980">
        <f>R27</f>
        <v/>
      </c>
      <c r="BT27" s="980" t="n">
        <v>0</v>
      </c>
      <c r="BU27" s="1192" t="n">
        <v>89737700</v>
      </c>
      <c r="BV27" s="1192" t="n">
        <v>1399787.730464</v>
      </c>
      <c r="BW27" s="1192" t="n">
        <v>6388541.016268</v>
      </c>
      <c r="BX27" s="1192" t="n"/>
      <c r="BY27" s="1192" t="n"/>
      <c r="BZ27" s="1192" t="n"/>
      <c r="CA27" s="1192" t="n"/>
      <c r="CB27" s="1192" t="n"/>
      <c r="CC27" s="980" t="n"/>
      <c r="CD27" s="980" t="n"/>
      <c r="CE27" s="1196" t="n"/>
      <c r="CF27" s="1196" t="n"/>
      <c r="CG27" s="1196" t="n"/>
      <c r="CH27" s="1196" t="n"/>
      <c r="CI27" s="1196" t="n"/>
      <c r="CJ27" s="980">
        <f>BW27</f>
        <v/>
      </c>
      <c r="CK27" s="980" t="n"/>
      <c r="CL27" s="1196" t="n"/>
      <c r="CM27" s="980" t="n"/>
      <c r="CN27" s="992" t="n"/>
      <c r="CO27" s="980" t="n"/>
      <c r="CP27" s="980" t="n"/>
      <c r="CQ27" s="1199" t="n">
        <v>1.5717</v>
      </c>
      <c r="CR27" s="1196" t="n">
        <v>13959222.797</v>
      </c>
      <c r="CS27" s="1196" t="n">
        <v>8881510.255000001</v>
      </c>
      <c r="CT27" s="980" t="n"/>
      <c r="CU27" s="980" t="n">
        <v>448503.49818</v>
      </c>
      <c r="CV27" s="980" t="n"/>
      <c r="CW27" s="107" t="n"/>
      <c r="CX27" s="107" t="n"/>
      <c r="CY27" s="107" t="n"/>
      <c r="CZ27" s="992" t="n"/>
      <c r="DA27" s="980" t="n"/>
      <c r="DB27" s="980" t="n"/>
      <c r="DC27" s="992" t="n"/>
      <c r="DD27" s="980" t="n"/>
      <c r="DE27" s="980" t="n"/>
      <c r="DF27" s="980" t="n"/>
      <c r="DG27" s="980" t="n"/>
      <c r="DH27" s="980" t="n"/>
      <c r="DI27" s="980" t="n"/>
      <c r="DJ27" s="980" t="n"/>
      <c r="DK27" s="980" t="n"/>
      <c r="DL27" s="980" t="n"/>
      <c r="DM27" s="980" t="n"/>
      <c r="DN27" s="980" t="n"/>
      <c r="DO27" s="980" t="n"/>
      <c r="DP27" s="980" t="n"/>
      <c r="DQ27" s="980" t="n"/>
      <c r="DR27" s="980" t="n"/>
      <c r="DS27" s="980" t="n"/>
      <c r="DT27" s="980" t="n"/>
      <c r="DU27" s="980" t="n"/>
      <c r="DV27" s="980" t="n"/>
      <c r="DW27" s="980" t="n"/>
      <c r="DX27" s="980" t="n"/>
      <c r="DY27" s="980" t="n"/>
      <c r="DZ27" s="980" t="n"/>
      <c r="EA27" s="980" t="n"/>
      <c r="EB27" s="980" t="n"/>
      <c r="EC27" s="980" t="n"/>
      <c r="ED27" s="980" t="n"/>
      <c r="EE27" s="980" t="n"/>
      <c r="EP27" s="980" t="n"/>
      <c r="EQ27" s="980" t="n"/>
      <c r="ER27" s="980" t="n"/>
      <c r="ES27" s="980" t="n"/>
      <c r="ET27" s="980" t="n"/>
      <c r="EU27" s="980" t="n"/>
      <c r="EV27" s="980" t="n"/>
      <c r="EW27" s="980" t="n"/>
      <c r="EX27" s="980" t="n"/>
      <c r="EY27" s="980" t="n"/>
      <c r="EZ27" s="980" t="n"/>
      <c r="FA27" s="980" t="n"/>
      <c r="FB27" s="980" t="n"/>
    </row>
    <row r="28" customFormat="1" s="106">
      <c r="A28" s="106" t="inlineStr">
        <is>
          <t>2512교보</t>
        </is>
      </c>
      <c r="B28" s="106" t="n">
        <v>2512</v>
      </c>
      <c r="C28" s="106" t="inlineStr">
        <is>
          <t>교보</t>
        </is>
      </c>
      <c r="D28" s="980" t="n">
        <v>128165794.274358</v>
      </c>
      <c r="E28" s="980" t="n">
        <v>34182822.710133</v>
      </c>
      <c r="F28" s="980" t="n">
        <v>60829887.653638</v>
      </c>
      <c r="G28" s="980" t="n">
        <v>21546474.040616</v>
      </c>
      <c r="H28" s="980" t="n">
        <v>3520210.613189</v>
      </c>
      <c r="I28" s="992">
        <f>E28/D28</f>
        <v/>
      </c>
      <c r="J28" s="992">
        <f>F28/D28</f>
        <v/>
      </c>
      <c r="K28" s="992">
        <f>G28/D28</f>
        <v/>
      </c>
      <c r="L28" s="980" t="n">
        <v>120511035.106442</v>
      </c>
      <c r="M28" s="980" t="n">
        <v>96832758.625991</v>
      </c>
      <c r="N28" s="979">
        <f>O28-P28</f>
        <v/>
      </c>
      <c r="O28" s="979" t="n">
        <v>7654759.167916</v>
      </c>
      <c r="P28" s="979" t="n">
        <v>2205726.208213</v>
      </c>
      <c r="Q28" s="979" t="n">
        <v>-2397981.022366</v>
      </c>
      <c r="R28" s="979" t="n">
        <v>7575782.433959</v>
      </c>
      <c r="S28" s="979" t="n">
        <v>7306220.723432</v>
      </c>
      <c r="T28" s="979" t="n">
        <v>5100494.515219</v>
      </c>
      <c r="U28" s="980" t="n">
        <v>110514710</v>
      </c>
      <c r="V28" s="980" t="n">
        <v>107254262.739661</v>
      </c>
      <c r="W28" s="107" t="n">
        <v>0.9705</v>
      </c>
      <c r="X28" s="979">
        <f>Q28</f>
        <v/>
      </c>
      <c r="Y28" s="1192" t="n">
        <v>-5274811</v>
      </c>
      <c r="Z28" s="979" t="n">
        <v>2412261</v>
      </c>
      <c r="AA28" s="1192" t="n">
        <v>2447</v>
      </c>
      <c r="AB28" s="1192" t="n"/>
      <c r="AC28" s="1192" t="n"/>
      <c r="AD28" s="1192" t="n">
        <v>52093</v>
      </c>
      <c r="AE28" s="979" t="n"/>
      <c r="AF28" s="980" t="n">
        <v>391590.329838</v>
      </c>
      <c r="AG28" s="980" t="n">
        <v>4347131.326651</v>
      </c>
      <c r="AH28" s="980" t="n">
        <v>3955540.996813</v>
      </c>
      <c r="AI28" s="980" t="n">
        <v>670035.101553</v>
      </c>
      <c r="AJ28" s="980" t="n">
        <v>-5267918.037097</v>
      </c>
      <c r="AK28" s="1196" t="n">
        <v>-2312.147387</v>
      </c>
      <c r="AL28" s="980">
        <f>AI28-AJ28-AK28+AM28-AN28</f>
        <v/>
      </c>
      <c r="AM28" s="980" t="n">
        <v>88848.51794000001</v>
      </c>
      <c r="AN28" s="980" t="n">
        <v>956209.40778</v>
      </c>
      <c r="AO28" s="980" t="n">
        <v>1061625.431391</v>
      </c>
      <c r="AP28" s="980" t="n">
        <v>-99527.29597599999</v>
      </c>
      <c r="AQ28" s="979" t="n">
        <v>962098.135415</v>
      </c>
      <c r="AR28" s="979" t="n">
        <v>763210.477599</v>
      </c>
      <c r="AS28" s="980">
        <f>AO28+AP28-AQ28</f>
        <v/>
      </c>
      <c r="AT28" s="980">
        <f>AJ28+AK28+AL28-AM28+AN28-AI28</f>
        <v/>
      </c>
      <c r="AU28" s="980">
        <f>AF28+AI28-AO28</f>
        <v/>
      </c>
      <c r="AV28" s="980">
        <f>AF28</f>
        <v/>
      </c>
      <c r="AW28" s="980">
        <f>AI28</f>
        <v/>
      </c>
      <c r="AX28" s="980">
        <f>AP28</f>
        <v/>
      </c>
      <c r="AY28" s="980">
        <f>AV28+AW28+AX28</f>
        <v/>
      </c>
      <c r="AZ28" s="980" t="n"/>
      <c r="BA28" s="980" t="n"/>
      <c r="BB28" s="992" t="n"/>
      <c r="BC28" s="980" t="n">
        <v>-2204529.204683</v>
      </c>
      <c r="BD28" s="980" t="n">
        <v>-1872222.666443</v>
      </c>
      <c r="BE28" s="788" t="n">
        <v>-501.579554</v>
      </c>
      <c r="BF28" s="980" t="n">
        <v>2180244.138452</v>
      </c>
      <c r="BG28" s="1196" t="n">
        <v>-505106.201496</v>
      </c>
      <c r="BH28" s="980" t="n">
        <v>-9164.194315999999</v>
      </c>
      <c r="BI28" s="980" t="n">
        <v>8640.577895</v>
      </c>
      <c r="BJ28" s="980" t="n"/>
      <c r="BK28" s="980">
        <f>Q28</f>
        <v/>
      </c>
      <c r="BL28" s="980">
        <f>BK28-BC28-SUM(BD28:BJ28)</f>
        <v/>
      </c>
      <c r="BM28" s="980" t="n">
        <v>7034002.116592</v>
      </c>
      <c r="BN28" s="980" t="n">
        <v>-120487.3068</v>
      </c>
      <c r="BO28" s="980" t="n"/>
      <c r="BP28" s="980">
        <f>AR28</f>
        <v/>
      </c>
      <c r="BQ28" s="1196" t="n"/>
      <c r="BR28" s="980" t="n">
        <v>-115916.106255</v>
      </c>
      <c r="BS28" s="980">
        <f>R28</f>
        <v/>
      </c>
      <c r="BT28" s="980" t="n">
        <v>0</v>
      </c>
      <c r="BU28" s="979" t="n">
        <v>88939968</v>
      </c>
      <c r="BV28" s="979" t="n">
        <v>1381829</v>
      </c>
      <c r="BW28" s="979" t="n">
        <v>6510962</v>
      </c>
      <c r="BX28" s="979" t="n">
        <v>1278134</v>
      </c>
      <c r="BY28" s="979" t="n">
        <v>587996</v>
      </c>
      <c r="BZ28" s="979" t="n">
        <v>-803784</v>
      </c>
      <c r="CA28" s="979" t="n">
        <v>186547</v>
      </c>
      <c r="CB28" s="979" t="n">
        <v>6438058</v>
      </c>
      <c r="CC28" s="980" t="n"/>
      <c r="CD28" s="980">
        <f>CB28+BX28-BY28+BZ28+CA28-BW28</f>
        <v/>
      </c>
      <c r="CE28" s="980" t="n">
        <v>570766</v>
      </c>
      <c r="CF28" s="980" t="n">
        <v>938201</v>
      </c>
      <c r="CG28" s="980" t="n">
        <v>755866</v>
      </c>
      <c r="CH28" s="980" t="n">
        <v>1411319</v>
      </c>
      <c r="CI28" s="980" t="n">
        <v>2834809</v>
      </c>
      <c r="CJ28" s="980">
        <f>BW28</f>
        <v/>
      </c>
      <c r="CK28" s="980">
        <f>CJ28-SUM(CE28:CI28)</f>
        <v/>
      </c>
      <c r="CL28" s="980" t="n">
        <v>0</v>
      </c>
      <c r="CM28" s="980" t="n"/>
      <c r="CN28" s="992" t="n">
        <v>1.6566</v>
      </c>
      <c r="CO28" s="980" t="n">
        <v>14218131</v>
      </c>
      <c r="CP28" s="980" t="n">
        <v>8582488</v>
      </c>
      <c r="CQ28" s="992" t="n">
        <v>1.6566</v>
      </c>
      <c r="CR28" s="980" t="n">
        <v>14218131</v>
      </c>
      <c r="CS28" s="980" t="n">
        <v>8582488</v>
      </c>
      <c r="CT28" s="980" t="n"/>
      <c r="CU28" s="980" t="n">
        <v>1255979.100501</v>
      </c>
      <c r="CV28" s="980" t="n"/>
      <c r="CW28" s="107" t="n">
        <v>0.8120000000000001</v>
      </c>
      <c r="CX28" s="107" t="n">
        <v>0.785</v>
      </c>
      <c r="CY28" s="107">
        <f>CW28-CX28</f>
        <v/>
      </c>
      <c r="CZ28" s="992">
        <f>CX28/CW28</f>
        <v/>
      </c>
      <c r="DA28" s="980" t="n"/>
      <c r="DB28" s="980" t="n"/>
      <c r="DC28" s="992" t="n"/>
      <c r="DD28" s="980" t="n"/>
      <c r="DE28" s="980" t="n"/>
      <c r="DF28" s="980" t="n"/>
      <c r="DG28" s="980" t="n"/>
      <c r="DH28" s="980" t="n"/>
      <c r="DI28" s="980" t="n"/>
      <c r="DJ28" s="980" t="n"/>
      <c r="DK28" s="980" t="n"/>
      <c r="DL28" s="980" t="n"/>
      <c r="DM28" s="980" t="n"/>
      <c r="DN28" s="980" t="n"/>
      <c r="DO28" s="980" t="n"/>
      <c r="DP28" s="980" t="n"/>
      <c r="DQ28" s="980" t="n"/>
      <c r="DR28" s="980" t="n"/>
      <c r="DS28" s="980" t="n"/>
      <c r="DT28" s="980" t="n"/>
      <c r="DU28" s="980" t="n"/>
      <c r="DV28" s="980" t="n"/>
      <c r="DW28" s="980" t="n"/>
      <c r="DX28" s="980" t="n"/>
      <c r="DY28" s="980" t="n"/>
      <c r="DZ28" s="980" t="n"/>
      <c r="EA28" s="980" t="n"/>
      <c r="EB28" s="980" t="n"/>
      <c r="EC28" s="980" t="n"/>
      <c r="ED28" s="980" t="n"/>
      <c r="EE28" s="980" t="n"/>
      <c r="EP28" s="980" t="n">
        <v>278100</v>
      </c>
      <c r="EQ28" s="980" t="n">
        <v>-164400</v>
      </c>
      <c r="ER28" s="980" t="n">
        <v>-165600</v>
      </c>
      <c r="ES28" s="980" t="n">
        <v>84600</v>
      </c>
      <c r="ET28" s="980" t="n">
        <v>520800</v>
      </c>
      <c r="EU28" s="980" t="n"/>
      <c r="EV28" s="980" t="n"/>
      <c r="EW28" s="980" t="n">
        <v>-278100</v>
      </c>
      <c r="EX28" s="980" t="n">
        <v>164400</v>
      </c>
      <c r="EY28" s="980" t="n">
        <v>165600</v>
      </c>
      <c r="EZ28" s="980" t="n">
        <v>-84600</v>
      </c>
      <c r="FA28" s="980" t="n">
        <v>-520800</v>
      </c>
      <c r="FB28" s="980" t="n">
        <v>350100</v>
      </c>
      <c r="FC28" s="1198" t="n">
        <v>0</v>
      </c>
    </row>
    <row r="29" customFormat="1" s="106">
      <c r="D29" s="980" t="n"/>
      <c r="E29" s="980" t="n"/>
      <c r="F29" s="980" t="n"/>
      <c r="G29" s="980" t="n"/>
      <c r="H29" s="980" t="n"/>
      <c r="I29" s="992" t="n"/>
      <c r="J29" s="992" t="n"/>
      <c r="K29" s="992" t="n"/>
      <c r="L29" s="980" t="n"/>
      <c r="M29" s="980" t="n"/>
      <c r="N29" s="979" t="n"/>
      <c r="O29" s="979" t="n"/>
      <c r="P29" s="979" t="n"/>
      <c r="Q29" s="979" t="n"/>
      <c r="R29" s="979" t="n"/>
      <c r="S29" s="979" t="n"/>
      <c r="T29" s="979" t="n"/>
      <c r="U29" s="980" t="n"/>
      <c r="V29" s="980" t="n"/>
      <c r="W29" s="107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80" t="n"/>
      <c r="AG29" s="980" t="n"/>
      <c r="AH29" s="980" t="n"/>
      <c r="AI29" s="980" t="n"/>
      <c r="AJ29" s="980" t="n"/>
      <c r="AK29" s="980" t="n"/>
      <c r="AL29" s="980" t="n"/>
      <c r="AM29" s="980" t="n"/>
      <c r="AN29" s="980" t="n"/>
      <c r="AO29" s="980" t="n"/>
      <c r="AP29" s="980" t="n"/>
      <c r="AQ29" s="979" t="n"/>
      <c r="AR29" s="979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92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92" t="n"/>
      <c r="CO29" s="980" t="n"/>
      <c r="CP29" s="980" t="n"/>
      <c r="CQ29" s="992" t="n"/>
      <c r="CR29" s="980" t="n"/>
      <c r="CS29" s="980" t="n"/>
      <c r="CT29" s="980" t="n"/>
      <c r="CU29" s="980" t="n"/>
      <c r="CV29" s="980" t="n"/>
      <c r="CW29" s="107" t="n"/>
      <c r="CX29" s="107" t="n"/>
      <c r="CY29" s="107" t="n"/>
      <c r="CZ29" s="992" t="n"/>
      <c r="DA29" s="980" t="n"/>
      <c r="DB29" s="980" t="n"/>
      <c r="DC29" s="992" t="n"/>
      <c r="DD29" s="980" t="n"/>
      <c r="DE29" s="980" t="n"/>
      <c r="DF29" s="980" t="n"/>
      <c r="DG29" s="980" t="n"/>
      <c r="DH29" s="980" t="n"/>
      <c r="DI29" s="980" t="n"/>
      <c r="DJ29" s="980" t="n"/>
      <c r="DK29" s="980" t="n"/>
      <c r="DL29" s="980" t="n"/>
      <c r="DM29" s="980" t="n"/>
      <c r="DN29" s="980" t="n"/>
      <c r="DO29" s="980" t="n"/>
      <c r="DP29" s="980" t="n"/>
      <c r="DQ29" s="980" t="n"/>
      <c r="DR29" s="980" t="n"/>
      <c r="DS29" s="980" t="n"/>
      <c r="DT29" s="980" t="n"/>
      <c r="DU29" s="980" t="n"/>
      <c r="DV29" s="980" t="n"/>
      <c r="DW29" s="980" t="n"/>
      <c r="DX29" s="980" t="n"/>
      <c r="DY29" s="980" t="n"/>
      <c r="DZ29" s="980" t="n"/>
      <c r="EA29" s="980" t="n"/>
      <c r="EB29" s="980" t="n"/>
      <c r="EC29" s="980" t="n"/>
      <c r="ED29" s="980" t="n"/>
      <c r="EE29" s="980" t="n"/>
      <c r="EP29" s="980" t="n"/>
      <c r="EQ29" s="980" t="n"/>
      <c r="ER29" s="980" t="n"/>
      <c r="ES29" s="980" t="n"/>
      <c r="ET29" s="980" t="n"/>
      <c r="EU29" s="980" t="n"/>
      <c r="EV29" s="980" t="n"/>
      <c r="EW29" s="980" t="n"/>
      <c r="EX29" s="980" t="n"/>
      <c r="EY29" s="980" t="n"/>
      <c r="EZ29" s="980" t="n"/>
      <c r="FA29" s="980" t="n"/>
      <c r="FB29" s="980" t="n"/>
    </row>
    <row r="30">
      <c r="A30" s="643" t="inlineStr">
        <is>
          <t>2212한화</t>
        </is>
      </c>
      <c r="B30" s="643" t="n">
        <v>2212</v>
      </c>
      <c r="C30" s="643" t="inlineStr">
        <is>
          <t>한화</t>
        </is>
      </c>
      <c r="I30" s="786" t="n"/>
      <c r="J30" s="786" t="n"/>
      <c r="K30" s="786" t="n"/>
      <c r="O30" s="1205" t="n"/>
      <c r="P30" s="1205" t="n"/>
      <c r="Q30" s="1205" t="n"/>
      <c r="R30" s="1205" t="n"/>
      <c r="AS30" s="966" t="n"/>
      <c r="AT30" s="966" t="n"/>
      <c r="AU30" s="966" t="n"/>
      <c r="AV30" s="966" t="n"/>
      <c r="AW30" s="966" t="n"/>
      <c r="AX30" s="966" t="n"/>
      <c r="AY30" s="966" t="n"/>
      <c r="BB30" s="786" t="n"/>
      <c r="BL30" s="966" t="n"/>
      <c r="BT30" s="1192" t="n"/>
      <c r="BU30" s="1205" t="n"/>
      <c r="BV30" s="1205" t="n"/>
      <c r="BW30" s="1205" t="n"/>
      <c r="CN30" s="786" t="n"/>
      <c r="CQ30" s="786" t="n"/>
    </row>
    <row r="31">
      <c r="A31" s="643" t="inlineStr">
        <is>
          <t>2312한화</t>
        </is>
      </c>
      <c r="B31" s="643" t="n">
        <v>2312</v>
      </c>
      <c r="C31" s="643" t="inlineStr">
        <is>
          <t>한화</t>
        </is>
      </c>
      <c r="D31" s="697" t="n">
        <v>114793101.717269</v>
      </c>
      <c r="E31" s="697" t="n">
        <v>27980558.639955</v>
      </c>
      <c r="F31" s="697" t="n">
        <v>39461601.5549</v>
      </c>
      <c r="G31" s="697" t="n">
        <v>29363251.169466</v>
      </c>
      <c r="H31" s="697" t="n">
        <v>11644470.545863</v>
      </c>
      <c r="I31" s="786">
        <f>E31/D31</f>
        <v/>
      </c>
      <c r="J31" s="786">
        <f>F31/D31</f>
        <v/>
      </c>
      <c r="K31" s="786">
        <f>G31/D31</f>
        <v/>
      </c>
      <c r="L31" s="697" t="n">
        <v>103405983.844648</v>
      </c>
      <c r="M31" s="697" t="n">
        <v>89138938.063814</v>
      </c>
      <c r="N31" s="697">
        <f>O31-P31</f>
        <v/>
      </c>
      <c r="O31" s="697" t="n">
        <v>11387117.872621</v>
      </c>
      <c r="P31" s="697" t="n">
        <v>498343.80155</v>
      </c>
      <c r="Q31" s="1205" t="n"/>
      <c r="R31" s="697" t="n">
        <v>6306958.210225</v>
      </c>
      <c r="S31" s="1195" t="n">
        <v>15760751.162316</v>
      </c>
      <c r="T31" s="1192" t="n">
        <v>14202381.083178</v>
      </c>
      <c r="U31" s="697" t="n">
        <v>114793101.717269</v>
      </c>
      <c r="V31" s="1205" t="n">
        <v>113164389.88</v>
      </c>
      <c r="W31" s="1202" t="n"/>
      <c r="Y31" s="1195" t="n">
        <v>-3790733</v>
      </c>
      <c r="Z31" s="1195" t="n">
        <v>4927645</v>
      </c>
      <c r="AA31" s="1195" t="n">
        <v>3952</v>
      </c>
      <c r="AB31" s="1205" t="n">
        <v>-498132</v>
      </c>
      <c r="AC31" s="1205" t="n"/>
      <c r="AD31" s="1195" t="n">
        <v>57874</v>
      </c>
      <c r="AF31" s="697" t="n">
        <v>650941.140139</v>
      </c>
      <c r="AG31" s="697" t="n">
        <v>4855904.819848</v>
      </c>
      <c r="AH31" s="697" t="n">
        <v>4204963.679709</v>
      </c>
      <c r="AI31" s="697" t="n">
        <v>15143.933153</v>
      </c>
      <c r="AJ31" s="697" t="n">
        <v>-4327359.276337</v>
      </c>
      <c r="AK31" s="697" t="n">
        <v>1276.015438</v>
      </c>
      <c r="AL31" s="697">
        <f>AI31-AJ31-AK31+AM31-AN31</f>
        <v/>
      </c>
      <c r="AM31" s="697" t="n">
        <v>125163.8471</v>
      </c>
      <c r="AN31" s="697" t="n">
        <v>-300687.187351</v>
      </c>
      <c r="AO31" s="697" t="n">
        <v>666085.073292</v>
      </c>
      <c r="AP31" s="697" t="n">
        <v>87352.291101</v>
      </c>
      <c r="AQ31" s="697" t="n">
        <v>753437.364393</v>
      </c>
      <c r="AR31" s="697" t="n">
        <v>616261.567974</v>
      </c>
      <c r="AS31" s="966">
        <f>AO31+AP31-AQ31</f>
        <v/>
      </c>
      <c r="AT31" s="966">
        <f>AJ31+AK31+AL31-AM31+AN31-AI31</f>
        <v/>
      </c>
      <c r="AU31" s="966">
        <f>AF31+AI31-AO31</f>
        <v/>
      </c>
      <c r="AV31" s="966">
        <f>AF31</f>
        <v/>
      </c>
      <c r="AW31" s="966">
        <f>AI31</f>
        <v/>
      </c>
      <c r="AX31" s="966">
        <f>AP31</f>
        <v/>
      </c>
      <c r="AY31" s="966">
        <f>AV31+AW31+AX31</f>
        <v/>
      </c>
      <c r="BB31" s="1201" t="n"/>
      <c r="BC31" s="1205" t="n"/>
      <c r="BD31" s="697" t="n">
        <v>2384359.83423</v>
      </c>
      <c r="BF31" s="697" t="n">
        <v>-3019378.416277</v>
      </c>
      <c r="BG31" s="697" t="n">
        <v>328770.384804</v>
      </c>
      <c r="BH31" s="697" t="n">
        <v>4423.320713</v>
      </c>
      <c r="BI31" s="697" t="n">
        <v>-9954.496716</v>
      </c>
      <c r="BJ31" s="1205" t="n"/>
      <c r="BL31" s="966" t="n"/>
      <c r="BM31" s="1195" t="n">
        <v>6255572.384371</v>
      </c>
      <c r="BN31" s="1205" t="n"/>
      <c r="BP31" s="697">
        <f>AR31</f>
        <v/>
      </c>
      <c r="BQ31" s="1205" t="n"/>
      <c r="BR31" s="697" t="n">
        <v>-37765.606457</v>
      </c>
      <c r="BS31" s="697">
        <f>R31</f>
        <v/>
      </c>
      <c r="BT31" s="966" t="n">
        <v>0</v>
      </c>
      <c r="BU31" s="1205" t="n"/>
      <c r="BV31" s="1205" t="n">
        <v>1643735.561</v>
      </c>
      <c r="BW31" s="1205" t="n">
        <v>9238488.039999999</v>
      </c>
      <c r="BX31" s="1205" t="n"/>
      <c r="BY31" s="1205" t="n"/>
      <c r="BZ31" s="1205" t="n"/>
      <c r="CA31" s="1205" t="n"/>
      <c r="CB31" s="1205" t="n"/>
      <c r="CE31" s="1205" t="n"/>
      <c r="CF31" s="1205" t="n"/>
      <c r="CG31" s="1205" t="n"/>
      <c r="CH31" s="1205" t="n"/>
      <c r="CI31" s="1205" t="n"/>
      <c r="CN31" s="1201" t="n">
        <v>1.838</v>
      </c>
      <c r="CO31" s="1205" t="n">
        <v>20979266</v>
      </c>
      <c r="CP31" s="1205" t="n">
        <v>11413868</v>
      </c>
      <c r="CQ31" s="1201" t="n">
        <v>1.838</v>
      </c>
      <c r="CR31" s="1205" t="n">
        <v>20979266</v>
      </c>
      <c r="CS31" s="1205" t="n">
        <v>11413868</v>
      </c>
      <c r="CU31" s="1205" t="n">
        <v>2504752.22</v>
      </c>
      <c r="CW31" s="1193" t="n"/>
      <c r="CX31" s="1193" t="n"/>
      <c r="CY31" s="105" t="n"/>
      <c r="CZ31" s="786" t="n"/>
      <c r="DC31" s="1205" t="n"/>
      <c r="DD31" s="1205" t="n"/>
      <c r="DE31" s="1205" t="n"/>
      <c r="DG31" s="1205" t="n"/>
      <c r="DH31" s="1205" t="n"/>
      <c r="DI31" s="1205" t="n"/>
      <c r="DJ31" s="1205" t="n"/>
      <c r="DK31" s="1205" t="n"/>
      <c r="DL31" s="1205" t="n"/>
      <c r="DM31" s="1205" t="n"/>
    </row>
    <row r="32">
      <c r="A32" s="643" t="inlineStr">
        <is>
          <t>2412한화</t>
        </is>
      </c>
      <c r="B32" s="643" t="n">
        <v>2412</v>
      </c>
      <c r="C32" s="643" t="inlineStr">
        <is>
          <t>한화</t>
        </is>
      </c>
      <c r="D32" s="697" t="n">
        <v>122135032.514289</v>
      </c>
      <c r="E32" s="697" t="n">
        <v>31134350.891287</v>
      </c>
      <c r="F32" s="697" t="n">
        <v>45320455.403193</v>
      </c>
      <c r="G32" s="993" t="n">
        <v>29034490.458028</v>
      </c>
      <c r="H32" s="697" t="n">
        <v>11749528.774494</v>
      </c>
      <c r="I32" s="786">
        <f>E32/D32</f>
        <v/>
      </c>
      <c r="J32" s="786">
        <f>F32/D32</f>
        <v/>
      </c>
      <c r="K32" s="786">
        <f>G32/D32</f>
        <v/>
      </c>
      <c r="L32" s="993" t="n">
        <v>111800028.744522</v>
      </c>
      <c r="M32" s="697" t="n">
        <v>97152188.029019</v>
      </c>
      <c r="N32" s="697">
        <f>O32-P32</f>
        <v/>
      </c>
      <c r="O32" s="1194" t="n">
        <v>10335003.769767</v>
      </c>
      <c r="P32" s="993" t="n">
        <v>1096826.56</v>
      </c>
      <c r="Q32" s="1194" t="n"/>
      <c r="R32" s="993" t="n">
        <v>6886476.536712</v>
      </c>
      <c r="S32" s="697" t="n">
        <v>11387117.872621</v>
      </c>
      <c r="T32" s="979" t="n">
        <v>10888774.071071</v>
      </c>
      <c r="U32" s="697" t="n">
        <v>122135032.514289</v>
      </c>
      <c r="V32" s="1205" t="n">
        <v>105017832.669</v>
      </c>
      <c r="W32" s="1202" t="n"/>
      <c r="X32" s="993" t="n"/>
      <c r="Y32" s="1194" t="n">
        <v>-494347</v>
      </c>
      <c r="Z32" s="1195" t="n">
        <v>1364792</v>
      </c>
      <c r="AA32" s="1195" t="n">
        <v>-601</v>
      </c>
      <c r="AB32" s="1205" t="n">
        <v>-80490</v>
      </c>
      <c r="AC32" s="1194" t="n">
        <v>-1012</v>
      </c>
      <c r="AD32" s="1195" t="n">
        <v>87084</v>
      </c>
      <c r="AF32" s="697" t="n">
        <v>506304.846307</v>
      </c>
      <c r="AG32" s="697" t="n">
        <v>4921893.223166</v>
      </c>
      <c r="AH32" s="697" t="n">
        <v>4415588.376859</v>
      </c>
      <c r="AI32" s="697" t="n">
        <v>76154.032935</v>
      </c>
      <c r="AJ32" s="697" t="n">
        <v>-3043794.483377</v>
      </c>
      <c r="AK32" s="993" t="n">
        <v>3335.059585</v>
      </c>
      <c r="AL32" s="697">
        <f>AI32-AJ32-AK32+AM32-AN32</f>
        <v/>
      </c>
      <c r="AM32" s="697" t="n">
        <v>125312.567078</v>
      </c>
      <c r="AN32" s="697" t="n">
        <v>-340042.676155</v>
      </c>
      <c r="AO32" s="697" t="n">
        <v>582458.8792420001</v>
      </c>
      <c r="AP32" s="697" t="n">
        <v>322462.496064</v>
      </c>
      <c r="AQ32" s="697" t="n">
        <v>904921.375306</v>
      </c>
      <c r="AR32" s="697" t="n">
        <v>720569.7291690001</v>
      </c>
      <c r="AS32" s="966">
        <f>AO32+AP32-AQ32</f>
        <v/>
      </c>
      <c r="AT32" s="966">
        <f>AJ32+AK32+AL32-AM32+AN32-AI32</f>
        <v/>
      </c>
      <c r="AU32" s="966">
        <f>AF32+AI32-AO32</f>
        <v/>
      </c>
      <c r="AV32" s="966">
        <f>AF32</f>
        <v/>
      </c>
      <c r="AW32" s="966">
        <f>AI32</f>
        <v/>
      </c>
      <c r="AX32" s="966">
        <f>AP32</f>
        <v/>
      </c>
      <c r="AY32" s="966">
        <f>AV32+AW32+AX32</f>
        <v/>
      </c>
      <c r="BB32" s="1201" t="n"/>
      <c r="BC32" s="1194" t="n"/>
      <c r="BD32" s="1194" t="n">
        <v>1187895.853671</v>
      </c>
      <c r="BF32" s="697" t="n">
        <v>-3617111.004631</v>
      </c>
      <c r="BG32" s="697" t="n">
        <v>201106.887433</v>
      </c>
      <c r="BH32" s="1194" t="n">
        <v>1682.091422</v>
      </c>
      <c r="BI32" s="697" t="n">
        <v>-9730.741657</v>
      </c>
      <c r="BK32" s="993" t="n"/>
      <c r="BL32" s="966" t="n"/>
      <c r="BM32" s="697" t="n">
        <v>6306958.210225</v>
      </c>
      <c r="BN32" s="1205" t="n"/>
      <c r="BP32" s="697">
        <f>AR32</f>
        <v/>
      </c>
      <c r="BR32" s="697" t="n">
        <v>-28342.865182</v>
      </c>
      <c r="BS32" s="697">
        <f>R32</f>
        <v/>
      </c>
      <c r="BT32" s="966" t="n">
        <v>0</v>
      </c>
      <c r="BU32" s="1205" t="n"/>
      <c r="BV32" s="1205" t="n">
        <v>1898794.546</v>
      </c>
      <c r="BW32" s="1205" t="n">
        <v>9109141.013</v>
      </c>
      <c r="BX32" s="1205" t="n"/>
      <c r="BY32" s="1205" t="n"/>
      <c r="BZ32" s="1205" t="n"/>
      <c r="CA32" s="1205" t="n"/>
      <c r="CB32" s="1205" t="n"/>
      <c r="CC32" s="1204" t="n"/>
      <c r="CD32" s="966" t="n"/>
      <c r="CE32" s="1205" t="n"/>
      <c r="CF32" s="1205" t="n"/>
      <c r="CG32" s="1205" t="n"/>
      <c r="CH32" s="1205" t="n"/>
      <c r="CI32" s="1205" t="n"/>
      <c r="CL32" s="1205" t="n"/>
      <c r="CN32" s="786" t="n">
        <v>1.637</v>
      </c>
      <c r="CO32" s="697" t="n">
        <v>21331699</v>
      </c>
      <c r="CP32" s="697" t="n">
        <v>13027555</v>
      </c>
      <c r="CQ32" s="1201" t="n">
        <v>1.637</v>
      </c>
      <c r="CR32" s="1205" t="n">
        <v>21331699</v>
      </c>
      <c r="CS32" s="1205" t="n">
        <v>13027555</v>
      </c>
      <c r="CU32" s="1205" t="n">
        <v>3631205.603</v>
      </c>
      <c r="CW32" s="105" t="n">
        <v>0.9</v>
      </c>
      <c r="CX32" s="105" t="n">
        <v>0.97</v>
      </c>
      <c r="CY32" s="105">
        <f>CW32-CX32</f>
        <v/>
      </c>
      <c r="CZ32" s="786">
        <f>CX32/CW32</f>
        <v/>
      </c>
      <c r="DC32" s="1205" t="n"/>
      <c r="DD32" s="1205" t="n"/>
      <c r="DE32" s="1205" t="n"/>
      <c r="DG32" s="1205" t="n"/>
      <c r="DH32" s="1205" t="n"/>
      <c r="DI32" s="1205" t="n"/>
      <c r="DJ32" s="1205" t="n"/>
      <c r="DK32" s="1205" t="n"/>
      <c r="DL32" s="1205" t="n"/>
      <c r="DM32" s="1205" t="n"/>
      <c r="EP32" s="697" t="n">
        <v>747574</v>
      </c>
      <c r="EQ32" s="697" t="n">
        <v>-519818</v>
      </c>
      <c r="ER32" s="697" t="n">
        <v>95637</v>
      </c>
      <c r="ES32" s="1195" t="n">
        <v>-433845</v>
      </c>
      <c r="ET32" s="1195" t="n">
        <v>1868663</v>
      </c>
      <c r="EW32" s="697" t="n">
        <v>-747574</v>
      </c>
      <c r="EX32" s="697" t="n">
        <v>519818</v>
      </c>
      <c r="EY32" s="697" t="n">
        <v>-95637</v>
      </c>
      <c r="EZ32" s="1195" t="n">
        <v>433845</v>
      </c>
      <c r="FA32" s="1195" t="n">
        <v>-1868663</v>
      </c>
      <c r="FB32" s="697" t="n">
        <v>7611</v>
      </c>
      <c r="FC32" s="767" t="n">
        <v>0</v>
      </c>
    </row>
    <row r="33">
      <c r="A33" s="643" t="inlineStr">
        <is>
          <t>2503한화</t>
        </is>
      </c>
      <c r="B33" s="643" t="n">
        <v>2503</v>
      </c>
      <c r="C33" s="643" t="inlineStr">
        <is>
          <t>한화</t>
        </is>
      </c>
      <c r="D33" s="697" t="n">
        <v>125760878</v>
      </c>
      <c r="E33" s="697" t="n">
        <v>32387154</v>
      </c>
      <c r="F33" s="697" t="n">
        <v>47946555</v>
      </c>
      <c r="G33" s="697" t="n">
        <v>28551641</v>
      </c>
      <c r="H33" s="697" t="n">
        <v>11733211</v>
      </c>
      <c r="I33" s="786">
        <f>E33/D33</f>
        <v/>
      </c>
      <c r="J33" s="786">
        <f>F33/D33</f>
        <v/>
      </c>
      <c r="K33" s="786">
        <f>G33/D33</f>
        <v/>
      </c>
      <c r="L33" s="697" t="n">
        <v>115594958</v>
      </c>
      <c r="M33" s="697" t="n">
        <v>101208409</v>
      </c>
      <c r="N33" s="697">
        <f>O33-P33</f>
        <v/>
      </c>
      <c r="O33" s="697" t="n">
        <v>10165920</v>
      </c>
      <c r="P33" s="697" t="n">
        <v>1695105</v>
      </c>
      <c r="Q33" s="1205" t="n"/>
      <c r="R33" s="697" t="n">
        <v>6994859</v>
      </c>
      <c r="S33" s="697" t="n">
        <v>10335004</v>
      </c>
      <c r="T33" s="1192" t="n">
        <v>9238177</v>
      </c>
      <c r="U33" s="697" t="n">
        <v>125760878</v>
      </c>
      <c r="V33" s="1205" t="n">
        <v>107959306.416</v>
      </c>
      <c r="W33" s="1202" t="n">
        <v>0.9786</v>
      </c>
      <c r="Y33" s="1205" t="n"/>
      <c r="Z33" s="1205" t="n"/>
      <c r="AA33" s="1205" t="n"/>
      <c r="AB33" s="1205" t="n"/>
      <c r="AC33" s="1205" t="n"/>
      <c r="AD33" s="1205" t="n"/>
      <c r="AF33" s="697" t="n">
        <v>104208</v>
      </c>
      <c r="AG33" s="697" t="n">
        <v>1277935</v>
      </c>
      <c r="AH33" s="697" t="n">
        <v>1173727</v>
      </c>
      <c r="AI33" s="697" t="n">
        <v>20871</v>
      </c>
      <c r="AJ33" s="697" t="n">
        <v>-1061434</v>
      </c>
      <c r="AK33" s="697" t="n">
        <v>998</v>
      </c>
      <c r="AL33" s="697">
        <f>AI33-AJ33-AK33+AM33-AN33</f>
        <v/>
      </c>
      <c r="AM33" s="697" t="n">
        <v>23808</v>
      </c>
      <c r="AN33" s="697" t="n">
        <v>-95624</v>
      </c>
      <c r="AO33" s="697" t="n">
        <v>125079</v>
      </c>
      <c r="AP33" s="697" t="n">
        <v>27052</v>
      </c>
      <c r="AQ33" s="697" t="n">
        <v>152131</v>
      </c>
      <c r="AR33" s="697" t="n">
        <v>121991</v>
      </c>
      <c r="AS33" s="966">
        <f>AO33+AP33-AQ33</f>
        <v/>
      </c>
      <c r="AT33" s="966">
        <f>AJ33+AK33+AL33-AM33+AN33-AI33</f>
        <v/>
      </c>
      <c r="AU33" s="966">
        <f>AF33+AI33-AO33</f>
        <v/>
      </c>
      <c r="AV33" s="966">
        <f>AF33</f>
        <v/>
      </c>
      <c r="AW33" s="966">
        <f>AI33</f>
        <v/>
      </c>
      <c r="AX33" s="966">
        <f>AP33</f>
        <v/>
      </c>
      <c r="AY33" s="966">
        <f>AV33+AW33+AX33</f>
        <v/>
      </c>
      <c r="BB33" s="786" t="n"/>
      <c r="BC33" s="1205" t="n"/>
      <c r="BD33" s="1195" t="n">
        <v>990494</v>
      </c>
      <c r="BF33" s="697" t="n">
        <v>-2079808</v>
      </c>
      <c r="BG33" s="697" t="n">
        <v>220069</v>
      </c>
      <c r="BH33" s="697" t="n">
        <v>2435</v>
      </c>
      <c r="BL33" s="966" t="n"/>
      <c r="BM33" s="697" t="n">
        <v>6886477</v>
      </c>
      <c r="BN33" s="1205" t="n"/>
      <c r="BP33" s="697">
        <f>AR33</f>
        <v/>
      </c>
      <c r="BR33" s="1205" t="n"/>
      <c r="BS33" s="697">
        <f>R33</f>
        <v/>
      </c>
      <c r="BT33" s="966" t="n">
        <v>0</v>
      </c>
      <c r="BU33" s="1205" t="n">
        <v>99825677</v>
      </c>
      <c r="BV33" s="1205" t="n">
        <v>1864985.407</v>
      </c>
      <c r="BW33" s="1205" t="n">
        <v>8865711.566</v>
      </c>
      <c r="BX33" s="1205" t="n"/>
      <c r="BY33" s="1205" t="n"/>
      <c r="BZ33" s="1205" t="n"/>
      <c r="CA33" s="1205" t="n"/>
      <c r="CB33" s="1205" t="n"/>
      <c r="CD33" s="966" t="n"/>
      <c r="CE33" s="1205" t="n"/>
      <c r="CF33" s="1205" t="n"/>
      <c r="CG33" s="1205" t="n"/>
      <c r="CH33" s="1205" t="n"/>
      <c r="CI33" s="1205" t="n"/>
      <c r="CJ33" s="697">
        <f>BW33</f>
        <v/>
      </c>
      <c r="CL33" s="1205" t="n"/>
      <c r="CN33" s="786" t="n"/>
      <c r="CQ33" s="1201" t="n">
        <v>1.5409</v>
      </c>
      <c r="CR33" s="1205" t="n">
        <v>21074506.510383</v>
      </c>
      <c r="CS33" s="1205" t="n">
        <v>13676442.356116</v>
      </c>
      <c r="CU33" s="1205" t="n">
        <v>3933757.11</v>
      </c>
      <c r="CW33" s="105" t="n"/>
      <c r="CX33" s="105" t="n"/>
      <c r="CY33" s="105" t="n"/>
      <c r="CZ33" s="786" t="n"/>
      <c r="DC33" s="1205" t="n"/>
      <c r="DD33" s="1205" t="n"/>
      <c r="DE33" s="1205" t="n"/>
      <c r="DG33" s="1205" t="n"/>
      <c r="DH33" s="1205" t="n"/>
      <c r="DI33" s="1205" t="n"/>
      <c r="DJ33" s="1205" t="n"/>
      <c r="DK33" s="1205" t="n"/>
      <c r="DL33" s="1205" t="n"/>
      <c r="DM33" s="1205" t="n"/>
    </row>
    <row r="34">
      <c r="A34" s="643" t="inlineStr">
        <is>
          <t>2506한화</t>
        </is>
      </c>
      <c r="B34" s="643" t="n">
        <v>2506</v>
      </c>
      <c r="C34" s="643" t="inlineStr">
        <is>
          <t>한화</t>
        </is>
      </c>
      <c r="D34" s="697" t="n">
        <v>126797032</v>
      </c>
      <c r="E34" s="697" t="n">
        <v>33076346</v>
      </c>
      <c r="F34" s="697" t="n">
        <v>49324233</v>
      </c>
      <c r="G34" s="697" t="n">
        <v>27831192</v>
      </c>
      <c r="H34" s="697" t="n">
        <v>11879500</v>
      </c>
      <c r="I34" s="786">
        <f>E34/D34</f>
        <v/>
      </c>
      <c r="J34" s="786">
        <f>F34/D34</f>
        <v/>
      </c>
      <c r="K34" s="786">
        <f>G34/D34</f>
        <v/>
      </c>
      <c r="L34" s="697" t="n">
        <v>115121740</v>
      </c>
      <c r="M34" s="697" t="n">
        <v>101055557</v>
      </c>
      <c r="N34" s="697">
        <f>O34-P34</f>
        <v/>
      </c>
      <c r="O34" s="697" t="n">
        <v>11675292</v>
      </c>
      <c r="P34" s="697" t="n">
        <v>3068453</v>
      </c>
      <c r="Q34" s="697" t="n">
        <v>-2152928</v>
      </c>
      <c r="R34" s="697" t="n">
        <v>7038532</v>
      </c>
      <c r="S34" s="697" t="n">
        <v>10335004</v>
      </c>
      <c r="T34" s="1192" t="n">
        <v>9238177</v>
      </c>
      <c r="U34" s="697" t="n">
        <v>126797032</v>
      </c>
      <c r="V34" s="1205" t="n">
        <v>108593218.748</v>
      </c>
      <c r="W34" s="1202" t="n"/>
      <c r="X34" s="697">
        <f>Q34</f>
        <v/>
      </c>
      <c r="Y34" s="697" t="n">
        <v>-1526317</v>
      </c>
      <c r="Z34" s="697" t="n">
        <v>-540612</v>
      </c>
      <c r="AA34" s="1205" t="n">
        <v>2302</v>
      </c>
      <c r="AB34" s="697" t="n">
        <v>-287100</v>
      </c>
      <c r="AC34" s="1195" t="n">
        <v>322578</v>
      </c>
      <c r="AD34" s="697" t="n">
        <v>-126780</v>
      </c>
      <c r="AF34" s="697" t="n">
        <v>175999</v>
      </c>
      <c r="AG34" s="697" t="n">
        <v>2563295</v>
      </c>
      <c r="AH34" s="697" t="n">
        <v>2387296</v>
      </c>
      <c r="AI34" s="1195" t="n">
        <v>14893</v>
      </c>
      <c r="AJ34" s="697" t="n">
        <v>-2296931</v>
      </c>
      <c r="AK34" s="697" t="n">
        <v>2073</v>
      </c>
      <c r="AL34" s="697">
        <f>AI34-AJ34-AK34+AM34-AN34</f>
        <v/>
      </c>
      <c r="AM34" s="697" t="n">
        <v>61091</v>
      </c>
      <c r="AN34" s="697" t="n">
        <v>-195704</v>
      </c>
      <c r="AO34" s="1195" t="n">
        <v>190892</v>
      </c>
      <c r="AP34" s="1195" t="n">
        <v>32549</v>
      </c>
      <c r="AQ34" s="697" t="n">
        <v>223441</v>
      </c>
      <c r="AR34" s="697" t="n">
        <v>179701</v>
      </c>
      <c r="AS34" s="966">
        <f>AO34+AP34-AQ34</f>
        <v/>
      </c>
      <c r="AT34" s="966">
        <f>AJ34+AK34+AL34-AM34+AN34-AI34</f>
        <v/>
      </c>
      <c r="AU34" s="966">
        <f>AF34+AI34-AO34</f>
        <v/>
      </c>
      <c r="AV34" s="966">
        <f>AF34</f>
        <v/>
      </c>
      <c r="AW34" s="966">
        <f>AI34</f>
        <v/>
      </c>
      <c r="AX34" s="966">
        <f>AP34</f>
        <v/>
      </c>
      <c r="AY34" s="966">
        <f>AV34+AW34+AX34</f>
        <v/>
      </c>
      <c r="BB34" s="786" t="n"/>
      <c r="BC34" s="697" t="n">
        <v>-1362643</v>
      </c>
      <c r="BD34" s="697" t="n">
        <v>287662</v>
      </c>
      <c r="BE34" s="1205" t="n"/>
      <c r="BF34" s="697" t="n">
        <v>-1077815</v>
      </c>
      <c r="BG34" s="697" t="n">
        <v>-3133</v>
      </c>
      <c r="BH34" s="697" t="n">
        <v>3000</v>
      </c>
      <c r="BI34" s="1205" t="n"/>
      <c r="BJ34" s="1205" t="n"/>
      <c r="BK34" s="697">
        <f>Q34</f>
        <v/>
      </c>
      <c r="BL34" s="966" t="n"/>
      <c r="BM34" s="697" t="n">
        <v>6886477</v>
      </c>
      <c r="BN34" s="1205" t="n"/>
      <c r="BO34" s="1205" t="n"/>
      <c r="BP34" s="697">
        <f>AR34</f>
        <v/>
      </c>
      <c r="BQ34" s="1205" t="n"/>
      <c r="BR34" s="697" t="n">
        <v>-27646</v>
      </c>
      <c r="BS34" s="697">
        <f>R34</f>
        <v/>
      </c>
      <c r="BT34" s="966" t="n">
        <v>0</v>
      </c>
      <c r="BU34" s="1205" t="n">
        <v>84719803.081</v>
      </c>
      <c r="BV34" s="1205" t="n">
        <v>1926479.893</v>
      </c>
      <c r="BW34" s="697" t="n">
        <v>8833096.636</v>
      </c>
      <c r="BX34" s="1205" t="n">
        <v>925519</v>
      </c>
      <c r="BY34" s="1205" t="n">
        <v>394479</v>
      </c>
      <c r="BZ34" s="1205" t="n">
        <v>-489874</v>
      </c>
      <c r="CA34" s="1205" t="n">
        <v>176969</v>
      </c>
      <c r="CB34" s="1205" t="n">
        <v>9109141</v>
      </c>
      <c r="CD34" s="966">
        <f>CB34+BX34-BY34+BZ34+CA34-BW34</f>
        <v/>
      </c>
      <c r="CE34" s="1205" t="n"/>
      <c r="CF34" s="1205" t="n"/>
      <c r="CG34" s="1205" t="n"/>
      <c r="CH34" s="1205" t="n"/>
      <c r="CI34" s="1205" t="n"/>
      <c r="CJ34" s="697">
        <f>BW34</f>
        <v/>
      </c>
      <c r="CL34" s="697" t="n">
        <v>0</v>
      </c>
      <c r="CN34" s="786" t="n"/>
      <c r="CQ34" s="1201" t="n">
        <v>1.6002</v>
      </c>
      <c r="CR34" s="1205" t="n">
        <v>22180868.194381</v>
      </c>
      <c r="CS34" s="1205" t="n">
        <v>13861397.498024</v>
      </c>
      <c r="CU34" s="697" t="n">
        <v>4672148.983</v>
      </c>
      <c r="CW34" s="105" t="n"/>
      <c r="CX34" s="105" t="n"/>
      <c r="CY34" s="105" t="n"/>
      <c r="CZ34" s="786" t="n"/>
      <c r="DC34" s="1205" t="n"/>
      <c r="DD34" s="1205" t="n"/>
      <c r="DE34" s="1205" t="n"/>
      <c r="DG34" s="1205" t="n"/>
      <c r="DH34" s="1205" t="n"/>
      <c r="DI34" s="1205" t="n"/>
      <c r="DJ34" s="1205" t="n"/>
      <c r="DK34" s="1205" t="n"/>
      <c r="DL34" s="1205" t="n"/>
      <c r="DM34" s="1205" t="n"/>
    </row>
    <row r="35">
      <c r="A35" s="643" t="inlineStr">
        <is>
          <t>2509한화</t>
        </is>
      </c>
      <c r="B35" s="643" t="n">
        <v>2509</v>
      </c>
      <c r="C35" s="643" t="inlineStr">
        <is>
          <t>한화</t>
        </is>
      </c>
      <c r="D35" s="697" t="n">
        <v>127199674</v>
      </c>
      <c r="E35" s="697" t="n">
        <v>33271737</v>
      </c>
      <c r="F35" s="697" t="n">
        <v>49717845</v>
      </c>
      <c r="G35" s="697" t="n">
        <v>27477086</v>
      </c>
      <c r="H35" s="697" t="n">
        <v>12026567</v>
      </c>
      <c r="I35" s="786">
        <f>E35/D35</f>
        <v/>
      </c>
      <c r="J35" s="786">
        <f>F35/D35</f>
        <v/>
      </c>
      <c r="K35" s="786">
        <f>G35/D35</f>
        <v/>
      </c>
      <c r="L35" s="697" t="n">
        <v>115486058</v>
      </c>
      <c r="M35" s="697" t="n">
        <v>101157820</v>
      </c>
      <c r="N35" s="697">
        <f>O35-P35</f>
        <v/>
      </c>
      <c r="O35" s="697" t="n">
        <v>11713616</v>
      </c>
      <c r="P35" s="697" t="n">
        <v>3068453</v>
      </c>
      <c r="Q35" s="697" t="n">
        <v>-2230603</v>
      </c>
      <c r="R35" s="697" t="n">
        <v>7154531</v>
      </c>
      <c r="S35" s="697" t="n">
        <v>10335004</v>
      </c>
      <c r="T35" s="1192" t="n">
        <v>9238177</v>
      </c>
      <c r="U35" s="697" t="n">
        <v>127199674</v>
      </c>
      <c r="V35" s="1205" t="n">
        <v>125423157.554</v>
      </c>
      <c r="W35" s="1202" t="n"/>
      <c r="X35" s="697">
        <f>Q35</f>
        <v/>
      </c>
      <c r="Y35" s="697" t="n">
        <v>-2034299</v>
      </c>
      <c r="Z35" s="697" t="n">
        <v>16625</v>
      </c>
      <c r="AA35" s="1205" t="n">
        <v>939</v>
      </c>
      <c r="AB35" s="697" t="n">
        <v>-413047</v>
      </c>
      <c r="AC35" s="1195" t="n">
        <v>322578</v>
      </c>
      <c r="AD35" s="697" t="n">
        <v>-126780</v>
      </c>
      <c r="AF35" s="697" t="n">
        <v>139423</v>
      </c>
      <c r="AG35" s="697" t="n">
        <v>3917278</v>
      </c>
      <c r="AH35" s="697" t="n">
        <v>3777855</v>
      </c>
      <c r="AI35" s="697" t="n">
        <v>221778</v>
      </c>
      <c r="AJ35" s="697" t="n">
        <v>-3359456</v>
      </c>
      <c r="AK35" s="697" t="n">
        <v>4274</v>
      </c>
      <c r="AL35" s="697">
        <f>AI35-AJ35-AK35+AM35-AN35</f>
        <v/>
      </c>
      <c r="AM35" s="697" t="n">
        <v>89123</v>
      </c>
      <c r="AN35" s="697" t="n">
        <v>-302298</v>
      </c>
      <c r="AO35" s="697" t="n">
        <v>361201</v>
      </c>
      <c r="AP35" s="697" t="n">
        <v>32565</v>
      </c>
      <c r="AQ35" s="697" t="n">
        <v>393766</v>
      </c>
      <c r="AR35" s="697" t="n">
        <v>315816</v>
      </c>
      <c r="AS35" s="966">
        <f>AO35+AP35-AQ35</f>
        <v/>
      </c>
      <c r="AT35" s="966">
        <f>AJ35+AK35+AL35-AM35+AN35-AI35</f>
        <v/>
      </c>
      <c r="AU35" s="966">
        <f>AF35+AI35-AO35</f>
        <v/>
      </c>
      <c r="AV35" s="966">
        <f>AF35</f>
        <v/>
      </c>
      <c r="AW35" s="966">
        <f>AI35</f>
        <v/>
      </c>
      <c r="AX35" s="966">
        <f>AP35</f>
        <v/>
      </c>
      <c r="AY35" s="966">
        <f>AV35+AW35+AX35</f>
        <v/>
      </c>
      <c r="BB35" s="786" t="n"/>
      <c r="BC35" s="697" t="n">
        <v>-1362643</v>
      </c>
      <c r="BD35" s="1195" t="n">
        <v>-219760</v>
      </c>
      <c r="BF35" s="697" t="n">
        <v>-521942</v>
      </c>
      <c r="BG35" s="697" t="n">
        <v>-129079</v>
      </c>
      <c r="BH35" s="697" t="n">
        <v>3382</v>
      </c>
      <c r="BK35" s="697">
        <f>Q35</f>
        <v/>
      </c>
      <c r="BL35" s="990" t="n"/>
      <c r="BM35" s="697" t="n">
        <v>6886477</v>
      </c>
      <c r="BP35" s="697">
        <f>AR35</f>
        <v/>
      </c>
      <c r="BR35" s="697" t="n">
        <v>-47762</v>
      </c>
      <c r="BS35" s="697">
        <f>R35</f>
        <v/>
      </c>
      <c r="BT35" s="966" t="n">
        <v>0</v>
      </c>
      <c r="BU35" s="1205" t="n">
        <v>84573210.43000001</v>
      </c>
      <c r="BV35" s="1205" t="n">
        <v>1956420.278</v>
      </c>
      <c r="BW35" s="697" t="n">
        <v>9059401.398</v>
      </c>
      <c r="BX35" s="1205" t="n">
        <v>1489814</v>
      </c>
      <c r="BY35" s="1205" t="n">
        <v>590479</v>
      </c>
      <c r="BZ35" s="1205" t="n">
        <v>-1215330</v>
      </c>
      <c r="CA35" s="1205" t="n">
        <v>266254</v>
      </c>
      <c r="CB35" s="1205" t="n">
        <v>9109141</v>
      </c>
      <c r="CD35" s="966">
        <f>CB35+BX35-BY35+BZ35+CA35-BW35</f>
        <v/>
      </c>
      <c r="CE35" s="1205" t="n"/>
      <c r="CF35" s="1205" t="n"/>
      <c r="CG35" s="1205" t="n"/>
      <c r="CH35" s="1205" t="n"/>
      <c r="CI35" s="1205" t="n"/>
      <c r="CJ35" s="697">
        <f>BW35</f>
        <v/>
      </c>
      <c r="CL35" s="697" t="n">
        <v>0</v>
      </c>
      <c r="CN35" s="786" t="n"/>
      <c r="CQ35" s="1201" t="n">
        <v>1.5824</v>
      </c>
      <c r="CR35" s="1205" t="n">
        <v>22542638.711656</v>
      </c>
      <c r="CS35" s="1205" t="n">
        <v>14245459.073109</v>
      </c>
      <c r="CU35" s="697" t="n">
        <v>5279090.477</v>
      </c>
      <c r="CW35" s="105" t="n"/>
      <c r="CX35" s="105" t="n"/>
      <c r="CY35" s="105" t="n"/>
      <c r="CZ35" s="786" t="n"/>
      <c r="DC35" s="1205" t="n"/>
      <c r="DD35" s="1205" t="n"/>
      <c r="DE35" s="1205" t="n"/>
      <c r="DG35" s="1205" t="n"/>
      <c r="DH35" s="1205" t="n"/>
      <c r="DI35" s="1205" t="n"/>
      <c r="DJ35" s="1205" t="n"/>
      <c r="DK35" s="1205" t="n"/>
      <c r="DL35" s="1205" t="n"/>
      <c r="DM35" s="1205" t="n"/>
    </row>
    <row r="36" ht="16.5" customHeight="1" s="759">
      <c r="A36" s="643" t="inlineStr">
        <is>
          <t>2512한화</t>
        </is>
      </c>
      <c r="B36" s="643" t="n">
        <v>2512</v>
      </c>
      <c r="C36" s="643" t="inlineStr">
        <is>
          <t>한화</t>
        </is>
      </c>
      <c r="D36" s="697" t="n">
        <v>125776582</v>
      </c>
      <c r="E36" s="697" t="n">
        <v>32320124</v>
      </c>
      <c r="F36" s="697" t="n">
        <v>48218133</v>
      </c>
      <c r="G36" s="697" t="n">
        <v>28071420</v>
      </c>
      <c r="H36" s="697" t="n">
        <v>12141725</v>
      </c>
      <c r="I36" s="786">
        <f>E36/D36</f>
        <v/>
      </c>
      <c r="J36" s="786">
        <f>F36/D36</f>
        <v/>
      </c>
      <c r="K36" s="786">
        <f>G36/D36</f>
        <v/>
      </c>
      <c r="L36" s="697" t="n">
        <v>113307806</v>
      </c>
      <c r="M36" s="697" t="n">
        <v>96935830</v>
      </c>
      <c r="N36" s="697">
        <f>O36-P36</f>
        <v/>
      </c>
      <c r="O36" s="697" t="n">
        <v>12468776</v>
      </c>
      <c r="P36" s="697" t="n">
        <v>3068453</v>
      </c>
      <c r="Q36" s="697" t="n">
        <v>-1406135</v>
      </c>
      <c r="R36" s="697" t="n">
        <v>7085336</v>
      </c>
      <c r="S36" s="697" t="n">
        <v>10348367</v>
      </c>
      <c r="T36" s="979" t="n">
        <v>9251540</v>
      </c>
      <c r="U36" s="697" t="n">
        <v>125776582</v>
      </c>
      <c r="V36" s="697" t="n">
        <v>123912842.945</v>
      </c>
      <c r="W36" s="142" t="n">
        <v>0.9778</v>
      </c>
      <c r="X36" s="697">
        <f>Q36</f>
        <v/>
      </c>
      <c r="Y36" s="697" t="n">
        <v>-4000815</v>
      </c>
      <c r="Z36" s="697" t="n">
        <v>3221381</v>
      </c>
      <c r="AA36" s="1205" t="n">
        <v>10437</v>
      </c>
      <c r="AB36" s="697" t="n">
        <v>-882553</v>
      </c>
      <c r="AC36" s="697" t="n">
        <v>376681</v>
      </c>
      <c r="AD36" s="697" t="n">
        <v>-131266</v>
      </c>
      <c r="AF36" s="697" t="n">
        <v>344419</v>
      </c>
      <c r="AG36" s="697" t="n">
        <v>5248088</v>
      </c>
      <c r="AH36" s="697" t="n">
        <v>4903669</v>
      </c>
      <c r="AI36" s="697" t="n">
        <v>57018</v>
      </c>
      <c r="AJ36" s="697" t="n">
        <v>-4359164</v>
      </c>
      <c r="AK36" s="697" t="n">
        <v>9060</v>
      </c>
      <c r="AL36" s="697">
        <f>AI36-AJ36-AK36+AM36-AN36</f>
        <v/>
      </c>
      <c r="AM36" s="697" t="n">
        <v>117846</v>
      </c>
      <c r="AN36" s="697" t="n">
        <v>-393875</v>
      </c>
      <c r="AO36" s="697" t="n">
        <v>401437</v>
      </c>
      <c r="AP36" s="697" t="n">
        <v>11213</v>
      </c>
      <c r="AQ36" s="697" t="n">
        <v>412650</v>
      </c>
      <c r="AR36" s="697" t="n">
        <v>313320</v>
      </c>
      <c r="AS36" s="966">
        <f>AO36+AP36-AQ36</f>
        <v/>
      </c>
      <c r="AT36" s="966">
        <f>AJ36+AK36+AL36-AM36+AN36-AI36</f>
        <v/>
      </c>
      <c r="AU36" s="966">
        <f>AF36+AI36-AO36</f>
        <v/>
      </c>
      <c r="AV36" s="966">
        <f>AF36</f>
        <v/>
      </c>
      <c r="AW36" s="966">
        <f>AI36</f>
        <v/>
      </c>
      <c r="AX36" s="966">
        <f>AP36</f>
        <v/>
      </c>
      <c r="AY36" s="966">
        <f>AV36+AW36+AX36</f>
        <v/>
      </c>
      <c r="BB36" s="786" t="n"/>
      <c r="BC36" s="697" t="n">
        <v>-1349279</v>
      </c>
      <c r="BD36" s="697" t="n">
        <v>-2146099</v>
      </c>
      <c r="BF36" s="697" t="n">
        <v>2692312</v>
      </c>
      <c r="BG36" s="697" t="n">
        <v>-598584</v>
      </c>
      <c r="BI36" s="697" t="n">
        <v>-4485</v>
      </c>
      <c r="BK36" s="697">
        <f>Q36</f>
        <v/>
      </c>
      <c r="BL36" s="966" t="n"/>
      <c r="BM36" s="697" t="n">
        <v>6886476</v>
      </c>
      <c r="BP36" s="697">
        <f>AR36</f>
        <v/>
      </c>
      <c r="BR36" s="697" t="n">
        <v>-114460</v>
      </c>
      <c r="BS36" s="697">
        <f>R36</f>
        <v/>
      </c>
      <c r="BT36" s="966" t="n">
        <v>0</v>
      </c>
      <c r="BU36" s="697" t="n">
        <v>86222489</v>
      </c>
      <c r="BV36" s="697" t="n">
        <v>1993903</v>
      </c>
      <c r="BW36" s="697" t="n">
        <v>8713652</v>
      </c>
      <c r="BX36" s="697" t="n">
        <v>2066258</v>
      </c>
      <c r="BY36" s="697" t="n">
        <v>787290</v>
      </c>
      <c r="BZ36" s="697" t="n">
        <v>-2032224</v>
      </c>
      <c r="CA36" s="697" t="n">
        <v>357767</v>
      </c>
      <c r="CB36" s="697" t="n">
        <v>9109141</v>
      </c>
      <c r="CD36" s="966">
        <f>CB36+BX36-BY36+BZ36+CA36-BW36</f>
        <v/>
      </c>
      <c r="CE36" s="697" t="n">
        <v>424411</v>
      </c>
      <c r="CF36" s="697" t="n">
        <v>719574</v>
      </c>
      <c r="CG36" s="697" t="n">
        <v>613676</v>
      </c>
      <c r="CH36" s="697" t="n">
        <v>1264098</v>
      </c>
      <c r="CI36" s="697" t="n">
        <v>5691893</v>
      </c>
      <c r="CJ36" s="697">
        <f>BW36</f>
        <v/>
      </c>
      <c r="CK36" s="697">
        <f>CJ36-SUM(CE36:CI36)</f>
        <v/>
      </c>
      <c r="CL36" s="697" t="n">
        <v>0</v>
      </c>
      <c r="CN36" s="786" t="n">
        <v>1.575</v>
      </c>
      <c r="CO36" s="697" t="n">
        <v>22901084</v>
      </c>
      <c r="CP36" s="697" t="n">
        <v>14538834</v>
      </c>
      <c r="CQ36" s="1200" t="n">
        <v>1.575</v>
      </c>
      <c r="CR36" s="1192" t="n">
        <v>22901084</v>
      </c>
      <c r="CS36" s="1192" t="n">
        <v>14538834</v>
      </c>
      <c r="CU36" s="697" t="n">
        <v>6507789.876</v>
      </c>
      <c r="CW36" s="1193" t="n">
        <v>0.865</v>
      </c>
      <c r="CX36" s="1193" t="n">
        <v>0.997</v>
      </c>
      <c r="CY36" s="105">
        <f>CW36-CX36</f>
        <v/>
      </c>
      <c r="CZ36" s="786">
        <f>CX36/CW36</f>
        <v/>
      </c>
      <c r="DC36" s="1205" t="n"/>
      <c r="DD36" s="1205" t="n"/>
      <c r="DE36" s="1205" t="n"/>
      <c r="DG36" s="1205" t="n"/>
      <c r="DH36" s="1205" t="n"/>
      <c r="DI36" s="1205" t="n"/>
      <c r="DJ36" s="1205" t="n"/>
      <c r="DK36" s="1205" t="n"/>
      <c r="DL36" s="1205" t="n"/>
      <c r="DM36" s="1205" t="n"/>
      <c r="EP36" s="697" t="n">
        <v>605152</v>
      </c>
      <c r="EQ36" s="697" t="n">
        <v>74021</v>
      </c>
      <c r="ER36" s="697" t="n">
        <v>-137201</v>
      </c>
      <c r="ES36" s="1195" t="n">
        <v>-55586</v>
      </c>
      <c r="ET36" s="697" t="n">
        <v>1536311</v>
      </c>
      <c r="EW36" s="697" t="n">
        <v>-605152</v>
      </c>
      <c r="EX36" s="697" t="n">
        <v>-74021</v>
      </c>
      <c r="EY36" s="697" t="n">
        <v>137201</v>
      </c>
      <c r="EZ36" s="697" t="n">
        <v>55586</v>
      </c>
      <c r="FA36" s="697" t="n">
        <v>-1536311</v>
      </c>
      <c r="FB36" s="697" t="n">
        <v>-9527</v>
      </c>
      <c r="FC36" s="767" t="n">
        <v>0</v>
      </c>
    </row>
    <row r="37">
      <c r="I37" s="786" t="n"/>
      <c r="J37" s="786" t="n"/>
      <c r="K37" s="786" t="n"/>
      <c r="T37" s="979" t="n"/>
      <c r="W37" s="142" t="n"/>
      <c r="X37" s="995" t="n"/>
      <c r="Y37" s="995" t="n"/>
      <c r="Z37" s="995" t="n"/>
      <c r="AA37" s="995" t="n"/>
      <c r="AB37" s="995" t="n"/>
      <c r="AC37" s="995" t="n"/>
      <c r="AD37" s="995" t="n"/>
      <c r="AS37" s="966" t="n"/>
      <c r="AT37" s="966" t="n"/>
      <c r="AU37" s="966" t="n"/>
      <c r="AV37" s="966" t="n"/>
      <c r="AW37" s="966" t="n"/>
      <c r="AX37" s="966" t="n"/>
      <c r="AY37" s="966" t="n"/>
      <c r="BB37" s="786" t="n"/>
      <c r="BL37" s="966" t="n"/>
      <c r="BT37" s="966" t="n"/>
      <c r="CD37" s="966" t="n"/>
      <c r="CN37" s="786" t="n"/>
      <c r="CQ37" s="991" t="n"/>
      <c r="CR37" s="966" t="n"/>
      <c r="CS37" s="966" t="n"/>
      <c r="CW37" s="105" t="n"/>
      <c r="CX37" s="105" t="n"/>
      <c r="CY37" s="105" t="n"/>
      <c r="CZ37" s="786" t="n"/>
      <c r="DJ37" s="978" t="n"/>
    </row>
    <row r="38" customFormat="1" s="106">
      <c r="A38" s="106" t="inlineStr">
        <is>
          <t>2212신한라이프</t>
        </is>
      </c>
      <c r="B38" s="106" t="n">
        <v>2212</v>
      </c>
      <c r="C38" s="106" t="inlineStr">
        <is>
          <t>신한라이프</t>
        </is>
      </c>
      <c r="D38" s="980" t="n"/>
      <c r="E38" s="980" t="n"/>
      <c r="F38" s="980" t="n"/>
      <c r="G38" s="980" t="n"/>
      <c r="H38" s="980" t="n"/>
      <c r="I38" s="992" t="n"/>
      <c r="J38" s="992" t="n"/>
      <c r="K38" s="992" t="n"/>
      <c r="L38" s="980" t="n"/>
      <c r="M38" s="980" t="n"/>
      <c r="N38" s="979" t="n"/>
      <c r="O38" s="1192" t="n"/>
      <c r="P38" s="1192" t="n"/>
      <c r="Q38" s="1192" t="n"/>
      <c r="R38" s="1192" t="n"/>
      <c r="S38" s="979" t="n"/>
      <c r="T38" s="979" t="n"/>
      <c r="U38" s="980" t="n"/>
      <c r="V38" s="980" t="n"/>
      <c r="W38" s="980" t="n"/>
      <c r="X38" s="979" t="n"/>
      <c r="Y38" s="1192" t="n"/>
      <c r="Z38" s="1192" t="n"/>
      <c r="AA38" s="1192" t="n"/>
      <c r="AB38" s="1192" t="n"/>
      <c r="AC38" s="979" t="n"/>
      <c r="AD38" s="1192" t="n"/>
      <c r="AE38" s="979" t="n"/>
      <c r="AF38" s="980" t="n"/>
      <c r="AG38" s="980" t="n"/>
      <c r="AH38" s="980" t="n"/>
      <c r="AI38" s="980" t="n"/>
      <c r="AJ38" s="980" t="n"/>
      <c r="AK38" s="980" t="n"/>
      <c r="AL38" s="980" t="n"/>
      <c r="AM38" s="980" t="n"/>
      <c r="AN38" s="980" t="n"/>
      <c r="AO38" s="980" t="n"/>
      <c r="AP38" s="980" t="n"/>
      <c r="AQ38" s="979" t="n"/>
      <c r="AR38" s="979" t="n"/>
      <c r="AS38" s="980" t="n"/>
      <c r="AT38" s="980" t="n"/>
      <c r="AU38" s="980" t="n"/>
      <c r="AV38" s="980" t="n"/>
      <c r="AW38" s="980" t="n"/>
      <c r="AX38" s="980" t="n"/>
      <c r="AY38" s="980" t="n"/>
      <c r="AZ38" s="980" t="n"/>
      <c r="BA38" s="980" t="n"/>
      <c r="BB38" s="992" t="n"/>
      <c r="BC38" s="980" t="n"/>
      <c r="BD38" s="980" t="n"/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0" t="n"/>
      <c r="BQ38" s="980" t="n"/>
      <c r="BR38" s="980" t="n"/>
      <c r="BS38" s="980" t="n"/>
      <c r="BT38" s="1196" t="n"/>
      <c r="BU38" s="1192" t="n"/>
      <c r="BV38" s="1192" t="n"/>
      <c r="BW38" s="1192" t="n"/>
      <c r="BX38" s="979" t="n"/>
      <c r="BY38" s="979" t="n"/>
      <c r="BZ38" s="979" t="n"/>
      <c r="CA38" s="979" t="n"/>
      <c r="CB38" s="979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92" t="n"/>
      <c r="CO38" s="980" t="n"/>
      <c r="CP38" s="980" t="n"/>
      <c r="CQ38" s="992" t="n"/>
      <c r="CR38" s="980" t="n"/>
      <c r="CS38" s="980" t="n"/>
      <c r="CT38" s="980" t="n"/>
      <c r="CU38" s="980" t="n"/>
      <c r="CV38" s="980" t="n"/>
      <c r="CW38" s="980" t="n"/>
      <c r="CX38" s="980" t="n"/>
      <c r="CY38" s="980" t="n"/>
      <c r="CZ38" s="980" t="n"/>
      <c r="DA38" s="980" t="n"/>
      <c r="DB38" s="980" t="n"/>
      <c r="DC38" s="992" t="n"/>
      <c r="DD38" s="980" t="n"/>
      <c r="DE38" s="980" t="n"/>
      <c r="DF38" s="980" t="n"/>
      <c r="DG38" s="980" t="n"/>
      <c r="DH38" s="980" t="n"/>
      <c r="DI38" s="980" t="n"/>
      <c r="DJ38" s="980" t="n"/>
      <c r="DK38" s="980" t="n"/>
      <c r="DL38" s="980" t="n"/>
      <c r="DM38" s="980" t="n"/>
      <c r="DN38" s="980" t="n"/>
      <c r="DO38" s="980" t="n"/>
      <c r="DP38" s="980" t="n"/>
      <c r="DQ38" s="980" t="n"/>
      <c r="DR38" s="980" t="n"/>
      <c r="DS38" s="980" t="n"/>
      <c r="DT38" s="980" t="n"/>
      <c r="DU38" s="980" t="n"/>
      <c r="DV38" s="980" t="n"/>
      <c r="DW38" s="980" t="n"/>
      <c r="DX38" s="980" t="n"/>
      <c r="DY38" s="980" t="n"/>
      <c r="DZ38" s="980" t="n"/>
      <c r="EA38" s="980" t="n"/>
      <c r="EB38" s="980" t="n"/>
      <c r="EC38" s="980" t="n"/>
      <c r="ED38" s="980" t="n"/>
      <c r="EE38" s="980" t="n"/>
      <c r="EP38" s="980" t="n"/>
      <c r="EQ38" s="980" t="n"/>
      <c r="ER38" s="980" t="n"/>
      <c r="ES38" s="980" t="n"/>
      <c r="ET38" s="980" t="n"/>
      <c r="EU38" s="980" t="n"/>
      <c r="EV38" s="980" t="n"/>
      <c r="EW38" s="980" t="n"/>
      <c r="EX38" s="980" t="n"/>
      <c r="EY38" s="980" t="n"/>
      <c r="EZ38" s="980" t="n"/>
      <c r="FA38" s="980" t="n"/>
      <c r="FB38" s="980" t="n"/>
    </row>
    <row r="39" customFormat="1" s="106">
      <c r="A39" s="106" t="inlineStr">
        <is>
          <t>2312신한라이프</t>
        </is>
      </c>
      <c r="B39" s="106" t="n">
        <v>2312</v>
      </c>
      <c r="C39" s="106" t="inlineStr">
        <is>
          <t>신한라이프</t>
        </is>
      </c>
      <c r="D39" s="980" t="n">
        <v>58508315</v>
      </c>
      <c r="E39" s="980" t="n">
        <v>11478700</v>
      </c>
      <c r="F39" s="980" t="n">
        <v>35345575</v>
      </c>
      <c r="G39" s="1196" t="n">
        <v>4348023</v>
      </c>
      <c r="H39" s="980" t="n">
        <v>274581</v>
      </c>
      <c r="I39" s="992">
        <f>E39/D39</f>
        <v/>
      </c>
      <c r="J39" s="992">
        <f>F39/D39</f>
        <v/>
      </c>
      <c r="K39" s="992">
        <f>G39/D39</f>
        <v/>
      </c>
      <c r="L39" s="980" t="n">
        <v>50061766</v>
      </c>
      <c r="M39" s="980" t="n">
        <v>45528986</v>
      </c>
      <c r="N39" s="979">
        <f>O39-P39</f>
        <v/>
      </c>
      <c r="O39" s="979" t="n">
        <v>8446549</v>
      </c>
      <c r="P39" s="979" t="n">
        <v>299452</v>
      </c>
      <c r="Q39" s="979" t="n">
        <v>117417</v>
      </c>
      <c r="R39" s="979" t="n">
        <v>6629922</v>
      </c>
      <c r="S39" s="979" t="n">
        <v>8134009</v>
      </c>
      <c r="T39" s="979" t="n">
        <v>7834557</v>
      </c>
      <c r="U39" s="980" t="n">
        <v>52552500</v>
      </c>
      <c r="V39" s="980" t="n">
        <v>50931944.781475</v>
      </c>
      <c r="W39" s="107" t="n">
        <v>0.969</v>
      </c>
      <c r="X39" s="979">
        <f>Q39</f>
        <v/>
      </c>
      <c r="Y39" s="1192" t="n">
        <v>-2496763</v>
      </c>
      <c r="Z39" s="1192" t="n">
        <v>2572059</v>
      </c>
      <c r="AA39" s="1192" t="n"/>
      <c r="AB39" s="1192" t="n">
        <v>45462</v>
      </c>
      <c r="AC39" s="979" t="n"/>
      <c r="AD39" s="1192" t="n">
        <v>-16345</v>
      </c>
      <c r="AE39" s="979">
        <f>X39-(Y39+Z39+AA39+AB39+AC39+AD39)</f>
        <v/>
      </c>
      <c r="AF39" s="980" t="n">
        <v>663624</v>
      </c>
      <c r="AG39" s="980" t="n">
        <v>2669499</v>
      </c>
      <c r="AH39" s="1196" t="n">
        <v>1881746</v>
      </c>
      <c r="AI39" s="980" t="n">
        <v>2693</v>
      </c>
      <c r="AJ39" s="980" t="n">
        <v>-2136190</v>
      </c>
      <c r="AK39" s="1196" t="n">
        <v>-864</v>
      </c>
      <c r="AL39" s="980">
        <f>AI39-AJ39-AK39+AM39-AN39</f>
        <v/>
      </c>
      <c r="AM39" s="980" t="n">
        <v>16925</v>
      </c>
      <c r="AN39" s="1196" t="n">
        <v>-69849</v>
      </c>
      <c r="AO39" s="980" t="n">
        <v>666317</v>
      </c>
      <c r="AP39" s="980" t="n">
        <v>-23943</v>
      </c>
      <c r="AQ39" s="979" t="n">
        <v>642374</v>
      </c>
      <c r="AR39" s="979" t="n">
        <v>481851</v>
      </c>
      <c r="AS39" s="980">
        <f>AO39+AP39-AQ39</f>
        <v/>
      </c>
      <c r="AT39" s="980">
        <f>AJ39+AK39+AL39-AM39+AN39-AI39</f>
        <v/>
      </c>
      <c r="AU39" s="980">
        <f>AF39+AI39-AO39</f>
        <v/>
      </c>
      <c r="AV39" s="980">
        <f>AF39</f>
        <v/>
      </c>
      <c r="AW39" s="980">
        <f>AI39</f>
        <v/>
      </c>
      <c r="AX39" s="980">
        <f>AP39</f>
        <v/>
      </c>
      <c r="AY39" s="980">
        <f>AV39+AW39+AX39</f>
        <v/>
      </c>
      <c r="AZ39" s="980" t="n"/>
      <c r="BA39" s="980" t="n"/>
      <c r="BB39" s="1199" t="n"/>
      <c r="BC39" s="980" t="n">
        <v>113667</v>
      </c>
      <c r="BD39" s="980" t="n">
        <v>2091114</v>
      </c>
      <c r="BE39" s="980" t="n"/>
      <c r="BF39" s="980" t="n">
        <v>-2183675</v>
      </c>
      <c r="BG39" s="980" t="n">
        <v>105477</v>
      </c>
      <c r="BH39" s="980" t="n"/>
      <c r="BI39" s="980" t="n">
        <v>-9166</v>
      </c>
      <c r="BJ39" s="980" t="n"/>
      <c r="BK39" s="980">
        <f>Q39</f>
        <v/>
      </c>
      <c r="BL39" s="980" t="n"/>
      <c r="BM39" s="980" t="n">
        <v>6321129</v>
      </c>
      <c r="BN39" s="980" t="n">
        <v>-162257</v>
      </c>
      <c r="BO39" s="980" t="n"/>
      <c r="BP39" s="980">
        <f>AR39</f>
        <v/>
      </c>
      <c r="BQ39" s="1196" t="n"/>
      <c r="BR39" s="980" t="n">
        <v>-10801</v>
      </c>
      <c r="BS39" s="980">
        <f>R39</f>
        <v/>
      </c>
      <c r="BT39" s="980" t="n">
        <v>0</v>
      </c>
      <c r="BU39" s="979" t="n">
        <v>37208495</v>
      </c>
      <c r="BV39" s="979" t="n">
        <v>1151534</v>
      </c>
      <c r="BW39" s="979" t="n">
        <v>7168725</v>
      </c>
      <c r="BX39" s="979" t="n">
        <v>901777</v>
      </c>
      <c r="BY39" s="979" t="n">
        <v>696825</v>
      </c>
      <c r="BZ39" s="979" t="n">
        <v>-200846</v>
      </c>
      <c r="CA39" s="979" t="n">
        <v>239706</v>
      </c>
      <c r="CB39" s="979" t="n">
        <v>6924913</v>
      </c>
      <c r="CC39" s="980" t="n"/>
      <c r="CD39" s="980">
        <f>CB39+BX39-BY39+BZ39+CA39-BW39</f>
        <v/>
      </c>
      <c r="CE39" s="1196" t="n"/>
      <c r="CF39" s="1196" t="n"/>
      <c r="CG39" s="1196" t="n"/>
      <c r="CH39" s="1196" t="n"/>
      <c r="CI39" s="1196" t="n"/>
      <c r="CJ39" s="980">
        <f>BW39</f>
        <v/>
      </c>
      <c r="CK39" s="980" t="n"/>
      <c r="CL39" s="980" t="n">
        <v>0</v>
      </c>
      <c r="CM39" s="980" t="n"/>
      <c r="CN39" s="992" t="n">
        <v>2.532</v>
      </c>
      <c r="CO39" s="1196" t="n">
        <v>109737</v>
      </c>
      <c r="CP39" s="980" t="n">
        <v>4333800</v>
      </c>
      <c r="CQ39" s="1199" t="n">
        <v>2.508</v>
      </c>
      <c r="CR39" s="1196" t="n">
        <v>10922400</v>
      </c>
      <c r="CS39" s="1196" t="n">
        <v>4354200</v>
      </c>
      <c r="CT39" s="980" t="n"/>
      <c r="CU39" s="1196" t="n">
        <v>3449210.06837</v>
      </c>
      <c r="CV39" s="980" t="n"/>
      <c r="CW39" s="1202" t="n"/>
      <c r="CX39" s="1202" t="n"/>
      <c r="CY39" s="107" t="n"/>
      <c r="CZ39" s="992" t="n"/>
      <c r="DA39" s="980" t="n"/>
      <c r="DB39" s="980" t="n"/>
      <c r="DC39" s="992" t="n"/>
      <c r="DD39" s="980" t="n"/>
      <c r="DE39" s="980" t="n"/>
      <c r="DF39" s="980" t="n"/>
      <c r="DG39" s="980" t="n"/>
      <c r="DH39" s="980" t="n"/>
      <c r="DI39" s="980" t="n"/>
      <c r="DJ39" s="980" t="n"/>
      <c r="DK39" s="980" t="n"/>
      <c r="DL39" s="980" t="n"/>
      <c r="DM39" s="980" t="n"/>
      <c r="DN39" s="980" t="n"/>
      <c r="DO39" s="980" t="n"/>
      <c r="DP39" s="980" t="n"/>
      <c r="DQ39" s="980" t="n"/>
      <c r="DR39" s="980" t="n"/>
      <c r="DS39" s="980" t="n"/>
      <c r="DT39" s="980" t="n"/>
      <c r="DU39" s="980" t="n"/>
      <c r="DV39" s="980" t="n"/>
      <c r="DW39" s="980" t="n"/>
      <c r="DX39" s="980" t="n"/>
      <c r="DY39" s="980" t="n"/>
      <c r="DZ39" s="980" t="n"/>
      <c r="EA39" s="980" t="n"/>
      <c r="EB39" s="980" t="n"/>
      <c r="EC39" s="980" t="n"/>
      <c r="ED39" s="980" t="n"/>
      <c r="EE39" s="980" t="n"/>
      <c r="EP39" s="980" t="n"/>
      <c r="EQ39" s="980" t="n"/>
      <c r="ER39" s="980" t="n"/>
      <c r="ES39" s="980" t="n"/>
      <c r="ET39" s="980" t="n"/>
      <c r="EU39" s="980" t="n"/>
      <c r="EV39" s="980" t="n"/>
      <c r="EW39" s="980" t="n"/>
      <c r="EX39" s="980" t="n"/>
      <c r="EY39" s="980" t="n"/>
      <c r="EZ39" s="980" t="n"/>
      <c r="FA39" s="980" t="n"/>
      <c r="FB39" s="980" t="n"/>
    </row>
    <row r="40" customFormat="1" s="106">
      <c r="A40" s="106" t="inlineStr">
        <is>
          <t>2412신한라이프</t>
        </is>
      </c>
      <c r="B40" s="106" t="n">
        <v>2412</v>
      </c>
      <c r="C40" s="106" t="inlineStr">
        <is>
          <t>신한라이프</t>
        </is>
      </c>
      <c r="D40" s="980" t="n">
        <v>59617796</v>
      </c>
      <c r="E40" s="980" t="n">
        <v>11579983</v>
      </c>
      <c r="F40" s="980" t="n">
        <v>37647435</v>
      </c>
      <c r="G40" s="1196" t="n">
        <v>3931915</v>
      </c>
      <c r="H40" s="980" t="n">
        <v>274581</v>
      </c>
      <c r="I40" s="992">
        <f>E40/D40</f>
        <v/>
      </c>
      <c r="J40" s="992">
        <f>F40/D40</f>
        <v/>
      </c>
      <c r="K40" s="992">
        <f>G40/D40</f>
        <v/>
      </c>
      <c r="L40" s="980" t="n">
        <v>52555228</v>
      </c>
      <c r="M40" s="980" t="n">
        <v>48419650</v>
      </c>
      <c r="N40" s="979">
        <f>O40-P40</f>
        <v/>
      </c>
      <c r="O40" s="981" t="n">
        <v>7062568</v>
      </c>
      <c r="P40" s="979" t="n">
        <v>299452</v>
      </c>
      <c r="Q40" s="981" t="n">
        <v>-1474062</v>
      </c>
      <c r="R40" s="979" t="n">
        <v>6837420</v>
      </c>
      <c r="S40" s="979" t="n">
        <v>8446549</v>
      </c>
      <c r="T40" s="979" t="n">
        <v>8147097</v>
      </c>
      <c r="U40" s="980" t="n">
        <v>54103400</v>
      </c>
      <c r="V40" s="980" t="n">
        <v>52418108.459403</v>
      </c>
      <c r="W40" s="107" t="n">
        <v>0.969</v>
      </c>
      <c r="X40" s="979">
        <f>Q40</f>
        <v/>
      </c>
      <c r="Y40" s="1192" t="n">
        <v>-1765945</v>
      </c>
      <c r="Z40" s="1192" t="n">
        <v>218610</v>
      </c>
      <c r="AA40" s="1192" t="n"/>
      <c r="AB40" s="1192" t="n">
        <v>90681</v>
      </c>
      <c r="AC40" s="979" t="n"/>
      <c r="AD40" s="1192" t="n">
        <v>-29028</v>
      </c>
      <c r="AE40" s="979">
        <f>X40-(Y40+Z40+AA40+AB40+AC40+AD40)</f>
        <v/>
      </c>
      <c r="AF40" s="980" t="n">
        <v>658381</v>
      </c>
      <c r="AG40" s="980" t="n">
        <v>2900268</v>
      </c>
      <c r="AH40" s="1196" t="n">
        <v>2126852</v>
      </c>
      <c r="AI40" s="980" t="n">
        <v>80188</v>
      </c>
      <c r="AJ40" s="980" t="n">
        <v>-1705436</v>
      </c>
      <c r="AK40" s="980" t="n">
        <v>56</v>
      </c>
      <c r="AL40" s="980">
        <f>AI40-AJ40-AK40+AM40-AN40</f>
        <v/>
      </c>
      <c r="AM40" s="980" t="n">
        <v>16291</v>
      </c>
      <c r="AN40" s="1196" t="n">
        <v>-72428</v>
      </c>
      <c r="AO40" s="980" t="n">
        <v>738569</v>
      </c>
      <c r="AP40" s="980" t="n">
        <v>-2961</v>
      </c>
      <c r="AQ40" s="979" t="n">
        <v>735608</v>
      </c>
      <c r="AR40" s="979" t="n">
        <v>533681</v>
      </c>
      <c r="AS40" s="980">
        <f>AO40+AP40-AQ40</f>
        <v/>
      </c>
      <c r="AT40" s="980">
        <f>AJ40+AK40+AL40-AM40+AN40-AI40</f>
        <v/>
      </c>
      <c r="AU40" s="980">
        <f>AF40+AI40-AO40</f>
        <v/>
      </c>
      <c r="AV40" s="980">
        <f>AF40</f>
        <v/>
      </c>
      <c r="AW40" s="980">
        <f>AI40</f>
        <v/>
      </c>
      <c r="AX40" s="980">
        <f>AP40</f>
        <v/>
      </c>
      <c r="AY40" s="980">
        <f>AV40+AW40+AX40</f>
        <v/>
      </c>
      <c r="AZ40" s="980" t="n"/>
      <c r="BA40" s="980" t="n"/>
      <c r="BB40" s="1199" t="n"/>
      <c r="BC40" s="1194" t="n">
        <v>117417</v>
      </c>
      <c r="BD40" s="1194" t="n">
        <v>729954</v>
      </c>
      <c r="BE40" s="980" t="n"/>
      <c r="BF40" s="980" t="n">
        <v>-2354947</v>
      </c>
      <c r="BG40" s="980" t="n">
        <v>45219</v>
      </c>
      <c r="BH40" s="1196" t="n"/>
      <c r="BI40" s="980" t="n">
        <v>-12594</v>
      </c>
      <c r="BJ40" s="980" t="n"/>
      <c r="BK40" s="981">
        <f>Q40</f>
        <v/>
      </c>
      <c r="BL40" s="980" t="n"/>
      <c r="BM40" s="980" t="n">
        <v>6629922</v>
      </c>
      <c r="BN40" s="980" t="n">
        <v>-315343</v>
      </c>
      <c r="BO40" s="980" t="n"/>
      <c r="BP40" s="980">
        <f>AR40</f>
        <v/>
      </c>
      <c r="BQ40" s="1196" t="n"/>
      <c r="BR40" s="980" t="n">
        <v>-10800</v>
      </c>
      <c r="BS40" s="980">
        <f>R40</f>
        <v/>
      </c>
      <c r="BT40" s="980" t="n">
        <v>0</v>
      </c>
      <c r="BU40" s="979" t="n">
        <v>39849028</v>
      </c>
      <c r="BV40" s="979" t="n">
        <v>1346089</v>
      </c>
      <c r="BW40" s="979" t="n">
        <v>7224114</v>
      </c>
      <c r="BX40" s="979" t="n">
        <v>1264682</v>
      </c>
      <c r="BY40" s="979" t="n">
        <v>732650</v>
      </c>
      <c r="BZ40" s="979" t="n">
        <v>-732472</v>
      </c>
      <c r="CA40" s="979" t="n">
        <v>255829</v>
      </c>
      <c r="CB40" s="979" t="n">
        <v>7168725</v>
      </c>
      <c r="CC40" s="1204" t="n"/>
      <c r="CD40" s="980">
        <f>CB40+BX40-BY40+BZ40+CA40-BW40</f>
        <v/>
      </c>
      <c r="CE40" s="1196" t="n">
        <v>437202</v>
      </c>
      <c r="CF40" s="1196" t="n">
        <v>693577</v>
      </c>
      <c r="CG40" s="1196" t="n">
        <v>581594</v>
      </c>
      <c r="CH40" s="1196" t="n">
        <v>1116540</v>
      </c>
      <c r="CI40" s="1196" t="n">
        <v>4395198</v>
      </c>
      <c r="CJ40" s="980">
        <f>BW40</f>
        <v/>
      </c>
      <c r="CK40" s="977" t="n"/>
      <c r="CL40" s="980" t="n">
        <v>0</v>
      </c>
      <c r="CM40" s="980" t="n"/>
      <c r="CN40" s="992" t="n">
        <v>2.057</v>
      </c>
      <c r="CO40" s="980" t="n">
        <v>9625400</v>
      </c>
      <c r="CP40" s="980" t="n">
        <v>4680000</v>
      </c>
      <c r="CQ40" s="992" t="n">
        <v>2.057</v>
      </c>
      <c r="CR40" s="980" t="n">
        <v>9623800</v>
      </c>
      <c r="CS40" s="980" t="n">
        <v>4677600</v>
      </c>
      <c r="CT40" s="980" t="n"/>
      <c r="CU40" s="1196" t="n">
        <v>3638115.568871</v>
      </c>
      <c r="CV40" s="980" t="n"/>
      <c r="CW40" s="107" t="n">
        <v>0.9311</v>
      </c>
      <c r="CX40" s="107" t="n">
        <v>0.9626</v>
      </c>
      <c r="CY40" s="107">
        <f>CW40-CX40</f>
        <v/>
      </c>
      <c r="CZ40" s="992">
        <f>CX40/CW40</f>
        <v/>
      </c>
      <c r="DA40" s="980" t="n"/>
      <c r="DB40" s="980" t="n"/>
      <c r="DC40" s="992" t="n"/>
      <c r="DD40" s="980" t="n"/>
      <c r="DE40" s="980" t="n"/>
      <c r="DF40" s="980" t="n"/>
      <c r="DG40" s="980" t="n"/>
      <c r="DH40" s="980" t="n"/>
      <c r="DI40" s="980" t="n"/>
      <c r="DJ40" s="980" t="n"/>
      <c r="DK40" s="980" t="n"/>
      <c r="DL40" s="980" t="n"/>
      <c r="DM40" s="980" t="n"/>
      <c r="DN40" s="980" t="n"/>
      <c r="DO40" s="980" t="n"/>
      <c r="DP40" s="980" t="n"/>
      <c r="DQ40" s="980" t="n"/>
      <c r="DR40" s="980" t="n"/>
      <c r="DS40" s="980" t="n"/>
      <c r="DT40" s="980" t="n"/>
      <c r="DU40" s="980" t="n"/>
      <c r="DV40" s="980" t="n"/>
      <c r="DW40" s="980" t="n"/>
      <c r="DX40" s="980" t="n"/>
      <c r="DY40" s="980" t="n"/>
      <c r="DZ40" s="980" t="n"/>
      <c r="EA40" s="980" t="n"/>
      <c r="EB40" s="980" t="n"/>
      <c r="EC40" s="980" t="n"/>
      <c r="ED40" s="980" t="n"/>
      <c r="EE40" s="980" t="n"/>
      <c r="EP40" s="980" t="n">
        <v>282107</v>
      </c>
      <c r="EQ40" s="980" t="n">
        <v>-468866</v>
      </c>
      <c r="ER40" s="980" t="n">
        <v>-245474</v>
      </c>
      <c r="ES40" s="980" t="n">
        <v>219456</v>
      </c>
      <c r="ET40" s="980" t="n">
        <v>995500</v>
      </c>
      <c r="EU40" s="980" t="n"/>
      <c r="EV40" s="980" t="n"/>
      <c r="EW40" s="980" t="n">
        <v>-408712</v>
      </c>
      <c r="EX40" s="980" t="n">
        <v>455092</v>
      </c>
      <c r="EY40" s="980" t="n">
        <v>258604</v>
      </c>
      <c r="EZ40" s="980" t="n">
        <v>-217764</v>
      </c>
      <c r="FA40" s="980" t="n">
        <v>-869943</v>
      </c>
      <c r="FB40" s="980" t="n">
        <v>50251</v>
      </c>
      <c r="FC40" s="767" t="n">
        <v>0</v>
      </c>
    </row>
    <row r="41" customFormat="1" s="106">
      <c r="A41" s="106" t="inlineStr">
        <is>
          <t>2503신한라이프</t>
        </is>
      </c>
      <c r="B41" s="106" t="n">
        <v>2503</v>
      </c>
      <c r="C41" s="106" t="inlineStr">
        <is>
          <t>신한라이프</t>
        </is>
      </c>
      <c r="D41" s="980" t="n">
        <v>60193893</v>
      </c>
      <c r="E41" s="980" t="n">
        <v>11699546</v>
      </c>
      <c r="F41" s="980" t="n">
        <v>38140765</v>
      </c>
      <c r="G41" s="1196" t="n">
        <v>3936399</v>
      </c>
      <c r="H41" s="980" t="n">
        <v>314581</v>
      </c>
      <c r="I41" s="992">
        <f>E41/D41</f>
        <v/>
      </c>
      <c r="J41" s="992">
        <f>F41/D41</f>
        <v/>
      </c>
      <c r="K41" s="992">
        <f>G41/D41</f>
        <v/>
      </c>
      <c r="L41" s="980" t="n">
        <v>54035219</v>
      </c>
      <c r="M41" s="980" t="n">
        <v>50191711</v>
      </c>
      <c r="N41" s="979">
        <f>O41-P41</f>
        <v/>
      </c>
      <c r="O41" s="979" t="n">
        <v>6158674</v>
      </c>
      <c r="P41" s="979" t="n">
        <v>299452</v>
      </c>
      <c r="Q41" s="979" t="n">
        <v>-2162591</v>
      </c>
      <c r="R41" s="979" t="n">
        <v>6622055</v>
      </c>
      <c r="S41" s="979" t="n">
        <v>7062568</v>
      </c>
      <c r="T41" s="979" t="n">
        <v>6763116</v>
      </c>
      <c r="U41" s="1196" t="n">
        <v>54151200</v>
      </c>
      <c r="V41" s="1196" t="n">
        <v>52946842.340546</v>
      </c>
      <c r="W41" s="1202" t="n">
        <v>0.961</v>
      </c>
      <c r="X41" s="979">
        <f>Q41</f>
        <v/>
      </c>
      <c r="Y41" s="1192" t="n"/>
      <c r="Z41" s="1192" t="n"/>
      <c r="AA41" s="1192" t="n"/>
      <c r="AB41" s="1192" t="n"/>
      <c r="AC41" s="979" t="n"/>
      <c r="AD41" s="1192" t="n"/>
      <c r="AE41" s="979">
        <f>X41-(Y41+Z41+AA41+AB41+AC41+AD41)</f>
        <v/>
      </c>
      <c r="AF41" s="980" t="n">
        <v>189026</v>
      </c>
      <c r="AG41" s="980" t="n">
        <v>764463</v>
      </c>
      <c r="AH41" s="980" t="n">
        <v>555284</v>
      </c>
      <c r="AI41" s="980" t="n">
        <v>41220</v>
      </c>
      <c r="AJ41" s="980" t="n">
        <v>-452476</v>
      </c>
      <c r="AK41" s="980" t="n">
        <v>429</v>
      </c>
      <c r="AL41" s="980">
        <f>AI41-AJ41-AK41+AM41-AN41</f>
        <v/>
      </c>
      <c r="AM41" s="980" t="n">
        <v>3646</v>
      </c>
      <c r="AN41" s="1196" t="n">
        <v>-19537</v>
      </c>
      <c r="AO41" s="980" t="n">
        <v>230246</v>
      </c>
      <c r="AP41" s="980" t="n">
        <v>-6961</v>
      </c>
      <c r="AQ41" s="979" t="n">
        <v>223285</v>
      </c>
      <c r="AR41" s="979" t="n">
        <v>165632</v>
      </c>
      <c r="AS41" s="980">
        <f>AO41+AP41-AQ41</f>
        <v/>
      </c>
      <c r="AT41" s="980">
        <f>AJ41+AK41+AL41-AM41+AN41-AI41</f>
        <v/>
      </c>
      <c r="AU41" s="980">
        <f>AF41+AI41-AO41</f>
        <v/>
      </c>
      <c r="AV41" s="980">
        <f>AF41</f>
        <v/>
      </c>
      <c r="AW41" s="980">
        <f>AI41</f>
        <v/>
      </c>
      <c r="AX41" s="980">
        <f>AP41</f>
        <v/>
      </c>
      <c r="AY41" s="980">
        <f>AV41+AW41+AX41</f>
        <v/>
      </c>
      <c r="AZ41" s="980" t="n"/>
      <c r="BA41" s="980" t="n"/>
      <c r="BB41" s="992" t="n"/>
      <c r="BC41" s="980" t="n">
        <v>-1474062</v>
      </c>
      <c r="BD41" s="980" t="n">
        <v>686759</v>
      </c>
      <c r="BE41" s="980" t="n"/>
      <c r="BF41" s="980" t="n">
        <v>-1420753</v>
      </c>
      <c r="BG41" s="980" t="n">
        <v>45143</v>
      </c>
      <c r="BH41" s="980" t="n"/>
      <c r="BI41" s="980" t="n"/>
      <c r="BJ41" s="980" t="n"/>
      <c r="BK41" s="980">
        <f>Q41</f>
        <v/>
      </c>
      <c r="BL41" s="980" t="n"/>
      <c r="BM41" s="980" t="n">
        <v>6837420</v>
      </c>
      <c r="BN41" s="1196" t="n"/>
      <c r="BO41" s="980" t="n"/>
      <c r="BP41" s="980">
        <f>AR41</f>
        <v/>
      </c>
      <c r="BQ41" s="980" t="n"/>
      <c r="BR41" s="1196" t="n"/>
      <c r="BS41" s="980">
        <f>R41</f>
        <v/>
      </c>
      <c r="BT41" s="980" t="n">
        <v>0</v>
      </c>
      <c r="BU41" s="1192" t="n">
        <v>38048193</v>
      </c>
      <c r="BV41" s="1192" t="n">
        <v>1374282.302176</v>
      </c>
      <c r="BW41" s="1192" t="n">
        <v>7424311.97132</v>
      </c>
      <c r="BX41" s="1192" t="n"/>
      <c r="BY41" s="1192" t="n"/>
      <c r="BZ41" s="1192" t="n"/>
      <c r="CA41" s="1192" t="n"/>
      <c r="CB41" s="1192" t="n"/>
      <c r="CC41" s="980" t="n"/>
      <c r="CD41" s="980" t="n"/>
      <c r="CE41" s="1196" t="n"/>
      <c r="CF41" s="1196" t="n"/>
      <c r="CG41" s="1196" t="n"/>
      <c r="CH41" s="1196" t="n"/>
      <c r="CI41" s="1196" t="n"/>
      <c r="CJ41" s="980">
        <f>BW41</f>
        <v/>
      </c>
      <c r="CK41" s="977" t="n"/>
      <c r="CL41" s="980" t="n"/>
      <c r="CM41" s="980" t="n"/>
      <c r="CN41" s="992" t="n"/>
      <c r="CO41" s="980" t="n"/>
      <c r="CP41" s="980" t="n"/>
      <c r="CQ41" s="1199" t="n">
        <v>1.8928</v>
      </c>
      <c r="CR41" s="1196" t="n">
        <v>9210084.621960999</v>
      </c>
      <c r="CS41" s="1196" t="n">
        <v>4865809.175583</v>
      </c>
      <c r="CT41" s="980" t="n"/>
      <c r="CU41" s="1196" t="n">
        <v>3904563.252756</v>
      </c>
      <c r="CV41" s="980" t="n"/>
      <c r="CW41" s="107" t="n"/>
      <c r="CX41" s="107" t="n"/>
      <c r="CY41" s="107" t="n"/>
      <c r="CZ41" s="992" t="n"/>
      <c r="DA41" s="980" t="n"/>
      <c r="DB41" s="980" t="n"/>
      <c r="DC41" s="992" t="n"/>
      <c r="DD41" s="980" t="n"/>
      <c r="DE41" s="980" t="n"/>
      <c r="DF41" s="980" t="n"/>
      <c r="DG41" s="980" t="n"/>
      <c r="DH41" s="980" t="n"/>
      <c r="DI41" s="980" t="n"/>
      <c r="DJ41" s="980" t="n"/>
      <c r="DK41" s="980" t="n"/>
      <c r="DL41" s="980" t="n"/>
      <c r="DM41" s="980" t="n"/>
      <c r="DN41" s="980" t="n"/>
      <c r="DO41" s="980" t="n"/>
      <c r="DP41" s="980" t="n"/>
      <c r="DQ41" s="980" t="n"/>
      <c r="DR41" s="980" t="n"/>
      <c r="DS41" s="980" t="n"/>
      <c r="DT41" s="980" t="n"/>
      <c r="DU41" s="980" t="n"/>
      <c r="DV41" s="980" t="n"/>
      <c r="DW41" s="980" t="n"/>
      <c r="DX41" s="980" t="n"/>
      <c r="DY41" s="980" t="n"/>
      <c r="DZ41" s="980" t="n"/>
      <c r="EA41" s="980" t="n"/>
      <c r="EB41" s="980" t="n"/>
      <c r="EC41" s="980" t="n"/>
      <c r="ED41" s="980" t="n"/>
      <c r="EE41" s="980" t="n"/>
      <c r="EP41" s="980" t="n"/>
      <c r="EQ41" s="980" t="n"/>
      <c r="ER41" s="980" t="n"/>
      <c r="ES41" s="980" t="n"/>
      <c r="ET41" s="980" t="n"/>
      <c r="EU41" s="980" t="n"/>
      <c r="EV41" s="980" t="n"/>
      <c r="EW41" s="980" t="n"/>
      <c r="EX41" s="980" t="n"/>
      <c r="EY41" s="980" t="n"/>
      <c r="EZ41" s="980" t="n"/>
      <c r="FA41" s="980" t="n"/>
      <c r="FB41" s="980" t="n"/>
      <c r="FC41" s="980" t="n"/>
    </row>
    <row r="42" customFormat="1" s="106">
      <c r="A42" s="106" t="inlineStr">
        <is>
          <t>2506신한라이프</t>
        </is>
      </c>
      <c r="B42" s="106" t="n">
        <v>2506</v>
      </c>
      <c r="C42" s="106" t="inlineStr">
        <is>
          <t>신한라이프</t>
        </is>
      </c>
      <c r="D42" s="980" t="n">
        <v>60224722</v>
      </c>
      <c r="E42" s="980" t="n">
        <v>12155002</v>
      </c>
      <c r="F42" s="980" t="n">
        <v>37152644</v>
      </c>
      <c r="G42" s="1196" t="n">
        <v>3941080</v>
      </c>
      <c r="H42" s="980" t="n">
        <v>314581</v>
      </c>
      <c r="I42" s="992">
        <f>E42/D42</f>
        <v/>
      </c>
      <c r="J42" s="992">
        <f>F42/D42</f>
        <v/>
      </c>
      <c r="K42" s="992">
        <f>G42/D42</f>
        <v/>
      </c>
      <c r="L42" s="980" t="n">
        <v>53792250</v>
      </c>
      <c r="M42" s="980" t="n">
        <v>49900166</v>
      </c>
      <c r="N42" s="979">
        <f>O42-P42</f>
        <v/>
      </c>
      <c r="O42" s="979" t="n">
        <v>6432472</v>
      </c>
      <c r="P42" s="979" t="n">
        <v>299452</v>
      </c>
      <c r="Q42" s="979" t="n">
        <v>-2065718</v>
      </c>
      <c r="R42" s="979" t="n">
        <v>6798980</v>
      </c>
      <c r="S42" s="979" t="n">
        <v>7062568</v>
      </c>
      <c r="T42" s="979" t="n">
        <v>6763116</v>
      </c>
      <c r="U42" s="1196" t="n"/>
      <c r="V42" s="1196" t="n">
        <v>52072191.470263</v>
      </c>
      <c r="W42" s="1202" t="n"/>
      <c r="X42" s="979">
        <f>Q42</f>
        <v/>
      </c>
      <c r="Y42" s="1192" t="n"/>
      <c r="Z42" s="1192" t="n"/>
      <c r="AA42" s="1192" t="n"/>
      <c r="AB42" s="1192" t="n"/>
      <c r="AC42" s="979" t="n"/>
      <c r="AD42" s="1192" t="n"/>
      <c r="AE42" s="979">
        <f>X42-(Y42+Z42+AA42+AB42+AC42+AD42)</f>
        <v/>
      </c>
      <c r="AF42" s="980" t="n">
        <v>375476</v>
      </c>
      <c r="AG42" s="980" t="n">
        <v>1561218</v>
      </c>
      <c r="AH42" s="1196" t="n">
        <v>1143462</v>
      </c>
      <c r="AI42" s="980" t="n">
        <v>90948</v>
      </c>
      <c r="AJ42" s="980" t="n">
        <v>-1227390</v>
      </c>
      <c r="AK42" s="980" t="n">
        <v>4046</v>
      </c>
      <c r="AL42" s="980">
        <f>AI42-AJ42-AK42+AM42-AN42</f>
        <v/>
      </c>
      <c r="AM42" s="1196" t="n">
        <v>8195</v>
      </c>
      <c r="AN42" s="1196" t="n">
        <v>-39172</v>
      </c>
      <c r="AO42" s="980" t="n">
        <v>466424</v>
      </c>
      <c r="AP42" s="980" t="n">
        <v>-10445</v>
      </c>
      <c r="AQ42" s="979" t="n">
        <v>455979</v>
      </c>
      <c r="AR42" s="979" t="n">
        <v>345267</v>
      </c>
      <c r="AS42" s="980">
        <f>AO42+AP42-AQ42</f>
        <v/>
      </c>
      <c r="AT42" s="980">
        <f>AJ42+AK42+AL42-AM42+AN42-AI42</f>
        <v/>
      </c>
      <c r="AU42" s="980">
        <f>AF42+AI42-AO42</f>
        <v/>
      </c>
      <c r="AV42" s="980">
        <f>AF42</f>
        <v/>
      </c>
      <c r="AW42" s="980">
        <f>AI42</f>
        <v/>
      </c>
      <c r="AX42" s="980">
        <f>AP42</f>
        <v/>
      </c>
      <c r="AY42" s="980">
        <f>AV42+AW42+AX42</f>
        <v/>
      </c>
      <c r="AZ42" s="980" t="n"/>
      <c r="BA42" s="980" t="n"/>
      <c r="BB42" s="992" t="n"/>
      <c r="BC42" s="980" t="n">
        <v>-1474062</v>
      </c>
      <c r="BD42" s="1196" t="n">
        <v>258621</v>
      </c>
      <c r="BE42" s="1196" t="n"/>
      <c r="BF42" s="980" t="n">
        <v>-820048</v>
      </c>
      <c r="BG42" s="980" t="n">
        <v>-27057</v>
      </c>
      <c r="BH42" s="1196" t="n"/>
      <c r="BI42" s="1196" t="n">
        <v>-3494</v>
      </c>
      <c r="BJ42" s="1196" t="n"/>
      <c r="BK42" s="980">
        <f>Q42</f>
        <v/>
      </c>
      <c r="BL42" s="980" t="n"/>
      <c r="BM42" s="980" t="n">
        <v>6837420</v>
      </c>
      <c r="BN42" s="980" t="n">
        <v>-378307</v>
      </c>
      <c r="BO42" s="1196" t="n"/>
      <c r="BP42" s="980">
        <f>AR42</f>
        <v/>
      </c>
      <c r="BQ42" s="1196" t="n"/>
      <c r="BR42" s="980" t="n">
        <v>-5400</v>
      </c>
      <c r="BS42" s="980">
        <f>R42</f>
        <v/>
      </c>
      <c r="BT42" s="980" t="n">
        <v>0</v>
      </c>
      <c r="BU42" s="1192" t="n">
        <v>38048193</v>
      </c>
      <c r="BV42" s="1192" t="n">
        <v>1396091.623774</v>
      </c>
      <c r="BW42" s="1192" t="n">
        <v>7262136.336518</v>
      </c>
      <c r="BX42" s="1192" t="n"/>
      <c r="BY42" s="1192" t="n"/>
      <c r="BZ42" s="1192" t="n"/>
      <c r="CA42" s="1192" t="n"/>
      <c r="CB42" s="1192" t="n"/>
      <c r="CC42" s="980" t="n"/>
      <c r="CD42" s="980" t="n"/>
      <c r="CE42" s="1196" t="n"/>
      <c r="CF42" s="1196" t="n"/>
      <c r="CG42" s="1196" t="n"/>
      <c r="CH42" s="1196" t="n"/>
      <c r="CI42" s="1196" t="n"/>
      <c r="CJ42" s="980">
        <f>BW42</f>
        <v/>
      </c>
      <c r="CK42" s="977" t="n"/>
      <c r="CL42" s="980" t="n"/>
      <c r="CM42" s="980" t="n"/>
      <c r="CN42" s="992" t="n"/>
      <c r="CO42" s="980" t="n"/>
      <c r="CP42" s="980" t="n"/>
      <c r="CQ42" s="1199" t="n">
        <v>1.996</v>
      </c>
      <c r="CR42" s="1196" t="n">
        <v>9824551.587455999</v>
      </c>
      <c r="CS42" s="1196" t="n">
        <v>4922176.403699</v>
      </c>
      <c r="CT42" s="980" t="n"/>
      <c r="CU42" s="1196" t="n">
        <v>4156050.334783</v>
      </c>
      <c r="CV42" s="980" t="n"/>
      <c r="CW42" s="107" t="n"/>
      <c r="CX42" s="107" t="n"/>
      <c r="CY42" s="107" t="n"/>
      <c r="CZ42" s="992" t="n"/>
      <c r="DA42" s="980" t="n"/>
      <c r="DB42" s="980" t="n"/>
      <c r="DC42" s="992" t="n"/>
      <c r="DD42" s="980" t="n"/>
      <c r="DE42" s="980" t="n"/>
      <c r="DF42" s="980" t="n"/>
      <c r="DG42" s="980" t="n"/>
      <c r="DH42" s="980" t="n"/>
      <c r="DI42" s="980" t="n"/>
      <c r="DJ42" s="980" t="n"/>
      <c r="DK42" s="980" t="n"/>
      <c r="DL42" s="980" t="n"/>
      <c r="DM42" s="980" t="n"/>
      <c r="DN42" s="980" t="n"/>
      <c r="DO42" s="980" t="n"/>
      <c r="DP42" s="980" t="n"/>
      <c r="DQ42" s="980" t="n"/>
      <c r="DR42" s="980" t="n"/>
      <c r="DS42" s="980" t="n"/>
      <c r="DT42" s="980" t="n"/>
      <c r="DU42" s="980" t="n"/>
      <c r="DV42" s="980" t="n"/>
      <c r="DW42" s="980" t="n"/>
      <c r="DX42" s="980" t="n"/>
      <c r="DY42" s="980" t="n"/>
      <c r="DZ42" s="980" t="n"/>
      <c r="EA42" s="980" t="n"/>
      <c r="EB42" s="980" t="n"/>
      <c r="EC42" s="980" t="n"/>
      <c r="ED42" s="980" t="n"/>
      <c r="EE42" s="980" t="n"/>
      <c r="EP42" s="980" t="n"/>
      <c r="EQ42" s="980" t="n"/>
      <c r="ER42" s="980" t="n"/>
      <c r="ES42" s="980" t="n"/>
      <c r="ET42" s="980" t="n"/>
      <c r="EU42" s="980" t="n"/>
      <c r="EV42" s="980" t="n"/>
      <c r="EW42" s="980" t="n"/>
      <c r="EX42" s="980" t="n"/>
      <c r="EY42" s="980" t="n"/>
      <c r="EZ42" s="980" t="n"/>
      <c r="FA42" s="980" t="n"/>
      <c r="FB42" s="980" t="n"/>
      <c r="FC42" s="980" t="n"/>
    </row>
    <row r="43" customFormat="1" s="106">
      <c r="A43" s="106" t="inlineStr">
        <is>
          <t>2509신한라이프</t>
        </is>
      </c>
      <c r="B43" s="106" t="n">
        <v>2509</v>
      </c>
      <c r="C43" s="106" t="inlineStr">
        <is>
          <t>신한라이프</t>
        </is>
      </c>
      <c r="D43" s="980" t="n">
        <v>60171813</v>
      </c>
      <c r="E43" s="980" t="n">
        <v>12903089</v>
      </c>
      <c r="F43" s="980" t="n">
        <v>36968359</v>
      </c>
      <c r="G43" s="980" t="n">
        <v>3945885</v>
      </c>
      <c r="H43" s="980" t="n">
        <v>339581</v>
      </c>
      <c r="I43" s="992">
        <f>E43/D43</f>
        <v/>
      </c>
      <c r="J43" s="992">
        <f>F43/D43</f>
        <v/>
      </c>
      <c r="K43" s="992">
        <f>G43/D43</f>
        <v/>
      </c>
      <c r="L43" s="980" t="n">
        <v>54020222</v>
      </c>
      <c r="M43" s="980" t="n">
        <v>49760283</v>
      </c>
      <c r="N43" s="979">
        <f>O43-P43</f>
        <v/>
      </c>
      <c r="O43" s="979" t="n">
        <v>6151591</v>
      </c>
      <c r="P43" s="979" t="n">
        <v>0</v>
      </c>
      <c r="Q43" s="979" t="n">
        <v>-2219352</v>
      </c>
      <c r="R43" s="979" t="n">
        <v>6971741</v>
      </c>
      <c r="S43" s="979" t="n">
        <v>7062568</v>
      </c>
      <c r="T43" s="979" t="n">
        <v>6763116</v>
      </c>
      <c r="U43" s="1196" t="n"/>
      <c r="V43" s="1196" t="n">
        <v>52019538.06503</v>
      </c>
      <c r="W43" s="1202" t="n"/>
      <c r="X43" s="979">
        <f>Q43</f>
        <v/>
      </c>
      <c r="Y43" s="1192" t="n"/>
      <c r="Z43" s="1192" t="n"/>
      <c r="AA43" s="1192" t="n"/>
      <c r="AB43" s="1192" t="n"/>
      <c r="AC43" s="979" t="n"/>
      <c r="AD43" s="1192" t="n"/>
      <c r="AE43" s="979">
        <f>X43-(Y43+Z43+AA43+AB43+AC43+AD43)</f>
        <v/>
      </c>
      <c r="AF43" s="980" t="n">
        <v>579358</v>
      </c>
      <c r="AG43" s="980" t="n">
        <v>2386344</v>
      </c>
      <c r="AH43" s="980" t="n">
        <v>1742361</v>
      </c>
      <c r="AI43" s="980" t="n">
        <v>124322</v>
      </c>
      <c r="AJ43" s="980" t="n">
        <v>-1933375</v>
      </c>
      <c r="AK43" s="980" t="n">
        <v>8999</v>
      </c>
      <c r="AL43" s="980">
        <f>AI43-AJ43-AK43+AM43-AN43</f>
        <v/>
      </c>
      <c r="AM43" s="980" t="n">
        <v>12608</v>
      </c>
      <c r="AN43" s="1196" t="n">
        <v>-57021</v>
      </c>
      <c r="AO43" s="980" t="n">
        <v>703680</v>
      </c>
      <c r="AP43" s="980" t="n">
        <v>-11464</v>
      </c>
      <c r="AQ43" s="979" t="n">
        <v>692216</v>
      </c>
      <c r="AR43" s="979" t="n">
        <v>519261</v>
      </c>
      <c r="AS43" s="980">
        <f>AO43+AP43-AQ43</f>
        <v/>
      </c>
      <c r="AT43" s="980">
        <f>AJ43+AK43+AL43-AM43+AN43-AI43</f>
        <v/>
      </c>
      <c r="AU43" s="980">
        <f>AF43+AI43-AO43</f>
        <v/>
      </c>
      <c r="AV43" s="980">
        <f>AF43</f>
        <v/>
      </c>
      <c r="AW43" s="980">
        <f>AI43</f>
        <v/>
      </c>
      <c r="AX43" s="980">
        <f>AP43</f>
        <v/>
      </c>
      <c r="AY43" s="980">
        <f>AV43+AW43+AX43</f>
        <v/>
      </c>
      <c r="AZ43" s="980" t="n"/>
      <c r="BA43" s="980" t="n"/>
      <c r="BB43" s="992" t="n"/>
      <c r="BC43" s="980" t="n">
        <v>-1474062</v>
      </c>
      <c r="BD43" s="1196" t="n">
        <v>-72609</v>
      </c>
      <c r="BE43" s="980" t="n"/>
      <c r="BF43" s="980" t="n">
        <v>-583518</v>
      </c>
      <c r="BG43" s="980" t="n">
        <v>-86890</v>
      </c>
      <c r="BH43" s="980" t="n"/>
      <c r="BI43" s="980" t="n">
        <v>-3494</v>
      </c>
      <c r="BJ43" s="980" t="n"/>
      <c r="BK43" s="980">
        <f>Q43</f>
        <v/>
      </c>
      <c r="BL43" s="979" t="n"/>
      <c r="BM43" s="980" t="n">
        <v>6837420</v>
      </c>
      <c r="BN43" s="980" t="n">
        <v>-378307</v>
      </c>
      <c r="BO43" s="980" t="n"/>
      <c r="BP43" s="980">
        <f>AR43</f>
        <v/>
      </c>
      <c r="BQ43" s="980" t="n"/>
      <c r="BR43" s="980" t="n">
        <v>-6633</v>
      </c>
      <c r="BS43" s="980">
        <f>R43</f>
        <v/>
      </c>
      <c r="BT43" s="980" t="n">
        <v>0</v>
      </c>
      <c r="BU43" s="1192" t="n">
        <v>38048193</v>
      </c>
      <c r="BV43" s="1192" t="n">
        <v>1423800.296023</v>
      </c>
      <c r="BW43" s="1192" t="n">
        <v>7606161.988668</v>
      </c>
      <c r="BX43" s="1192" t="n"/>
      <c r="BY43" s="1192" t="n"/>
      <c r="BZ43" s="1192" t="n"/>
      <c r="CA43" s="1192" t="n"/>
      <c r="CB43" s="1192" t="n"/>
      <c r="CC43" s="980" t="n"/>
      <c r="CD43" s="980" t="n"/>
      <c r="CE43" s="1196" t="n"/>
      <c r="CF43" s="1196" t="n"/>
      <c r="CG43" s="1196" t="n"/>
      <c r="CH43" s="1196" t="n"/>
      <c r="CI43" s="1196" t="n"/>
      <c r="CJ43" s="980">
        <f>BW43</f>
        <v/>
      </c>
      <c r="CK43" s="980" t="n"/>
      <c r="CL43" s="980" t="n"/>
      <c r="CM43" s="980" t="n"/>
      <c r="CN43" s="992" t="n"/>
      <c r="CO43" s="980" t="n"/>
      <c r="CP43" s="980" t="n"/>
      <c r="CQ43" s="1199" t="n">
        <v>1.8966</v>
      </c>
      <c r="CR43" s="1196" t="n">
        <v>9644134.298772</v>
      </c>
      <c r="CS43" s="1196" t="n">
        <v>5085091.882962</v>
      </c>
      <c r="CT43" s="980" t="n"/>
      <c r="CU43" s="1196" t="n">
        <v>4572592.830502</v>
      </c>
      <c r="CV43" s="980" t="n"/>
      <c r="CW43" s="107" t="n"/>
      <c r="CX43" s="107" t="n"/>
      <c r="CY43" s="107" t="n"/>
      <c r="CZ43" s="992" t="n"/>
      <c r="DA43" s="980" t="n"/>
      <c r="DB43" s="980" t="n"/>
      <c r="DC43" s="992" t="n"/>
      <c r="DD43" s="980" t="n"/>
      <c r="DE43" s="980" t="n"/>
      <c r="DF43" s="980" t="n"/>
      <c r="DG43" s="980" t="n"/>
      <c r="DH43" s="980" t="n"/>
      <c r="DI43" s="980" t="n"/>
      <c r="DJ43" s="980" t="n"/>
      <c r="DK43" s="980" t="n"/>
      <c r="DL43" s="980" t="n"/>
      <c r="DM43" s="980" t="n"/>
      <c r="DN43" s="980" t="n"/>
      <c r="DO43" s="980" t="n"/>
      <c r="DP43" s="980" t="n"/>
      <c r="DQ43" s="980" t="n"/>
      <c r="DR43" s="980" t="n"/>
      <c r="DS43" s="980" t="n"/>
      <c r="DT43" s="980" t="n"/>
      <c r="DU43" s="980" t="n"/>
      <c r="DV43" s="980" t="n"/>
      <c r="DW43" s="980" t="n"/>
      <c r="DX43" s="980" t="n"/>
      <c r="DY43" s="980" t="n"/>
      <c r="DZ43" s="980" t="n"/>
      <c r="EA43" s="980" t="n"/>
      <c r="EB43" s="980" t="n"/>
      <c r="EC43" s="980" t="n"/>
      <c r="ED43" s="980" t="n"/>
      <c r="EE43" s="980" t="n"/>
      <c r="EP43" s="980" t="n"/>
      <c r="EQ43" s="980" t="n"/>
      <c r="ER43" s="980" t="n"/>
      <c r="ES43" s="980" t="n"/>
      <c r="ET43" s="980" t="n"/>
      <c r="EU43" s="980" t="n"/>
      <c r="EV43" s="980" t="n"/>
      <c r="EW43" s="980" t="n"/>
      <c r="EX43" s="980" t="n"/>
      <c r="EY43" s="980" t="n"/>
      <c r="EZ43" s="980" t="n"/>
      <c r="FA43" s="980" t="n"/>
      <c r="FB43" s="980" t="n"/>
      <c r="FC43" s="980" t="n"/>
    </row>
    <row r="44" customFormat="1" s="106">
      <c r="A44" s="106" t="inlineStr">
        <is>
          <t>2512신한라이프</t>
        </is>
      </c>
      <c r="B44" s="106" t="n">
        <v>2512</v>
      </c>
      <c r="C44" s="106" t="inlineStr">
        <is>
          <t>신한라이프</t>
        </is>
      </c>
      <c r="D44" s="980" t="n">
        <v>59448032</v>
      </c>
      <c r="E44" s="980" t="n">
        <v>13265276</v>
      </c>
      <c r="F44" s="980" t="n">
        <v>35288458</v>
      </c>
      <c r="G44" s="980" t="n">
        <v>3950344</v>
      </c>
      <c r="H44" s="980" t="n">
        <v>339581</v>
      </c>
      <c r="I44" s="992">
        <f>E44/D44</f>
        <v/>
      </c>
      <c r="J44" s="992">
        <f>F44/D44</f>
        <v/>
      </c>
      <c r="K44" s="992">
        <f>G44/D44</f>
        <v/>
      </c>
      <c r="L44" s="980" t="n">
        <v>53208738</v>
      </c>
      <c r="M44" s="980" t="n">
        <v>47912623</v>
      </c>
      <c r="N44" s="979">
        <f>O44-P44</f>
        <v/>
      </c>
      <c r="O44" s="979" t="n">
        <v>6239294</v>
      </c>
      <c r="P44" s="979" t="n"/>
      <c r="Q44" s="979" t="n">
        <v>-2128291</v>
      </c>
      <c r="R44" s="979" t="n">
        <v>6968397</v>
      </c>
      <c r="S44" s="979" t="n">
        <v>7062302</v>
      </c>
      <c r="T44" s="979" t="n">
        <v>6762850</v>
      </c>
      <c r="U44" s="980" t="n">
        <v>53086900</v>
      </c>
      <c r="V44" s="980" t="n">
        <v>51175130.392575</v>
      </c>
      <c r="W44" s="107" t="n">
        <v>0.964</v>
      </c>
      <c r="X44" s="979">
        <f>Q44</f>
        <v/>
      </c>
      <c r="Y44" s="1192" t="n">
        <v>-3244290</v>
      </c>
      <c r="Z44" s="1192" t="n">
        <v>1497528</v>
      </c>
      <c r="AA44" s="1192" t="n">
        <v>-141935</v>
      </c>
      <c r="AB44" s="1192" t="n">
        <v>-209393</v>
      </c>
      <c r="AC44" s="979" t="n"/>
      <c r="AD44" s="1192" t="n">
        <v>-30201</v>
      </c>
      <c r="AE44" s="979">
        <f>X44-(Y44+Z44+AA44+AB44+AC44+AD44)</f>
        <v/>
      </c>
      <c r="AF44" s="980" t="n">
        <v>704153</v>
      </c>
      <c r="AG44" s="980" t="n">
        <v>3236219</v>
      </c>
      <c r="AH44" s="980" t="n">
        <v>2433089</v>
      </c>
      <c r="AI44" s="980" t="n">
        <v>92533</v>
      </c>
      <c r="AJ44" s="980" t="n">
        <v>-2786138</v>
      </c>
      <c r="AK44" s="980" t="n">
        <v>10879</v>
      </c>
      <c r="AL44" s="980">
        <f>AI44-AJ44-AK44+AM44-AN44</f>
        <v/>
      </c>
      <c r="AM44" s="980" t="n">
        <v>18342</v>
      </c>
      <c r="AN44" s="980" t="n">
        <v>-103058</v>
      </c>
      <c r="AO44" s="980" t="n">
        <v>796686</v>
      </c>
      <c r="AP44" s="980" t="n">
        <v>-148</v>
      </c>
      <c r="AQ44" s="979" t="n">
        <v>796538</v>
      </c>
      <c r="AR44" s="979" t="n">
        <v>515916</v>
      </c>
      <c r="AS44" s="980">
        <f>AO44+AP44-AQ44</f>
        <v/>
      </c>
      <c r="AT44" s="980">
        <f>AJ44+AK44+AL44-AM44+AN44-AI44</f>
        <v/>
      </c>
      <c r="AU44" s="980">
        <f>AF44+AI44-AO44</f>
        <v/>
      </c>
      <c r="AV44" s="980">
        <f>AF44</f>
        <v/>
      </c>
      <c r="AW44" s="980">
        <f>AI44</f>
        <v/>
      </c>
      <c r="AX44" s="980">
        <f>AP44</f>
        <v/>
      </c>
      <c r="AY44" s="980">
        <f>AV44+AW44+AX44</f>
        <v/>
      </c>
      <c r="AZ44" s="980" t="n"/>
      <c r="BA44" s="980" t="n"/>
      <c r="BB44" s="992" t="n"/>
      <c r="BC44" s="980" t="n">
        <v>-1474328</v>
      </c>
      <c r="BD44" s="980" t="n">
        <v>-1476988</v>
      </c>
      <c r="BE44" s="980" t="n"/>
      <c r="BF44" s="980" t="n">
        <v>1125202</v>
      </c>
      <c r="BG44" s="980" t="n">
        <v>-300075</v>
      </c>
      <c r="BH44" s="980" t="n"/>
      <c r="BI44" s="980" t="n">
        <v>-1483</v>
      </c>
      <c r="BJ44" s="980" t="n"/>
      <c r="BK44" s="980">
        <f>Q44</f>
        <v/>
      </c>
      <c r="BL44" s="979" t="n"/>
      <c r="BM44" s="980" t="n">
        <v>6837420</v>
      </c>
      <c r="BN44" s="980" t="n">
        <v>-378307</v>
      </c>
      <c r="BO44" s="980" t="n"/>
      <c r="BP44" s="980">
        <f>AR44</f>
        <v/>
      </c>
      <c r="BQ44" s="980" t="n"/>
      <c r="BR44" s="980" t="n">
        <v>-6632</v>
      </c>
      <c r="BS44" s="980">
        <f>R44</f>
        <v/>
      </c>
      <c r="BT44" s="980" t="n">
        <v>0</v>
      </c>
      <c r="BU44" s="979" t="n">
        <v>38960151</v>
      </c>
      <c r="BV44" s="979" t="n">
        <v>1397586</v>
      </c>
      <c r="BW44" s="979" t="n">
        <v>7553734</v>
      </c>
      <c r="BX44" s="979" t="n">
        <v>1645998</v>
      </c>
      <c r="BY44" s="979" t="n">
        <v>735229</v>
      </c>
      <c r="BZ44" s="979" t="n">
        <v>-847015</v>
      </c>
      <c r="CA44" s="979" t="n">
        <v>265865</v>
      </c>
      <c r="CB44" s="979" t="n">
        <v>7224115</v>
      </c>
      <c r="CC44" s="980" t="n"/>
      <c r="CD44" s="980">
        <f>CB44+BX44-BY44+BZ44+CA44-BW44</f>
        <v/>
      </c>
      <c r="CE44" s="1196" t="n">
        <v>441523</v>
      </c>
      <c r="CF44" s="1196" t="n">
        <v>738573</v>
      </c>
      <c r="CG44" s="1196" t="n">
        <v>607712</v>
      </c>
      <c r="CH44" s="1196" t="n">
        <v>1153476</v>
      </c>
      <c r="CI44" s="1196" t="n">
        <v>4612452</v>
      </c>
      <c r="CJ44" s="980">
        <f>BW44</f>
        <v/>
      </c>
      <c r="CK44" s="980" t="n"/>
      <c r="CL44" s="980" t="n">
        <v>0</v>
      </c>
      <c r="CM44" s="980" t="n"/>
      <c r="CN44" s="992" t="n">
        <v>2.06</v>
      </c>
      <c r="CO44" s="980" t="n">
        <v>9876500</v>
      </c>
      <c r="CP44" s="980" t="n">
        <v>4793400</v>
      </c>
      <c r="CQ44" s="996" t="n">
        <v>2.06</v>
      </c>
      <c r="CR44" s="979" t="n">
        <v>9873800</v>
      </c>
      <c r="CS44" s="979" t="n">
        <v>4793500</v>
      </c>
      <c r="CT44" s="980" t="n"/>
      <c r="CU44" s="1196" t="n">
        <v>4918355.175728</v>
      </c>
      <c r="CV44" s="980" t="n"/>
      <c r="CW44" s="107" t="n">
        <v>0.9312</v>
      </c>
      <c r="CX44" s="107" t="n">
        <v>0.9939</v>
      </c>
      <c r="CY44" s="107">
        <f>CW44-CX44</f>
        <v/>
      </c>
      <c r="CZ44" s="992">
        <f>CX44/CW44</f>
        <v/>
      </c>
      <c r="DA44" s="980" t="n"/>
      <c r="DB44" s="980" t="n"/>
      <c r="DC44" s="992" t="n"/>
      <c r="DD44" s="980" t="n"/>
      <c r="DE44" s="980" t="n"/>
      <c r="DF44" s="980" t="n"/>
      <c r="DG44" s="980" t="n"/>
      <c r="DH44" s="980" t="n"/>
      <c r="DI44" s="980" t="n"/>
      <c r="DJ44" s="980" t="n"/>
      <c r="DK44" s="980" t="n"/>
      <c r="DL44" s="980" t="n"/>
      <c r="DM44" s="980" t="n"/>
      <c r="DN44" s="980" t="n"/>
      <c r="DO44" s="980" t="n"/>
      <c r="DP44" s="980" t="n"/>
      <c r="DQ44" s="980" t="n"/>
      <c r="DR44" s="980" t="n"/>
      <c r="DS44" s="980" t="n"/>
      <c r="DT44" s="980" t="n"/>
      <c r="DU44" s="980" t="n"/>
      <c r="DV44" s="980" t="n"/>
      <c r="DW44" s="980" t="n"/>
      <c r="DX44" s="980" t="n"/>
      <c r="DY44" s="980" t="n"/>
      <c r="DZ44" s="980" t="n"/>
      <c r="EA44" s="980" t="n"/>
      <c r="EB44" s="980" t="n"/>
      <c r="EC44" s="980" t="n"/>
      <c r="ED44" s="980" t="n"/>
      <c r="EE44" s="980" t="n"/>
      <c r="EP44" s="980" t="n">
        <v>494068</v>
      </c>
      <c r="EQ44" s="980" t="n">
        <v>377457</v>
      </c>
      <c r="ER44" s="980" t="n">
        <v>-150236</v>
      </c>
      <c r="ES44" s="980" t="n">
        <v>-123488</v>
      </c>
      <c r="ET44" s="980" t="n">
        <v>281804</v>
      </c>
      <c r="EU44" s="1196" t="n"/>
      <c r="EV44" s="980" t="n"/>
      <c r="EW44" s="980" t="n">
        <v>-472651</v>
      </c>
      <c r="EX44" s="980" t="n">
        <v>-380902</v>
      </c>
      <c r="EY44" s="980" t="n">
        <v>157884</v>
      </c>
      <c r="EZ44" s="980" t="n">
        <v>119033</v>
      </c>
      <c r="FA44" s="980" t="n">
        <v>-302970</v>
      </c>
      <c r="FB44" s="980" t="n">
        <v>32591</v>
      </c>
      <c r="FC44" s="767" t="n">
        <v>0</v>
      </c>
    </row>
    <row r="45" customFormat="1" s="106">
      <c r="D45" s="980" t="n"/>
      <c r="E45" s="980" t="n"/>
      <c r="F45" s="980" t="n"/>
      <c r="G45" s="980" t="n"/>
      <c r="H45" s="980" t="n"/>
      <c r="I45" s="992" t="n"/>
      <c r="J45" s="992" t="n"/>
      <c r="K45" s="992" t="n"/>
      <c r="L45" s="980" t="n"/>
      <c r="M45" s="980" t="n"/>
      <c r="N45" s="979" t="n"/>
      <c r="O45" s="979" t="n"/>
      <c r="P45" s="979" t="n"/>
      <c r="Q45" s="979" t="n"/>
      <c r="R45" s="979" t="n"/>
      <c r="S45" s="979" t="n"/>
      <c r="T45" s="979" t="n"/>
      <c r="U45" s="980" t="n"/>
      <c r="V45" s="980" t="n"/>
      <c r="W45" s="107" t="n"/>
      <c r="X45" s="979" t="n"/>
      <c r="Y45" s="979" t="n"/>
      <c r="Z45" s="979" t="n"/>
      <c r="AA45" s="979" t="n"/>
      <c r="AB45" s="979" t="n"/>
      <c r="AC45" s="979" t="n"/>
      <c r="AD45" s="979" t="n"/>
      <c r="AE45" s="979" t="n"/>
      <c r="AF45" s="980" t="n"/>
      <c r="AG45" s="980" t="n"/>
      <c r="AH45" s="980" t="n"/>
      <c r="AI45" s="980" t="n"/>
      <c r="AJ45" s="980" t="n"/>
      <c r="AK45" s="980" t="n"/>
      <c r="AL45" s="980" t="n"/>
      <c r="AM45" s="980" t="n"/>
      <c r="AN45" s="980" t="n"/>
      <c r="AO45" s="980" t="n"/>
      <c r="AP45" s="980" t="n"/>
      <c r="AQ45" s="979" t="n"/>
      <c r="AR45" s="979" t="n"/>
      <c r="AS45" s="980" t="n"/>
      <c r="AT45" s="980" t="n"/>
      <c r="AU45" s="980" t="n"/>
      <c r="AV45" s="980" t="n"/>
      <c r="AW45" s="980" t="n"/>
      <c r="AX45" s="980" t="n"/>
      <c r="AY45" s="980" t="n"/>
      <c r="AZ45" s="980" t="n"/>
      <c r="BA45" s="980" t="n"/>
      <c r="BB45" s="992" t="n"/>
      <c r="BC45" s="980" t="n"/>
      <c r="BD45" s="980" t="n"/>
      <c r="BE45" s="980" t="n"/>
      <c r="BF45" s="980" t="n"/>
      <c r="BG45" s="980" t="n"/>
      <c r="BH45" s="980" t="n"/>
      <c r="BI45" s="980" t="n"/>
      <c r="BJ45" s="980" t="n"/>
      <c r="BK45" s="980" t="n"/>
      <c r="BL45" s="980" t="n"/>
      <c r="BM45" s="980" t="n"/>
      <c r="BN45" s="980" t="n"/>
      <c r="BO45" s="980" t="n"/>
      <c r="BP45" s="980" t="n"/>
      <c r="BQ45" s="980" t="n"/>
      <c r="BR45" s="980" t="n"/>
      <c r="BS45" s="980" t="n"/>
      <c r="BT45" s="980" t="n"/>
      <c r="BU45" s="979" t="n"/>
      <c r="BV45" s="979" t="n"/>
      <c r="BW45" s="979" t="n"/>
      <c r="BX45" s="979" t="n"/>
      <c r="BY45" s="979" t="n"/>
      <c r="BZ45" s="979" t="n"/>
      <c r="CA45" s="979" t="n"/>
      <c r="CB45" s="979" t="n"/>
      <c r="CC45" s="980" t="n"/>
      <c r="CD45" s="980" t="n"/>
      <c r="CE45" s="980" t="n"/>
      <c r="CF45" s="980" t="n"/>
      <c r="CG45" s="980" t="n"/>
      <c r="CH45" s="980" t="n"/>
      <c r="CI45" s="980" t="n"/>
      <c r="CJ45" s="980" t="n"/>
      <c r="CK45" s="980" t="n"/>
      <c r="CL45" s="980" t="n"/>
      <c r="CM45" s="980" t="n"/>
      <c r="CN45" s="992" t="n"/>
      <c r="CO45" s="980" t="n"/>
      <c r="CP45" s="980" t="n"/>
      <c r="CQ45" s="992" t="n"/>
      <c r="CR45" s="980" t="n"/>
      <c r="CS45" s="980" t="n"/>
      <c r="CT45" s="980" t="n"/>
      <c r="CU45" s="980" t="n"/>
      <c r="CV45" s="980" t="n"/>
      <c r="CW45" s="107" t="n"/>
      <c r="CX45" s="107" t="n"/>
      <c r="CY45" s="107" t="n"/>
      <c r="CZ45" s="992" t="n"/>
      <c r="DA45" s="980" t="n"/>
      <c r="DB45" s="980" t="n"/>
      <c r="DC45" s="992" t="n"/>
      <c r="DD45" s="980" t="n"/>
      <c r="DE45" s="980" t="n"/>
      <c r="DF45" s="980" t="n"/>
      <c r="DG45" s="980" t="n"/>
      <c r="DH45" s="980" t="n"/>
      <c r="DI45" s="980" t="n"/>
      <c r="DJ45" s="980" t="n"/>
      <c r="DK45" s="980" t="n"/>
      <c r="DL45" s="980" t="n"/>
      <c r="DM45" s="980" t="n"/>
      <c r="DN45" s="980" t="n"/>
      <c r="DO45" s="980" t="n"/>
      <c r="DP45" s="980" t="n"/>
      <c r="DQ45" s="980" t="n"/>
      <c r="DR45" s="980" t="n"/>
      <c r="DS45" s="980" t="n"/>
      <c r="DT45" s="980" t="n"/>
      <c r="DU45" s="980" t="n"/>
      <c r="DV45" s="980" t="n"/>
      <c r="DW45" s="980" t="n"/>
      <c r="DX45" s="980" t="n"/>
      <c r="DY45" s="980" t="n"/>
      <c r="DZ45" s="980" t="n"/>
      <c r="EA45" s="980" t="n"/>
      <c r="EB45" s="980" t="n"/>
      <c r="EC45" s="980" t="n"/>
      <c r="ED45" s="980" t="n"/>
      <c r="EE45" s="980" t="n"/>
      <c r="EP45" s="980" t="n"/>
      <c r="EQ45" s="980" t="n"/>
      <c r="ER45" s="980" t="n"/>
      <c r="ES45" s="980" t="n"/>
      <c r="ET45" s="980" t="n"/>
      <c r="EU45" s="980" t="n"/>
      <c r="EV45" s="980" t="n"/>
      <c r="EW45" s="980" t="n"/>
      <c r="EX45" s="980" t="n"/>
      <c r="EY45" s="980" t="n"/>
      <c r="EZ45" s="980" t="n"/>
      <c r="FA45" s="980" t="n"/>
      <c r="FB45" s="980" t="n"/>
      <c r="FC45" s="980" t="n"/>
    </row>
    <row r="46">
      <c r="A46" s="643" t="inlineStr">
        <is>
          <t>2212동양</t>
        </is>
      </c>
      <c r="B46" s="643" t="n">
        <v>2212</v>
      </c>
      <c r="C46" s="643" t="inlineStr">
        <is>
          <t>동양</t>
        </is>
      </c>
      <c r="I46" s="786" t="n"/>
      <c r="J46" s="786" t="n"/>
      <c r="K46" s="786" t="n"/>
      <c r="O46" s="1205" t="n"/>
      <c r="P46" s="1205" t="n"/>
      <c r="Q46" s="1205" t="n"/>
      <c r="R46" s="1205" t="n"/>
      <c r="AS46" s="966" t="n"/>
      <c r="AT46" s="966" t="n"/>
      <c r="AU46" s="966" t="n"/>
      <c r="AV46" s="966" t="n"/>
      <c r="AW46" s="966" t="n"/>
      <c r="AX46" s="966" t="n"/>
      <c r="AY46" s="966" t="n"/>
      <c r="BB46" s="786" t="n"/>
      <c r="BL46" s="966" t="n"/>
      <c r="BT46" s="1192" t="n"/>
      <c r="BU46" s="1205" t="n"/>
      <c r="BV46" s="1205" t="n"/>
      <c r="BW46" s="1205" t="n"/>
      <c r="CN46" s="786" t="n"/>
      <c r="CQ46" s="786" t="n"/>
    </row>
    <row r="47">
      <c r="A47" s="643" t="inlineStr">
        <is>
          <t>2312동양</t>
        </is>
      </c>
      <c r="B47" s="643" t="n">
        <v>2312</v>
      </c>
      <c r="C47" s="643" t="inlineStr">
        <is>
          <t>동양</t>
        </is>
      </c>
      <c r="D47" s="697" t="n">
        <v>32895665.240515</v>
      </c>
      <c r="E47" s="697" t="n">
        <v>5401652.920025</v>
      </c>
      <c r="F47" s="697" t="n">
        <v>18570667.309792</v>
      </c>
      <c r="G47" s="697" t="n">
        <v>7203997.089818</v>
      </c>
      <c r="H47" s="697" t="n">
        <v>161104.415388</v>
      </c>
      <c r="I47" s="786">
        <f>E47/D47</f>
        <v/>
      </c>
      <c r="J47" s="786">
        <f>F47/D47</f>
        <v/>
      </c>
      <c r="K47" s="786">
        <f>G47/D47</f>
        <v/>
      </c>
      <c r="L47" s="697" t="n">
        <v>29943905.139579</v>
      </c>
      <c r="M47" s="697" t="n">
        <v>26417000.323931</v>
      </c>
      <c r="N47" s="697">
        <f>O47-P47</f>
        <v/>
      </c>
      <c r="O47" s="697" t="n">
        <v>2951760.100936</v>
      </c>
      <c r="P47" s="697" t="n">
        <v>344567.360747</v>
      </c>
      <c r="Q47" s="1195" t="n">
        <v>35801.094648</v>
      </c>
      <c r="R47" s="1195" t="n">
        <v>1361584.988732</v>
      </c>
      <c r="S47" s="1195" t="n">
        <v>4882260.27527</v>
      </c>
      <c r="T47" s="1192" t="n">
        <v>4537688.216682</v>
      </c>
      <c r="U47" s="1205" t="n"/>
      <c r="V47" s="1205" t="n">
        <v>31152843.533</v>
      </c>
      <c r="W47" s="1202" t="n"/>
      <c r="X47" s="697">
        <f>Q47</f>
        <v/>
      </c>
      <c r="Y47" s="1195" t="n">
        <v>-1256539</v>
      </c>
      <c r="Z47" s="1195" t="n">
        <v>1288548</v>
      </c>
      <c r="AA47" s="697" t="n">
        <v>-22747</v>
      </c>
      <c r="AB47" s="697" t="n">
        <v>19317</v>
      </c>
      <c r="AC47" s="697" t="n">
        <v>15594</v>
      </c>
      <c r="AD47" s="1195" t="n">
        <v>-11225</v>
      </c>
      <c r="AE47" s="697">
        <f>X47-(Y47+Z47+AA47+AB47+AC47+AD47)</f>
        <v/>
      </c>
      <c r="AF47" s="697" t="n">
        <v>234128.262211</v>
      </c>
      <c r="AG47" s="697" t="n">
        <v>1131389.699633</v>
      </c>
      <c r="AH47" s="697" t="n">
        <v>897261.437422</v>
      </c>
      <c r="AI47" s="1195" t="n">
        <v>125030.941279</v>
      </c>
      <c r="AJ47" s="1195" t="n">
        <v>-1065190.770289</v>
      </c>
      <c r="AK47" s="697" t="n">
        <v>315.441843</v>
      </c>
      <c r="AL47" s="697">
        <f>AI47-AJ47-AK47+AM47-AN47</f>
        <v/>
      </c>
      <c r="AM47" s="697" t="n">
        <v>4496.061064</v>
      </c>
      <c r="AN47" s="1195" t="n">
        <v>147012.54651</v>
      </c>
      <c r="AO47" s="1195" t="n">
        <v>359159.20349</v>
      </c>
      <c r="AP47" s="697" t="n">
        <v>13674.699973</v>
      </c>
      <c r="AQ47" s="1195" t="n">
        <v>372833.903463</v>
      </c>
      <c r="AR47" s="1195" t="n">
        <v>295746.061113</v>
      </c>
      <c r="AS47" s="966">
        <f>AO47+AP47-AQ47</f>
        <v/>
      </c>
      <c r="AT47" s="966">
        <f>AJ47+AK47+AL47-AM47+AN47-AI47</f>
        <v/>
      </c>
      <c r="AU47" s="966">
        <f>AF47+AI47-AO47</f>
        <v/>
      </c>
      <c r="AV47" s="966">
        <f>AF47</f>
        <v/>
      </c>
      <c r="AW47" s="966">
        <f>AI47</f>
        <v/>
      </c>
      <c r="AX47" s="966">
        <f>AP47</f>
        <v/>
      </c>
      <c r="AY47" s="966">
        <f>AV47+AW47+AX47</f>
        <v/>
      </c>
      <c r="BB47" s="1201" t="n"/>
      <c r="BC47" s="1195" t="n">
        <v>1526397.829674</v>
      </c>
      <c r="BD47" s="1195" t="n">
        <v>769899.8348590001</v>
      </c>
      <c r="BF47" s="1195" t="n">
        <v>-1175052.772651</v>
      </c>
      <c r="BG47" s="697" t="n">
        <v>51027.058227</v>
      </c>
      <c r="BH47" s="697" t="n">
        <v>0.009225000000000001</v>
      </c>
      <c r="BI47" s="697" t="n">
        <v>-7163.675615</v>
      </c>
      <c r="BK47" s="697">
        <f>Q47</f>
        <v/>
      </c>
      <c r="BL47" s="966">
        <f>BK47-BC47-SUM(BD47:BJ47)</f>
        <v/>
      </c>
      <c r="BM47" s="1195" t="n">
        <v>1801623.073449</v>
      </c>
      <c r="BP47" s="697">
        <f>AR47</f>
        <v/>
      </c>
      <c r="BR47" s="697" t="n">
        <v>-20751.496177</v>
      </c>
      <c r="BS47" s="697">
        <f>R47</f>
        <v/>
      </c>
      <c r="BT47" s="966" t="n">
        <v>0</v>
      </c>
      <c r="BU47" s="1205" t="n"/>
      <c r="BV47" s="1205" t="n">
        <v>437392.165</v>
      </c>
      <c r="BW47" s="1205" t="n">
        <v>2541802.201</v>
      </c>
      <c r="BX47" s="1205" t="n"/>
      <c r="BY47" s="1205" t="n"/>
      <c r="BZ47" s="1205" t="n"/>
      <c r="CA47" s="1205" t="n"/>
      <c r="CB47" s="1205" t="n"/>
      <c r="CE47" s="1205" t="n"/>
      <c r="CF47" s="1205" t="n"/>
      <c r="CG47" s="1205" t="n"/>
      <c r="CH47" s="1205" t="n"/>
      <c r="CI47" s="1205" t="n"/>
      <c r="CN47" s="1201" t="n">
        <v>1.934</v>
      </c>
      <c r="CO47" s="1205" t="n">
        <v>4189755</v>
      </c>
      <c r="CP47" s="1205" t="n">
        <v>2166822</v>
      </c>
      <c r="CQ47" s="1201" t="n">
        <v>1.934</v>
      </c>
      <c r="CR47" s="1205" t="n">
        <v>4189755</v>
      </c>
      <c r="CS47" s="1205" t="n">
        <v>2166822</v>
      </c>
      <c r="CU47" s="1205" t="n">
        <v>640200.999</v>
      </c>
      <c r="DC47" s="1205" t="n"/>
      <c r="DD47" s="1205" t="n"/>
      <c r="DE47" s="1205" t="n"/>
      <c r="DG47" s="1205" t="n"/>
      <c r="DH47" s="1205" t="n"/>
      <c r="DI47" s="1205" t="n"/>
      <c r="DJ47" s="1205" t="n"/>
      <c r="DK47" s="1205" t="n"/>
      <c r="DL47" s="1205" t="n"/>
      <c r="DM47" s="1205" t="n"/>
      <c r="DQ47" s="1205" t="n"/>
    </row>
    <row r="48">
      <c r="A48" s="643" t="inlineStr">
        <is>
          <t>2412동양</t>
        </is>
      </c>
      <c r="B48" s="643" t="n">
        <v>2412</v>
      </c>
      <c r="C48" s="643" t="inlineStr">
        <is>
          <t>동양</t>
        </is>
      </c>
      <c r="D48" s="993" t="n">
        <v>34577574.866215</v>
      </c>
      <c r="E48" s="697" t="n">
        <v>5857335.621093</v>
      </c>
      <c r="F48" s="697" t="n">
        <v>20037393.225611</v>
      </c>
      <c r="G48" s="697" t="n">
        <v>7063305.228962</v>
      </c>
      <c r="H48" s="697" t="n">
        <v>121642.754136</v>
      </c>
      <c r="I48" s="786">
        <f>E48/D48</f>
        <v/>
      </c>
      <c r="J48" s="786">
        <f>F48/D48</f>
        <v/>
      </c>
      <c r="K48" s="786">
        <f>G48/D48</f>
        <v/>
      </c>
      <c r="L48" s="993" t="n">
        <v>32567035.838663</v>
      </c>
      <c r="M48" s="697" t="n">
        <v>28221455.749061</v>
      </c>
      <c r="N48" s="697">
        <f>O48-P48</f>
        <v/>
      </c>
      <c r="O48" s="1194" t="n">
        <v>2010539.027552</v>
      </c>
      <c r="P48" s="697" t="n">
        <v>344567.360747</v>
      </c>
      <c r="Q48" s="1194" t="n">
        <v>-1105739.275686</v>
      </c>
      <c r="R48" s="697" t="n">
        <v>1561498.237695</v>
      </c>
      <c r="S48" s="697" t="n">
        <v>2951746.817761</v>
      </c>
      <c r="T48" s="979" t="n">
        <v>2607179.457014</v>
      </c>
      <c r="U48" s="1205" t="n"/>
      <c r="V48" s="1205" t="n">
        <v>32314193.217</v>
      </c>
      <c r="W48" s="1202" t="n"/>
      <c r="X48" s="697">
        <f>Q48</f>
        <v/>
      </c>
      <c r="Y48" s="1195" t="n">
        <v>-1064154</v>
      </c>
      <c r="Z48" s="697" t="n">
        <v>-133478</v>
      </c>
      <c r="AA48" s="697" t="n">
        <v>10550</v>
      </c>
      <c r="AB48" s="697" t="n">
        <v>82084</v>
      </c>
      <c r="AC48" s="697" t="n">
        <v>15602</v>
      </c>
      <c r="AD48" s="1195" t="n">
        <v>-20939</v>
      </c>
      <c r="AE48" s="697">
        <f>X48-(Y48+Z48+AA48+AB48+AC48+AD48)</f>
        <v/>
      </c>
      <c r="AF48" s="697" t="n">
        <v>274408.160826</v>
      </c>
      <c r="AG48" s="697" t="n">
        <v>1233613.962236</v>
      </c>
      <c r="AH48" s="697" t="n">
        <v>959205.80141</v>
      </c>
      <c r="AI48" s="697" t="n">
        <v>104644.860142</v>
      </c>
      <c r="AJ48" s="697" t="n">
        <v>-953707.739088</v>
      </c>
      <c r="AK48" s="697" t="n">
        <v>7142.640596</v>
      </c>
      <c r="AL48" s="697">
        <f>AI48-AJ48-AK48+AM48-AN48</f>
        <v/>
      </c>
      <c r="AM48" s="697" t="n">
        <v>4454.766395</v>
      </c>
      <c r="AN48" s="1195" t="n">
        <v>126150.405573</v>
      </c>
      <c r="AO48" s="697" t="n">
        <v>379053.020968</v>
      </c>
      <c r="AP48" s="697" t="n">
        <v>2919.941667</v>
      </c>
      <c r="AQ48" s="697" t="n">
        <v>381972.962635</v>
      </c>
      <c r="AR48" s="697" t="n">
        <v>310158.029898</v>
      </c>
      <c r="AS48" s="966">
        <f>AO48+AP48-AQ48</f>
        <v/>
      </c>
      <c r="AT48" s="966">
        <f>AJ48+AK48+AL48-AM48+AN48-AI48</f>
        <v/>
      </c>
      <c r="AU48" s="966">
        <f>AF48+AI48-AO48</f>
        <v/>
      </c>
      <c r="AV48" s="966">
        <f>AF48</f>
        <v/>
      </c>
      <c r="AW48" s="966">
        <f>AI48</f>
        <v/>
      </c>
      <c r="AX48" s="966">
        <f>AP48</f>
        <v/>
      </c>
      <c r="AY48" s="966">
        <f>AV48+AW48+AX48</f>
        <v/>
      </c>
      <c r="BB48" s="1201" t="n"/>
      <c r="BC48" s="1194" t="n">
        <v>56405.467597</v>
      </c>
      <c r="BD48" s="1194" t="n">
        <v>174620.280915</v>
      </c>
      <c r="BF48" s="697" t="n">
        <v>-1409333.19889</v>
      </c>
      <c r="BG48" s="697" t="n">
        <v>62766.693835</v>
      </c>
      <c r="BH48" s="1194" t="n">
        <v>7.626281</v>
      </c>
      <c r="BI48" s="993" t="n">
        <v>-9514.257482000001</v>
      </c>
      <c r="BJ48" s="1192" t="n"/>
      <c r="BK48" s="993">
        <f>Q48</f>
        <v/>
      </c>
      <c r="BL48" s="966">
        <f>BK48-BC48-SUM(BD48:BJ48)</f>
        <v/>
      </c>
      <c r="BM48" s="697" t="n">
        <v>1340967.332608</v>
      </c>
      <c r="BN48" s="697" t="n">
        <v>-62378.1052</v>
      </c>
      <c r="BP48" s="697">
        <f>AR48</f>
        <v/>
      </c>
      <c r="BQ48" s="1205" t="n"/>
      <c r="BR48" s="697" t="n">
        <v>-21026.018713</v>
      </c>
      <c r="BS48" s="697">
        <f>R48</f>
        <v/>
      </c>
      <c r="BT48" s="966" t="n">
        <v>0</v>
      </c>
      <c r="BU48" s="1205" t="n"/>
      <c r="BV48" s="1205" t="n">
        <v>471401.441</v>
      </c>
      <c r="BW48" s="1205" t="n">
        <v>2671088.868</v>
      </c>
      <c r="BX48" s="1205" t="n"/>
      <c r="BY48" s="1205" t="n"/>
      <c r="BZ48" s="1205" t="n"/>
      <c r="CA48" s="1205" t="n"/>
      <c r="CB48" s="1205" t="n"/>
      <c r="CC48" s="1204" t="n"/>
      <c r="CE48" s="1205" t="n"/>
      <c r="CF48" s="1205" t="n"/>
      <c r="CG48" s="1205" t="n"/>
      <c r="CH48" s="1205" t="n"/>
      <c r="CI48" s="1205" t="n"/>
      <c r="CN48" s="786" t="n">
        <v>1.555</v>
      </c>
      <c r="CO48" s="697" t="n">
        <v>3875304</v>
      </c>
      <c r="CP48" s="697" t="n">
        <v>2491824</v>
      </c>
      <c r="CQ48" s="1201" t="n">
        <v>1.555</v>
      </c>
      <c r="CR48" s="1205" t="n">
        <v>3875304</v>
      </c>
      <c r="CS48" s="1205" t="n">
        <v>2491824</v>
      </c>
      <c r="CU48" s="1205" t="n">
        <v>918835.286</v>
      </c>
      <c r="CW48" s="103" t="n">
        <v>0.853</v>
      </c>
      <c r="CX48" s="1206" t="n"/>
      <c r="CY48" s="103" t="n"/>
      <c r="CZ48" s="786" t="n"/>
      <c r="DC48" s="1205" t="n"/>
      <c r="DD48" s="1205" t="n"/>
      <c r="DE48" s="1205" t="n"/>
      <c r="DG48" s="1205" t="n"/>
      <c r="DH48" s="1205" t="n"/>
      <c r="DI48" s="1205" t="n"/>
      <c r="DJ48" s="1205" t="n"/>
      <c r="DK48" s="1205" t="n"/>
      <c r="DL48" s="1205" t="n"/>
      <c r="DM48" s="1205" t="n"/>
      <c r="EP48" s="1205" t="n"/>
      <c r="EQ48" s="1205" t="n"/>
      <c r="ER48" s="1205" t="n"/>
      <c r="ES48" s="1205" t="n"/>
      <c r="ET48" s="1205" t="n"/>
      <c r="EW48" s="1205" t="n"/>
      <c r="EX48" s="1205" t="n"/>
      <c r="EY48" s="1205" t="n"/>
      <c r="EZ48" s="1205" t="n"/>
      <c r="FA48" s="1205" t="n"/>
      <c r="FB48" s="1205" t="n"/>
      <c r="FC48" s="1198" t="n"/>
    </row>
    <row r="49">
      <c r="A49" s="643" t="inlineStr">
        <is>
          <t>2503동양</t>
        </is>
      </c>
      <c r="B49" s="643" t="n">
        <v>2503</v>
      </c>
      <c r="C49" s="643" t="inlineStr">
        <is>
          <t>동양</t>
        </is>
      </c>
      <c r="D49" s="697" t="n">
        <v>35191700.895998</v>
      </c>
      <c r="E49" s="697" t="n">
        <v>5927777.722747</v>
      </c>
      <c r="F49" s="697" t="n">
        <v>20858794.351852</v>
      </c>
      <c r="G49" s="697" t="n">
        <v>6559862.106122</v>
      </c>
      <c r="H49" s="697" t="n">
        <v>115233.888909</v>
      </c>
      <c r="I49" s="786">
        <f>E49/D49</f>
        <v/>
      </c>
      <c r="J49" s="786">
        <f>F49/D49</f>
        <v/>
      </c>
      <c r="K49" s="786">
        <f>G49/D49</f>
        <v/>
      </c>
      <c r="L49" s="697" t="n">
        <v>33666177.100012</v>
      </c>
      <c r="M49" s="697" t="n">
        <v>29330677.006867</v>
      </c>
      <c r="N49" s="697">
        <f>O49-P49</f>
        <v/>
      </c>
      <c r="O49" s="697" t="n">
        <v>1525523.795986</v>
      </c>
      <c r="P49" s="697" t="n">
        <v>344567.360747</v>
      </c>
      <c r="Q49" s="697" t="n">
        <v>-1626743.836739</v>
      </c>
      <c r="R49" s="697" t="n">
        <v>1596767.530773</v>
      </c>
      <c r="S49" s="697" t="n">
        <v>2010539.027552</v>
      </c>
      <c r="T49" s="1192" t="n">
        <v>1665971.666805</v>
      </c>
      <c r="U49" s="1205" t="n">
        <v>34474250</v>
      </c>
      <c r="V49" s="1205" t="n">
        <v>32627691.899</v>
      </c>
      <c r="W49" s="1202" t="n">
        <v>0.962</v>
      </c>
      <c r="X49" s="697">
        <f>Q49</f>
        <v/>
      </c>
      <c r="Y49" s="1205" t="n"/>
      <c r="Z49" s="1205" t="n"/>
      <c r="AA49" s="1205" t="n"/>
      <c r="AB49" s="1205" t="n"/>
      <c r="AC49" s="1205" t="n"/>
      <c r="AD49" s="1205" t="n"/>
      <c r="AE49" s="697">
        <f>X49-(Y49+Z49+AA49+AB49+AC49+AD49)</f>
        <v/>
      </c>
      <c r="AF49" s="697" t="n">
        <v>4071.067425</v>
      </c>
      <c r="AG49" s="697" t="n">
        <v>319287.703901</v>
      </c>
      <c r="AH49" s="697" t="n">
        <v>315216.636476</v>
      </c>
      <c r="AI49" s="697" t="n">
        <v>55389.596159</v>
      </c>
      <c r="AJ49" s="1195" t="n">
        <v>-270554.634358</v>
      </c>
      <c r="AK49" s="697" t="n">
        <v>3628.655164</v>
      </c>
      <c r="AL49" s="697">
        <f>AI49-AJ49-AK49+AM49-AN49</f>
        <v/>
      </c>
      <c r="AM49" s="697" t="n">
        <v>869.929963</v>
      </c>
      <c r="AN49" s="697" t="n">
        <v>31699.954462</v>
      </c>
      <c r="AO49" s="697" t="n">
        <v>59460.663584</v>
      </c>
      <c r="AP49" s="697" t="n">
        <v>-5026.845763</v>
      </c>
      <c r="AQ49" s="697" t="n">
        <v>54433.817821</v>
      </c>
      <c r="AR49" s="697" t="n">
        <v>46739.82659</v>
      </c>
      <c r="AS49" s="966">
        <f>AO49+AP49-AQ49</f>
        <v/>
      </c>
      <c r="AT49" s="966">
        <f>AJ49+AK49+AL49-AM49+AN49-AI49</f>
        <v/>
      </c>
      <c r="AU49" s="966">
        <f>AF49+AI49-AO49</f>
        <v/>
      </c>
      <c r="AV49" s="966">
        <f>AF49</f>
        <v/>
      </c>
      <c r="AW49" s="966">
        <f>AI49</f>
        <v/>
      </c>
      <c r="AX49" s="966">
        <f>AP49</f>
        <v/>
      </c>
      <c r="AY49" s="966">
        <f>AV49+AW49+AX49</f>
        <v/>
      </c>
      <c r="BB49" s="786" t="n"/>
      <c r="BC49" s="697" t="n">
        <v>-1105739.275686</v>
      </c>
      <c r="BD49" s="1195" t="n">
        <v>174740.859051</v>
      </c>
      <c r="BF49" s="697" t="n">
        <v>-737731.928037</v>
      </c>
      <c r="BG49" s="697" t="n">
        <v>41351.162062</v>
      </c>
      <c r="BH49" s="697" t="n">
        <v>9.573212</v>
      </c>
      <c r="BI49" s="697" t="n">
        <v>-2231.105228</v>
      </c>
      <c r="BK49" s="697">
        <f>Q49</f>
        <v/>
      </c>
      <c r="BL49" s="966">
        <f>BK49-BC49-SUM(BD49:BJ49)</f>
        <v/>
      </c>
      <c r="BM49" s="697" t="n">
        <v>1561498.237695</v>
      </c>
      <c r="BP49" s="697">
        <f>AR49</f>
        <v/>
      </c>
      <c r="BR49" s="1205" t="n"/>
      <c r="BS49" s="697">
        <f>R49</f>
        <v/>
      </c>
      <c r="BT49" s="966" t="n">
        <v>0</v>
      </c>
      <c r="BU49" s="1205" t="n">
        <v>26094230</v>
      </c>
      <c r="BV49" s="1205" t="n">
        <v>478288.599</v>
      </c>
      <c r="BW49" s="1205" t="n">
        <v>2661177.135</v>
      </c>
      <c r="BX49" s="1205" t="n"/>
      <c r="BY49" s="1205" t="n"/>
      <c r="BZ49" s="1205" t="n"/>
      <c r="CA49" s="1205" t="n"/>
      <c r="CB49" s="1205" t="n"/>
      <c r="CJ49" s="697">
        <f>BW49</f>
        <v/>
      </c>
      <c r="CN49" s="786" t="n"/>
      <c r="CQ49" s="1201" t="n">
        <v>1.2684</v>
      </c>
      <c r="CR49" s="1205" t="n">
        <v>3377880.719607</v>
      </c>
      <c r="CS49" s="1205" t="n">
        <v>2663121.885273</v>
      </c>
      <c r="CU49" s="1205" t="n">
        <v>957628.5060000001</v>
      </c>
      <c r="CW49" s="103" t="n"/>
      <c r="CX49" s="103" t="n"/>
      <c r="CY49" s="103" t="n"/>
      <c r="CZ49" s="786" t="n"/>
      <c r="DC49" s="1205" t="n"/>
      <c r="DD49" s="1205" t="n"/>
      <c r="DE49" s="1205" t="n"/>
      <c r="DG49" s="1205" t="n"/>
      <c r="DH49" s="1205" t="n"/>
      <c r="DI49" s="1205" t="n"/>
      <c r="DJ49" s="1205" t="n"/>
      <c r="DK49" s="1205" t="n"/>
      <c r="DL49" s="1205" t="n"/>
      <c r="DM49" s="1205" t="n"/>
    </row>
    <row r="50">
      <c r="A50" s="643" t="inlineStr">
        <is>
          <t>2506동양</t>
        </is>
      </c>
      <c r="B50" s="643" t="n">
        <v>2506</v>
      </c>
      <c r="C50" s="643" t="inlineStr">
        <is>
          <t>동양</t>
        </is>
      </c>
      <c r="D50" s="697" t="n">
        <v>35647471.326781</v>
      </c>
      <c r="E50" s="697" t="n">
        <v>5799448.636205</v>
      </c>
      <c r="F50" s="697" t="n">
        <v>21635551.140032</v>
      </c>
      <c r="G50" s="697" t="n">
        <v>6437918.571102</v>
      </c>
      <c r="H50" s="1205" t="n"/>
      <c r="I50" s="786">
        <f>E50/D50</f>
        <v/>
      </c>
      <c r="J50" s="786">
        <f>F50/D50</f>
        <v/>
      </c>
      <c r="K50" s="786">
        <f>G50/D50</f>
        <v/>
      </c>
      <c r="L50" s="697" t="n">
        <v>33949684.811107</v>
      </c>
      <c r="M50" s="697" t="n">
        <v>29166616.193315</v>
      </c>
      <c r="N50" s="697">
        <f>O50-P50</f>
        <v/>
      </c>
      <c r="O50" s="697" t="n">
        <v>1697786.515674</v>
      </c>
      <c r="P50" s="697" t="n">
        <v>344567.360747</v>
      </c>
      <c r="Q50" s="697" t="n">
        <v>-1494513.592612</v>
      </c>
      <c r="R50" s="697" t="n">
        <v>1636800.006334</v>
      </c>
      <c r="S50" s="697" t="n">
        <v>2010539.027552</v>
      </c>
      <c r="T50" s="1192" t="n">
        <v>1665971.666805</v>
      </c>
      <c r="U50" s="1205" t="n"/>
      <c r="V50" s="1205" t="n">
        <v>33074927.141</v>
      </c>
      <c r="W50" s="1202" t="n"/>
      <c r="X50" s="697">
        <f>Q50</f>
        <v/>
      </c>
      <c r="Y50" s="697" t="n">
        <v>-996006</v>
      </c>
      <c r="Z50" s="1205" t="n"/>
      <c r="AA50" s="1205" t="n"/>
      <c r="AB50" s="1205" t="n"/>
      <c r="AC50" s="1205" t="n">
        <v>15602</v>
      </c>
      <c r="AD50" s="1205" t="n"/>
      <c r="AF50" s="697" t="n">
        <v>70419.566477</v>
      </c>
      <c r="AG50" s="697" t="n">
        <v>629541.28645</v>
      </c>
      <c r="AH50" s="697" t="n">
        <v>559121.719973</v>
      </c>
      <c r="AI50" s="1195" t="n">
        <v>34568.13757</v>
      </c>
      <c r="AJ50" s="697" t="n">
        <v>-641822.340707</v>
      </c>
      <c r="AK50" s="697" t="n">
        <v>7670.767234</v>
      </c>
      <c r="AL50" s="697">
        <f>AI50-AJ50-AK50+AM50-AN50</f>
        <v/>
      </c>
      <c r="AM50" s="697" t="n">
        <v>1525.43315</v>
      </c>
      <c r="AN50" s="697" t="n">
        <v>60436.559856</v>
      </c>
      <c r="AO50" s="1195" t="n">
        <v>104987.704047</v>
      </c>
      <c r="AP50" s="1195" t="n">
        <v>-3945.728152</v>
      </c>
      <c r="AQ50" s="697" t="n">
        <v>101041.975895</v>
      </c>
      <c r="AR50" s="697" t="n">
        <v>86772.302151</v>
      </c>
      <c r="AS50" s="966">
        <f>AO50+AP50-AQ50</f>
        <v/>
      </c>
      <c r="AT50" s="966">
        <f>AJ50+AK50+AL50-AM50+AN50-AI50</f>
        <v/>
      </c>
      <c r="AU50" s="966">
        <f>AF50+AI50-AO50</f>
        <v/>
      </c>
      <c r="AV50" s="966">
        <f>AF50</f>
        <v/>
      </c>
      <c r="AW50" s="966">
        <f>AI50</f>
        <v/>
      </c>
      <c r="AX50" s="966">
        <f>AP50</f>
        <v/>
      </c>
      <c r="AY50" s="966">
        <f>AV50+AW50+AX50</f>
        <v/>
      </c>
      <c r="BB50" s="786" t="n"/>
      <c r="BC50" s="697" t="n">
        <v>-1105739.275686</v>
      </c>
      <c r="BD50" s="1195" t="n">
        <v>61379.546864</v>
      </c>
      <c r="BE50" s="1205" t="n"/>
      <c r="BF50" s="697" t="n">
        <v>-448522.263028</v>
      </c>
      <c r="BG50" s="697" t="n">
        <v>-2125.207227</v>
      </c>
      <c r="BH50" s="697" t="n">
        <v>11.079939</v>
      </c>
      <c r="BI50" s="697" t="n">
        <v>-1441.997256</v>
      </c>
      <c r="BJ50" s="1205" t="n"/>
      <c r="BK50" s="697">
        <f>Q50</f>
        <v/>
      </c>
      <c r="BL50" s="966">
        <f>BK50-BC50-SUM(BD50:BJ50)</f>
        <v/>
      </c>
      <c r="BM50" s="697" t="n">
        <v>1561498.237695</v>
      </c>
      <c r="BN50" s="1205" t="n"/>
      <c r="BO50" s="1205" t="n"/>
      <c r="BP50" s="697">
        <f>AR50</f>
        <v/>
      </c>
      <c r="BQ50" s="1205" t="n"/>
      <c r="BR50" s="697" t="n">
        <v>-11470.533512</v>
      </c>
      <c r="BS50" s="697">
        <f>R50</f>
        <v/>
      </c>
      <c r="BT50" s="966" t="n">
        <v>0</v>
      </c>
      <c r="BU50" s="1205" t="n">
        <v>26094230</v>
      </c>
      <c r="BV50" s="1205" t="n">
        <v>494602.444</v>
      </c>
      <c r="BW50" s="1205" t="n">
        <v>2744235.268</v>
      </c>
      <c r="BX50" s="1205" t="n">
        <v>2397259</v>
      </c>
      <c r="BY50" s="1205" t="n"/>
      <c r="BZ50" s="1205" t="n">
        <v>-158670</v>
      </c>
      <c r="CA50" s="1205" t="n">
        <v>54994</v>
      </c>
      <c r="CB50" s="1205" t="n"/>
      <c r="CE50" s="1205" t="n"/>
      <c r="CF50" s="1205" t="n"/>
      <c r="CG50" s="1205" t="n"/>
      <c r="CH50" s="1205" t="n"/>
      <c r="CI50" s="1205" t="n"/>
      <c r="CJ50" s="697">
        <f>BW50</f>
        <v/>
      </c>
      <c r="CL50" s="1205" t="n"/>
      <c r="CN50" s="786" t="n"/>
      <c r="CQ50" s="1201" t="n">
        <v>1.7206</v>
      </c>
      <c r="CR50" s="1205" t="n">
        <v>4166224.129</v>
      </c>
      <c r="CS50" s="1205" t="n">
        <v>2421409.983</v>
      </c>
      <c r="CU50" s="697" t="n">
        <v>1146823.83</v>
      </c>
      <c r="CW50" s="103" t="n"/>
      <c r="CX50" s="103" t="n"/>
      <c r="CY50" s="103" t="n"/>
      <c r="CZ50" s="786" t="n"/>
      <c r="DC50" s="1205" t="n"/>
      <c r="DD50" s="1205" t="n"/>
      <c r="DE50" s="1205" t="n"/>
      <c r="DG50" s="1205" t="n"/>
      <c r="DH50" s="1205" t="n"/>
      <c r="DI50" s="1205" t="n"/>
      <c r="DJ50" s="1205" t="n"/>
      <c r="DK50" s="1205" t="n"/>
      <c r="DL50" s="1205" t="n"/>
      <c r="DM50" s="1205" t="n"/>
      <c r="FC50" s="787" t="n"/>
      <c r="FD50" s="787" t="n"/>
    </row>
    <row r="51">
      <c r="A51" s="643" t="inlineStr">
        <is>
          <t>2509동양</t>
        </is>
      </c>
      <c r="B51" s="643" t="n">
        <v>2509</v>
      </c>
      <c r="C51" s="643" t="inlineStr">
        <is>
          <t>동양</t>
        </is>
      </c>
      <c r="D51" s="697" t="n">
        <v>35727983</v>
      </c>
      <c r="E51" s="697" t="n">
        <v>5507528</v>
      </c>
      <c r="F51" s="697" t="n">
        <v>22988363</v>
      </c>
      <c r="G51" s="697" t="n">
        <v>5574981</v>
      </c>
      <c r="H51" s="1205" t="n"/>
      <c r="I51" s="786">
        <f>E51/D51</f>
        <v/>
      </c>
      <c r="J51" s="786">
        <f>F51/D51</f>
        <v/>
      </c>
      <c r="K51" s="786">
        <f>G51/D51</f>
        <v/>
      </c>
      <c r="L51" s="697" t="n">
        <v>34339205</v>
      </c>
      <c r="M51" s="697" t="n">
        <v>29392006</v>
      </c>
      <c r="N51" s="697">
        <f>O51-P51</f>
        <v/>
      </c>
      <c r="O51" s="697" t="n">
        <v>1388778</v>
      </c>
      <c r="P51" s="697" t="n">
        <v>0</v>
      </c>
      <c r="Q51" s="697" t="n">
        <v>-1415498</v>
      </c>
      <c r="R51" s="697" t="n">
        <v>1651794</v>
      </c>
      <c r="S51" s="697" t="n">
        <v>2010539</v>
      </c>
      <c r="T51" s="1192" t="n">
        <v>1665972</v>
      </c>
      <c r="U51" s="1205" t="n"/>
      <c r="V51" s="1205" t="n">
        <v>33174994.881</v>
      </c>
      <c r="W51" s="1202" t="n"/>
      <c r="X51" s="697">
        <f>Q51</f>
        <v/>
      </c>
      <c r="Y51" s="1205" t="n">
        <v>-1060236</v>
      </c>
      <c r="Z51" s="1205" t="n">
        <v>-415791</v>
      </c>
      <c r="AA51" s="1205" t="n">
        <v>10179</v>
      </c>
      <c r="AB51" s="1205" t="n">
        <v>53991</v>
      </c>
      <c r="AC51" s="1205" t="n">
        <v>15602</v>
      </c>
      <c r="AD51" s="1205" t="n">
        <v>-24916</v>
      </c>
      <c r="AE51" s="697">
        <f>X51-(Y51+Z51+AA51+AB51+AC51+AD51)</f>
        <v/>
      </c>
      <c r="AF51" s="697" t="n">
        <v>94982</v>
      </c>
      <c r="AG51" s="697" t="n">
        <v>949693</v>
      </c>
      <c r="AH51" s="697" t="n">
        <v>854711</v>
      </c>
      <c r="AI51" s="697" t="n">
        <v>57137</v>
      </c>
      <c r="AJ51" s="697" t="n">
        <v>-959223</v>
      </c>
      <c r="AK51" s="697" t="n">
        <v>11719</v>
      </c>
      <c r="AL51" s="697">
        <f>AI51-AJ51-AK51+AM51-AN51</f>
        <v/>
      </c>
      <c r="AM51" s="697" t="n">
        <v>2594</v>
      </c>
      <c r="AN51" s="697" t="n">
        <v>78617</v>
      </c>
      <c r="AO51" s="697" t="n">
        <v>152119</v>
      </c>
      <c r="AP51" s="697" t="n">
        <v>-21403</v>
      </c>
      <c r="AQ51" s="697" t="n">
        <v>130716</v>
      </c>
      <c r="AR51" s="697" t="n">
        <v>113213</v>
      </c>
      <c r="AS51" s="966">
        <f>AO51+AP51-AQ51</f>
        <v/>
      </c>
      <c r="AT51" s="966">
        <f>AJ51+AK51+AL51-AM51+AN51-AI51</f>
        <v/>
      </c>
      <c r="AU51" s="966">
        <f>AF51+AI51-AO51</f>
        <v/>
      </c>
      <c r="AV51" s="966">
        <f>AF51</f>
        <v/>
      </c>
      <c r="AW51" s="966">
        <f>AI51</f>
        <v/>
      </c>
      <c r="AX51" s="966">
        <f>AP51</f>
        <v/>
      </c>
      <c r="AY51" s="966">
        <f>AV51+AW51+AX51</f>
        <v/>
      </c>
      <c r="BB51" s="786" t="n"/>
      <c r="BC51" s="697" t="n">
        <v>-1105739</v>
      </c>
      <c r="BD51" s="1195" t="n">
        <v>3862</v>
      </c>
      <c r="BF51" s="697" t="n">
        <v>-282685</v>
      </c>
      <c r="BG51" s="697" t="n">
        <v>-28093</v>
      </c>
      <c r="BH51" s="1195" t="n">
        <v>13</v>
      </c>
      <c r="BI51" s="697" t="n">
        <v>-3726</v>
      </c>
      <c r="BK51" s="697">
        <f>Q51</f>
        <v/>
      </c>
      <c r="BL51" s="966">
        <f>BK51-BC51-SUM(BD51:BJ51)</f>
        <v/>
      </c>
      <c r="BM51" s="697" t="n">
        <v>1561498</v>
      </c>
      <c r="BP51" s="697">
        <f>AR51</f>
        <v/>
      </c>
      <c r="BQ51" s="1195" t="n">
        <v>-485</v>
      </c>
      <c r="BR51" s="697" t="n">
        <v>-22466</v>
      </c>
      <c r="BS51" s="697">
        <f>R51</f>
        <v/>
      </c>
      <c r="BT51" s="966" t="n">
        <v>0</v>
      </c>
      <c r="BU51" s="1205" t="n">
        <v>28331570.954</v>
      </c>
      <c r="BV51" s="1205" t="n">
        <v>500795.178</v>
      </c>
      <c r="BW51" s="697" t="n">
        <v>2796980.9</v>
      </c>
      <c r="BX51" s="1205" t="n">
        <v>425848</v>
      </c>
      <c r="BY51" s="1205" t="n">
        <v>189861</v>
      </c>
      <c r="BZ51" s="1205" t="n">
        <v>-192787</v>
      </c>
      <c r="CA51" s="1205" t="n">
        <v>82691</v>
      </c>
      <c r="CB51" s="1205" t="n"/>
      <c r="CE51" s="1205" t="n"/>
      <c r="CF51" s="1205" t="n"/>
      <c r="CG51" s="1205" t="n"/>
      <c r="CH51" s="1205" t="n"/>
      <c r="CI51" s="1205" t="n"/>
      <c r="CJ51" s="697">
        <f>BW51</f>
        <v/>
      </c>
      <c r="CL51" s="697" t="n">
        <v>0</v>
      </c>
      <c r="CN51" s="786" t="n"/>
      <c r="CQ51" s="1201" t="n">
        <v>1.7359</v>
      </c>
      <c r="CR51" s="1205" t="n">
        <v>4020040.316</v>
      </c>
      <c r="CS51" s="1205" t="n">
        <v>2315760.836</v>
      </c>
      <c r="CU51" s="697" t="n">
        <v>1026174.06</v>
      </c>
      <c r="CW51" s="103" t="n"/>
      <c r="CX51" s="103" t="n"/>
      <c r="CY51" s="103" t="n"/>
      <c r="CZ51" s="786" t="n"/>
      <c r="DC51" s="1205" t="n"/>
      <c r="DD51" s="1205" t="n"/>
      <c r="DE51" s="1205" t="n"/>
      <c r="DG51" s="1205" t="n"/>
      <c r="DH51" s="1205" t="n"/>
      <c r="DI51" s="1205" t="n"/>
      <c r="DJ51" s="1205" t="n"/>
      <c r="DK51" s="1205" t="n"/>
      <c r="DL51" s="1205" t="n"/>
      <c r="DM51" s="1205" t="n"/>
      <c r="FC51" s="787" t="n"/>
      <c r="FD51" s="787" t="n"/>
    </row>
    <row r="52" ht="16.5" customHeight="1" s="759">
      <c r="A52" s="643" t="inlineStr">
        <is>
          <t>2512동양</t>
        </is>
      </c>
      <c r="B52" s="643" t="n">
        <v>2512</v>
      </c>
      <c r="C52" s="643" t="inlineStr">
        <is>
          <t>동양</t>
        </is>
      </c>
      <c r="D52" s="697" t="n">
        <v>35315258</v>
      </c>
      <c r="E52" s="697" t="n">
        <v>5375104</v>
      </c>
      <c r="F52" s="697" t="n">
        <v>22837835</v>
      </c>
      <c r="G52" s="697" t="n">
        <v>5622603</v>
      </c>
      <c r="I52" s="786">
        <f>E52/D52</f>
        <v/>
      </c>
      <c r="J52" s="786">
        <f>F52/D52</f>
        <v/>
      </c>
      <c r="K52" s="786">
        <f>G52/D52</f>
        <v/>
      </c>
      <c r="L52" s="697" t="n">
        <v>33781287</v>
      </c>
      <c r="M52" s="697" t="n">
        <v>28145079</v>
      </c>
      <c r="N52" s="697">
        <f>O52-P52</f>
        <v/>
      </c>
      <c r="O52" s="697" t="n">
        <v>1533971</v>
      </c>
      <c r="P52" s="697" t="n">
        <v>0</v>
      </c>
      <c r="Q52" s="697" t="n">
        <v>-1224013</v>
      </c>
      <c r="R52" s="697" t="n">
        <v>1604417</v>
      </c>
      <c r="S52" s="697" t="n">
        <v>2012958</v>
      </c>
      <c r="T52" s="979" t="n">
        <v>1668391</v>
      </c>
      <c r="U52" s="697" t="n">
        <v>33940882</v>
      </c>
      <c r="V52" s="697" t="n">
        <v>32695593.036</v>
      </c>
      <c r="W52" s="142" t="n">
        <v>0.963</v>
      </c>
      <c r="X52" s="697">
        <f>Q52</f>
        <v/>
      </c>
      <c r="Y52" s="1195" t="n">
        <v>-1704158</v>
      </c>
      <c r="Z52" s="697" t="n">
        <v>575901</v>
      </c>
      <c r="AA52" s="697" t="n">
        <v>-4705</v>
      </c>
      <c r="AB52" s="697" t="n">
        <v>-98248</v>
      </c>
      <c r="AC52" s="1195" t="n">
        <v>16224</v>
      </c>
      <c r="AD52" s="697" t="n">
        <v>-13311</v>
      </c>
      <c r="AE52" s="697">
        <f>X52-(Y52+Z52+AA52+AB52+AC52+AD52)</f>
        <v/>
      </c>
      <c r="AF52" s="697" t="n">
        <v>113771</v>
      </c>
      <c r="AG52" s="697" t="n">
        <v>1263501</v>
      </c>
      <c r="AH52" s="697" t="n">
        <v>1149730</v>
      </c>
      <c r="AI52" s="697" t="n">
        <v>91164</v>
      </c>
      <c r="AJ52" s="697" t="n">
        <v>-1299216</v>
      </c>
      <c r="AK52" s="697" t="n">
        <v>16114</v>
      </c>
      <c r="AL52" s="697">
        <f>AI52-AJ52-AK52+AM52-AN52</f>
        <v/>
      </c>
      <c r="AM52" s="697" t="n">
        <v>3546</v>
      </c>
      <c r="AN52" s="697" t="n">
        <v>3354</v>
      </c>
      <c r="AO52" s="697" t="n">
        <v>204935</v>
      </c>
      <c r="AP52" s="697" t="n">
        <v>-93547</v>
      </c>
      <c r="AQ52" s="697" t="n">
        <v>111388</v>
      </c>
      <c r="AR52" s="697" t="n">
        <v>65837</v>
      </c>
      <c r="AS52" s="966">
        <f>AO52+AP52-AQ52</f>
        <v/>
      </c>
      <c r="AT52" s="966">
        <f>AJ52+AK52+AL52-AM52+AN52-AI52</f>
        <v/>
      </c>
      <c r="AU52" s="966">
        <f>AF52+AI52-AO52</f>
        <v/>
      </c>
      <c r="AV52" s="966">
        <f>AF52</f>
        <v/>
      </c>
      <c r="AW52" s="966">
        <f>AI52</f>
        <v/>
      </c>
      <c r="AX52" s="966">
        <f>AP52</f>
        <v/>
      </c>
      <c r="AY52" s="966">
        <f>AV52+AW52+AX52</f>
        <v/>
      </c>
      <c r="BB52" s="786" t="n"/>
      <c r="BC52" s="697" t="n">
        <v>-1103320</v>
      </c>
      <c r="BD52" s="1195" t="n">
        <v>-633053</v>
      </c>
      <c r="BF52" s="697" t="n">
        <v>694124</v>
      </c>
      <c r="BG52" s="697" t="n">
        <v>-180332</v>
      </c>
      <c r="BH52" s="1195" t="n">
        <v>-231</v>
      </c>
      <c r="BI52" s="697" t="n">
        <v>7875</v>
      </c>
      <c r="BJ52" s="1192" t="n"/>
      <c r="BK52" s="697">
        <f>Q52</f>
        <v/>
      </c>
      <c r="BL52" s="966">
        <f>BK52-BC52-SUM(BD52:BJ52)</f>
        <v/>
      </c>
      <c r="BM52" s="697" t="n">
        <v>1561498</v>
      </c>
      <c r="BP52" s="697">
        <f>AR52</f>
        <v/>
      </c>
      <c r="BQ52" s="1195" t="n">
        <v>-486</v>
      </c>
      <c r="BR52" s="697" t="n">
        <v>-22466</v>
      </c>
      <c r="BS52" s="697">
        <f>R52</f>
        <v/>
      </c>
      <c r="BT52" s="966" t="n">
        <v>0</v>
      </c>
      <c r="BU52" s="697" t="n">
        <v>25211270</v>
      </c>
      <c r="BV52" s="697" t="n">
        <v>476714</v>
      </c>
      <c r="BW52" s="697" t="n">
        <v>2457095</v>
      </c>
      <c r="BX52" s="1205" t="n"/>
      <c r="BY52" s="1205" t="n"/>
      <c r="BZ52" s="697" t="n">
        <v>-606880</v>
      </c>
      <c r="CA52" s="697" t="n">
        <v>110505</v>
      </c>
      <c r="CB52" s="697" t="n">
        <v>2671088</v>
      </c>
      <c r="CE52" s="697" t="n">
        <v>138431</v>
      </c>
      <c r="CF52" s="697" t="n">
        <v>230816</v>
      </c>
      <c r="CG52" s="697" t="n">
        <v>189709</v>
      </c>
      <c r="CH52" s="697" t="n">
        <v>368066</v>
      </c>
      <c r="CI52" s="697" t="n">
        <v>1530073</v>
      </c>
      <c r="CJ52" s="697">
        <f>BW52</f>
        <v/>
      </c>
      <c r="CK52" s="697">
        <f>CJ52-SUM(CE52:CI52)</f>
        <v/>
      </c>
      <c r="CL52" s="697" t="n">
        <v>0</v>
      </c>
      <c r="CN52" s="843" t="n">
        <v>1.773</v>
      </c>
      <c r="CO52" s="975" t="n">
        <v>4015166</v>
      </c>
      <c r="CP52" s="975" t="n">
        <v>2264745</v>
      </c>
      <c r="CQ52" s="1200" t="n">
        <v>1.798</v>
      </c>
      <c r="CR52" s="1192" t="n">
        <v>4059496</v>
      </c>
      <c r="CS52" s="1192" t="n">
        <v>2257298</v>
      </c>
      <c r="CU52" s="975" t="n">
        <v>1106614.362</v>
      </c>
      <c r="CW52" s="138" t="n">
        <v>0.839</v>
      </c>
      <c r="CX52" s="138" t="n">
        <v>0.952</v>
      </c>
      <c r="CY52" s="138">
        <f>CW52-CX52</f>
        <v/>
      </c>
      <c r="CZ52" s="786">
        <f>CX52/CW52</f>
        <v/>
      </c>
      <c r="DC52" s="1205" t="n"/>
      <c r="DD52" s="1205" t="n"/>
      <c r="DE52" s="1205" t="n"/>
      <c r="DG52" s="1205" t="n"/>
      <c r="DH52" s="1205" t="n"/>
      <c r="DI52" s="1205" t="n"/>
      <c r="DJ52" s="1205" t="n"/>
      <c r="DK52" s="1205" t="n"/>
      <c r="DL52" s="1205" t="n"/>
      <c r="DM52" s="1205" t="n"/>
      <c r="EP52" s="1205" t="n"/>
      <c r="EQ52" s="1205" t="n"/>
      <c r="ER52" s="1205" t="n"/>
      <c r="ES52" s="1205" t="n"/>
      <c r="ET52" s="1205" t="n"/>
      <c r="EU52" s="1205" t="n"/>
      <c r="EW52" s="1205" t="n"/>
      <c r="EX52" s="1205" t="n"/>
      <c r="EY52" s="1205" t="n"/>
      <c r="EZ52" s="1205" t="n"/>
      <c r="FA52" s="1205" t="n"/>
      <c r="FB52" s="697" t="n">
        <v>108797</v>
      </c>
      <c r="FC52" s="767" t="n">
        <v>0</v>
      </c>
      <c r="FD52" s="787" t="n"/>
    </row>
    <row r="53">
      <c r="I53" s="786" t="n"/>
      <c r="J53" s="786" t="n"/>
      <c r="K53" s="786" t="n"/>
      <c r="T53" s="979" t="n"/>
      <c r="W53" s="142" t="n"/>
      <c r="AS53" s="966" t="n"/>
      <c r="AT53" s="966" t="n"/>
      <c r="AU53" s="966" t="n"/>
      <c r="AV53" s="966" t="n"/>
      <c r="AW53" s="966" t="n"/>
      <c r="AX53" s="966" t="n"/>
      <c r="AY53" s="966" t="n"/>
      <c r="BB53" s="786" t="n"/>
      <c r="BL53" s="966" t="n"/>
      <c r="BT53" s="966" t="n"/>
      <c r="CN53" s="786" t="n"/>
      <c r="CQ53" s="786" t="n"/>
      <c r="CW53" s="103" t="n"/>
      <c r="CX53" s="103" t="n"/>
      <c r="CY53" s="103" t="n"/>
      <c r="CZ53" s="786" t="n"/>
      <c r="DJ53" s="978" t="n"/>
      <c r="FC53" s="787" t="n"/>
      <c r="FD53" s="787" t="n"/>
    </row>
    <row r="54" customFormat="1" s="101">
      <c r="A54" s="101" t="inlineStr">
        <is>
          <t>2212KB라이프</t>
        </is>
      </c>
      <c r="B54" s="101" t="n">
        <v>2212</v>
      </c>
      <c r="C54" s="101" t="inlineStr">
        <is>
          <t>KB라이프</t>
        </is>
      </c>
      <c r="D54" s="977" t="n"/>
      <c r="E54" s="977" t="n"/>
      <c r="F54" s="977" t="n"/>
      <c r="G54" s="977" t="n"/>
      <c r="H54" s="977" t="n"/>
      <c r="I54" s="978" t="n"/>
      <c r="J54" s="978" t="n"/>
      <c r="K54" s="978" t="n"/>
      <c r="L54" s="977" t="n"/>
      <c r="M54" s="977" t="n"/>
      <c r="N54" s="979" t="n"/>
      <c r="O54" s="1192" t="n"/>
      <c r="P54" s="1192" t="n"/>
      <c r="Q54" s="1192" t="n"/>
      <c r="R54" s="1192" t="n"/>
      <c r="S54" s="979" t="n"/>
      <c r="T54" s="979" t="n"/>
      <c r="U54" s="980" t="n"/>
      <c r="V54" s="980" t="n"/>
      <c r="W54" s="980" t="n"/>
      <c r="X54" s="979" t="n"/>
      <c r="Y54" s="979" t="n"/>
      <c r="Z54" s="979" t="n"/>
      <c r="AA54" s="979" t="n"/>
      <c r="AB54" s="979" t="n"/>
      <c r="AC54" s="979" t="n"/>
      <c r="AD54" s="979" t="n"/>
      <c r="AE54" s="979" t="n"/>
      <c r="AF54" s="998" t="n"/>
      <c r="AG54" s="998" t="n"/>
      <c r="AH54" s="998" t="n"/>
      <c r="AI54" s="998" t="n"/>
      <c r="AJ54" s="977" t="n"/>
      <c r="AK54" s="977" t="n"/>
      <c r="AL54" s="977" t="n"/>
      <c r="AM54" s="977" t="n"/>
      <c r="AN54" s="977" t="n"/>
      <c r="AO54" s="998" t="n"/>
      <c r="AP54" s="977" t="n"/>
      <c r="AQ54" s="979" t="n"/>
      <c r="AR54" s="979" t="n"/>
      <c r="AS54" s="979" t="n"/>
      <c r="AT54" s="979" t="n"/>
      <c r="AU54" s="979" t="n"/>
      <c r="AV54" s="979" t="n"/>
      <c r="AW54" s="979" t="n"/>
      <c r="AX54" s="979" t="n"/>
      <c r="AY54" s="979" t="n"/>
      <c r="AZ54" s="977" t="n"/>
      <c r="BA54" s="977" t="n"/>
      <c r="BB54" s="978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9" t="n"/>
      <c r="BM54" s="977" t="n"/>
      <c r="BN54" s="977" t="n"/>
      <c r="BO54" s="977" t="n"/>
      <c r="BP54" s="977" t="n"/>
      <c r="BQ54" s="977" t="n"/>
      <c r="BR54" s="977" t="n"/>
      <c r="BS54" s="977" t="n"/>
      <c r="BT54" s="1192" t="n"/>
      <c r="BU54" s="1192" t="n"/>
      <c r="BV54" s="1192" t="n"/>
      <c r="BW54" s="1192" t="n"/>
      <c r="BX54" s="979" t="n"/>
      <c r="BY54" s="979" t="n"/>
      <c r="BZ54" s="979" t="n"/>
      <c r="CA54" s="979" t="n"/>
      <c r="CB54" s="979" t="n"/>
      <c r="CC54" s="977" t="n"/>
      <c r="CD54" s="977" t="n"/>
      <c r="CE54" s="977" t="n"/>
      <c r="CF54" s="977" t="n"/>
      <c r="CG54" s="977" t="n"/>
      <c r="CH54" s="977" t="n"/>
      <c r="CI54" s="977" t="n"/>
      <c r="CJ54" s="977" t="n"/>
      <c r="CK54" s="977" t="n"/>
      <c r="CL54" s="977" t="n"/>
      <c r="CM54" s="977" t="n"/>
      <c r="CN54" s="978" t="n"/>
      <c r="CO54" s="977" t="n"/>
      <c r="CP54" s="977" t="n"/>
      <c r="CQ54" s="978" t="n"/>
      <c r="CR54" s="977" t="n"/>
      <c r="CS54" s="977" t="n"/>
      <c r="CT54" s="977" t="n"/>
      <c r="CU54" s="977" t="n"/>
      <c r="CV54" s="977" t="n"/>
      <c r="CW54" s="977" t="n"/>
      <c r="CX54" s="977" t="n"/>
      <c r="CY54" s="977" t="n"/>
      <c r="CZ54" s="977" t="n"/>
      <c r="DA54" s="977" t="n"/>
      <c r="DB54" s="977" t="n"/>
      <c r="DC54" s="978" t="n"/>
      <c r="DD54" s="977" t="n"/>
      <c r="DE54" s="977" t="n"/>
      <c r="DF54" s="977" t="n"/>
      <c r="DG54" s="977" t="n"/>
      <c r="DH54" s="977" t="n"/>
      <c r="DI54" s="977" t="n"/>
      <c r="DJ54" s="977" t="n"/>
      <c r="DK54" s="977" t="n"/>
      <c r="DL54" s="977" t="n"/>
      <c r="DM54" s="977" t="n"/>
      <c r="DN54" s="977" t="n"/>
      <c r="DO54" s="977" t="n"/>
      <c r="DP54" s="977" t="n"/>
      <c r="DQ54" s="977" t="n"/>
      <c r="DR54" s="977" t="n"/>
      <c r="DS54" s="977" t="n"/>
      <c r="DT54" s="977" t="n"/>
      <c r="DU54" s="977" t="n"/>
      <c r="DV54" s="977" t="n"/>
      <c r="DW54" s="977" t="n"/>
      <c r="DX54" s="977" t="n"/>
      <c r="DY54" s="977" t="n"/>
      <c r="DZ54" s="977" t="n"/>
      <c r="EA54" s="977" t="n"/>
      <c r="EB54" s="977" t="n"/>
      <c r="EC54" s="977" t="n"/>
      <c r="ED54" s="977" t="n"/>
      <c r="EE54" s="977" t="n"/>
      <c r="EP54" s="977" t="n"/>
      <c r="EQ54" s="977" t="n"/>
      <c r="ER54" s="977" t="n"/>
      <c r="ES54" s="977" t="n"/>
      <c r="ET54" s="977" t="n"/>
      <c r="EU54" s="977" t="n"/>
      <c r="EV54" s="977" t="n"/>
      <c r="EW54" s="977" t="n"/>
      <c r="EX54" s="977" t="n"/>
      <c r="EY54" s="977" t="n"/>
      <c r="EZ54" s="977" t="n"/>
      <c r="FA54" s="977" t="n"/>
      <c r="FB54" s="977" t="n"/>
      <c r="FC54" s="977" t="n"/>
      <c r="FD54" s="977" t="n"/>
    </row>
    <row r="55" customFormat="1" s="101">
      <c r="A55" s="101" t="inlineStr">
        <is>
          <t>2312KB라이프</t>
        </is>
      </c>
      <c r="B55" s="101" t="n">
        <v>2312</v>
      </c>
      <c r="C55" s="101" t="inlineStr">
        <is>
          <t>KB라이프</t>
        </is>
      </c>
      <c r="D55" s="977" t="n">
        <v>31634138</v>
      </c>
      <c r="E55" s="977" t="n">
        <v>8297751</v>
      </c>
      <c r="F55" s="1191" t="n">
        <v>19446521</v>
      </c>
      <c r="G55" s="977" t="n">
        <v>1914907</v>
      </c>
      <c r="H55" s="977" t="n">
        <v>143262</v>
      </c>
      <c r="I55" s="978">
        <f>E55/D55</f>
        <v/>
      </c>
      <c r="J55" s="978">
        <f>F55/D55</f>
        <v/>
      </c>
      <c r="K55" s="978">
        <f>G55/D55</f>
        <v/>
      </c>
      <c r="L55" s="1191" t="n">
        <v>26151264</v>
      </c>
      <c r="M55" s="1191" t="n">
        <v>23869743</v>
      </c>
      <c r="N55" s="979">
        <f>O55-P55</f>
        <v/>
      </c>
      <c r="O55" s="1192" t="n">
        <v>5482874</v>
      </c>
      <c r="P55" s="979" t="n">
        <v>49800</v>
      </c>
      <c r="Q55" s="1192" t="n">
        <v>1404468</v>
      </c>
      <c r="R55" s="1192" t="n">
        <v>2963776</v>
      </c>
      <c r="S55" s="1192" t="n">
        <v>5159226</v>
      </c>
      <c r="T55" s="1192" t="n">
        <v>5159226</v>
      </c>
      <c r="U55" s="1196" t="n"/>
      <c r="V55" s="1196" t="n">
        <v>25260968.659</v>
      </c>
      <c r="W55" s="1199" t="n"/>
      <c r="X55" s="979">
        <f>Q55</f>
        <v/>
      </c>
      <c r="Y55" s="1192" t="n">
        <v>-566920</v>
      </c>
      <c r="Z55" s="1192" t="n">
        <v>1975985</v>
      </c>
      <c r="AA55" s="1192" t="n">
        <v>4591</v>
      </c>
      <c r="AB55" s="1192" t="n">
        <v>-2813</v>
      </c>
      <c r="AC55" s="979" t="n"/>
      <c r="AD55" s="1192" t="n">
        <v>-6088</v>
      </c>
      <c r="AE55" s="979">
        <f>X55-(Y55+Z55+AA55+AB55+AC55+AD55)</f>
        <v/>
      </c>
      <c r="AF55" s="1191" t="n">
        <v>236601</v>
      </c>
      <c r="AG55" s="1191" t="n">
        <v>765124</v>
      </c>
      <c r="AH55" s="1191" t="n">
        <v>528523</v>
      </c>
      <c r="AI55" s="1191" t="n">
        <v>1346452</v>
      </c>
      <c r="AJ55" s="1191" t="n"/>
      <c r="AK55" s="1191" t="n"/>
      <c r="AL55" s="977" t="n"/>
      <c r="AM55" s="977" t="n"/>
      <c r="AN55" s="977" t="n">
        <v>93348</v>
      </c>
      <c r="AO55" s="1191" t="n">
        <v>355786</v>
      </c>
      <c r="AP55" s="977" t="n">
        <v>-5768</v>
      </c>
      <c r="AQ55" s="1192" t="n">
        <v>350018</v>
      </c>
      <c r="AR55" s="1192" t="n">
        <v>258511</v>
      </c>
      <c r="AS55" s="979">
        <f>AO55+AP55-AQ55</f>
        <v/>
      </c>
      <c r="AT55" s="979" t="n"/>
      <c r="AU55" s="979">
        <f>AF55+AI55-AO55</f>
        <v/>
      </c>
      <c r="AV55" s="979">
        <f>AF55</f>
        <v/>
      </c>
      <c r="AW55" s="979">
        <f>AI55</f>
        <v/>
      </c>
      <c r="AX55" s="979">
        <f>AP55</f>
        <v/>
      </c>
      <c r="AY55" s="979">
        <f>AV55+AW55+AX55</f>
        <v/>
      </c>
      <c r="AZ55" s="977" t="n"/>
      <c r="BA55" s="977" t="n"/>
      <c r="BB55" s="1201" t="n"/>
      <c r="BC55" s="1191" t="n">
        <v>2193782</v>
      </c>
      <c r="BD55" s="1191" t="n">
        <v>1107691</v>
      </c>
      <c r="BE55" s="977" t="n"/>
      <c r="BF55" s="1191" t="n">
        <v>-1062035</v>
      </c>
      <c r="BG55" s="977" t="n">
        <v>128</v>
      </c>
      <c r="BH55" s="977" t="n"/>
      <c r="BI55" s="977" t="n">
        <v>2007</v>
      </c>
      <c r="BJ55" s="1191" t="n"/>
      <c r="BK55" s="977">
        <f>Q55</f>
        <v/>
      </c>
      <c r="BL55" s="979" t="n"/>
      <c r="BM55" s="1191" t="n">
        <v>2815444</v>
      </c>
      <c r="BN55" s="977" t="n">
        <v>-100000</v>
      </c>
      <c r="BO55" s="977" t="n"/>
      <c r="BP55" s="977">
        <f>AR55</f>
        <v/>
      </c>
      <c r="BQ55" s="1191" t="n"/>
      <c r="BR55" s="977" t="n">
        <v>-2799</v>
      </c>
      <c r="BS55" s="977">
        <f>R55</f>
        <v/>
      </c>
      <c r="BT55" s="979" t="n">
        <v>0</v>
      </c>
      <c r="BU55" s="979" t="n">
        <v>20403538</v>
      </c>
      <c r="BV55" s="979" t="n">
        <v>448563</v>
      </c>
      <c r="BW55" s="1192" t="n">
        <v>3017642</v>
      </c>
      <c r="BX55" s="979" t="n">
        <v>634668</v>
      </c>
      <c r="BY55" s="1192" t="n">
        <v>283905</v>
      </c>
      <c r="BZ55" s="1192" t="n">
        <v>-585645</v>
      </c>
      <c r="CA55" s="1192" t="n">
        <v>239524</v>
      </c>
      <c r="CB55" s="1192" t="n">
        <v>2373817</v>
      </c>
      <c r="CC55" s="977" t="n"/>
      <c r="CD55" s="977">
        <f>CB55+BX55-BY55+BZ55+CA55-BW55</f>
        <v/>
      </c>
      <c r="CE55" s="1191" t="n"/>
      <c r="CF55" s="1191" t="n"/>
      <c r="CG55" s="1191" t="n"/>
      <c r="CH55" s="1191" t="n"/>
      <c r="CI55" s="1191" t="n"/>
      <c r="CJ55" s="977">
        <f>BW55</f>
        <v/>
      </c>
      <c r="CK55" s="977" t="n"/>
      <c r="CL55" s="1191" t="n">
        <v>0</v>
      </c>
      <c r="CM55" s="977" t="n"/>
      <c r="CN55" s="1201" t="n">
        <v>3.2978</v>
      </c>
      <c r="CO55" s="1191" t="n">
        <v>6758937</v>
      </c>
      <c r="CP55" s="1191" t="n">
        <v>2049538</v>
      </c>
      <c r="CQ55" s="1201" t="n">
        <v>3.2978</v>
      </c>
      <c r="CR55" s="1191" t="n">
        <v>6758937</v>
      </c>
      <c r="CS55" s="1191" t="n">
        <v>2049538</v>
      </c>
      <c r="CT55" s="977" t="n"/>
      <c r="CU55" s="1191" t="n">
        <v>720502.01</v>
      </c>
      <c r="CV55" s="977" t="n"/>
      <c r="CW55" s="977" t="n"/>
      <c r="CX55" s="977" t="n"/>
      <c r="CY55" s="977" t="n"/>
      <c r="CZ55" s="977" t="n"/>
      <c r="DA55" s="977" t="n"/>
      <c r="DB55" s="977" t="n"/>
      <c r="DC55" s="978" t="n"/>
      <c r="DD55" s="977" t="n"/>
      <c r="DE55" s="977" t="n"/>
      <c r="DF55" s="977" t="n"/>
      <c r="DG55" s="977" t="n"/>
      <c r="DH55" s="977" t="n"/>
      <c r="DI55" s="977" t="n"/>
      <c r="DJ55" s="977" t="n"/>
      <c r="DK55" s="977" t="n"/>
      <c r="DL55" s="977" t="n"/>
      <c r="DM55" s="977" t="n"/>
      <c r="DN55" s="977" t="n"/>
      <c r="DO55" s="977" t="n"/>
      <c r="DP55" s="977" t="n"/>
      <c r="DQ55" s="977" t="n"/>
      <c r="DR55" s="977" t="n"/>
      <c r="DS55" s="977" t="n"/>
      <c r="DT55" s="977" t="n"/>
      <c r="DU55" s="977" t="n"/>
      <c r="DV55" s="977" t="n"/>
      <c r="DW55" s="977" t="n"/>
      <c r="DX55" s="977" t="n"/>
      <c r="DY55" s="977" t="n"/>
      <c r="DZ55" s="977" t="n"/>
      <c r="EA55" s="977" t="n"/>
      <c r="EB55" s="977" t="n"/>
      <c r="EC55" s="977" t="n"/>
      <c r="ED55" s="977" t="n"/>
      <c r="EE55" s="977" t="n"/>
      <c r="EP55" s="977" t="n"/>
      <c r="EQ55" s="977" t="n"/>
      <c r="ER55" s="977" t="n"/>
      <c r="ES55" s="977" t="n"/>
      <c r="ET55" s="977" t="n"/>
      <c r="EU55" s="977" t="n"/>
      <c r="EV55" s="977" t="n"/>
      <c r="EW55" s="977" t="n"/>
      <c r="EX55" s="977" t="n"/>
      <c r="EY55" s="977" t="n"/>
      <c r="EZ55" s="977" t="n"/>
      <c r="FA55" s="977" t="n"/>
      <c r="FB55" s="977" t="n"/>
      <c r="FC55" s="977" t="n"/>
      <c r="FD55" s="977" t="n"/>
    </row>
    <row r="56" customFormat="1" s="101">
      <c r="A56" s="101" t="inlineStr">
        <is>
          <t>2412KB라이프</t>
        </is>
      </c>
      <c r="B56" s="101" t="n">
        <v>2412</v>
      </c>
      <c r="C56" s="101" t="inlineStr">
        <is>
          <t>KB라이프</t>
        </is>
      </c>
      <c r="D56" s="977" t="n">
        <v>33717436</v>
      </c>
      <c r="E56" s="977" t="n">
        <v>8505252</v>
      </c>
      <c r="F56" s="977" t="n">
        <v>21575283</v>
      </c>
      <c r="G56" s="977" t="n">
        <v>1804985</v>
      </c>
      <c r="H56" s="977" t="n">
        <v>149839</v>
      </c>
      <c r="I56" s="978">
        <f>E56/D56</f>
        <v/>
      </c>
      <c r="J56" s="978">
        <f>F56/D56</f>
        <v/>
      </c>
      <c r="K56" s="978">
        <f>G56/D56</f>
        <v/>
      </c>
      <c r="L56" s="977" t="n">
        <v>29180278</v>
      </c>
      <c r="M56" s="977" t="n">
        <v>27209738</v>
      </c>
      <c r="N56" s="979">
        <f>O56-P56</f>
        <v/>
      </c>
      <c r="O56" s="979" t="n">
        <v>4537158</v>
      </c>
      <c r="P56" s="979" t="n">
        <v>49800</v>
      </c>
      <c r="Q56" s="979" t="n">
        <v>363125</v>
      </c>
      <c r="R56" s="979" t="n">
        <v>3145930</v>
      </c>
      <c r="S56" s="979" t="n">
        <v>5363506</v>
      </c>
      <c r="T56" s="979" t="n">
        <v>5313706</v>
      </c>
      <c r="U56" s="1196" t="n"/>
      <c r="V56" s="1196" t="n">
        <v>27343603.438</v>
      </c>
      <c r="W56" s="1199" t="n"/>
      <c r="X56" s="979">
        <f>Q56</f>
        <v/>
      </c>
      <c r="Y56" s="1192" t="n">
        <v>-60417</v>
      </c>
      <c r="Z56" s="1192" t="n">
        <v>433955</v>
      </c>
      <c r="AA56" s="1192" t="n">
        <v>1920</v>
      </c>
      <c r="AB56" s="1192" t="n">
        <v>-2681</v>
      </c>
      <c r="AC56" s="979" t="n"/>
      <c r="AD56" s="1192" t="n">
        <v>-9652</v>
      </c>
      <c r="AE56" s="979">
        <f>X56-(Y56+Z56+AA56+AB56+AC56+AD56)</f>
        <v/>
      </c>
      <c r="AF56" s="977" t="n">
        <v>313810</v>
      </c>
      <c r="AG56" s="977" t="n">
        <v>865050</v>
      </c>
      <c r="AH56" s="977" t="n">
        <v>551240</v>
      </c>
      <c r="AI56" s="977" t="n">
        <v>87610</v>
      </c>
      <c r="AJ56" s="977" t="n">
        <v>-1098072</v>
      </c>
      <c r="AK56" s="977" t="n">
        <v>-457</v>
      </c>
      <c r="AL56" s="977" t="n"/>
      <c r="AM56" s="977" t="n"/>
      <c r="AN56" s="977" t="n">
        <v>102498</v>
      </c>
      <c r="AO56" s="977" t="n">
        <v>401420</v>
      </c>
      <c r="AP56" s="977" t="n">
        <v>-3515</v>
      </c>
      <c r="AQ56" s="979" t="n">
        <v>397905</v>
      </c>
      <c r="AR56" s="979" t="n">
        <v>299878</v>
      </c>
      <c r="AS56" s="979">
        <f>AO56+AP56-AQ56</f>
        <v/>
      </c>
      <c r="AT56" s="979" t="n"/>
      <c r="AU56" s="979">
        <f>AF56+AI56-AO56</f>
        <v/>
      </c>
      <c r="AV56" s="979">
        <f>AF56</f>
        <v/>
      </c>
      <c r="AW56" s="979">
        <f>AI56</f>
        <v/>
      </c>
      <c r="AX56" s="979">
        <f>AP56</f>
        <v/>
      </c>
      <c r="AY56" s="979">
        <f>AV56+AW56+AX56</f>
        <v/>
      </c>
      <c r="AZ56" s="977" t="n"/>
      <c r="BA56" s="977" t="n"/>
      <c r="BB56" s="1201" t="n"/>
      <c r="BC56" s="977" t="n">
        <v>1336551</v>
      </c>
      <c r="BD56" s="1191" t="n">
        <v>498752</v>
      </c>
      <c r="BE56" s="977" t="n"/>
      <c r="BF56" s="977" t="n">
        <v>-1476783</v>
      </c>
      <c r="BG56" s="977" t="n">
        <v>132</v>
      </c>
      <c r="BH56" s="977" t="n"/>
      <c r="BI56" s="977" t="n">
        <v>-3277</v>
      </c>
      <c r="BJ56" s="977" t="n"/>
      <c r="BK56" s="977">
        <f>Q56</f>
        <v/>
      </c>
      <c r="BL56" s="979" t="n"/>
      <c r="BM56" s="977" t="n">
        <v>2998852</v>
      </c>
      <c r="BN56" s="977" t="n">
        <v>-150000</v>
      </c>
      <c r="BO56" s="977" t="n"/>
      <c r="BP56" s="977">
        <f>AR56</f>
        <v/>
      </c>
      <c r="BQ56" s="977" t="n"/>
      <c r="BR56" s="977" t="n">
        <v>-2800</v>
      </c>
      <c r="BS56" s="977">
        <f>R56</f>
        <v/>
      </c>
      <c r="BT56" s="979" t="n">
        <v>0</v>
      </c>
      <c r="BU56" s="979" t="n">
        <v>23688473</v>
      </c>
      <c r="BV56" s="979" t="n">
        <v>510756</v>
      </c>
      <c r="BW56" s="979" t="n">
        <v>3010509</v>
      </c>
      <c r="BX56" s="979" t="n">
        <v>501304</v>
      </c>
      <c r="BY56" s="979" t="n">
        <v>293080</v>
      </c>
      <c r="BZ56" s="979" t="n">
        <v>-500612</v>
      </c>
      <c r="CA56" s="1192" t="n">
        <v>246142</v>
      </c>
      <c r="CB56" s="979" t="n">
        <v>3179826</v>
      </c>
      <c r="CC56" s="1204" t="n"/>
      <c r="CD56" s="977">
        <f>CB56+BX56-BY56+BZ56+CA56-BW56</f>
        <v/>
      </c>
      <c r="CE56" s="1191" t="n">
        <v>152557</v>
      </c>
      <c r="CF56" s="1191" t="n">
        <v>271554</v>
      </c>
      <c r="CG56" s="1191" t="n">
        <v>239005</v>
      </c>
      <c r="CH56" s="1191" t="n">
        <v>494888</v>
      </c>
      <c r="CI56" s="1191" t="n">
        <v>1852506</v>
      </c>
      <c r="CJ56" s="977">
        <f>BW56</f>
        <v/>
      </c>
      <c r="CK56" s="977" t="n"/>
      <c r="CL56" s="1191" t="n">
        <v>0</v>
      </c>
      <c r="CM56" s="977" t="n"/>
      <c r="CN56" s="978" t="n">
        <v>2.6314</v>
      </c>
      <c r="CO56" s="977" t="n">
        <v>5898953</v>
      </c>
      <c r="CP56" s="977" t="n">
        <v>2241740</v>
      </c>
      <c r="CQ56" s="1201" t="n">
        <v>2.6314</v>
      </c>
      <c r="CR56" s="1191" t="n">
        <v>5898953</v>
      </c>
      <c r="CS56" s="1191" t="n">
        <v>2241740</v>
      </c>
      <c r="CT56" s="977" t="n"/>
      <c r="CU56" s="1191" t="n">
        <v>938342.9889999999</v>
      </c>
      <c r="CV56" s="977" t="n"/>
      <c r="CW56" s="1206" t="n"/>
      <c r="CX56" s="1206" t="n"/>
      <c r="CY56" s="108" t="n"/>
      <c r="CZ56" s="786" t="n"/>
      <c r="DA56" s="977" t="n"/>
      <c r="DB56" s="977" t="n"/>
      <c r="DC56" s="978" t="n"/>
      <c r="DD56" s="977" t="n"/>
      <c r="DE56" s="977" t="n"/>
      <c r="DF56" s="977" t="n"/>
      <c r="DG56" s="977" t="n"/>
      <c r="DH56" s="977" t="n"/>
      <c r="DI56" s="977" t="n"/>
      <c r="DJ56" s="977" t="n"/>
      <c r="DK56" s="977" t="n"/>
      <c r="DL56" s="977" t="n"/>
      <c r="DM56" s="977" t="n"/>
      <c r="DN56" s="977" t="n"/>
      <c r="DO56" s="977" t="n"/>
      <c r="DP56" s="977" t="n"/>
      <c r="DQ56" s="977" t="n"/>
      <c r="DR56" s="977" t="n"/>
      <c r="DS56" s="977" t="n"/>
      <c r="DT56" s="977" t="n"/>
      <c r="DU56" s="977" t="n"/>
      <c r="DV56" s="977" t="n"/>
      <c r="DW56" s="977" t="n"/>
      <c r="DX56" s="977" t="n"/>
      <c r="DY56" s="977" t="n"/>
      <c r="DZ56" s="977" t="n"/>
      <c r="EA56" s="977" t="n"/>
      <c r="EB56" s="977" t="n"/>
      <c r="EC56" s="977" t="n"/>
      <c r="ED56" s="977" t="n"/>
      <c r="EE56" s="977" t="n"/>
      <c r="EP56" s="977" t="n">
        <v>509858</v>
      </c>
      <c r="EQ56" s="977" t="n">
        <v>-209016</v>
      </c>
      <c r="ER56" s="977" t="n">
        <v>-170412</v>
      </c>
      <c r="ES56" s="977" t="n">
        <v>-65410</v>
      </c>
      <c r="ET56" s="977" t="n">
        <v>419777</v>
      </c>
      <c r="EU56" s="977" t="n"/>
      <c r="EV56" s="977" t="n"/>
      <c r="EW56" s="977" t="n">
        <v>-509858</v>
      </c>
      <c r="EX56" s="977" t="n">
        <v>209016</v>
      </c>
      <c r="EY56" s="977" t="n">
        <v>170412</v>
      </c>
      <c r="EZ56" s="977" t="n">
        <v>65410</v>
      </c>
      <c r="FA56" s="977" t="n">
        <v>-419778</v>
      </c>
      <c r="FB56" s="977" t="n">
        <v>-15814</v>
      </c>
      <c r="FC56" s="767" t="n">
        <v>0</v>
      </c>
    </row>
    <row r="57" customFormat="1" s="101">
      <c r="A57" s="101" t="inlineStr">
        <is>
          <t>2503KB라이프</t>
        </is>
      </c>
      <c r="B57" s="101" t="n">
        <v>2503</v>
      </c>
      <c r="C57" s="101" t="inlineStr">
        <is>
          <t>KB라이프</t>
        </is>
      </c>
      <c r="D57" s="977" t="n">
        <v>35021300</v>
      </c>
      <c r="E57" s="977" t="n">
        <v>8556744</v>
      </c>
      <c r="F57" s="977" t="n">
        <v>22820231</v>
      </c>
      <c r="G57" s="977" t="n">
        <v>1852356</v>
      </c>
      <c r="H57" s="977" t="n">
        <v>149744</v>
      </c>
      <c r="I57" s="978">
        <f>E57/D57</f>
        <v/>
      </c>
      <c r="J57" s="978">
        <f>F57/D57</f>
        <v/>
      </c>
      <c r="K57" s="978">
        <f>G57/D57</f>
        <v/>
      </c>
      <c r="L57" s="977" t="n">
        <v>30859865</v>
      </c>
      <c r="M57" s="977" t="n">
        <v>28915618</v>
      </c>
      <c r="N57" s="979">
        <f>O57-P57</f>
        <v/>
      </c>
      <c r="O57" s="979" t="n">
        <v>4161435</v>
      </c>
      <c r="P57" s="979" t="n">
        <v>49800</v>
      </c>
      <c r="Q57" s="979" t="n">
        <v>27786</v>
      </c>
      <c r="R57" s="979" t="n">
        <v>3105546</v>
      </c>
      <c r="S57" s="979" t="n">
        <v>4537158</v>
      </c>
      <c r="T57" s="979" t="n">
        <v>4487358</v>
      </c>
      <c r="U57" s="1196" t="n"/>
      <c r="V57" s="1196" t="n">
        <v>34539227.278</v>
      </c>
      <c r="W57" s="1199" t="n"/>
      <c r="X57" s="979">
        <f>Q57</f>
        <v/>
      </c>
      <c r="Y57" s="1192" t="n"/>
      <c r="Z57" s="1192" t="n"/>
      <c r="AA57" s="1192" t="n"/>
      <c r="AB57" s="1192" t="n"/>
      <c r="AC57" s="979" t="n"/>
      <c r="AD57" s="1192" t="n"/>
      <c r="AE57" s="979">
        <f>X57-(Y57+Z57+AA57+AB57+AC57+AD57)</f>
        <v/>
      </c>
      <c r="AF57" s="977" t="n">
        <v>77253</v>
      </c>
      <c r="AG57" s="977" t="n">
        <v>218286</v>
      </c>
      <c r="AH57" s="977" t="n">
        <v>141033</v>
      </c>
      <c r="AI57" s="977" t="n">
        <v>43008</v>
      </c>
      <c r="AJ57" s="977" t="n">
        <v>-330675</v>
      </c>
      <c r="AK57" s="977" t="n">
        <v>-92</v>
      </c>
      <c r="AL57" s="977" t="n"/>
      <c r="AM57" s="977" t="n"/>
      <c r="AN57" s="977" t="n">
        <v>20309</v>
      </c>
      <c r="AO57" s="977" t="n">
        <v>120261</v>
      </c>
      <c r="AP57" s="977" t="n">
        <v>503</v>
      </c>
      <c r="AQ57" s="979" t="n">
        <v>120764</v>
      </c>
      <c r="AR57" s="979" t="n">
        <v>90315</v>
      </c>
      <c r="AS57" s="979">
        <f>AO57+AP57-AQ57</f>
        <v/>
      </c>
      <c r="AT57" s="979" t="n"/>
      <c r="AU57" s="979">
        <f>AF57+AI57-AO57</f>
        <v/>
      </c>
      <c r="AV57" s="979">
        <f>AF57</f>
        <v/>
      </c>
      <c r="AW57" s="979">
        <f>AI57</f>
        <v/>
      </c>
      <c r="AX57" s="979">
        <f>AP57</f>
        <v/>
      </c>
      <c r="AY57" s="979">
        <f>AV57+AW57+AX57</f>
        <v/>
      </c>
      <c r="AZ57" s="977" t="n"/>
      <c r="BA57" s="977" t="n"/>
      <c r="BB57" s="978" t="n"/>
      <c r="BC57" s="977" t="n">
        <v>363125</v>
      </c>
      <c r="BD57" s="1191" t="n">
        <v>433121</v>
      </c>
      <c r="BE57" s="977" t="n"/>
      <c r="BF57" s="977" t="n">
        <v>-770000</v>
      </c>
      <c r="BG57" s="977" t="n">
        <v>-1883</v>
      </c>
      <c r="BH57" s="977" t="n"/>
      <c r="BI57" s="977" t="n">
        <v>-38</v>
      </c>
      <c r="BJ57" s="977" t="n"/>
      <c r="BK57" s="977">
        <f>Q57</f>
        <v/>
      </c>
      <c r="BL57" s="979" t="n"/>
      <c r="BM57" s="977" t="n">
        <v>3145930</v>
      </c>
      <c r="BN57" s="977" t="n">
        <v>-130000</v>
      </c>
      <c r="BO57" s="977" t="n"/>
      <c r="BP57" s="977">
        <f>AR57</f>
        <v/>
      </c>
      <c r="BQ57" s="977" t="n"/>
      <c r="BR57" s="977" t="n">
        <v>-699</v>
      </c>
      <c r="BS57" s="977">
        <f>R57</f>
        <v/>
      </c>
      <c r="BT57" s="979" t="n">
        <v>0</v>
      </c>
      <c r="BU57" s="1192" t="n">
        <v>23455907</v>
      </c>
      <c r="BV57" s="1192" t="n">
        <v>498152.267</v>
      </c>
      <c r="BW57" s="1192" t="n">
        <v>2989728.043</v>
      </c>
      <c r="BX57" s="1192" t="n"/>
      <c r="BY57" s="1192" t="n"/>
      <c r="BZ57" s="1192" t="n"/>
      <c r="CA57" s="1192" t="n"/>
      <c r="CB57" s="1192" t="n"/>
      <c r="CC57" s="977" t="n"/>
      <c r="CD57" s="977" t="n"/>
      <c r="CE57" s="1191" t="n"/>
      <c r="CF57" s="1191" t="n"/>
      <c r="CG57" s="1191" t="n"/>
      <c r="CH57" s="1191" t="n"/>
      <c r="CI57" s="1191" t="n"/>
      <c r="CJ57" s="977">
        <f>BW57</f>
        <v/>
      </c>
      <c r="CK57" s="977" t="n"/>
      <c r="CL57" s="1191" t="n"/>
      <c r="CM57" s="977" t="n"/>
      <c r="CN57" s="978" t="n"/>
      <c r="CO57" s="977" t="n"/>
      <c r="CP57" s="977" t="n"/>
      <c r="CQ57" s="1201" t="n">
        <v>2.3411</v>
      </c>
      <c r="CR57" s="1191" t="n">
        <v>5545294.563</v>
      </c>
      <c r="CS57" s="1191" t="n">
        <v>2368634.921</v>
      </c>
      <c r="CT57" s="977" t="n"/>
      <c r="CU57" s="1191" t="n">
        <v>1133576.031</v>
      </c>
      <c r="CV57" s="977" t="n"/>
      <c r="CW57" s="108" t="n"/>
      <c r="CX57" s="108" t="n"/>
      <c r="CY57" s="108" t="n"/>
      <c r="CZ57" s="786" t="n"/>
      <c r="DA57" s="977" t="n"/>
      <c r="DB57" s="977" t="n"/>
      <c r="DC57" s="978" t="n"/>
      <c r="DD57" s="977" t="n"/>
      <c r="DE57" s="977" t="n"/>
      <c r="DF57" s="977" t="n"/>
      <c r="DG57" s="977" t="n"/>
      <c r="DH57" s="977" t="n"/>
      <c r="DI57" s="977" t="n"/>
      <c r="DJ57" s="977" t="n"/>
      <c r="DK57" s="977" t="n"/>
      <c r="DL57" s="977" t="n"/>
      <c r="DM57" s="977" t="n"/>
      <c r="DN57" s="977" t="n"/>
      <c r="DO57" s="977" t="n"/>
      <c r="DP57" s="977" t="n"/>
      <c r="DQ57" s="977" t="n"/>
      <c r="DR57" s="977" t="n"/>
      <c r="DS57" s="977" t="n"/>
      <c r="DT57" s="977" t="n"/>
      <c r="DU57" s="977" t="n"/>
      <c r="DV57" s="977" t="n"/>
      <c r="DW57" s="977" t="n"/>
      <c r="DX57" s="977" t="n"/>
      <c r="DY57" s="977" t="n"/>
      <c r="DZ57" s="977" t="n"/>
      <c r="EA57" s="977" t="n"/>
      <c r="EB57" s="977" t="n"/>
      <c r="EC57" s="977" t="n"/>
      <c r="ED57" s="977" t="n"/>
      <c r="EE57" s="977" t="n"/>
      <c r="EP57" s="977" t="n"/>
      <c r="EQ57" s="977" t="n"/>
      <c r="ER57" s="977" t="n"/>
      <c r="ES57" s="977" t="n"/>
      <c r="ET57" s="977" t="n"/>
      <c r="EU57" s="977" t="n"/>
      <c r="EV57" s="977" t="n"/>
      <c r="EW57" s="977" t="n"/>
      <c r="EX57" s="977" t="n"/>
      <c r="EY57" s="977" t="n"/>
      <c r="EZ57" s="977" t="n"/>
      <c r="FA57" s="977" t="n"/>
      <c r="FB57" s="977" t="n"/>
    </row>
    <row r="58" customFormat="1" s="101">
      <c r="A58" s="101" t="inlineStr">
        <is>
          <t>2506KB라이프</t>
        </is>
      </c>
      <c r="B58" s="101" t="n">
        <v>2506</v>
      </c>
      <c r="C58" s="101" t="inlineStr">
        <is>
          <t>KB라이프</t>
        </is>
      </c>
      <c r="D58" s="977" t="n">
        <v>35423110</v>
      </c>
      <c r="E58" s="977" t="n">
        <v>8834727</v>
      </c>
      <c r="F58" s="977" t="n">
        <v>22887011</v>
      </c>
      <c r="G58" s="977" t="n">
        <v>1671739</v>
      </c>
      <c r="H58" s="977" t="n">
        <v>219936</v>
      </c>
      <c r="I58" s="978">
        <f>E58/D58</f>
        <v/>
      </c>
      <c r="J58" s="978">
        <f>F58/D58</f>
        <v/>
      </c>
      <c r="K58" s="978">
        <f>G58/D58</f>
        <v/>
      </c>
      <c r="L58" s="977" t="n">
        <v>31159446</v>
      </c>
      <c r="M58" s="977" t="n">
        <v>29060877</v>
      </c>
      <c r="N58" s="979">
        <f>O58-P58</f>
        <v/>
      </c>
      <c r="O58" s="979" t="n">
        <v>4263664</v>
      </c>
      <c r="P58" s="979" t="n">
        <v>49800</v>
      </c>
      <c r="Q58" s="979" t="n">
        <v>20868</v>
      </c>
      <c r="R58" s="979" t="n">
        <v>3214693</v>
      </c>
      <c r="S58" s="979" t="n">
        <v>4537158</v>
      </c>
      <c r="T58" s="979" t="n">
        <v>4487358</v>
      </c>
      <c r="U58" s="980" t="n"/>
      <c r="V58" s="1196" t="n">
        <v>28593922.101</v>
      </c>
      <c r="W58" s="1199" t="n"/>
      <c r="X58" s="979">
        <f>Q58</f>
        <v/>
      </c>
      <c r="Y58" s="1192" t="n"/>
      <c r="Z58" s="1192" t="n"/>
      <c r="AA58" s="1192" t="n"/>
      <c r="AB58" s="1192" t="n"/>
      <c r="AC58" s="979" t="n"/>
      <c r="AD58" s="1192" t="n"/>
      <c r="AE58" s="979">
        <f>X58-(Y58+Z58+AA58+AB58+AC58+AD58)</f>
        <v/>
      </c>
      <c r="AF58" s="977" t="n">
        <v>151727</v>
      </c>
      <c r="AG58" s="977" t="n">
        <v>431335</v>
      </c>
      <c r="AH58" s="977" t="n">
        <v>279608</v>
      </c>
      <c r="AI58" s="977" t="n">
        <v>109808</v>
      </c>
      <c r="AJ58" s="977" t="n">
        <v>-794387</v>
      </c>
      <c r="AK58" s="977" t="n">
        <v>-185</v>
      </c>
      <c r="AL58" s="977" t="n"/>
      <c r="AM58" s="977" t="n"/>
      <c r="AN58" s="977" t="n">
        <v>59922</v>
      </c>
      <c r="AO58" s="977" t="n">
        <v>261535</v>
      </c>
      <c r="AP58" s="1191" t="n">
        <v>-423</v>
      </c>
      <c r="AQ58" s="979" t="n">
        <v>261112</v>
      </c>
      <c r="AR58" s="979" t="n">
        <v>200155</v>
      </c>
      <c r="AS58" s="979">
        <f>AO58+AP58-AQ58</f>
        <v/>
      </c>
      <c r="AT58" s="979" t="n"/>
      <c r="AU58" s="979">
        <f>AF58+AI58-AO58</f>
        <v/>
      </c>
      <c r="AV58" s="979">
        <f>AF58</f>
        <v/>
      </c>
      <c r="AW58" s="979">
        <f>AI58</f>
        <v/>
      </c>
      <c r="AX58" s="979">
        <f>AP58</f>
        <v/>
      </c>
      <c r="AY58" s="979">
        <f>AV58+AW58+AX58</f>
        <v/>
      </c>
      <c r="AZ58" s="977" t="n"/>
      <c r="BA58" s="977" t="n"/>
      <c r="BB58" s="978" t="n"/>
      <c r="BC58" s="977" t="n">
        <v>363125</v>
      </c>
      <c r="BD58" s="977" t="n">
        <v>102610</v>
      </c>
      <c r="BE58" s="1191" t="n"/>
      <c r="BF58" s="977" t="n">
        <v>-430888</v>
      </c>
      <c r="BG58" s="977" t="n">
        <v>-14033</v>
      </c>
      <c r="BH58" s="1191" t="n"/>
      <c r="BI58" s="977" t="n">
        <v>54</v>
      </c>
      <c r="BJ58" s="1191" t="n"/>
      <c r="BK58" s="977">
        <f>Q58</f>
        <v/>
      </c>
      <c r="BL58" s="979" t="n"/>
      <c r="BM58" s="977" t="n">
        <v>3145930</v>
      </c>
      <c r="BN58" s="977" t="n">
        <v>-130000</v>
      </c>
      <c r="BO58" s="1191" t="n"/>
      <c r="BP58" s="977">
        <f>AR58</f>
        <v/>
      </c>
      <c r="BQ58" s="1191" t="n"/>
      <c r="BR58" s="977" t="n">
        <v>-1392</v>
      </c>
      <c r="BS58" s="977">
        <f>R58</f>
        <v/>
      </c>
      <c r="BT58" s="979" t="n">
        <v>0</v>
      </c>
      <c r="BU58" s="1192" t="n">
        <v>23455907</v>
      </c>
      <c r="BV58" s="1192" t="n">
        <v>521893.076</v>
      </c>
      <c r="BW58" s="1192" t="n">
        <v>3088194.296</v>
      </c>
      <c r="BX58" s="1192" t="n"/>
      <c r="BY58" s="1192" t="n"/>
      <c r="BZ58" s="1192" t="n"/>
      <c r="CA58" s="1192" t="n"/>
      <c r="CB58" s="1192" t="n"/>
      <c r="CC58" s="977" t="n"/>
      <c r="CD58" s="977" t="n"/>
      <c r="CE58" s="1191" t="n"/>
      <c r="CF58" s="1191" t="n"/>
      <c r="CG58" s="1191" t="n"/>
      <c r="CH58" s="1191" t="n"/>
      <c r="CI58" s="1191" t="n"/>
      <c r="CJ58" s="977">
        <f>BW58</f>
        <v/>
      </c>
      <c r="CK58" s="977" t="n"/>
      <c r="CL58" s="1191" t="n"/>
      <c r="CM58" s="977" t="n"/>
      <c r="CN58" s="978" t="n"/>
      <c r="CO58" s="977" t="n"/>
      <c r="CP58" s="977" t="n"/>
      <c r="CQ58" s="1201" t="n">
        <v>2.5062</v>
      </c>
      <c r="CR58" s="1191" t="n">
        <v>5761453.968</v>
      </c>
      <c r="CS58" s="1191" t="n">
        <v>2298893.399</v>
      </c>
      <c r="CT58" s="977" t="n"/>
      <c r="CU58" s="1191" t="n">
        <v>1204455.398</v>
      </c>
      <c r="CV58" s="977" t="n"/>
      <c r="CW58" s="108" t="n"/>
      <c r="CX58" s="108" t="n"/>
      <c r="CY58" s="108" t="n"/>
      <c r="CZ58" s="786" t="n"/>
      <c r="DA58" s="977" t="n"/>
      <c r="DB58" s="977" t="n"/>
      <c r="DC58" s="978" t="n"/>
      <c r="DD58" s="977" t="n"/>
      <c r="DE58" s="977" t="n"/>
      <c r="DF58" s="977" t="n"/>
      <c r="DG58" s="977" t="n"/>
      <c r="DH58" s="977" t="n"/>
      <c r="DI58" s="977" t="n"/>
      <c r="DJ58" s="977" t="n"/>
      <c r="DK58" s="977" t="n"/>
      <c r="DL58" s="977" t="n"/>
      <c r="DM58" s="977" t="n"/>
      <c r="DN58" s="977" t="n"/>
      <c r="DO58" s="977" t="n"/>
      <c r="DP58" s="977" t="n"/>
      <c r="DQ58" s="977" t="n"/>
      <c r="DR58" s="977" t="n"/>
      <c r="DS58" s="977" t="n"/>
      <c r="DT58" s="977" t="n"/>
      <c r="DU58" s="977" t="n"/>
      <c r="DV58" s="977" t="n"/>
      <c r="DW58" s="977" t="n"/>
      <c r="DX58" s="977" t="n"/>
      <c r="DY58" s="977" t="n"/>
      <c r="DZ58" s="977" t="n"/>
      <c r="EA58" s="977" t="n"/>
      <c r="EB58" s="977" t="n"/>
      <c r="EC58" s="977" t="n"/>
      <c r="ED58" s="977" t="n"/>
      <c r="EE58" s="977" t="n"/>
      <c r="EP58" s="977" t="n"/>
      <c r="EQ58" s="977" t="n"/>
      <c r="ER58" s="977" t="n"/>
      <c r="ES58" s="977" t="n"/>
      <c r="ET58" s="977" t="n"/>
      <c r="EU58" s="977" t="n"/>
      <c r="EV58" s="977" t="n"/>
      <c r="EW58" s="977" t="n"/>
      <c r="EX58" s="977" t="n"/>
      <c r="EY58" s="977" t="n"/>
      <c r="EZ58" s="977" t="n"/>
      <c r="FA58" s="977" t="n"/>
      <c r="FB58" s="977" t="n"/>
    </row>
    <row r="59" customFormat="1" s="101">
      <c r="A59" s="101" t="inlineStr">
        <is>
          <t>2509KB라이프</t>
        </is>
      </c>
      <c r="B59" s="101" t="n">
        <v>2509</v>
      </c>
      <c r="C59" s="101" t="inlineStr">
        <is>
          <t>KB라이프</t>
        </is>
      </c>
      <c r="D59" s="977" t="n">
        <v>35815391</v>
      </c>
      <c r="E59" s="977" t="n">
        <v>8955471</v>
      </c>
      <c r="F59" s="977" t="n">
        <v>23310027</v>
      </c>
      <c r="G59" s="977" t="n">
        <v>1695495</v>
      </c>
      <c r="H59" s="977" t="n">
        <v>221616</v>
      </c>
      <c r="I59" s="978">
        <f>E59/D59</f>
        <v/>
      </c>
      <c r="J59" s="978">
        <f>F59/D59</f>
        <v/>
      </c>
      <c r="K59" s="978">
        <f>G59/D59</f>
        <v/>
      </c>
      <c r="L59" s="977" t="n">
        <v>31535039</v>
      </c>
      <c r="M59" s="977" t="n">
        <v>29308480</v>
      </c>
      <c r="N59" s="979">
        <f>O59-P59</f>
        <v/>
      </c>
      <c r="O59" s="979" t="n">
        <v>4280352</v>
      </c>
      <c r="P59" s="979" t="n">
        <v>49800</v>
      </c>
      <c r="Q59" s="979" t="n">
        <v>-28841</v>
      </c>
      <c r="R59" s="979" t="n">
        <v>3281090</v>
      </c>
      <c r="S59" s="979" t="n">
        <v>4537158</v>
      </c>
      <c r="T59" s="979" t="n">
        <v>4487358</v>
      </c>
      <c r="U59" s="980" t="n"/>
      <c r="V59" s="1196" t="n">
        <v>28988153.377</v>
      </c>
      <c r="W59" s="992" t="n"/>
      <c r="X59" s="979">
        <f>Q59</f>
        <v/>
      </c>
      <c r="Y59" s="1192" t="n"/>
      <c r="Z59" s="1192" t="n"/>
      <c r="AA59" s="1192" t="n"/>
      <c r="AB59" s="1192" t="n"/>
      <c r="AC59" s="979" t="n"/>
      <c r="AD59" s="1192" t="n"/>
      <c r="AE59" s="979">
        <f>X59-(Y59+Z59+AA59+AB59+AC59+AD59)</f>
        <v/>
      </c>
      <c r="AF59" s="977" t="n">
        <v>215817</v>
      </c>
      <c r="AG59" s="977" t="n">
        <v>650232</v>
      </c>
      <c r="AH59" s="977" t="n">
        <v>434415</v>
      </c>
      <c r="AI59" s="977" t="n">
        <v>145213</v>
      </c>
      <c r="AJ59" s="977" t="n">
        <v>-1258366</v>
      </c>
      <c r="AK59" s="977" t="n">
        <v>-303</v>
      </c>
      <c r="AL59" s="977" t="n"/>
      <c r="AM59" s="977" t="n"/>
      <c r="AN59" s="977" t="n">
        <v>80701</v>
      </c>
      <c r="AO59" s="977" t="n">
        <v>361030</v>
      </c>
      <c r="AP59" s="977" t="n">
        <v>-557</v>
      </c>
      <c r="AQ59" s="979" t="n">
        <v>360473</v>
      </c>
      <c r="AR59" s="979" t="n">
        <v>267252</v>
      </c>
      <c r="AS59" s="979">
        <f>AO59+AP59-AQ59</f>
        <v/>
      </c>
      <c r="AT59" s="979" t="n"/>
      <c r="AU59" s="979">
        <f>AF59+AI59-AO59</f>
        <v/>
      </c>
      <c r="AV59" s="979">
        <f>AF59</f>
        <v/>
      </c>
      <c r="AW59" s="979">
        <f>AI59</f>
        <v/>
      </c>
      <c r="AX59" s="979">
        <f>AP59</f>
        <v/>
      </c>
      <c r="AY59" s="979">
        <f>AV59+AW59+AX59</f>
        <v/>
      </c>
      <c r="AZ59" s="977" t="n"/>
      <c r="BA59" s="977" t="n"/>
      <c r="BB59" s="978" t="n"/>
      <c r="BC59" s="977" t="n">
        <v>363125</v>
      </c>
      <c r="BD59" s="977" t="n">
        <v>-105063</v>
      </c>
      <c r="BE59" s="977" t="n"/>
      <c r="BF59" s="977" t="n">
        <v>-267613</v>
      </c>
      <c r="BG59" s="977" t="n">
        <v>-19640</v>
      </c>
      <c r="BH59" s="977" t="n"/>
      <c r="BI59" s="977" t="n">
        <v>350</v>
      </c>
      <c r="BJ59" s="977" t="n"/>
      <c r="BK59" s="977">
        <f>Q59</f>
        <v/>
      </c>
      <c r="BL59" s="979" t="n"/>
      <c r="BM59" s="977" t="n">
        <v>3145930</v>
      </c>
      <c r="BN59" s="977" t="n">
        <v>-130000</v>
      </c>
      <c r="BO59" s="977" t="n"/>
      <c r="BP59" s="977">
        <f>AR59</f>
        <v/>
      </c>
      <c r="BQ59" s="977" t="n"/>
      <c r="BR59" s="977" t="n">
        <v>-2092</v>
      </c>
      <c r="BS59" s="977">
        <f>R59</f>
        <v/>
      </c>
      <c r="BT59" s="979" t="n">
        <v>0</v>
      </c>
      <c r="BU59" s="1192" t="n">
        <v>23455907</v>
      </c>
      <c r="BV59" s="1192" t="n">
        <v>526362.1459999999</v>
      </c>
      <c r="BW59" s="1192" t="n">
        <v>3195008.89</v>
      </c>
      <c r="BX59" s="1192" t="n"/>
      <c r="BY59" s="1192" t="n"/>
      <c r="BZ59" s="1192" t="n"/>
      <c r="CA59" s="1192" t="n"/>
      <c r="CB59" s="1192" t="n"/>
      <c r="CC59" s="977" t="n"/>
      <c r="CD59" s="977" t="n"/>
      <c r="CE59" s="1191" t="n"/>
      <c r="CF59" s="1191" t="n"/>
      <c r="CG59" s="1191" t="n"/>
      <c r="CH59" s="1191" t="n"/>
      <c r="CI59" s="1191" t="n"/>
      <c r="CJ59" s="977">
        <f>BW59</f>
        <v/>
      </c>
      <c r="CK59" s="977" t="n"/>
      <c r="CL59" s="1191" t="n"/>
      <c r="CM59" s="977" t="n"/>
      <c r="CN59" s="978" t="n"/>
      <c r="CO59" s="977" t="n"/>
      <c r="CP59" s="977" t="n"/>
      <c r="CQ59" s="1201" t="n">
        <v>2.5354</v>
      </c>
      <c r="CR59" s="1191" t="n">
        <v>5862925.333</v>
      </c>
      <c r="CS59" s="1191" t="n">
        <v>2312406.191</v>
      </c>
      <c r="CT59" s="977" t="n"/>
      <c r="CU59" s="1191" t="n">
        <v>1301705.93</v>
      </c>
      <c r="CV59" s="977" t="n"/>
      <c r="CW59" s="108" t="n"/>
      <c r="CX59" s="108" t="n"/>
      <c r="CY59" s="108" t="n"/>
      <c r="CZ59" s="786" t="n"/>
      <c r="DA59" s="977" t="n"/>
      <c r="DB59" s="977" t="n"/>
      <c r="DC59" s="978" t="n"/>
      <c r="DD59" s="977" t="n"/>
      <c r="DE59" s="977" t="n"/>
      <c r="DF59" s="977" t="n"/>
      <c r="DG59" s="977" t="n"/>
      <c r="DH59" s="977" t="n"/>
      <c r="DI59" s="977" t="n"/>
      <c r="DJ59" s="977" t="n"/>
      <c r="DK59" s="977" t="n"/>
      <c r="DL59" s="977" t="n"/>
      <c r="DM59" s="977" t="n"/>
      <c r="DN59" s="977" t="n"/>
      <c r="DO59" s="977" t="n"/>
      <c r="DP59" s="977" t="n"/>
      <c r="DQ59" s="977" t="n"/>
      <c r="DR59" s="977" t="n"/>
      <c r="DS59" s="977" t="n"/>
      <c r="DT59" s="977" t="n"/>
      <c r="DU59" s="977" t="n"/>
      <c r="DV59" s="977" t="n"/>
      <c r="DW59" s="977" t="n"/>
      <c r="DX59" s="977" t="n"/>
      <c r="DY59" s="977" t="n"/>
      <c r="DZ59" s="977" t="n"/>
      <c r="EA59" s="977" t="n"/>
      <c r="EB59" s="977" t="n"/>
      <c r="EC59" s="977" t="n"/>
      <c r="ED59" s="977" t="n"/>
      <c r="EE59" s="977" t="n"/>
      <c r="EP59" s="977" t="n"/>
      <c r="EQ59" s="977" t="n"/>
      <c r="ER59" s="977" t="n"/>
      <c r="ES59" s="977" t="n"/>
      <c r="ET59" s="977" t="n"/>
      <c r="EU59" s="977" t="n"/>
      <c r="EV59" s="977" t="n"/>
      <c r="EW59" s="977" t="n"/>
      <c r="EX59" s="977" t="n"/>
      <c r="EY59" s="977" t="n"/>
      <c r="EZ59" s="977" t="n"/>
      <c r="FA59" s="977" t="n"/>
      <c r="FB59" s="977" t="n"/>
    </row>
    <row r="60" customFormat="1" s="101">
      <c r="A60" s="101" t="inlineStr">
        <is>
          <t>2512KB라이프</t>
        </is>
      </c>
      <c r="B60" s="101" t="n">
        <v>2512</v>
      </c>
      <c r="C60" s="101" t="inlineStr">
        <is>
          <t>KB라이프</t>
        </is>
      </c>
      <c r="D60" s="977" t="n">
        <v>35228934</v>
      </c>
      <c r="E60" s="977" t="n">
        <v>9242637</v>
      </c>
      <c r="F60" s="977" t="n">
        <v>22153157</v>
      </c>
      <c r="G60" s="977" t="n">
        <v>1695885</v>
      </c>
      <c r="H60" s="977" t="n">
        <v>233432</v>
      </c>
      <c r="I60" s="978">
        <f>E60/D60</f>
        <v/>
      </c>
      <c r="J60" s="978">
        <f>F60/D60</f>
        <v/>
      </c>
      <c r="K60" s="978">
        <f>G60/D60</f>
        <v/>
      </c>
      <c r="L60" s="977" t="n">
        <v>31010346</v>
      </c>
      <c r="M60" s="977" t="n">
        <v>28477370</v>
      </c>
      <c r="N60" s="979">
        <f>O60-P60</f>
        <v/>
      </c>
      <c r="O60" s="979" t="n">
        <v>4218588</v>
      </c>
      <c r="P60" s="979" t="n">
        <v>49800</v>
      </c>
      <c r="Q60" s="979" t="n">
        <v>31467</v>
      </c>
      <c r="R60" s="979" t="n">
        <v>3159018</v>
      </c>
      <c r="S60" s="979" t="n">
        <v>4537158</v>
      </c>
      <c r="T60" s="979" t="n">
        <v>4487358</v>
      </c>
      <c r="U60" s="976" t="n"/>
      <c r="V60" s="976" t="n">
        <v>28158659.912</v>
      </c>
      <c r="W60" s="999" t="n"/>
      <c r="X60" s="979">
        <f>Q60</f>
        <v/>
      </c>
      <c r="Y60" s="1192" t="n">
        <v>-1063957</v>
      </c>
      <c r="Z60" s="1192" t="n">
        <v>1141793</v>
      </c>
      <c r="AA60" s="1192" t="n">
        <v>9328</v>
      </c>
      <c r="AB60" s="1192" t="n">
        <v>-48859</v>
      </c>
      <c r="AC60" s="979" t="n"/>
      <c r="AD60" s="1192" t="n">
        <v>-6838</v>
      </c>
      <c r="AE60" s="979">
        <f>X60-(Y60+Z60+AA60+AB60+AC60+AD60)</f>
        <v/>
      </c>
      <c r="AF60" s="977" t="n">
        <v>261885</v>
      </c>
      <c r="AG60" s="977" t="n">
        <v>872636</v>
      </c>
      <c r="AH60" s="977" t="n">
        <v>610751</v>
      </c>
      <c r="AI60" s="977" t="n">
        <v>151829</v>
      </c>
      <c r="AJ60" s="977" t="n">
        <v>-1826832</v>
      </c>
      <c r="AK60" s="977" t="n">
        <v>-405</v>
      </c>
      <c r="AL60" s="977" t="n"/>
      <c r="AM60" s="977" t="n"/>
      <c r="AN60" s="977" t="n">
        <v>115586</v>
      </c>
      <c r="AO60" s="977" t="n">
        <v>413714</v>
      </c>
      <c r="AP60" s="977" t="n">
        <v>4478</v>
      </c>
      <c r="AQ60" s="979" t="n">
        <v>418192</v>
      </c>
      <c r="AR60" s="979" t="n">
        <v>265888</v>
      </c>
      <c r="AS60" s="979">
        <f>AO60+AP60-AQ60</f>
        <v/>
      </c>
      <c r="AT60" s="979" t="n"/>
      <c r="AU60" s="979">
        <f>AF60+AI60-AO60</f>
        <v/>
      </c>
      <c r="AV60" s="979">
        <f>AF60</f>
        <v/>
      </c>
      <c r="AW60" s="979">
        <f>AI60</f>
        <v/>
      </c>
      <c r="AX60" s="979">
        <f>AP60</f>
        <v/>
      </c>
      <c r="AY60" s="979">
        <f>AV60+AW60+AX60</f>
        <v/>
      </c>
      <c r="AZ60" s="977" t="n"/>
      <c r="BA60" s="977" t="n"/>
      <c r="BB60" s="978" t="n"/>
      <c r="BC60" s="977" t="n">
        <v>363125</v>
      </c>
      <c r="BD60" s="977" t="n">
        <v>-1003540</v>
      </c>
      <c r="BE60" s="977" t="n"/>
      <c r="BF60" s="977" t="n">
        <v>715247</v>
      </c>
      <c r="BG60" s="977" t="n">
        <v>-46179</v>
      </c>
      <c r="BH60" s="977" t="n"/>
      <c r="BI60" s="977" t="n">
        <v>2814</v>
      </c>
      <c r="BJ60" s="977" t="n"/>
      <c r="BK60" s="977">
        <f>Q60</f>
        <v/>
      </c>
      <c r="BL60" s="979" t="n"/>
      <c r="BM60" s="977" t="n">
        <v>3145930</v>
      </c>
      <c r="BN60" s="977" t="n">
        <v>-250000</v>
      </c>
      <c r="BO60" s="977" t="n"/>
      <c r="BP60" s="977">
        <f>AR60</f>
        <v/>
      </c>
      <c r="BQ60" s="977" t="n"/>
      <c r="BR60" s="977" t="n">
        <v>-2800</v>
      </c>
      <c r="BS60" s="977">
        <f>R60</f>
        <v/>
      </c>
      <c r="BT60" s="979" t="n">
        <v>0</v>
      </c>
      <c r="BU60" s="979" t="n">
        <v>24663299</v>
      </c>
      <c r="BV60" s="979" t="n">
        <v>550296</v>
      </c>
      <c r="BW60" s="979" t="n">
        <v>3263775</v>
      </c>
      <c r="BX60" s="979" t="n">
        <v>504729</v>
      </c>
      <c r="BY60" s="979" t="n">
        <v>297607</v>
      </c>
      <c r="BZ60" s="979" t="n">
        <v>-51264</v>
      </c>
      <c r="CA60" s="979" t="n">
        <v>97408</v>
      </c>
      <c r="CB60" s="979" t="n">
        <v>3010509</v>
      </c>
      <c r="CC60" s="977" t="n"/>
      <c r="CD60" s="977">
        <f>CB60+BX60-BY60+BZ60+CA60-BW60</f>
        <v/>
      </c>
      <c r="CE60" s="1191" t="n">
        <v>204954</v>
      </c>
      <c r="CF60" s="1191" t="n">
        <v>356126</v>
      </c>
      <c r="CG60" s="1191" t="n">
        <v>298763</v>
      </c>
      <c r="CH60" s="1191" t="n">
        <v>592871</v>
      </c>
      <c r="CI60" s="1191" t="n">
        <v>1811061</v>
      </c>
      <c r="CJ60" s="977">
        <f>BW60</f>
        <v/>
      </c>
      <c r="CK60" s="977" t="n"/>
      <c r="CL60" s="977" t="n">
        <v>0</v>
      </c>
      <c r="CM60" s="977" t="n"/>
      <c r="CN60" s="1201" t="n">
        <v>2.7219</v>
      </c>
      <c r="CO60" s="1191" t="n">
        <v>5871662</v>
      </c>
      <c r="CP60" s="1191" t="n">
        <v>2157159</v>
      </c>
      <c r="CQ60" s="1200" t="n">
        <v>2.7219</v>
      </c>
      <c r="CR60" s="1192" t="n">
        <v>5871662</v>
      </c>
      <c r="CS60" s="1192" t="n">
        <v>2157159</v>
      </c>
      <c r="CT60" s="977" t="n"/>
      <c r="CU60" s="977" t="n">
        <v>1361154.191</v>
      </c>
      <c r="CV60" s="977" t="n"/>
      <c r="CW60" s="108" t="n">
        <v>0.521</v>
      </c>
      <c r="CX60" s="108" t="n">
        <v>0.572</v>
      </c>
      <c r="CY60" s="108">
        <f>CW60-CX60</f>
        <v/>
      </c>
      <c r="CZ60" s="786">
        <f>CX60/CW60</f>
        <v/>
      </c>
      <c r="DA60" s="977" t="n"/>
      <c r="DB60" s="977" t="n"/>
      <c r="DC60" s="978" t="n"/>
      <c r="DD60" s="977" t="n"/>
      <c r="DE60" s="977" t="n"/>
      <c r="DF60" s="977" t="n"/>
      <c r="DG60" s="977" t="n"/>
      <c r="DH60" s="977" t="n"/>
      <c r="DI60" s="977" t="n"/>
      <c r="DJ60" s="977" t="n"/>
      <c r="DK60" s="977" t="n"/>
      <c r="DL60" s="977" t="n"/>
      <c r="DM60" s="977" t="n"/>
      <c r="DN60" s="977" t="n"/>
      <c r="DO60" s="977" t="n"/>
      <c r="DP60" s="977" t="n"/>
      <c r="DQ60" s="977" t="n"/>
      <c r="DR60" s="977" t="n"/>
      <c r="DS60" s="977" t="n"/>
      <c r="DT60" s="977" t="n"/>
      <c r="DU60" s="977" t="n"/>
      <c r="DV60" s="977" t="n"/>
      <c r="DW60" s="977" t="n"/>
      <c r="DX60" s="977" t="n"/>
      <c r="DY60" s="977" t="n"/>
      <c r="DZ60" s="977" t="n"/>
      <c r="EA60" s="977" t="n"/>
      <c r="EB60" s="977" t="n"/>
      <c r="EC60" s="977" t="n"/>
      <c r="ED60" s="977" t="n"/>
      <c r="EE60" s="977" t="n"/>
      <c r="EP60" s="977" t="n">
        <v>328145</v>
      </c>
      <c r="EQ60" s="977" t="n">
        <v>-5289</v>
      </c>
      <c r="ER60" s="977" t="n">
        <v>-147004</v>
      </c>
      <c r="ES60" s="977" t="n">
        <v>20271</v>
      </c>
      <c r="ET60" s="977" t="n">
        <v>-111097</v>
      </c>
      <c r="EU60" s="977" t="n"/>
      <c r="EV60" s="977" t="n"/>
      <c r="EW60" s="977" t="n">
        <v>-328145</v>
      </c>
      <c r="EX60" s="977" t="n">
        <v>5289</v>
      </c>
      <c r="EY60" s="977" t="n">
        <v>147004</v>
      </c>
      <c r="EZ60" s="977" t="n">
        <v>-20271</v>
      </c>
      <c r="FA60" s="977" t="n">
        <v>111097</v>
      </c>
      <c r="FB60" s="977" t="n">
        <v>33761</v>
      </c>
      <c r="FC60" s="767" t="n">
        <v>0</v>
      </c>
    </row>
    <row r="61" customFormat="1" s="101">
      <c r="D61" s="977" t="n"/>
      <c r="E61" s="977" t="n"/>
      <c r="F61" s="977" t="n"/>
      <c r="G61" s="977" t="n"/>
      <c r="H61" s="977" t="n"/>
      <c r="I61" s="978" t="n"/>
      <c r="J61" s="978" t="n"/>
      <c r="K61" s="978" t="n"/>
      <c r="L61" s="977" t="n"/>
      <c r="M61" s="977" t="n"/>
      <c r="N61" s="979" t="n"/>
      <c r="O61" s="979" t="n"/>
      <c r="P61" s="979" t="n"/>
      <c r="Q61" s="979" t="n"/>
      <c r="R61" s="979" t="n"/>
      <c r="S61" s="979" t="n"/>
      <c r="T61" s="979" t="n"/>
      <c r="U61" s="980" t="n"/>
      <c r="V61" s="980" t="n"/>
      <c r="W61" s="992" t="n"/>
      <c r="X61" s="979" t="n"/>
      <c r="Y61" s="979" t="n"/>
      <c r="Z61" s="979" t="n"/>
      <c r="AA61" s="979" t="n"/>
      <c r="AB61" s="979" t="n"/>
      <c r="AC61" s="979" t="n"/>
      <c r="AD61" s="979" t="n"/>
      <c r="AE61" s="979" t="n"/>
      <c r="AF61" s="977" t="n"/>
      <c r="AG61" s="977" t="n"/>
      <c r="AH61" s="977" t="n"/>
      <c r="AI61" s="977" t="n"/>
      <c r="AJ61" s="977" t="n"/>
      <c r="AK61" s="977" t="n"/>
      <c r="AL61" s="977" t="n"/>
      <c r="AM61" s="977" t="n"/>
      <c r="AN61" s="977" t="n"/>
      <c r="AO61" s="977" t="n"/>
      <c r="AP61" s="977" t="n"/>
      <c r="AQ61" s="979" t="n"/>
      <c r="AR61" s="979" t="n"/>
      <c r="AS61" s="979" t="n"/>
      <c r="AT61" s="979" t="n"/>
      <c r="AU61" s="979" t="n"/>
      <c r="AV61" s="979" t="n"/>
      <c r="AW61" s="979" t="n"/>
      <c r="AX61" s="979" t="n"/>
      <c r="AY61" s="979" t="n"/>
      <c r="AZ61" s="977" t="n"/>
      <c r="BA61" s="977" t="n"/>
      <c r="BB61" s="978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9" t="n"/>
      <c r="BM61" s="977" t="n"/>
      <c r="BN61" s="977" t="n"/>
      <c r="BO61" s="977" t="n"/>
      <c r="BP61" s="977" t="n"/>
      <c r="BQ61" s="977" t="n"/>
      <c r="BR61" s="977" t="n"/>
      <c r="BS61" s="977" t="n"/>
      <c r="BT61" s="979" t="n"/>
      <c r="BU61" s="979" t="n"/>
      <c r="BV61" s="979" t="n"/>
      <c r="BW61" s="979" t="n"/>
      <c r="BX61" s="979" t="n"/>
      <c r="BY61" s="979" t="n"/>
      <c r="BZ61" s="979" t="n"/>
      <c r="CA61" s="979" t="n"/>
      <c r="CB61" s="979" t="n"/>
      <c r="CC61" s="977" t="n"/>
      <c r="CD61" s="977" t="n"/>
      <c r="CE61" s="977" t="n"/>
      <c r="CF61" s="977" t="n"/>
      <c r="CG61" s="977" t="n"/>
      <c r="CH61" s="977" t="n"/>
      <c r="CI61" s="977" t="n"/>
      <c r="CJ61" s="977" t="n"/>
      <c r="CK61" s="977" t="n"/>
      <c r="CL61" s="977" t="n"/>
      <c r="CM61" s="977" t="n"/>
      <c r="CN61" s="978" t="n"/>
      <c r="CO61" s="977" t="n"/>
      <c r="CP61" s="977" t="n"/>
      <c r="CQ61" s="996" t="n"/>
      <c r="CR61" s="979" t="n"/>
      <c r="CS61" s="979" t="n"/>
      <c r="CT61" s="977" t="n"/>
      <c r="CU61" s="977" t="n"/>
      <c r="CV61" s="977" t="n"/>
      <c r="CW61" s="108" t="n"/>
      <c r="CX61" s="108" t="n"/>
      <c r="CY61" s="108" t="n"/>
      <c r="CZ61" s="786" t="n"/>
      <c r="DA61" s="977" t="n"/>
      <c r="DB61" s="977" t="n"/>
      <c r="DC61" s="978" t="n"/>
      <c r="DD61" s="977" t="n"/>
      <c r="DE61" s="977" t="n"/>
      <c r="DF61" s="977" t="n"/>
      <c r="DG61" s="977" t="n"/>
      <c r="DH61" s="977" t="n"/>
      <c r="DI61" s="977" t="n"/>
      <c r="DJ61" s="977" t="n"/>
      <c r="DK61" s="977" t="n"/>
      <c r="DL61" s="977" t="n"/>
      <c r="DM61" s="977" t="n"/>
      <c r="DN61" s="977" t="n"/>
      <c r="DO61" s="977" t="n"/>
      <c r="DP61" s="977" t="n"/>
      <c r="DQ61" s="977" t="n"/>
      <c r="DR61" s="977" t="n"/>
      <c r="DS61" s="977" t="n"/>
      <c r="DT61" s="977" t="n"/>
      <c r="DU61" s="977" t="n"/>
      <c r="DV61" s="977" t="n"/>
      <c r="DW61" s="977" t="n"/>
      <c r="DX61" s="977" t="n"/>
      <c r="DY61" s="977" t="n"/>
      <c r="DZ61" s="977" t="n"/>
      <c r="EA61" s="977" t="n"/>
      <c r="EB61" s="977" t="n"/>
      <c r="EC61" s="977" t="n"/>
      <c r="ED61" s="977" t="n"/>
      <c r="EE61" s="977" t="n"/>
      <c r="EP61" s="977" t="n"/>
      <c r="EQ61" s="977" t="n"/>
      <c r="ER61" s="977" t="n"/>
      <c r="ES61" s="977" t="n"/>
      <c r="ET61" s="977" t="n"/>
      <c r="EU61" s="977" t="n"/>
      <c r="EV61" s="977" t="n"/>
      <c r="EW61" s="977" t="n"/>
      <c r="EX61" s="977" t="n"/>
      <c r="EY61" s="977" t="n"/>
      <c r="EZ61" s="977" t="n"/>
      <c r="FA61" s="977" t="n"/>
      <c r="FB61" s="977" t="n"/>
    </row>
    <row r="62">
      <c r="A62" s="643" t="inlineStr">
        <is>
          <t>2212삼성화재</t>
        </is>
      </c>
      <c r="B62" s="643" t="n">
        <v>2212</v>
      </c>
      <c r="C62" s="643" t="inlineStr">
        <is>
          <t>삼성화재</t>
        </is>
      </c>
      <c r="I62" s="786" t="n"/>
      <c r="J62" s="786" t="n"/>
      <c r="K62" s="786" t="n"/>
      <c r="O62" s="1205" t="n"/>
      <c r="P62" s="1205" t="n"/>
      <c r="Q62" s="1205" t="n"/>
      <c r="R62" s="1205" t="n"/>
      <c r="AS62" s="966" t="n"/>
      <c r="AT62" s="966" t="n"/>
      <c r="AU62" s="966" t="n"/>
      <c r="AV62" s="966" t="n"/>
      <c r="AW62" s="966" t="n"/>
      <c r="AX62" s="966" t="n"/>
      <c r="AY62" s="966" t="n"/>
      <c r="BB62" s="786" t="n"/>
      <c r="BL62" s="966" t="n"/>
      <c r="BT62" s="1192" t="n"/>
      <c r="CL62" s="1205" t="n"/>
      <c r="CN62" s="786" t="n"/>
      <c r="CQ62" s="786" t="n"/>
    </row>
    <row r="63">
      <c r="A63" s="643" t="inlineStr">
        <is>
          <t>2312삼성화재</t>
        </is>
      </c>
      <c r="B63" s="643" t="n">
        <v>2312</v>
      </c>
      <c r="C63" s="643" t="inlineStr">
        <is>
          <t>삼성화재</t>
        </is>
      </c>
      <c r="D63" s="697" t="n">
        <v>83617400.31856699</v>
      </c>
      <c r="E63" s="697" t="n">
        <v>11482430.335878</v>
      </c>
      <c r="F63" s="697" t="n">
        <v>37719997.078624</v>
      </c>
      <c r="G63" s="697" t="n">
        <v>29696287.474872</v>
      </c>
      <c r="H63" s="697" t="n">
        <v>579396.890722</v>
      </c>
      <c r="I63" s="786">
        <f>E63/D63</f>
        <v/>
      </c>
      <c r="J63" s="786">
        <f>F63/D63</f>
        <v/>
      </c>
      <c r="K63" s="786">
        <f>G63/D63</f>
        <v/>
      </c>
      <c r="L63" s="697" t="n">
        <v>67712224.851601</v>
      </c>
      <c r="M63" s="697" t="n">
        <v>51620536.425094</v>
      </c>
      <c r="N63" s="697">
        <f>O63-P63</f>
        <v/>
      </c>
      <c r="O63" s="697" t="n">
        <v>15905175.466966</v>
      </c>
      <c r="P63" s="1205" t="n"/>
      <c r="Q63" s="697" t="n">
        <v>4343488.248398</v>
      </c>
      <c r="R63" s="697" t="n">
        <v>12079484.138017</v>
      </c>
      <c r="S63" s="1195" t="n">
        <v>12290260.4245</v>
      </c>
      <c r="T63" s="1192" t="n">
        <v>12290260.4245</v>
      </c>
      <c r="U63" s="697" t="n">
        <v>83617400.31856699</v>
      </c>
      <c r="V63" s="1205" t="n">
        <v>80508366.55</v>
      </c>
      <c r="W63" s="1202" t="n"/>
      <c r="X63" s="697">
        <f>Q63</f>
        <v/>
      </c>
      <c r="Y63" s="1205" t="n"/>
      <c r="Z63" s="1205" t="n"/>
      <c r="AA63" s="1205" t="n"/>
      <c r="AB63" s="1205" t="n"/>
      <c r="AD63" s="1205" t="n"/>
      <c r="AE63" s="697">
        <f>X63-(Y63+Z63+AA63+AB63+AC63+AD63)</f>
        <v/>
      </c>
      <c r="AF63" s="697" t="n">
        <v>1863078.75816</v>
      </c>
      <c r="AG63" s="697" t="n">
        <v>16794121.007131</v>
      </c>
      <c r="AH63" s="697" t="n">
        <v>14931042.248971</v>
      </c>
      <c r="AI63" s="697" t="n">
        <v>513146.179233</v>
      </c>
      <c r="AJ63" s="697" t="n">
        <v>-1418297.386041</v>
      </c>
      <c r="AK63" s="1195" t="n">
        <v>46244.466705</v>
      </c>
      <c r="AL63" s="697">
        <f>AI63-AJ63-AK63+AM63-AN63</f>
        <v/>
      </c>
      <c r="AM63" s="697" t="n">
        <v>29548.213026</v>
      </c>
      <c r="AN63" s="697" t="n">
        <v>202041.393404</v>
      </c>
      <c r="AO63" s="1205" t="n"/>
      <c r="AP63" s="1205" t="n"/>
      <c r="AQ63" s="697" t="n">
        <v>2361056.418474</v>
      </c>
      <c r="AR63" s="697" t="n">
        <v>1755374.286951</v>
      </c>
      <c r="AS63" s="966" t="n"/>
      <c r="AT63" s="966">
        <f>AJ63+AK63+AL63-AM63+AN63-AI63</f>
        <v/>
      </c>
      <c r="AU63" s="966" t="n"/>
      <c r="AV63" s="966">
        <f>AF63</f>
        <v/>
      </c>
      <c r="AW63" s="966">
        <f>AI63</f>
        <v/>
      </c>
      <c r="AX63" s="966" t="n"/>
      <c r="AY63" s="966">
        <f>AV63+AW63+AX63</f>
        <v/>
      </c>
      <c r="BB63" s="1201" t="n"/>
      <c r="BC63" s="1195" t="n">
        <v>2111193.570499</v>
      </c>
      <c r="BD63" s="697" t="n">
        <v>3240092.034186</v>
      </c>
      <c r="BF63" s="697" t="n">
        <v>-575223.497818</v>
      </c>
      <c r="BG63" s="1195" t="n">
        <v>32250.606365</v>
      </c>
      <c r="BI63" s="697" t="n">
        <v>-50142.546987</v>
      </c>
      <c r="BJ63" s="697" t="n">
        <v>2142.982758</v>
      </c>
      <c r="BK63" s="697">
        <f>Q63</f>
        <v/>
      </c>
      <c r="BL63" s="966" t="n"/>
      <c r="BM63" s="1195" t="n">
        <v>10696863.77345</v>
      </c>
      <c r="BN63" s="697" t="n">
        <v>-586644.7269</v>
      </c>
      <c r="BP63" s="697">
        <f>AR63</f>
        <v/>
      </c>
      <c r="BS63" s="697">
        <f>R63</f>
        <v/>
      </c>
      <c r="BT63" s="966" t="n">
        <v>0</v>
      </c>
      <c r="BU63" s="1205" t="n"/>
      <c r="BV63" s="1205" t="n">
        <v>1644163.296</v>
      </c>
      <c r="BW63" s="1205" t="n">
        <v>13302818.39</v>
      </c>
      <c r="BX63" s="1205" t="n"/>
      <c r="BY63" s="1205" t="n"/>
      <c r="BZ63" s="1205" t="n"/>
      <c r="CA63" s="1205" t="n"/>
      <c r="CB63" s="1205" t="n"/>
      <c r="CE63" s="1205" t="n">
        <v>1064159</v>
      </c>
      <c r="CF63" s="1205" t="n">
        <v>1691307</v>
      </c>
      <c r="CG63" s="1205" t="n">
        <v>1316590</v>
      </c>
      <c r="CH63" s="1205" t="n">
        <v>9230762</v>
      </c>
      <c r="CI63" s="697" t="n">
        <v>0</v>
      </c>
      <c r="CJ63" s="697">
        <f>BW63</f>
        <v/>
      </c>
      <c r="CL63" s="1205" t="n"/>
      <c r="CN63" s="1201" t="n">
        <v>2.7301</v>
      </c>
      <c r="CO63" s="1205" t="n">
        <v>23762200</v>
      </c>
      <c r="CP63" s="1205" t="n">
        <v>8703800</v>
      </c>
      <c r="CQ63" s="1201" t="n">
        <v>2.7301</v>
      </c>
      <c r="CR63" s="1205" t="n">
        <v>23762200</v>
      </c>
      <c r="CS63" s="1205" t="n">
        <v>8703800</v>
      </c>
      <c r="CU63" s="697" t="n">
        <v>1180012.136</v>
      </c>
      <c r="DC63" s="1205" t="n"/>
      <c r="DD63" s="1205" t="n"/>
      <c r="DE63" s="1205" t="n"/>
      <c r="DG63" s="1205" t="n"/>
      <c r="DH63" s="1205" t="n"/>
      <c r="DI63" s="1205" t="n"/>
      <c r="DJ63" s="1205" t="n"/>
      <c r="DK63" s="1205" t="n"/>
      <c r="DL63" s="1205" t="n"/>
      <c r="DM63" s="1205" t="n"/>
    </row>
    <row r="64">
      <c r="A64" s="643" t="inlineStr">
        <is>
          <t>2412삼성화재</t>
        </is>
      </c>
      <c r="B64" s="643" t="n">
        <v>2412</v>
      </c>
      <c r="C64" s="643" t="inlineStr">
        <is>
          <t>삼성화재</t>
        </is>
      </c>
      <c r="D64" s="697" t="n">
        <v>85223562.94037899</v>
      </c>
      <c r="E64" s="697" t="n">
        <v>12871140.40956</v>
      </c>
      <c r="F64" s="697" t="n">
        <v>37005933.194439</v>
      </c>
      <c r="G64" s="1195" t="n">
        <v>29366104.823038</v>
      </c>
      <c r="H64" s="697" t="n">
        <v>750180.7303920001</v>
      </c>
      <c r="I64" s="786">
        <f>E64/D64</f>
        <v/>
      </c>
      <c r="J64" s="786">
        <f>F64/D64</f>
        <v/>
      </c>
      <c r="K64" s="786">
        <f>G64/D64</f>
        <v/>
      </c>
      <c r="L64" s="697" t="n">
        <v>69927725.392902</v>
      </c>
      <c r="M64" s="697" t="n">
        <v>51609548.606735</v>
      </c>
      <c r="N64" s="697">
        <f>O64-P64</f>
        <v/>
      </c>
      <c r="O64" s="697" t="n">
        <v>15295837.547477</v>
      </c>
      <c r="P64" s="1205" t="n"/>
      <c r="Q64" s="697" t="n">
        <v>2368463.818689</v>
      </c>
      <c r="R64" s="697" t="n">
        <v>13445170.648237</v>
      </c>
      <c r="S64" s="697" t="n">
        <v>15905175.466966</v>
      </c>
      <c r="T64" s="979" t="n">
        <v>15905175.466966</v>
      </c>
      <c r="U64" s="697" t="n">
        <v>85223562.94037899</v>
      </c>
      <c r="V64" s="1205" t="n">
        <v>81940978.374</v>
      </c>
      <c r="W64" s="1202" t="n"/>
      <c r="X64" s="697">
        <f>Q64</f>
        <v/>
      </c>
      <c r="Y64" s="1205" t="n">
        <v>2371596</v>
      </c>
      <c r="Z64" s="1205" t="n">
        <v>-2729</v>
      </c>
      <c r="AA64" s="1205" t="n">
        <v>-24271</v>
      </c>
      <c r="AB64" s="1205" t="n"/>
      <c r="AD64" s="1205" t="n"/>
      <c r="AE64" s="697">
        <f>X64-(Y64+Z64+AA64+AB64+AC64+AD64)</f>
        <v/>
      </c>
      <c r="AF64" s="697" t="n">
        <v>1780370.394335</v>
      </c>
      <c r="AG64" s="697" t="n">
        <v>17534798.454723</v>
      </c>
      <c r="AH64" s="697" t="n">
        <v>15754428.060388</v>
      </c>
      <c r="AI64" s="697" t="n">
        <v>919173.464104</v>
      </c>
      <c r="AJ64" s="1195" t="n">
        <v>-1413529.665601</v>
      </c>
      <c r="AK64" s="697" t="n">
        <v>73312.806111</v>
      </c>
      <c r="AL64" s="697">
        <f>AI64-AJ64-AK64+AM64-AN64</f>
        <v/>
      </c>
      <c r="AM64" s="697" t="n">
        <v>28248.237908</v>
      </c>
      <c r="AN64" s="697" t="n">
        <v>448590.572113</v>
      </c>
      <c r="AO64" s="697" t="n">
        <v>2699543.858439</v>
      </c>
      <c r="AP64" s="697" t="n">
        <v>4540.516556</v>
      </c>
      <c r="AQ64" s="697" t="n">
        <v>2704084.374995</v>
      </c>
      <c r="AR64" s="697" t="n">
        <v>2047781.248104</v>
      </c>
      <c r="AS64" s="966">
        <f>AO64+AP64-AQ64</f>
        <v/>
      </c>
      <c r="AT64" s="966">
        <f>AJ64+AK64+AL64-AM64+AN64-AI64</f>
        <v/>
      </c>
      <c r="AU64" s="966">
        <f>AF64+AI64-AO64</f>
        <v/>
      </c>
      <c r="AV64" s="966">
        <f>AF64</f>
        <v/>
      </c>
      <c r="AW64" s="966">
        <f>AI64</f>
        <v/>
      </c>
      <c r="AX64" s="966">
        <f>AP64</f>
        <v/>
      </c>
      <c r="AY64" s="966">
        <f>AV64+AW64+AX64</f>
        <v/>
      </c>
      <c r="BB64" s="1201" t="n"/>
      <c r="BC64" s="697" t="n">
        <v>4343488.248398</v>
      </c>
      <c r="BD64" s="697" t="n">
        <v>-1045820.858672</v>
      </c>
      <c r="BF64" s="697" t="n">
        <v>-933489.959903</v>
      </c>
      <c r="BG64" s="697" t="n">
        <v>17962.513165</v>
      </c>
      <c r="BI64" s="697" t="n">
        <v>-34495.269752</v>
      </c>
      <c r="BJ64" s="697" t="n">
        <v>20819.145453</v>
      </c>
      <c r="BK64" s="697">
        <f>Q64</f>
        <v/>
      </c>
      <c r="BL64" s="966" t="n"/>
      <c r="BM64" s="697" t="n">
        <v>12079484.138017</v>
      </c>
      <c r="BN64" s="697" t="n">
        <v>-680181.6229899999</v>
      </c>
      <c r="BP64" s="697">
        <f>AR64</f>
        <v/>
      </c>
      <c r="BQ64" s="697" t="n">
        <v>-1929.075784</v>
      </c>
      <c r="BS64" s="697">
        <f>R64</f>
        <v/>
      </c>
      <c r="BT64" s="966" t="n">
        <v>0</v>
      </c>
      <c r="BU64" s="1205" t="n"/>
      <c r="BV64" s="1205" t="n">
        <v>1917836.02</v>
      </c>
      <c r="BW64" s="1205" t="n">
        <v>14073909.15</v>
      </c>
      <c r="BX64" s="1205" t="n"/>
      <c r="BY64" s="1205" t="n"/>
      <c r="BZ64" s="1205" t="n"/>
      <c r="CA64" s="1205" t="n"/>
      <c r="CB64" s="1205" t="n"/>
      <c r="CC64" s="1204" t="n"/>
      <c r="CE64" s="1205" t="n">
        <v>1058610</v>
      </c>
      <c r="CF64" s="1205" t="n">
        <v>1681189</v>
      </c>
      <c r="CG64" s="1205" t="n">
        <v>1288901</v>
      </c>
      <c r="CH64" s="1205" t="n">
        <v>10045209</v>
      </c>
      <c r="CI64" s="697" t="n">
        <v>0</v>
      </c>
      <c r="CJ64" s="697">
        <f>BW64</f>
        <v/>
      </c>
      <c r="CL64" s="1205" t="n"/>
      <c r="CN64" s="786" t="n">
        <v>2.6446</v>
      </c>
      <c r="CO64" s="697" t="n">
        <v>24163900</v>
      </c>
      <c r="CP64" s="697" t="n">
        <v>9137100</v>
      </c>
      <c r="CQ64" s="1201" t="n">
        <v>2.6446</v>
      </c>
      <c r="CR64" s="1205" t="n">
        <v>24163900</v>
      </c>
      <c r="CS64" s="1205" t="n">
        <v>9137100</v>
      </c>
      <c r="CU64" s="975" t="n">
        <v>2213099.295</v>
      </c>
      <c r="CW64" s="103" t="n">
        <v>0.9024</v>
      </c>
      <c r="CX64" s="103" t="n">
        <v>0.8756</v>
      </c>
      <c r="CY64" s="103">
        <f>CW64-CX64</f>
        <v/>
      </c>
      <c r="CZ64" s="786">
        <f>CX64/CW64</f>
        <v/>
      </c>
      <c r="DC64" s="1205" t="n"/>
      <c r="DD64" s="1205" t="n"/>
      <c r="DE64" s="1205" t="n"/>
      <c r="DG64" s="1205" t="n"/>
      <c r="DH64" s="1205" t="n"/>
      <c r="DI64" s="1205" t="n"/>
      <c r="DJ64" s="1205" t="n"/>
      <c r="DK64" s="1205" t="n"/>
      <c r="DL64" s="1205" t="n"/>
      <c r="DM64" s="1205" t="n"/>
      <c r="EP64" s="1205" t="n"/>
      <c r="EQ64" s="1205" t="n"/>
      <c r="ER64" s="1205" t="n"/>
      <c r="ES64" s="1205" t="n"/>
      <c r="ET64" s="1205" t="n"/>
      <c r="EW64" s="1205" t="n"/>
      <c r="EX64" s="1205" t="n"/>
      <c r="EY64" s="1205" t="n"/>
      <c r="EZ64" s="1205" t="n"/>
      <c r="FA64" s="1205" t="n"/>
      <c r="FB64" s="1205" t="n"/>
      <c r="FC64" s="1198" t="n"/>
    </row>
    <row r="65">
      <c r="A65" s="643" t="inlineStr">
        <is>
          <t>2503삼성화재</t>
        </is>
      </c>
      <c r="B65" s="643" t="n">
        <v>2503</v>
      </c>
      <c r="C65" s="643" t="inlineStr">
        <is>
          <t>삼성화재</t>
        </is>
      </c>
      <c r="D65" s="697" t="n">
        <v>86372190.309067</v>
      </c>
      <c r="E65" s="697" t="n">
        <v>12738820.165581</v>
      </c>
      <c r="F65" s="697" t="n">
        <v>38638753.217122</v>
      </c>
      <c r="G65" s="697" t="n">
        <v>29515217.688414</v>
      </c>
      <c r="H65" s="697" t="n">
        <v>750161.218737</v>
      </c>
      <c r="I65" s="786">
        <f>E65/D65</f>
        <v/>
      </c>
      <c r="J65" s="786">
        <f>F65/D65</f>
        <v/>
      </c>
      <c r="K65" s="786">
        <f>G65/D65</f>
        <v/>
      </c>
      <c r="L65" s="697" t="n">
        <v>71349476.57741299</v>
      </c>
      <c r="M65" s="697" t="n">
        <v>51961988.308162</v>
      </c>
      <c r="N65" s="697">
        <f>O65-P65</f>
        <v/>
      </c>
      <c r="O65" s="697" t="n">
        <v>15022713.731654</v>
      </c>
      <c r="P65" s="1205" t="n"/>
      <c r="Q65" s="697" t="n">
        <v>2307195.774284</v>
      </c>
      <c r="R65" s="697" t="n">
        <v>13233314.876819</v>
      </c>
      <c r="S65" s="697" t="n">
        <v>15295837.547477</v>
      </c>
      <c r="T65" s="979" t="n">
        <v>15295837.547477</v>
      </c>
      <c r="U65" s="697" t="n">
        <v>86372190.309067</v>
      </c>
      <c r="V65" s="1205" t="n">
        <v>82790947.845</v>
      </c>
      <c r="W65" s="1202" t="n">
        <v>0.9609</v>
      </c>
      <c r="X65" s="697">
        <f>Q65</f>
        <v/>
      </c>
      <c r="Y65" s="1205" t="n"/>
      <c r="Z65" s="1205" t="n"/>
      <c r="AA65" s="1205" t="n"/>
      <c r="AB65" s="1205" t="n"/>
      <c r="AD65" s="1205" t="n"/>
      <c r="AE65" s="697">
        <f>X65-(Y65+Z65+AA65+AB65+AC65+AD65)</f>
        <v/>
      </c>
      <c r="AF65" s="697" t="n">
        <v>481593.295456</v>
      </c>
      <c r="AG65" s="697" t="n">
        <v>4809826.336022</v>
      </c>
      <c r="AH65" s="697" t="n">
        <v>4328233.040566</v>
      </c>
      <c r="AI65" s="697" t="n">
        <v>271543.41725</v>
      </c>
      <c r="AJ65" s="697" t="n">
        <v>-347213.644878</v>
      </c>
      <c r="AK65" s="697" t="n">
        <v>21222.107439</v>
      </c>
      <c r="AL65" s="697">
        <f>AI65-AJ65-AK65+AM65-AN65</f>
        <v/>
      </c>
      <c r="AM65" s="697" t="n">
        <v>7590.385282</v>
      </c>
      <c r="AN65" s="697" t="n">
        <v>112079.193012</v>
      </c>
      <c r="AO65" s="697" t="n">
        <v>753136.712706</v>
      </c>
      <c r="AP65" s="697" t="n">
        <v>1820.372823</v>
      </c>
      <c r="AQ65" s="697" t="n">
        <v>754957.085529</v>
      </c>
      <c r="AR65" s="697" t="n">
        <v>555633.843427</v>
      </c>
      <c r="AS65" s="966">
        <f>AO65+AP65-AQ65</f>
        <v/>
      </c>
      <c r="AT65" s="966">
        <f>AJ65+AK65+AL65-AM65+AN65-AI65</f>
        <v/>
      </c>
      <c r="AU65" s="966">
        <f>AF65+AI65-AO65</f>
        <v/>
      </c>
      <c r="AV65" s="966">
        <f>AF65</f>
        <v/>
      </c>
      <c r="AW65" s="966">
        <f>AI65</f>
        <v/>
      </c>
      <c r="AX65" s="966">
        <f>AP65</f>
        <v/>
      </c>
      <c r="AY65" s="966">
        <f>AV65+AW65+AX65</f>
        <v/>
      </c>
      <c r="BB65" s="786" t="n"/>
      <c r="BC65" s="697" t="n">
        <v>2368463.818689</v>
      </c>
      <c r="BD65" s="697" t="n">
        <v>590563.053944</v>
      </c>
      <c r="BF65" s="1205" t="n"/>
      <c r="BG65" s="1205" t="n"/>
      <c r="BI65" s="1205" t="n"/>
      <c r="BJ65" s="1205" t="n"/>
      <c r="BK65" s="697">
        <f>Q65</f>
        <v/>
      </c>
      <c r="BL65" s="966" t="n"/>
      <c r="BM65" s="697" t="n">
        <v>13445170.648237</v>
      </c>
      <c r="BN65" s="1205" t="n"/>
      <c r="BP65" s="697">
        <f>AR65</f>
        <v/>
      </c>
      <c r="BQ65" s="697" t="n">
        <v>40204.595255</v>
      </c>
      <c r="BR65" s="1205" t="n"/>
      <c r="BS65" s="697">
        <f>R65</f>
        <v/>
      </c>
      <c r="BT65" s="966" t="n">
        <v>0</v>
      </c>
      <c r="BU65" s="1205" t="n">
        <v>25810317</v>
      </c>
      <c r="BV65" s="1205" t="n">
        <v>1984155.517</v>
      </c>
      <c r="BW65" s="1205" t="n">
        <v>14332820.293</v>
      </c>
      <c r="BX65" s="1205" t="n"/>
      <c r="BY65" s="1205" t="n"/>
      <c r="BZ65" s="1205" t="n"/>
      <c r="CA65" s="1205" t="n"/>
      <c r="CB65" s="1205" t="n"/>
      <c r="CC65" s="197" t="n"/>
      <c r="CE65" s="1205" t="n"/>
      <c r="CF65" s="1205" t="n"/>
      <c r="CG65" s="1205" t="n"/>
      <c r="CH65" s="1205" t="n"/>
      <c r="CJ65" s="697">
        <f>BW65</f>
        <v/>
      </c>
      <c r="CL65" s="1205" t="n"/>
      <c r="CN65" s="786" t="n"/>
      <c r="CQ65" s="1201" t="n">
        <v>2.6661</v>
      </c>
      <c r="CR65" s="1205" t="n">
        <v>24913510.968226</v>
      </c>
      <c r="CS65" s="1205" t="n">
        <v>9344644.265937001</v>
      </c>
      <c r="CU65" s="697" t="n">
        <v>2686847.066</v>
      </c>
      <c r="CW65" s="103" t="n"/>
      <c r="CX65" s="103" t="n"/>
      <c r="CY65" s="103" t="n"/>
      <c r="CZ65" s="786" t="n"/>
      <c r="DC65" s="1205" t="n"/>
      <c r="DD65" s="1205" t="n"/>
      <c r="DE65" s="1205" t="n"/>
      <c r="DG65" s="1205" t="n"/>
      <c r="DH65" s="1205" t="n"/>
      <c r="DI65" s="1205" t="n"/>
      <c r="DJ65" s="1205" t="n"/>
      <c r="DK65" s="1205" t="n"/>
      <c r="DL65" s="1205" t="n"/>
      <c r="DM65" s="1205" t="n"/>
    </row>
    <row r="66">
      <c r="A66" s="643" t="inlineStr">
        <is>
          <t>2506삼성화재</t>
        </is>
      </c>
      <c r="B66" s="643" t="n">
        <v>2506</v>
      </c>
      <c r="C66" s="643" t="inlineStr">
        <is>
          <t>삼성화재</t>
        </is>
      </c>
      <c r="D66" s="697" t="n">
        <v>86078393.878755</v>
      </c>
      <c r="E66" s="697" t="n">
        <v>11969379.353569</v>
      </c>
      <c r="F66" s="697" t="n">
        <v>38563051.136619</v>
      </c>
      <c r="G66" s="697" t="n">
        <v>29628952.175302</v>
      </c>
      <c r="H66" s="697" t="n">
        <v>750161.218737</v>
      </c>
      <c r="I66" s="786">
        <f>E66/D66</f>
        <v/>
      </c>
      <c r="J66" s="786">
        <f>F66/D66</f>
        <v/>
      </c>
      <c r="K66" s="786">
        <f>G66/D66</f>
        <v/>
      </c>
      <c r="L66" s="697" t="n">
        <v>70054256.140402</v>
      </c>
      <c r="M66" s="697" t="n">
        <v>50968518.224509</v>
      </c>
      <c r="N66" s="697">
        <f>O66-P66</f>
        <v/>
      </c>
      <c r="O66" s="697" t="n">
        <v>16024137.738353</v>
      </c>
      <c r="P66" s="1205" t="n"/>
      <c r="Q66" s="697" t="n">
        <v>2920605.105803</v>
      </c>
      <c r="R66" s="697" t="n">
        <v>13353245.747587</v>
      </c>
      <c r="S66" s="697" t="n">
        <v>15295837.547477</v>
      </c>
      <c r="T66" s="979" t="n">
        <v>15295837.547477</v>
      </c>
      <c r="U66" s="697" t="n">
        <v>86078393.878755</v>
      </c>
      <c r="V66" s="1205" t="n">
        <v>82430331.01100001</v>
      </c>
      <c r="W66" s="1202" t="n"/>
      <c r="X66" s="697">
        <f>Q66</f>
        <v/>
      </c>
      <c r="Y66" s="697" t="n">
        <v>3222658</v>
      </c>
      <c r="Z66" s="697" t="n">
        <v>-247275</v>
      </c>
      <c r="AA66" s="1205" t="n">
        <v>-17098</v>
      </c>
      <c r="AB66" s="697" t="n">
        <v>93241</v>
      </c>
      <c r="AC66" s="697" t="n">
        <v>123816</v>
      </c>
      <c r="AD66" s="697" t="n">
        <v>-130921</v>
      </c>
      <c r="AF66" s="697" t="n">
        <v>935730.895605</v>
      </c>
      <c r="AG66" s="697" t="n">
        <v>9516852.03589</v>
      </c>
      <c r="AH66" s="697" t="n">
        <v>8581121.140285</v>
      </c>
      <c r="AI66" s="697" t="n">
        <v>336858.707482</v>
      </c>
      <c r="AJ66" s="1195" t="n">
        <v>-608405.395807</v>
      </c>
      <c r="AK66" s="1195" t="n">
        <v>-3254.860287</v>
      </c>
      <c r="AL66" s="697">
        <f>AI66-AJ66-AK66+AM66-AN66</f>
        <v/>
      </c>
      <c r="AM66" s="1195" t="n">
        <v>15608.990992</v>
      </c>
      <c r="AN66" s="1195" t="n">
        <v>654087.635762</v>
      </c>
      <c r="AO66" s="697" t="n">
        <v>1272589.603087</v>
      </c>
      <c r="AP66" s="697" t="n">
        <v>4009.434176</v>
      </c>
      <c r="AQ66" s="697" t="n">
        <v>1276599.037263</v>
      </c>
      <c r="AR66" s="697" t="n">
        <v>953860.485802</v>
      </c>
      <c r="AS66" s="966">
        <f>AO66+AP66-AQ66</f>
        <v/>
      </c>
      <c r="AT66" s="966">
        <f>AJ66+AK66+AL66-AM66+AN66-AI66</f>
        <v/>
      </c>
      <c r="AU66" s="966">
        <f>AF66+AI66-AO66</f>
        <v/>
      </c>
      <c r="AV66" s="966">
        <f>AF66</f>
        <v/>
      </c>
      <c r="AW66" s="966">
        <f>AI66</f>
        <v/>
      </c>
      <c r="AX66" s="966">
        <f>AP66</f>
        <v/>
      </c>
      <c r="AY66" s="966">
        <f>AV66+AW66+AX66</f>
        <v/>
      </c>
      <c r="BB66" s="786" t="n"/>
      <c r="BC66" s="697" t="n">
        <v>2368463.818689</v>
      </c>
      <c r="BD66" s="697" t="n">
        <v>850860.417962</v>
      </c>
      <c r="BE66" s="1205" t="n"/>
      <c r="BF66" s="697" t="n">
        <v>-239826.992312</v>
      </c>
      <c r="BG66" s="697" t="n">
        <v>-46768.580763</v>
      </c>
      <c r="BH66" s="1205" t="n"/>
      <c r="BI66" s="697" t="n">
        <v>-1382.148601</v>
      </c>
      <c r="BJ66" s="697" t="n">
        <v>-10741.409172</v>
      </c>
      <c r="BK66" s="697">
        <f>Q66</f>
        <v/>
      </c>
      <c r="BL66" s="966" t="n"/>
      <c r="BM66" s="697" t="n">
        <v>13445170.648237</v>
      </c>
      <c r="BN66" s="697" t="n">
        <v>-807675.25654</v>
      </c>
      <c r="BO66" s="697" t="n">
        <v>-268083.804412</v>
      </c>
      <c r="BP66" s="697">
        <f>AR66</f>
        <v/>
      </c>
      <c r="BQ66" s="697" t="n">
        <v>29992.62806</v>
      </c>
      <c r="BR66" s="1205" t="n"/>
      <c r="BS66" s="697">
        <f>R66</f>
        <v/>
      </c>
      <c r="BT66" s="966" t="n">
        <v>0</v>
      </c>
      <c r="BU66" s="1205" t="n"/>
      <c r="BV66" s="1205" t="n">
        <v>2019387.035</v>
      </c>
      <c r="BW66" s="697" t="n">
        <v>14577583.993</v>
      </c>
      <c r="BX66" s="1205" t="n">
        <v>1421250</v>
      </c>
      <c r="BY66" s="1205" t="n">
        <v>812438</v>
      </c>
      <c r="BZ66" s="1205" t="n">
        <v>-352985</v>
      </c>
      <c r="CA66" s="1205" t="n">
        <v>247849</v>
      </c>
      <c r="CB66" s="1205" t="n">
        <v>14073909</v>
      </c>
      <c r="CD66" s="697">
        <f>CB66+BX66-BY66+BZ66+CA66-BW66</f>
        <v/>
      </c>
      <c r="CE66" s="1205" t="n"/>
      <c r="CF66" s="1205" t="n"/>
      <c r="CG66" s="1205" t="n"/>
      <c r="CH66" s="1205" t="n"/>
      <c r="CJ66" s="697">
        <f>BW66</f>
        <v/>
      </c>
      <c r="CL66" s="697" t="n">
        <v>0</v>
      </c>
      <c r="CN66" s="786" t="n"/>
      <c r="CQ66" s="1201" t="n">
        <v>2.7448</v>
      </c>
      <c r="CR66" s="1205" t="n">
        <v>26341180.691968</v>
      </c>
      <c r="CS66" s="1205" t="n">
        <v>9596689.123844</v>
      </c>
      <c r="CU66" s="697" t="n">
        <v>3191993.79</v>
      </c>
      <c r="CW66" s="103" t="n"/>
      <c r="CX66" s="103" t="n"/>
      <c r="CY66" s="103" t="n"/>
      <c r="CZ66" s="786" t="n"/>
      <c r="DC66" s="1205" t="n"/>
      <c r="DD66" s="1205" t="n"/>
      <c r="DE66" s="1205" t="n"/>
      <c r="DG66" s="1205" t="n"/>
      <c r="DH66" s="1205" t="n"/>
      <c r="DI66" s="1205" t="n"/>
      <c r="DJ66" s="1205" t="n"/>
      <c r="DK66" s="1205" t="n"/>
      <c r="DL66" s="1205" t="n"/>
      <c r="DM66" s="1205" t="n"/>
    </row>
    <row r="67">
      <c r="A67" s="643" t="inlineStr">
        <is>
          <t>2509삼성화재</t>
        </is>
      </c>
      <c r="B67" s="643" t="n">
        <v>2509</v>
      </c>
      <c r="C67" s="643" t="inlineStr">
        <is>
          <t>삼성화재</t>
        </is>
      </c>
      <c r="D67" s="697" t="n">
        <v>88148171.915125</v>
      </c>
      <c r="E67" s="697" t="n">
        <v>12434155.336139</v>
      </c>
      <c r="F67" s="697" t="n">
        <v>41218580.52838</v>
      </c>
      <c r="G67" s="697" t="n">
        <v>29057146.479637</v>
      </c>
      <c r="H67" s="697" t="n">
        <v>750158.488138</v>
      </c>
      <c r="I67" s="786">
        <f>E67/D67</f>
        <v/>
      </c>
      <c r="J67" s="786">
        <f>F67/D67</f>
        <v/>
      </c>
      <c r="K67" s="786">
        <f>G67/D67</f>
        <v/>
      </c>
      <c r="L67" s="697" t="n">
        <v>70041296.881247</v>
      </c>
      <c r="M67" s="697" t="n">
        <v>50107799.429932</v>
      </c>
      <c r="N67" s="697">
        <f>O67-P67</f>
        <v/>
      </c>
      <c r="O67" s="697" t="n">
        <v>18106875.033878</v>
      </c>
      <c r="P67" s="1205" t="n"/>
      <c r="Q67" s="697" t="n">
        <v>4494421.411275</v>
      </c>
      <c r="R67" s="697" t="n">
        <v>13862166.73764</v>
      </c>
      <c r="S67" s="697" t="n">
        <v>15295837.547477</v>
      </c>
      <c r="T67" s="979" t="n">
        <v>15295837.547477</v>
      </c>
      <c r="U67" s="697" t="n">
        <v>88148171.915125</v>
      </c>
      <c r="V67" s="1205" t="n">
        <v>84705709.77500001</v>
      </c>
      <c r="W67" s="1202" t="n"/>
      <c r="X67" s="697">
        <f>Q67</f>
        <v/>
      </c>
      <c r="Y67" s="697" t="n">
        <v>4683280</v>
      </c>
      <c r="Z67" s="697" t="n">
        <v>-86565</v>
      </c>
      <c r="AA67" s="1205" t="n">
        <v>-14812</v>
      </c>
      <c r="AB67" s="697" t="n">
        <v>43964</v>
      </c>
      <c r="AC67" s="697" t="n">
        <v>123816</v>
      </c>
      <c r="AD67" s="697" t="n">
        <v>-131446</v>
      </c>
      <c r="AF67" s="697" t="n">
        <v>1286276.644737</v>
      </c>
      <c r="AG67" s="697" t="n">
        <v>14280562.834864</v>
      </c>
      <c r="AH67" s="697" t="n">
        <v>12994286.190127</v>
      </c>
      <c r="AI67" s="697" t="n">
        <v>650889.540267</v>
      </c>
      <c r="AJ67" s="697" t="n">
        <v>-978780.953741</v>
      </c>
      <c r="AK67" s="697" t="n">
        <v>22724.699917</v>
      </c>
      <c r="AL67" s="697">
        <f>AI67-AJ67-AK67+AM67-AN67</f>
        <v/>
      </c>
      <c r="AM67" s="697" t="n">
        <v>22107.717014</v>
      </c>
      <c r="AN67" s="1195" t="n">
        <v>742997.418854</v>
      </c>
      <c r="AO67" s="697" t="n">
        <v>1937166.185004</v>
      </c>
      <c r="AP67" s="697" t="n">
        <v>8871.434996</v>
      </c>
      <c r="AQ67" s="697" t="n">
        <v>1946037.62</v>
      </c>
      <c r="AR67" s="697" t="n">
        <v>1463183.521807</v>
      </c>
      <c r="AS67" s="966">
        <f>AO67+AP67-AQ67</f>
        <v/>
      </c>
      <c r="AT67" s="966">
        <f>AJ67+AK67+AL67-AM67+AN67-AI67</f>
        <v/>
      </c>
      <c r="AU67" s="966">
        <f>AF67+AI67-AO67</f>
        <v/>
      </c>
      <c r="AV67" s="966">
        <f>AF67</f>
        <v/>
      </c>
      <c r="AW67" s="966">
        <f>AI67</f>
        <v/>
      </c>
      <c r="AX67" s="966">
        <f>AP67</f>
        <v/>
      </c>
      <c r="AY67" s="966">
        <f>AV67+AW67+AX67</f>
        <v/>
      </c>
      <c r="BB67" s="786" t="n"/>
      <c r="BC67" s="697" t="n">
        <v>2368463.818689</v>
      </c>
      <c r="BD67" s="697" t="n">
        <v>2311482.116125</v>
      </c>
      <c r="BF67" s="697" t="n">
        <v>-76830.709005</v>
      </c>
      <c r="BG67" s="697" t="n">
        <v>-97024.66053199999</v>
      </c>
      <c r="BI67" s="697" t="n">
        <v>-1906.781885</v>
      </c>
      <c r="BJ67" s="697" t="n">
        <v>-9762.372117000001</v>
      </c>
      <c r="BK67" s="697">
        <f>Q67</f>
        <v/>
      </c>
      <c r="BL67" s="966" t="n"/>
      <c r="BM67" s="697" t="n">
        <v>13445170.648237</v>
      </c>
      <c r="BN67" s="697" t="n">
        <v>-807675.25654</v>
      </c>
      <c r="BO67" s="697" t="n">
        <v>-268083.804412</v>
      </c>
      <c r="BP67" s="697">
        <f>AR67</f>
        <v/>
      </c>
      <c r="BQ67" s="697" t="n">
        <v>29590.582108</v>
      </c>
      <c r="BS67" s="697">
        <f>R67</f>
        <v/>
      </c>
      <c r="BT67" s="966" t="n">
        <v>0</v>
      </c>
      <c r="BU67" s="1205" t="n"/>
      <c r="BV67" s="1205" t="n">
        <v>2043054.6</v>
      </c>
      <c r="BW67" s="697" t="n">
        <v>15007679.007</v>
      </c>
      <c r="BX67" s="1205" t="n">
        <v>2188166</v>
      </c>
      <c r="BY67" s="1205" t="n">
        <v>1228632</v>
      </c>
      <c r="BZ67" s="1205" t="n">
        <v>-399524</v>
      </c>
      <c r="CA67" s="1205" t="n">
        <v>373760</v>
      </c>
      <c r="CB67" s="1205" t="n">
        <v>14073910</v>
      </c>
      <c r="CD67" s="697">
        <f>CB67+BX67-BY67+BZ67+CA67-BW67</f>
        <v/>
      </c>
      <c r="CE67" s="1205" t="n"/>
      <c r="CF67" s="1205" t="n"/>
      <c r="CG67" s="1205" t="n"/>
      <c r="CH67" s="1205" t="n"/>
      <c r="CJ67" s="697">
        <f>BW67</f>
        <v/>
      </c>
      <c r="CL67" s="697" t="n">
        <v>0</v>
      </c>
      <c r="CN67" s="786" t="n"/>
      <c r="CQ67" s="1201" t="n">
        <v>2.7592</v>
      </c>
      <c r="CR67" s="1205" t="n">
        <v>28650195.487723</v>
      </c>
      <c r="CS67" s="1205" t="n">
        <v>10383339.066762</v>
      </c>
      <c r="CU67" s="697" t="n">
        <v>3668240.596</v>
      </c>
      <c r="CW67" s="103" t="n"/>
      <c r="CX67" s="103" t="n"/>
      <c r="CY67" s="103" t="n"/>
      <c r="CZ67" s="786" t="n"/>
      <c r="DC67" s="1205" t="n"/>
      <c r="DD67" s="1205" t="n"/>
      <c r="DE67" s="1205" t="n"/>
      <c r="DG67" s="1205" t="n"/>
      <c r="DH67" s="1205" t="n"/>
      <c r="DI67" s="1205" t="n"/>
      <c r="DJ67" s="1205" t="n"/>
      <c r="DK67" s="1205" t="n"/>
      <c r="DL67" s="1205" t="n"/>
      <c r="DM67" s="1205" t="n"/>
    </row>
    <row r="68" ht="16.5" customHeight="1" s="759">
      <c r="A68" s="643" t="inlineStr">
        <is>
          <t>2512삼성화재</t>
        </is>
      </c>
      <c r="B68" s="643" t="n">
        <v>2512</v>
      </c>
      <c r="C68" s="643" t="inlineStr">
        <is>
          <t>삼성화재</t>
        </is>
      </c>
      <c r="D68" s="697" t="n">
        <v>93809044.479173</v>
      </c>
      <c r="E68" s="697" t="n">
        <v>12705776.538884</v>
      </c>
      <c r="F68" s="697" t="n">
        <v>43430681.364228</v>
      </c>
      <c r="G68" s="697" t="n">
        <v>30085742.664899</v>
      </c>
      <c r="H68" s="697" t="n">
        <v>1613522.000876</v>
      </c>
      <c r="I68" s="786">
        <f>E68/D68</f>
        <v/>
      </c>
      <c r="J68" s="786">
        <f>F68/D68</f>
        <v/>
      </c>
      <c r="K68" s="786">
        <f>G68/D68</f>
        <v/>
      </c>
      <c r="L68" s="697" t="n">
        <v>73181267.24112999</v>
      </c>
      <c r="M68" s="697" t="n">
        <v>48734812.310826</v>
      </c>
      <c r="N68" s="697">
        <f>O68-P68</f>
        <v/>
      </c>
      <c r="O68" s="697" t="n">
        <v>20627777.238043</v>
      </c>
      <c r="Q68" s="697" t="n">
        <v>6787628.922989</v>
      </c>
      <c r="R68" s="697" t="n">
        <v>14089861.430091</v>
      </c>
      <c r="S68" s="697" t="n">
        <v>15295837.547477</v>
      </c>
      <c r="T68" s="979" t="n">
        <v>15295837.547477</v>
      </c>
      <c r="U68" s="976" t="n">
        <v>93809044.479173</v>
      </c>
      <c r="V68" s="1196" t="n">
        <v>90152162.662</v>
      </c>
      <c r="W68" s="1202" t="n"/>
      <c r="X68" s="697">
        <f>Q68</f>
        <v/>
      </c>
      <c r="Y68" s="697" t="n">
        <v>6316661</v>
      </c>
      <c r="Z68" s="697" t="n">
        <v>697232</v>
      </c>
      <c r="AA68" s="1205" t="n">
        <v>-7749</v>
      </c>
      <c r="AB68" s="697" t="n">
        <v>-72873</v>
      </c>
      <c r="AC68" s="697" t="n">
        <v>123816</v>
      </c>
      <c r="AD68" s="697" t="n">
        <v>-145642</v>
      </c>
      <c r="AF68" s="697" t="n">
        <v>1446696.251285</v>
      </c>
      <c r="AG68" s="697" t="n">
        <v>19136809.62963</v>
      </c>
      <c r="AH68" s="697" t="n">
        <v>17690113.378345</v>
      </c>
      <c r="AI68" s="697" t="n">
        <v>883986.4457630001</v>
      </c>
      <c r="AJ68" s="697" t="n">
        <v>-1304583.344184</v>
      </c>
      <c r="AK68" s="697" t="n">
        <v>50032.635301</v>
      </c>
      <c r="AL68" s="697">
        <f>AI68-AJ68-AK68+AM68-AN68</f>
        <v/>
      </c>
      <c r="AM68" s="697" t="n">
        <v>28410.555037</v>
      </c>
      <c r="AN68" s="1195" t="n">
        <v>832312.801171</v>
      </c>
      <c r="AO68" s="697" t="n">
        <v>2330682.697048</v>
      </c>
      <c r="AP68" s="697" t="n">
        <v>2796.708271</v>
      </c>
      <c r="AQ68" s="697" t="n">
        <v>2333479.405319</v>
      </c>
      <c r="AR68" s="697" t="n">
        <v>1690878.214258</v>
      </c>
      <c r="AS68" s="966">
        <f>AO68+AP68-AQ68</f>
        <v/>
      </c>
      <c r="AT68" s="966">
        <f>AJ68+AK68+AL68-AM68+AN68-AI68</f>
        <v/>
      </c>
      <c r="AU68" s="966">
        <f>AF68+AI68-AO68</f>
        <v/>
      </c>
      <c r="AV68" s="966">
        <f>AF68</f>
        <v/>
      </c>
      <c r="AW68" s="966">
        <f>AI68</f>
        <v/>
      </c>
      <c r="AX68" s="966">
        <f>AP68</f>
        <v/>
      </c>
      <c r="AY68" s="966">
        <f>AV68+AW68+AX68</f>
        <v/>
      </c>
      <c r="BB68" s="786" t="n"/>
      <c r="BC68" s="697" t="n">
        <v>2368463.818689</v>
      </c>
      <c r="BD68" s="697" t="n">
        <v>3944863.708896</v>
      </c>
      <c r="BF68" s="697" t="n">
        <v>714028.375675</v>
      </c>
      <c r="BG68" s="697" t="n">
        <v>-219611.581776</v>
      </c>
      <c r="BI68" s="697" t="n">
        <v>-16102.228811</v>
      </c>
      <c r="BJ68" s="697" t="n">
        <v>-4013.169684</v>
      </c>
      <c r="BK68" s="697">
        <f>Q68</f>
        <v/>
      </c>
      <c r="BL68" s="966" t="n"/>
      <c r="BM68" s="697" t="n">
        <v>13445170.648237</v>
      </c>
      <c r="BN68" s="697" t="n">
        <v>-807675.25654</v>
      </c>
      <c r="BO68" s="697" t="n">
        <v>-268083.804412</v>
      </c>
      <c r="BP68" s="697">
        <f>AR68</f>
        <v/>
      </c>
      <c r="BQ68" s="697" t="n">
        <v>29591</v>
      </c>
      <c r="BS68" s="697">
        <f>R68</f>
        <v/>
      </c>
      <c r="BT68" s="966" t="n">
        <v>0</v>
      </c>
      <c r="BU68" s="697" t="n">
        <v>25047481</v>
      </c>
      <c r="BV68" s="697" t="n">
        <v>1895691</v>
      </c>
      <c r="BW68" s="697" t="n">
        <v>14167664</v>
      </c>
      <c r="BX68" s="697" t="n">
        <v>2898367</v>
      </c>
      <c r="BY68" s="697" t="n">
        <v>1620781</v>
      </c>
      <c r="BZ68" s="697" t="n">
        <v>-1686118</v>
      </c>
      <c r="CA68" s="697" t="n">
        <v>502287</v>
      </c>
      <c r="CB68" s="1205" t="n"/>
      <c r="CE68" s="697" t="n">
        <v>1047949</v>
      </c>
      <c r="CF68" s="697" t="n">
        <v>1619374</v>
      </c>
      <c r="CG68" s="697" t="n">
        <v>1238141</v>
      </c>
      <c r="CH68" s="697" t="n">
        <v>10262200</v>
      </c>
      <c r="CI68" s="697" t="n">
        <v>0</v>
      </c>
      <c r="CJ68" s="697">
        <f>BW68</f>
        <v/>
      </c>
      <c r="CK68" s="697">
        <f>CJ68-SUM(CE68:CI68)</f>
        <v/>
      </c>
      <c r="CL68" s="697" t="n">
        <v>0</v>
      </c>
      <c r="CN68" s="1201" t="n">
        <v>2.6287</v>
      </c>
      <c r="CO68" s="1205" t="n">
        <v>29300000</v>
      </c>
      <c r="CP68" s="1205" t="n">
        <v>11146300</v>
      </c>
      <c r="CQ68" s="1201" t="n">
        <v>2.6287</v>
      </c>
      <c r="CR68" s="1205" t="n">
        <v>29300000</v>
      </c>
      <c r="CS68" s="1205" t="n">
        <v>11146300</v>
      </c>
      <c r="CU68" s="697" t="n">
        <v>4130069.97</v>
      </c>
      <c r="CW68" s="103" t="n">
        <v>0.9518</v>
      </c>
      <c r="CX68" s="103" t="n">
        <v>0.9756</v>
      </c>
      <c r="CY68" s="103">
        <f>CW68-CX68</f>
        <v/>
      </c>
      <c r="CZ68" s="786">
        <f>CX68/CW68</f>
        <v/>
      </c>
      <c r="DC68" s="1205" t="n"/>
      <c r="DD68" s="1205" t="n"/>
      <c r="DE68" s="1205" t="n"/>
      <c r="DG68" s="1205" t="n"/>
      <c r="DH68" s="1205" t="n"/>
      <c r="DI68" s="1205" t="n"/>
      <c r="DJ68" s="1205" t="n"/>
      <c r="DK68" s="1205" t="n"/>
      <c r="DL68" s="1205" t="n"/>
      <c r="DM68" s="1205" t="n"/>
      <c r="EP68" s="1191" t="n"/>
      <c r="EQ68" s="1191" t="n"/>
      <c r="ER68" s="1191" t="n"/>
      <c r="ES68" s="1191" t="n"/>
      <c r="ET68" s="1191" t="n"/>
      <c r="EU68" s="1191" t="n"/>
      <c r="EV68" s="975" t="n"/>
      <c r="EW68" s="1191" t="n"/>
      <c r="EX68" s="1191" t="n"/>
      <c r="EY68" s="1191" t="n"/>
      <c r="EZ68" s="1191" t="n"/>
      <c r="FA68" s="1191" t="n"/>
      <c r="FB68" s="975" t="n">
        <v>-60506</v>
      </c>
      <c r="FC68" s="1198" t="n">
        <v>0</v>
      </c>
    </row>
    <row r="69">
      <c r="I69" s="786" t="n"/>
      <c r="J69" s="786" t="n"/>
      <c r="K69" s="786" t="n"/>
      <c r="T69" s="979" t="n"/>
      <c r="W69" s="142" t="n"/>
      <c r="AS69" s="966" t="n"/>
      <c r="AT69" s="966" t="n"/>
      <c r="AU69" s="966" t="n"/>
      <c r="AV69" s="966" t="n"/>
      <c r="AW69" s="966" t="n"/>
      <c r="AX69" s="966" t="n"/>
      <c r="AY69" s="966" t="n"/>
      <c r="BB69" s="786" t="n"/>
      <c r="BL69" s="966" t="n"/>
      <c r="BT69" s="966" t="n"/>
      <c r="CN69" s="786" t="n"/>
      <c r="CQ69" s="991" t="n"/>
      <c r="CR69" s="966" t="n"/>
      <c r="CS69" s="966" t="n"/>
      <c r="CW69" s="103" t="n"/>
      <c r="CX69" s="103" t="n"/>
      <c r="CY69" s="103" t="n"/>
      <c r="CZ69" s="786" t="n"/>
      <c r="DJ69" s="978" t="n"/>
    </row>
    <row r="70" customFormat="1" s="101">
      <c r="A70" s="101" t="inlineStr">
        <is>
          <t>2212현대해상</t>
        </is>
      </c>
      <c r="B70" s="101" t="n">
        <v>2212</v>
      </c>
      <c r="C70" s="101" t="inlineStr">
        <is>
          <t>현대해상</t>
        </is>
      </c>
      <c r="D70" s="977" t="n"/>
      <c r="E70" s="977" t="n"/>
      <c r="F70" s="977" t="n"/>
      <c r="G70" s="977" t="n"/>
      <c r="H70" s="977" t="n"/>
      <c r="I70" s="978" t="n"/>
      <c r="J70" s="978" t="n"/>
      <c r="K70" s="978" t="n"/>
      <c r="L70" s="977" t="n"/>
      <c r="M70" s="977" t="n"/>
      <c r="N70" s="979" t="n"/>
      <c r="O70" s="1192" t="n"/>
      <c r="P70" s="1192" t="n"/>
      <c r="Q70" s="1192" t="n"/>
      <c r="R70" s="1192" t="n"/>
      <c r="S70" s="979" t="n"/>
      <c r="T70" s="979" t="n"/>
      <c r="U70" s="980" t="n"/>
      <c r="V70" s="980" t="n"/>
      <c r="W70" s="980" t="n"/>
      <c r="X70" s="979" t="n"/>
      <c r="Y70" s="979" t="n"/>
      <c r="Z70" s="979" t="n"/>
      <c r="AA70" s="979" t="n"/>
      <c r="AB70" s="979" t="n"/>
      <c r="AC70" s="979" t="n"/>
      <c r="AD70" s="979" t="n"/>
      <c r="AE70" s="979" t="n"/>
      <c r="AF70" s="977" t="n"/>
      <c r="AG70" s="977" t="n"/>
      <c r="AH70" s="977" t="n"/>
      <c r="AI70" s="977" t="n"/>
      <c r="AJ70" s="977" t="n"/>
      <c r="AK70" s="977" t="n"/>
      <c r="AL70" s="977" t="n"/>
      <c r="AM70" s="977" t="n"/>
      <c r="AN70" s="977" t="n"/>
      <c r="AO70" s="977" t="n"/>
      <c r="AP70" s="977" t="n"/>
      <c r="AQ70" s="979" t="n"/>
      <c r="AR70" s="979" t="n"/>
      <c r="AS70" s="979" t="n"/>
      <c r="AT70" s="979" t="n"/>
      <c r="AU70" s="979" t="n"/>
      <c r="AV70" s="979" t="n"/>
      <c r="AW70" s="979" t="n"/>
      <c r="AX70" s="979" t="n"/>
      <c r="AY70" s="979" t="n"/>
      <c r="AZ70" s="977" t="n"/>
      <c r="BA70" s="977" t="n"/>
      <c r="BB70" s="978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9" t="n"/>
      <c r="BM70" s="977" t="n"/>
      <c r="BN70" s="977" t="n"/>
      <c r="BO70" s="977" t="n"/>
      <c r="BP70" s="977" t="n"/>
      <c r="BQ70" s="977" t="n"/>
      <c r="BR70" s="977" t="n"/>
      <c r="BS70" s="977" t="n"/>
      <c r="BT70" s="1192" t="n"/>
      <c r="BU70" s="1192" t="n"/>
      <c r="BV70" s="1192" t="n"/>
      <c r="BW70" s="1192" t="n"/>
      <c r="BX70" s="979" t="n"/>
      <c r="BY70" s="979" t="n"/>
      <c r="BZ70" s="979" t="n"/>
      <c r="CA70" s="979" t="n"/>
      <c r="CB70" s="979" t="n"/>
      <c r="CC70" s="977" t="n"/>
      <c r="CD70" s="977" t="n"/>
      <c r="CE70" s="977" t="n"/>
      <c r="CF70" s="977" t="n"/>
      <c r="CG70" s="977" t="n"/>
      <c r="CH70" s="977" t="n"/>
      <c r="CI70" s="977" t="n"/>
      <c r="CJ70" s="977" t="n"/>
      <c r="CK70" s="977" t="n"/>
      <c r="CL70" s="977" t="n"/>
      <c r="CM70" s="977" t="n"/>
      <c r="CN70" s="978" t="n"/>
      <c r="CO70" s="977" t="n"/>
      <c r="CP70" s="977" t="n"/>
      <c r="CQ70" s="978" t="n"/>
      <c r="CR70" s="977" t="n"/>
      <c r="CS70" s="977" t="n"/>
      <c r="CT70" s="977" t="n"/>
      <c r="CU70" s="977" t="n"/>
      <c r="CV70" s="977" t="n"/>
      <c r="CW70" s="977" t="n"/>
      <c r="CX70" s="977" t="n"/>
      <c r="CY70" s="977" t="n"/>
      <c r="CZ70" s="977" t="n"/>
      <c r="DA70" s="977" t="n"/>
      <c r="DB70" s="977" t="n"/>
      <c r="DC70" s="978" t="n"/>
      <c r="DD70" s="977" t="n"/>
      <c r="DE70" s="977" t="n"/>
      <c r="DF70" s="977" t="n"/>
      <c r="DG70" s="977" t="n"/>
      <c r="DH70" s="977" t="n"/>
      <c r="DI70" s="977" t="n"/>
      <c r="DJ70" s="977" t="n"/>
      <c r="DK70" s="977" t="n"/>
      <c r="DL70" s="977" t="n"/>
      <c r="DM70" s="977" t="n"/>
      <c r="DN70" s="977" t="n"/>
      <c r="DO70" s="977" t="n"/>
      <c r="DP70" s="977" t="n"/>
      <c r="DQ70" s="977" t="n"/>
      <c r="DR70" s="977" t="n"/>
      <c r="DS70" s="977" t="n"/>
      <c r="DT70" s="977" t="n"/>
      <c r="DU70" s="977" t="n"/>
      <c r="DV70" s="977" t="n"/>
      <c r="DW70" s="977" t="n"/>
      <c r="DX70" s="977" t="n"/>
      <c r="DY70" s="977" t="n"/>
      <c r="DZ70" s="977" t="n"/>
      <c r="EA70" s="977" t="n"/>
      <c r="EB70" s="977" t="n"/>
      <c r="EC70" s="977" t="n"/>
      <c r="ED70" s="977" t="n"/>
      <c r="EE70" s="977" t="n"/>
      <c r="EP70" s="977" t="n"/>
      <c r="EQ70" s="977" t="n"/>
      <c r="ER70" s="977" t="n"/>
      <c r="ES70" s="977" t="n"/>
      <c r="ET70" s="977" t="n"/>
      <c r="EU70" s="977" t="n"/>
      <c r="EV70" s="977" t="n"/>
      <c r="EW70" s="977" t="n"/>
      <c r="EX70" s="977" t="n"/>
      <c r="EY70" s="977" t="n"/>
      <c r="EZ70" s="977" t="n"/>
      <c r="FA70" s="977" t="n"/>
      <c r="FB70" s="977" t="n"/>
    </row>
    <row r="71" customFormat="1" s="101">
      <c r="A71" s="101" t="inlineStr">
        <is>
          <t>2312현대해상</t>
        </is>
      </c>
      <c r="B71" s="101" t="n">
        <v>2312</v>
      </c>
      <c r="C71" s="101" t="inlineStr">
        <is>
          <t>현대해상</t>
        </is>
      </c>
      <c r="D71" s="977" t="n">
        <v>43758462.213117</v>
      </c>
      <c r="E71" s="977" t="n">
        <v>9003311.609817</v>
      </c>
      <c r="F71" s="977" t="n">
        <v>19514780.6945</v>
      </c>
      <c r="G71" s="977" t="n">
        <v>11145329.106317</v>
      </c>
      <c r="H71" s="977" t="n">
        <v>247538.411616</v>
      </c>
      <c r="I71" s="978">
        <f>E71/D71</f>
        <v/>
      </c>
      <c r="J71" s="978">
        <f>F71/D71</f>
        <v/>
      </c>
      <c r="K71" s="978">
        <f>G71/D71</f>
        <v/>
      </c>
      <c r="L71" s="977" t="n">
        <v>37641331.46623</v>
      </c>
      <c r="M71" s="977" t="n">
        <v>31526853.630092</v>
      </c>
      <c r="N71" s="979">
        <f>O71-P71</f>
        <v/>
      </c>
      <c r="O71" s="979" t="n">
        <v>6117130.746887</v>
      </c>
      <c r="P71" s="979" t="n">
        <v>0</v>
      </c>
      <c r="Q71" s="1192" t="n">
        <v>-523892.732716</v>
      </c>
      <c r="R71" s="1192" t="n">
        <v>6552570.228464</v>
      </c>
      <c r="S71" s="1192" t="n">
        <v>9357646.391763</v>
      </c>
      <c r="T71" s="1192" t="n">
        <v>8859358.754621999</v>
      </c>
      <c r="U71" s="980" t="n">
        <v>43758462.213117</v>
      </c>
      <c r="V71" s="1196" t="n">
        <v>41499525.268</v>
      </c>
      <c r="W71" s="1202" t="n"/>
      <c r="X71" s="979">
        <f>Q71</f>
        <v/>
      </c>
      <c r="Y71" s="1192" t="n">
        <v>-2868797449</v>
      </c>
      <c r="Z71" s="1192" t="n">
        <v>2093746247</v>
      </c>
      <c r="AA71" s="1192" t="n">
        <v>-673440</v>
      </c>
      <c r="AB71" s="1192" t="n">
        <v>5558562</v>
      </c>
      <c r="AC71" s="1192" t="n">
        <v>267774031</v>
      </c>
      <c r="AD71" s="1192" t="n">
        <v>-26487006</v>
      </c>
      <c r="AE71" s="979">
        <f>X71-(Y71+Z71+AA71+AB71+AC71+AD71)</f>
        <v/>
      </c>
      <c r="AF71" s="977" t="n">
        <v>526490.675922</v>
      </c>
      <c r="AG71" s="977" t="n">
        <v>13437759.10593</v>
      </c>
      <c r="AH71" s="977" t="n">
        <v>12911268.430008</v>
      </c>
      <c r="AI71" s="1191" t="n">
        <v>499877.274602</v>
      </c>
      <c r="AJ71" s="1191" t="n">
        <v>-813187.423943</v>
      </c>
      <c r="AK71" s="977" t="n">
        <v>29728.31197</v>
      </c>
      <c r="AL71" s="977">
        <f>AI71-AJ71-AK71+AM71-AN71</f>
        <v/>
      </c>
      <c r="AM71" s="977" t="n">
        <v>8645.777035999999</v>
      </c>
      <c r="AN71" s="977" t="n">
        <v>-37506.618327</v>
      </c>
      <c r="AO71" s="1191" t="n">
        <v>1026367.950524</v>
      </c>
      <c r="AP71" s="977" t="n">
        <v>-28698.156488</v>
      </c>
      <c r="AQ71" s="1192" t="n">
        <v>997669.794036</v>
      </c>
      <c r="AR71" s="1192" t="n">
        <v>805721.663646</v>
      </c>
      <c r="AS71" s="979">
        <f>AO71+AP71-AQ71</f>
        <v/>
      </c>
      <c r="AT71" s="979">
        <f>AJ71+AK71+AL71-AM71+AN71-AI71</f>
        <v/>
      </c>
      <c r="AU71" s="979">
        <f>AF71+AI71-AO71</f>
        <v/>
      </c>
      <c r="AV71" s="979">
        <f>AF71</f>
        <v/>
      </c>
      <c r="AW71" s="979">
        <f>AI71</f>
        <v/>
      </c>
      <c r="AX71" s="979">
        <f>AP71</f>
        <v/>
      </c>
      <c r="AY71" s="979">
        <f>AV71+AW71+AX71</f>
        <v/>
      </c>
      <c r="AZ71" s="977" t="n"/>
      <c r="BA71" s="977" t="n"/>
      <c r="BB71" s="978" t="n"/>
      <c r="BC71" s="1191" t="n">
        <v>2942138.140777</v>
      </c>
      <c r="BD71" s="1191" t="n">
        <v>1038658.945156</v>
      </c>
      <c r="BE71" s="977" t="n">
        <v>-256.487652</v>
      </c>
      <c r="BF71" s="1191" t="n">
        <v>-1542355.692121</v>
      </c>
      <c r="BG71" s="977" t="n">
        <v>28504.772715</v>
      </c>
      <c r="BH71" s="977" t="n">
        <v>108.475888</v>
      </c>
      <c r="BI71" s="977" t="n">
        <v>-21182.65955</v>
      </c>
      <c r="BJ71" s="977" t="n">
        <v>-120.076195</v>
      </c>
      <c r="BK71" s="977">
        <f>Q71</f>
        <v/>
      </c>
      <c r="BL71" s="979">
        <f>BK71-BC71-SUM(BD71:BJ71)</f>
        <v/>
      </c>
      <c r="BM71" s="1191" t="n">
        <v>5827054.999847</v>
      </c>
      <c r="BN71" s="977" t="n">
        <v>-154084.4925</v>
      </c>
      <c r="BO71" s="977" t="n"/>
      <c r="BP71" s="977">
        <f>AR71</f>
        <v/>
      </c>
      <c r="BQ71" s="1191" t="n"/>
      <c r="BR71" s="977" t="n">
        <v>-7830.956</v>
      </c>
      <c r="BS71" s="977">
        <f>R71</f>
        <v/>
      </c>
      <c r="BT71" s="979" t="n">
        <v>0</v>
      </c>
      <c r="BU71" s="1192" t="n"/>
      <c r="BV71" s="1192" t="n">
        <v>1752405.082</v>
      </c>
      <c r="BW71" s="1192" t="n">
        <v>9142372.028000001</v>
      </c>
      <c r="BX71" s="1192" t="n"/>
      <c r="BY71" s="1192" t="n"/>
      <c r="BZ71" s="1192" t="n"/>
      <c r="CA71" s="1192" t="n"/>
      <c r="CB71" s="1192" t="n"/>
      <c r="CC71" s="977" t="n"/>
      <c r="CD71" s="977" t="n"/>
      <c r="CE71" s="1191" t="n"/>
      <c r="CF71" s="1191" t="n"/>
      <c r="CG71" s="1191" t="n"/>
      <c r="CH71" s="1191" t="n"/>
      <c r="CI71" s="1191" t="n"/>
      <c r="CJ71" s="977" t="n"/>
      <c r="CK71" s="977" t="n"/>
      <c r="CL71" s="1191" t="n"/>
      <c r="CM71" s="977" t="n"/>
      <c r="CN71" s="1201" t="n">
        <v>1.732</v>
      </c>
      <c r="CO71" s="1191" t="n">
        <v>12072782</v>
      </c>
      <c r="CP71" s="1191" t="n">
        <v>6971677</v>
      </c>
      <c r="CQ71" s="1201" t="n">
        <v>1.732</v>
      </c>
      <c r="CR71" s="1191" t="n">
        <v>12072782</v>
      </c>
      <c r="CS71" s="1191" t="n">
        <v>6971677</v>
      </c>
      <c r="CT71" s="977" t="n"/>
      <c r="CU71" s="977" t="n">
        <v>3422424.926</v>
      </c>
      <c r="CV71" s="977" t="n"/>
      <c r="CW71" s="977" t="n"/>
      <c r="CX71" s="977" t="n"/>
      <c r="CY71" s="977" t="n"/>
      <c r="CZ71" s="977" t="n"/>
      <c r="DA71" s="977" t="n"/>
      <c r="DB71" s="977" t="n"/>
      <c r="DC71" s="978" t="n"/>
      <c r="DD71" s="977" t="n"/>
      <c r="DE71" s="977" t="n"/>
      <c r="DF71" s="977" t="n"/>
      <c r="DG71" s="1191" t="n"/>
      <c r="DH71" s="1191" t="n"/>
      <c r="DI71" s="1191" t="n"/>
      <c r="DJ71" s="1191" t="n"/>
      <c r="DK71" s="1191" t="n"/>
      <c r="DL71" s="1191" t="n"/>
      <c r="DM71" s="1191" t="n"/>
      <c r="DN71" s="977" t="n"/>
      <c r="DO71" s="977" t="n"/>
      <c r="DP71" s="977" t="n"/>
      <c r="DQ71" s="977" t="n"/>
      <c r="DR71" s="787" t="n"/>
      <c r="DS71" s="977" t="n"/>
      <c r="DT71" s="977" t="n"/>
      <c r="DU71" s="977" t="n"/>
      <c r="DV71" s="977" t="n"/>
      <c r="DW71" s="977" t="n"/>
      <c r="DX71" s="977" t="n"/>
      <c r="DY71" s="977" t="n"/>
      <c r="DZ71" s="977" t="n"/>
      <c r="EA71" s="977" t="n"/>
      <c r="EB71" s="977" t="n"/>
      <c r="EC71" s="977" t="n"/>
      <c r="ED71" s="977" t="n"/>
      <c r="EE71" s="977" t="n"/>
      <c r="EP71" s="977" t="n"/>
      <c r="EQ71" s="977" t="n"/>
      <c r="ER71" s="977" t="n"/>
      <c r="ES71" s="977" t="n"/>
      <c r="ET71" s="977" t="n"/>
      <c r="EU71" s="977" t="n"/>
      <c r="EV71" s="977" t="n"/>
      <c r="EW71" s="977" t="n"/>
      <c r="EX71" s="977" t="n"/>
      <c r="EY71" s="977" t="n"/>
      <c r="EZ71" s="977" t="n"/>
      <c r="FA71" s="977" t="n"/>
      <c r="FB71" s="977" t="n"/>
    </row>
    <row r="72" customFormat="1" s="101">
      <c r="A72" s="101" t="inlineStr">
        <is>
          <t>2412현대해상</t>
        </is>
      </c>
      <c r="B72" s="101" t="n">
        <v>2412</v>
      </c>
      <c r="C72" s="101" t="inlineStr">
        <is>
          <t>현대해상</t>
        </is>
      </c>
      <c r="D72" s="977" t="n">
        <v>47977678.781769</v>
      </c>
      <c r="E72" s="977" t="n">
        <v>9338046.174745999</v>
      </c>
      <c r="F72" s="977" t="n">
        <v>22671404.879625</v>
      </c>
      <c r="G72" s="977" t="n">
        <v>11544378.935448</v>
      </c>
      <c r="H72" s="977" t="n">
        <v>291443.449138</v>
      </c>
      <c r="I72" s="978">
        <f>E72/D72</f>
        <v/>
      </c>
      <c r="J72" s="978">
        <f>F72/D72</f>
        <v/>
      </c>
      <c r="K72" s="978">
        <f>G72/D72</f>
        <v/>
      </c>
      <c r="L72" s="977" t="n">
        <v>43050529.728359</v>
      </c>
      <c r="M72" s="977" t="n">
        <v>34801941.698072</v>
      </c>
      <c r="N72" s="979">
        <f>O72-P72</f>
        <v/>
      </c>
      <c r="O72" s="979" t="n">
        <v>4927149.05341</v>
      </c>
      <c r="P72" s="979" t="n">
        <v>0</v>
      </c>
      <c r="Q72" s="979" t="n">
        <v>-2554393.487321</v>
      </c>
      <c r="R72" s="979" t="n">
        <v>7391376.926733</v>
      </c>
      <c r="S72" s="979" t="n">
        <v>6117094.533974</v>
      </c>
      <c r="T72" s="979" t="n">
        <v>6117094.533974</v>
      </c>
      <c r="U72" s="980" t="n">
        <v>47977678.781769</v>
      </c>
      <c r="V72" s="1196" t="n">
        <v>45787121.464</v>
      </c>
      <c r="W72" s="1202" t="n"/>
      <c r="X72" s="979">
        <f>Q72</f>
        <v/>
      </c>
      <c r="Y72" s="1192" t="n">
        <v>-2746806462</v>
      </c>
      <c r="Z72" s="1192" t="n">
        <v>-135943428</v>
      </c>
      <c r="AA72" s="1192" t="n">
        <v>780138</v>
      </c>
      <c r="AB72" s="1192" t="n">
        <v>51272234</v>
      </c>
      <c r="AC72" s="1192" t="n">
        <v>448669970</v>
      </c>
      <c r="AD72" s="1192" t="n">
        <v>-114472194</v>
      </c>
      <c r="AE72" s="979">
        <f>X72-(Y72+Z72+AA72+AB72+AC72+AD72)</f>
        <v/>
      </c>
      <c r="AF72" s="977" t="n">
        <v>1043102.677049</v>
      </c>
      <c r="AG72" s="977" t="n">
        <v>14073844.024081</v>
      </c>
      <c r="AH72" s="977" t="n">
        <v>13030741.347032</v>
      </c>
      <c r="AI72" s="977" t="n">
        <v>358768.638077</v>
      </c>
      <c r="AJ72" s="977" t="n">
        <v>-893868.144558</v>
      </c>
      <c r="AK72" s="977" t="n">
        <v>37492.832181</v>
      </c>
      <c r="AL72" s="977">
        <f>AI72-AJ72-AK72+AM72-AN72</f>
        <v/>
      </c>
      <c r="AM72" s="977" t="n">
        <v>8387.248958</v>
      </c>
      <c r="AN72" s="977" t="n">
        <v>-30238.650596</v>
      </c>
      <c r="AO72" s="977" t="n">
        <v>1401871.315126</v>
      </c>
      <c r="AP72" s="977" t="n">
        <v>-35435.700262</v>
      </c>
      <c r="AQ72" s="979" t="n">
        <v>1366435.614864</v>
      </c>
      <c r="AR72" s="979" t="n">
        <v>1030684.310373</v>
      </c>
      <c r="AS72" s="979">
        <f>AO72+AP72-AQ72</f>
        <v/>
      </c>
      <c r="AT72" s="979">
        <f>AJ72+AK72+AL72-AM72+AN72-AI72</f>
        <v/>
      </c>
      <c r="AU72" s="979">
        <f>AF72+AI72-AO72</f>
        <v/>
      </c>
      <c r="AV72" s="979">
        <f>AF72</f>
        <v/>
      </c>
      <c r="AW72" s="979">
        <f>AI72</f>
        <v/>
      </c>
      <c r="AX72" s="979">
        <f>AP72</f>
        <v/>
      </c>
      <c r="AY72" s="979">
        <f>AV72+AW72+AX72</f>
        <v/>
      </c>
      <c r="AZ72" s="977" t="n"/>
      <c r="BA72" s="977" t="n"/>
      <c r="BB72" s="1201" t="n"/>
      <c r="BC72" s="977" t="n">
        <v>-497831.484009</v>
      </c>
      <c r="BD72" s="1191" t="n">
        <v>123160.254155</v>
      </c>
      <c r="BE72" s="977" t="n">
        <v>297.746562</v>
      </c>
      <c r="BF72" s="977" t="n">
        <v>-2254297.346238</v>
      </c>
      <c r="BG72" s="977" t="n">
        <v>45713.672209</v>
      </c>
      <c r="BH72" s="977" t="n">
        <v>74579.773928</v>
      </c>
      <c r="BI72" s="977" t="n">
        <v>-60383.491757</v>
      </c>
      <c r="BJ72" s="977" t="n">
        <v>13159.865317</v>
      </c>
      <c r="BK72" s="977">
        <f>Q72</f>
        <v/>
      </c>
      <c r="BL72" s="979">
        <f>BK72-BC72-SUM(BD72:BJ72)</f>
        <v/>
      </c>
      <c r="BM72" s="977" t="n">
        <v>6526472.766844</v>
      </c>
      <c r="BN72" s="977" t="n">
        <v>-161769.1135</v>
      </c>
      <c r="BO72" s="977" t="n"/>
      <c r="BP72" s="977">
        <f>AR72</f>
        <v/>
      </c>
      <c r="BQ72" s="1191" t="n"/>
      <c r="BR72" s="1191" t="n"/>
      <c r="BS72" s="977">
        <f>R72</f>
        <v/>
      </c>
      <c r="BT72" s="979" t="n">
        <v>0</v>
      </c>
      <c r="BU72" s="1192" t="n"/>
      <c r="BV72" s="1192" t="n">
        <v>2093102.923</v>
      </c>
      <c r="BW72" s="1192" t="n">
        <v>8305487.262</v>
      </c>
      <c r="BX72" s="1192" t="n"/>
      <c r="BY72" s="1192" t="n"/>
      <c r="BZ72" s="1192" t="n"/>
      <c r="CA72" s="1192" t="n"/>
      <c r="CB72" s="1192" t="n"/>
      <c r="CC72" s="1204" t="n"/>
      <c r="CD72" s="977" t="n"/>
      <c r="CE72" s="1191" t="n"/>
      <c r="CF72" s="1191" t="n"/>
      <c r="CG72" s="1191" t="n"/>
      <c r="CH72" s="1191" t="n"/>
      <c r="CI72" s="1191" t="n"/>
      <c r="CJ72" s="977" t="n"/>
      <c r="CK72" s="977" t="n"/>
      <c r="CL72" s="1191" t="n"/>
      <c r="CM72" s="977" t="n"/>
      <c r="CN72" s="978" t="n">
        <v>1.57</v>
      </c>
      <c r="CO72" s="977" t="n">
        <v>12403025</v>
      </c>
      <c r="CP72" s="977" t="n">
        <v>7900030</v>
      </c>
      <c r="CQ72" s="1201" t="n">
        <v>1.57</v>
      </c>
      <c r="CR72" s="1191" t="n">
        <v>12403025</v>
      </c>
      <c r="CS72" s="1191" t="n">
        <v>7900030</v>
      </c>
      <c r="CT72" s="977" t="n"/>
      <c r="CU72" s="977" t="n">
        <v>4018336.789</v>
      </c>
      <c r="CV72" s="977" t="n"/>
      <c r="CW72" s="108" t="n">
        <v>0.979</v>
      </c>
      <c r="CX72" s="108" t="n">
        <v>1.015</v>
      </c>
      <c r="CY72" s="108">
        <f>CW72-CX72</f>
        <v/>
      </c>
      <c r="CZ72" s="978">
        <f>CX72/CW72</f>
        <v/>
      </c>
      <c r="DA72" s="977" t="n"/>
      <c r="DB72" s="977" t="n"/>
      <c r="DC72" s="978" t="n"/>
      <c r="DD72" s="977" t="n"/>
      <c r="DE72" s="977" t="n"/>
      <c r="DF72" s="977" t="n"/>
      <c r="DG72" s="1191" t="n"/>
      <c r="DH72" s="1191" t="n"/>
      <c r="DI72" s="1191" t="n"/>
      <c r="DJ72" s="1191" t="n"/>
      <c r="DK72" s="1191" t="n"/>
      <c r="DL72" s="1191" t="n"/>
      <c r="DM72" s="1191" t="n"/>
      <c r="DN72" s="977" t="n"/>
      <c r="DO72" s="977" t="n"/>
      <c r="DP72" s="977" t="n"/>
      <c r="DQ72" s="977" t="n"/>
      <c r="DR72" s="977" t="n"/>
      <c r="DS72" s="977" t="n"/>
      <c r="DT72" s="977" t="n"/>
      <c r="DU72" s="977" t="n"/>
      <c r="DV72" s="977" t="n"/>
      <c r="DW72" s="977" t="n"/>
      <c r="DX72" s="977" t="n"/>
      <c r="DY72" s="977" t="n"/>
      <c r="DZ72" s="977" t="n"/>
      <c r="EA72" s="977" t="n"/>
      <c r="EB72" s="977" t="n"/>
      <c r="EC72" s="977" t="n"/>
      <c r="ED72" s="977" t="n"/>
      <c r="EE72" s="977" t="n"/>
      <c r="EP72" s="977" t="n">
        <v>1145904135</v>
      </c>
      <c r="EQ72" s="977" t="n">
        <v>-35254668</v>
      </c>
      <c r="ER72" s="977" t="n">
        <v>280333802</v>
      </c>
      <c r="ES72" s="977" t="n">
        <v>53419079</v>
      </c>
      <c r="ET72" s="977" t="n">
        <v>312340481</v>
      </c>
      <c r="EU72" s="977" t="n"/>
      <c r="EV72" s="977" t="n"/>
      <c r="EW72" s="977" t="n">
        <v>-1145904135</v>
      </c>
      <c r="EX72" s="977" t="n">
        <v>35254668</v>
      </c>
      <c r="EY72" s="977" t="n">
        <v>-280333802</v>
      </c>
      <c r="EZ72" s="977" t="n">
        <v>-53419079</v>
      </c>
      <c r="FA72" s="977" t="n">
        <v>-312340481</v>
      </c>
      <c r="FB72" s="977" t="n">
        <v>-278280482</v>
      </c>
      <c r="FC72" s="697" t="n">
        <v>0</v>
      </c>
    </row>
    <row r="73" customFormat="1" s="101">
      <c r="A73" s="101" t="inlineStr">
        <is>
          <t>2503현대해상</t>
        </is>
      </c>
      <c r="B73" s="101" t="n">
        <v>2503</v>
      </c>
      <c r="C73" s="101" t="inlineStr">
        <is>
          <t>현대해상</t>
        </is>
      </c>
      <c r="D73" s="977" t="n">
        <v>49568315.070657</v>
      </c>
      <c r="E73" s="977" t="n">
        <v>9926400.700203</v>
      </c>
      <c r="F73" s="977" t="n">
        <v>24326805.158966</v>
      </c>
      <c r="G73" s="977" t="n">
        <v>11238304.33217</v>
      </c>
      <c r="H73" s="977" t="n">
        <v>289287.607938</v>
      </c>
      <c r="I73" s="978">
        <f>E73/D73</f>
        <v/>
      </c>
      <c r="J73" s="978">
        <f>F73/D73</f>
        <v/>
      </c>
      <c r="K73" s="978">
        <f>G73/D73</f>
        <v/>
      </c>
      <c r="L73" s="977" t="n">
        <v>45355476.20741</v>
      </c>
      <c r="M73" s="977" t="n">
        <v>36730148.738468</v>
      </c>
      <c r="N73" s="979">
        <f>O73-P73</f>
        <v/>
      </c>
      <c r="O73" s="979" t="n">
        <v>4212838.863247</v>
      </c>
      <c r="P73" s="979" t="n">
        <v>0</v>
      </c>
      <c r="Q73" s="979" t="n">
        <v>-3471898.922546</v>
      </c>
      <c r="R73" s="979" t="n">
        <v>7594572.171795</v>
      </c>
      <c r="S73" s="979" t="n">
        <v>4927149.05341</v>
      </c>
      <c r="T73" s="979" t="n">
        <v>4927149.05341</v>
      </c>
      <c r="U73" s="980" t="n">
        <v>49568315.070657</v>
      </c>
      <c r="V73" s="1196" t="n">
        <v>47352887.881</v>
      </c>
      <c r="W73" s="1202" t="n">
        <v>0.948</v>
      </c>
      <c r="X73" s="979">
        <f>Q73</f>
        <v/>
      </c>
      <c r="Y73" s="1192" t="n"/>
      <c r="Z73" s="1192" t="n"/>
      <c r="AA73" s="1192" t="n"/>
      <c r="AB73" s="1192" t="n"/>
      <c r="AC73" s="1192" t="n"/>
      <c r="AD73" s="1192" t="n"/>
      <c r="AE73" s="979">
        <f>X73-(Y73+Z73+AA73+AB73+AC73+AD73)</f>
        <v/>
      </c>
      <c r="AF73" s="977" t="n">
        <v>175913.949482</v>
      </c>
      <c r="AG73" s="977" t="n">
        <v>3526542.728226</v>
      </c>
      <c r="AH73" s="977" t="n">
        <v>3350628.778744</v>
      </c>
      <c r="AI73" s="977" t="n">
        <v>109143.516292</v>
      </c>
      <c r="AJ73" s="977" t="n">
        <v>-210361.307243</v>
      </c>
      <c r="AK73" s="977" t="n">
        <v>326.567188</v>
      </c>
      <c r="AL73" s="977">
        <f>AI73-AJ73-AK73+AM73-AN73</f>
        <v/>
      </c>
      <c r="AM73" s="977" t="n">
        <v>2139.795879</v>
      </c>
      <c r="AN73" s="977" t="n">
        <v>-7910.084327</v>
      </c>
      <c r="AO73" s="977" t="n">
        <v>285057.465774</v>
      </c>
      <c r="AP73" s="977" t="n">
        <v>-12780.105645</v>
      </c>
      <c r="AQ73" s="979" t="n">
        <v>272277.360129</v>
      </c>
      <c r="AR73" s="979" t="n">
        <v>203195.245062</v>
      </c>
      <c r="AS73" s="979">
        <f>AO73+AP73-AQ73</f>
        <v/>
      </c>
      <c r="AT73" s="979">
        <f>AJ73+AK73+AL73-AM73+AN73-AI73</f>
        <v/>
      </c>
      <c r="AU73" s="979">
        <f>AF73+AI73-AO73</f>
        <v/>
      </c>
      <c r="AV73" s="979">
        <f>AF73</f>
        <v/>
      </c>
      <c r="AW73" s="979">
        <f>AI73</f>
        <v/>
      </c>
      <c r="AX73" s="979">
        <f>AP73</f>
        <v/>
      </c>
      <c r="AY73" s="979">
        <f>AV73+AW73+AX73</f>
        <v/>
      </c>
      <c r="AZ73" s="977" t="n"/>
      <c r="BA73" s="977" t="n"/>
      <c r="BB73" s="978" t="n"/>
      <c r="BC73" s="977" t="n">
        <v>-2554393.487321</v>
      </c>
      <c r="BD73" s="1191" t="n">
        <v>406084.874248</v>
      </c>
      <c r="BE73" s="977" t="n">
        <v>-56.341352</v>
      </c>
      <c r="BF73" s="977" t="n">
        <v>-1329682.968961</v>
      </c>
      <c r="BG73" s="977" t="n">
        <v>7402.497308</v>
      </c>
      <c r="BH73" s="977" t="n">
        <v>172.757755</v>
      </c>
      <c r="BI73" s="977" t="n">
        <v>-5918.082416</v>
      </c>
      <c r="BJ73" s="977" t="n">
        <v>1913.695536</v>
      </c>
      <c r="BK73" s="977">
        <f>Q73</f>
        <v/>
      </c>
      <c r="BL73" s="979">
        <f>BK73-BC73-SUM(BD73:BJ73)</f>
        <v/>
      </c>
      <c r="BM73" s="977" t="n">
        <v>7391376.926733</v>
      </c>
      <c r="BN73" s="977" t="n"/>
      <c r="BO73" s="977" t="n"/>
      <c r="BP73" s="977">
        <f>AR73</f>
        <v/>
      </c>
      <c r="BQ73" s="977" t="n"/>
      <c r="BR73" s="977" t="n"/>
      <c r="BS73" s="977">
        <f>R73</f>
        <v/>
      </c>
      <c r="BT73" s="979" t="n">
        <v>0</v>
      </c>
      <c r="BU73" s="1192" t="n">
        <v>16286846.583286</v>
      </c>
      <c r="BV73" s="1192" t="n">
        <v>2122529.707</v>
      </c>
      <c r="BW73" s="1192" t="n">
        <v>9164825.916999999</v>
      </c>
      <c r="BX73" s="1192" t="n"/>
      <c r="BY73" s="1192" t="n"/>
      <c r="BZ73" s="1192" t="n"/>
      <c r="CA73" s="1192" t="n"/>
      <c r="CB73" s="1192" t="n"/>
      <c r="CC73" s="1204" t="n"/>
      <c r="CD73" s="977" t="n"/>
      <c r="CE73" s="1191" t="n"/>
      <c r="CF73" s="1191" t="n"/>
      <c r="CG73" s="1191" t="n"/>
      <c r="CH73" s="1191" t="n"/>
      <c r="CI73" s="1191" t="n"/>
      <c r="CJ73" s="977">
        <f>BW73</f>
        <v/>
      </c>
      <c r="CK73" s="977" t="n"/>
      <c r="CL73" s="1191" t="n"/>
      <c r="CM73" s="977" t="n"/>
      <c r="CN73" s="978" t="n"/>
      <c r="CO73" s="977" t="n"/>
      <c r="CP73" s="977" t="n"/>
      <c r="CQ73" s="1201" t="n">
        <v>1.5943</v>
      </c>
      <c r="CR73" s="1191" t="n">
        <v>13102618.962865</v>
      </c>
      <c r="CS73" s="1191" t="n">
        <v>8218592.247673</v>
      </c>
      <c r="CT73" s="977" t="n"/>
      <c r="CU73" s="977" t="n">
        <v>4161025.251</v>
      </c>
      <c r="CV73" s="977" t="n"/>
      <c r="CW73" s="108" t="n"/>
      <c r="CX73" s="108" t="n"/>
      <c r="CY73" s="108" t="n"/>
      <c r="CZ73" s="978" t="n"/>
      <c r="DA73" s="977" t="n"/>
      <c r="DB73" s="977" t="n"/>
      <c r="DC73" s="978" t="n"/>
      <c r="DD73" s="977" t="n"/>
      <c r="DE73" s="977" t="n"/>
      <c r="DF73" s="977" t="n"/>
      <c r="DG73" s="1191" t="n"/>
      <c r="DH73" s="1191" t="n"/>
      <c r="DI73" s="1191" t="n"/>
      <c r="DJ73" s="1191" t="n"/>
      <c r="DK73" s="1191" t="n"/>
      <c r="DL73" s="1191" t="n"/>
      <c r="DM73" s="1191" t="n"/>
      <c r="DN73" s="977" t="n"/>
      <c r="DO73" s="977" t="n"/>
      <c r="DP73" s="977" t="n"/>
      <c r="DQ73" s="977" t="n"/>
      <c r="DR73" s="977" t="n"/>
      <c r="DS73" s="977" t="n"/>
      <c r="DT73" s="977" t="n"/>
      <c r="DU73" s="977" t="n"/>
      <c r="DV73" s="977" t="n"/>
      <c r="DW73" s="977" t="n"/>
      <c r="DX73" s="977" t="n"/>
      <c r="DY73" s="977" t="n"/>
      <c r="DZ73" s="977" t="n"/>
      <c r="EA73" s="977" t="n"/>
      <c r="EB73" s="977" t="n"/>
      <c r="EC73" s="977" t="n"/>
      <c r="ED73" s="977" t="n"/>
      <c r="EE73" s="977" t="n"/>
      <c r="EP73" s="977" t="n"/>
      <c r="EQ73" s="977" t="n"/>
      <c r="ER73" s="977" t="n"/>
      <c r="ES73" s="977" t="n"/>
      <c r="ET73" s="977" t="n"/>
      <c r="EU73" s="977" t="n"/>
      <c r="EV73" s="977" t="n"/>
      <c r="EW73" s="977" t="n"/>
      <c r="EX73" s="977" t="n"/>
      <c r="EY73" s="977" t="n"/>
      <c r="EZ73" s="977" t="n"/>
      <c r="FA73" s="977" t="n"/>
      <c r="FB73" s="977" t="n"/>
    </row>
    <row r="74" customFormat="1" s="101">
      <c r="A74" s="101" t="inlineStr">
        <is>
          <t>2506현대해상</t>
        </is>
      </c>
      <c r="B74" s="101" t="n">
        <v>2506</v>
      </c>
      <c r="C74" s="101" t="inlineStr">
        <is>
          <t>현대해상</t>
        </is>
      </c>
      <c r="D74" s="977" t="n">
        <v>49624610.984538</v>
      </c>
      <c r="E74" s="977" t="n">
        <v>9402100.760464</v>
      </c>
      <c r="F74" s="977" t="n">
        <v>24976528.089198</v>
      </c>
      <c r="G74" s="977" t="n">
        <v>10831914.061045</v>
      </c>
      <c r="H74" s="977" t="n">
        <v>288287.036702</v>
      </c>
      <c r="I74" s="978">
        <f>E74/D74</f>
        <v/>
      </c>
      <c r="J74" s="978">
        <f>F74/D74</f>
        <v/>
      </c>
      <c r="K74" s="978">
        <f>G74/D74</f>
        <v/>
      </c>
      <c r="L74" s="977" t="n">
        <v>44887744.609789</v>
      </c>
      <c r="M74" s="977" t="n">
        <v>36335172.151422</v>
      </c>
      <c r="N74" s="979">
        <f>O74-P74</f>
        <v/>
      </c>
      <c r="O74" s="979" t="n">
        <v>4736866.374749</v>
      </c>
      <c r="P74" s="1192" t="n"/>
      <c r="Q74" s="979" t="n">
        <v>-3195641.581442</v>
      </c>
      <c r="R74" s="979" t="n">
        <v>7842342.342193</v>
      </c>
      <c r="S74" s="979" t="n">
        <v>4927149.05341</v>
      </c>
      <c r="T74" s="979" t="n">
        <v>4927149.05341</v>
      </c>
      <c r="U74" s="980" t="n">
        <v>49624610.984538</v>
      </c>
      <c r="V74" s="1196" t="n">
        <v>47164303.415</v>
      </c>
      <c r="W74" s="1202" t="n"/>
      <c r="X74" s="979">
        <f>Q74</f>
        <v/>
      </c>
      <c r="Y74" s="979" t="n">
        <v>-2549953.107349</v>
      </c>
      <c r="Z74" s="1192" t="n">
        <v>-922332.217976</v>
      </c>
      <c r="AA74" s="1192" t="n">
        <v>970.919312</v>
      </c>
      <c r="AB74" s="1192" t="n">
        <v>22243.397837</v>
      </c>
      <c r="AC74" s="1192" t="n">
        <v>342353.805422</v>
      </c>
      <c r="AD74" s="1192" t="n">
        <v>-91029.492079</v>
      </c>
      <c r="AE74" s="979" t="n"/>
      <c r="AF74" s="977" t="n">
        <v>388576.170672</v>
      </c>
      <c r="AG74" s="977" t="n">
        <v>7348626.05924</v>
      </c>
      <c r="AH74" s="977" t="n">
        <v>6960049.888568</v>
      </c>
      <c r="AI74" s="977" t="n">
        <v>240232.63452</v>
      </c>
      <c r="AJ74" s="1191" t="n">
        <v>-385698.049443</v>
      </c>
      <c r="AK74" s="1191" t="n">
        <v>-11236.88514</v>
      </c>
      <c r="AL74" s="977">
        <f>AI74-AJ74-AK74+AM74-AN74</f>
        <v/>
      </c>
      <c r="AM74" s="1191" t="n">
        <v>5059.184689</v>
      </c>
      <c r="AN74" s="1191" t="n">
        <v>-18285.446907</v>
      </c>
      <c r="AO74" s="977" t="n">
        <v>628808.805192</v>
      </c>
      <c r="AP74" s="977" t="n">
        <v>-23936.058687</v>
      </c>
      <c r="AQ74" s="979" t="n">
        <v>604872.746505</v>
      </c>
      <c r="AR74" s="979" t="n">
        <v>450965.41546</v>
      </c>
      <c r="AS74" s="979">
        <f>AO74+AP74-AQ74</f>
        <v/>
      </c>
      <c r="AT74" s="979">
        <f>AJ74+AK74+AL74-AM74+AN74-AI74</f>
        <v/>
      </c>
      <c r="AU74" s="979">
        <f>AF74+AI74-AO74</f>
        <v/>
      </c>
      <c r="AV74" s="979">
        <f>AF74</f>
        <v/>
      </c>
      <c r="AW74" s="979">
        <f>AI74</f>
        <v/>
      </c>
      <c r="AX74" s="979">
        <f>AP74</f>
        <v/>
      </c>
      <c r="AY74" s="979">
        <f>AV74+AW74+AX74</f>
        <v/>
      </c>
      <c r="AZ74" s="977" t="n"/>
      <c r="BA74" s="977" t="n"/>
      <c r="BB74" s="978" t="n"/>
      <c r="BC74" s="977" t="n">
        <v>-2554393.487321</v>
      </c>
      <c r="BD74" s="1191" t="n">
        <v>185237.166706</v>
      </c>
      <c r="BE74" s="787" t="n">
        <v>-87.460865</v>
      </c>
      <c r="BF74" s="977" t="n">
        <v>-786198.008465</v>
      </c>
      <c r="BG74" s="977" t="n">
        <v>-37202.977627</v>
      </c>
      <c r="BH74" s="977" t="n">
        <v>-51.171294</v>
      </c>
      <c r="BI74" s="977" t="n">
        <v>-4158.994476</v>
      </c>
      <c r="BJ74" s="977" t="n">
        <v>-8026.046311</v>
      </c>
      <c r="BK74" s="977">
        <f>Q74</f>
        <v/>
      </c>
      <c r="BL74" s="979">
        <f>BK74-BC74-SUM(BD74:BJ74)</f>
        <v/>
      </c>
      <c r="BM74" s="977" t="n">
        <v>7391376.926733</v>
      </c>
      <c r="BN74" s="1191" t="n"/>
      <c r="BO74" s="1191" t="n"/>
      <c r="BP74" s="977">
        <f>AR74</f>
        <v/>
      </c>
      <c r="BQ74" s="1191" t="n"/>
      <c r="BR74" s="1191" t="n"/>
      <c r="BS74" s="977">
        <f>R74</f>
        <v/>
      </c>
      <c r="BT74" s="979" t="n">
        <v>0</v>
      </c>
      <c r="BU74" s="1192" t="n">
        <v>19180719.949384</v>
      </c>
      <c r="BV74" s="1192" t="n">
        <v>2135158.359</v>
      </c>
      <c r="BW74" s="979" t="n">
        <v>9422748.336999999</v>
      </c>
      <c r="BX74" s="1192" t="n">
        <v>1004910.06089</v>
      </c>
      <c r="BY74" s="1192" t="n"/>
      <c r="BZ74" s="1192" t="n">
        <v>440388.223139</v>
      </c>
      <c r="CA74" s="1192" t="n">
        <v>153793.331213</v>
      </c>
      <c r="CB74" s="1192" t="n"/>
      <c r="CC74" s="977" t="n"/>
      <c r="CD74" s="977" t="n"/>
      <c r="CE74" s="1191" t="n"/>
      <c r="CF74" s="1191" t="n"/>
      <c r="CG74" s="1191" t="n"/>
      <c r="CH74" s="1191" t="n"/>
      <c r="CI74" s="1191" t="n"/>
      <c r="CJ74" s="977">
        <f>BW74</f>
        <v/>
      </c>
      <c r="CK74" s="977" t="n"/>
      <c r="CL74" s="977" t="n">
        <v>0</v>
      </c>
      <c r="CM74" s="977" t="n"/>
      <c r="CN74" s="978" t="n"/>
      <c r="CO74" s="977" t="n"/>
      <c r="CP74" s="977" t="n"/>
      <c r="CQ74" s="1201" t="n">
        <v>1.7</v>
      </c>
      <c r="CR74" s="1191" t="n">
        <v>13837328.273596</v>
      </c>
      <c r="CS74" s="1191" t="n">
        <v>8139442.748262</v>
      </c>
      <c r="CT74" s="977" t="n"/>
      <c r="CU74" s="977" t="n">
        <v>4326457.467</v>
      </c>
      <c r="CV74" s="977" t="n"/>
      <c r="CW74" s="108" t="n"/>
      <c r="CX74" s="108" t="n"/>
      <c r="CY74" s="108" t="n"/>
      <c r="CZ74" s="978" t="n"/>
      <c r="DA74" s="977" t="n"/>
      <c r="DB74" s="977" t="n"/>
      <c r="DC74" s="978" t="n"/>
      <c r="DD74" s="977" t="n"/>
      <c r="DE74" s="977" t="n"/>
      <c r="DF74" s="977" t="n"/>
      <c r="DG74" s="977" t="n"/>
      <c r="DH74" s="977" t="n"/>
      <c r="DI74" s="977" t="n"/>
      <c r="DJ74" s="977" t="n"/>
      <c r="DK74" s="977" t="n"/>
      <c r="DL74" s="977" t="n"/>
      <c r="DM74" s="977" t="n"/>
      <c r="DN74" s="977" t="n"/>
      <c r="DO74" s="977" t="n"/>
      <c r="DP74" s="977" t="n"/>
      <c r="DQ74" s="977" t="n"/>
      <c r="DR74" s="977" t="n"/>
      <c r="DS74" s="977" t="n"/>
      <c r="DT74" s="977" t="n"/>
      <c r="DU74" s="977" t="n"/>
      <c r="DV74" s="977" t="n"/>
      <c r="DW74" s="977" t="n"/>
      <c r="DX74" s="977" t="n"/>
      <c r="DY74" s="977" t="n"/>
      <c r="DZ74" s="977" t="n"/>
      <c r="EA74" s="977" t="n"/>
      <c r="EB74" s="977" t="n"/>
      <c r="EC74" s="977" t="n"/>
      <c r="ED74" s="977" t="n"/>
      <c r="EE74" s="977" t="n"/>
      <c r="EP74" s="977" t="n"/>
      <c r="EQ74" s="977" t="n"/>
      <c r="ER74" s="977" t="n"/>
      <c r="ES74" s="977" t="n"/>
      <c r="ET74" s="977" t="n"/>
      <c r="EU74" s="977" t="n"/>
      <c r="EV74" s="977" t="n"/>
      <c r="EW74" s="977" t="n"/>
      <c r="EX74" s="977" t="n"/>
      <c r="EY74" s="977" t="n"/>
      <c r="EZ74" s="977" t="n"/>
      <c r="FA74" s="977" t="n"/>
      <c r="FB74" s="977" t="n"/>
    </row>
    <row r="75" customFormat="1" s="101">
      <c r="A75" s="101" t="inlineStr">
        <is>
          <t>2509현대해상</t>
        </is>
      </c>
      <c r="B75" s="101" t="n">
        <v>2509</v>
      </c>
      <c r="C75" s="101" t="inlineStr">
        <is>
          <t>현대해상</t>
        </is>
      </c>
      <c r="D75" s="977" t="n">
        <v>49960383.289635</v>
      </c>
      <c r="E75" s="977" t="n">
        <v>9713012.024762001</v>
      </c>
      <c r="F75" s="977" t="n">
        <v>25577228.319045</v>
      </c>
      <c r="G75" s="977" t="n">
        <v>10210981.927532</v>
      </c>
      <c r="H75" s="977" t="n">
        <v>331922.040076</v>
      </c>
      <c r="I75" s="978">
        <f>E75/D75</f>
        <v/>
      </c>
      <c r="J75" s="978">
        <f>F75/D75</f>
        <v/>
      </c>
      <c r="K75" s="978">
        <f>G75/D75</f>
        <v/>
      </c>
      <c r="L75" s="977" t="n">
        <v>45155449.405808</v>
      </c>
      <c r="M75" s="977" t="n">
        <v>36290879.870656</v>
      </c>
      <c r="N75" s="979">
        <f>O75-P75</f>
        <v/>
      </c>
      <c r="O75" s="979" t="n">
        <v>4804933.883827</v>
      </c>
      <c r="P75" s="1192" t="n"/>
      <c r="Q75" s="979" t="n">
        <v>-3310923.762404</v>
      </c>
      <c r="R75" s="979" t="n">
        <v>8025692.032233</v>
      </c>
      <c r="S75" s="979" t="n">
        <v>4927149.05341</v>
      </c>
      <c r="T75" s="979" t="n">
        <v>4927149.05341</v>
      </c>
      <c r="U75" s="980" t="n">
        <v>49960383.289635</v>
      </c>
      <c r="V75" s="1196" t="n">
        <v>47382280.444</v>
      </c>
      <c r="W75" s="1202" t="n"/>
      <c r="X75" s="979">
        <f>Q75</f>
        <v/>
      </c>
      <c r="Y75" s="979" t="n">
        <v>-2730842.096048</v>
      </c>
      <c r="Z75" s="1192" t="n">
        <v>-820131.766292</v>
      </c>
      <c r="AA75" s="1192" t="n">
        <v>-1828.922824</v>
      </c>
      <c r="AB75" s="1192" t="n">
        <v>-13798.512362</v>
      </c>
      <c r="AC75" s="1192" t="n">
        <v>342353.805422</v>
      </c>
      <c r="AD75" s="1192" t="n">
        <v>-88373.248458</v>
      </c>
      <c r="AE75" s="979" t="n"/>
      <c r="AF75" s="977" t="n">
        <v>550006.167772</v>
      </c>
      <c r="AG75" s="977" t="n">
        <v>11028130.524204</v>
      </c>
      <c r="AH75" s="977" t="n">
        <v>10478124.356432</v>
      </c>
      <c r="AI75" s="977" t="n">
        <v>324249.033288</v>
      </c>
      <c r="AJ75" s="977" t="n">
        <v>-600255.010937</v>
      </c>
      <c r="AK75" s="977" t="n">
        <v>1170.611697</v>
      </c>
      <c r="AL75" s="977">
        <f>AI75-AJ75-AK75+AM75-AN75</f>
        <v/>
      </c>
      <c r="AM75" s="977" t="n">
        <v>7507.051356</v>
      </c>
      <c r="AN75" s="977" t="n">
        <v>-25035.230456</v>
      </c>
      <c r="AO75" s="977" t="n">
        <v>874255.20106</v>
      </c>
      <c r="AP75" s="977" t="n">
        <v>-24602.004599</v>
      </c>
      <c r="AQ75" s="979" t="n">
        <v>849653.196461</v>
      </c>
      <c r="AR75" s="979" t="n">
        <v>634146.584359</v>
      </c>
      <c r="AS75" s="979">
        <f>AO75+AP75-AQ75</f>
        <v/>
      </c>
      <c r="AT75" s="979">
        <f>AJ75+AK75+AL75-AM75+AN75-AI75</f>
        <v/>
      </c>
      <c r="AU75" s="979">
        <f>AF75+AI75-AO75</f>
        <v/>
      </c>
      <c r="AV75" s="979">
        <f>AF75</f>
        <v/>
      </c>
      <c r="AW75" s="979">
        <f>AI75</f>
        <v/>
      </c>
      <c r="AX75" s="979">
        <f>AP75</f>
        <v/>
      </c>
      <c r="AY75" s="979">
        <f>AV75+AW75+AX75</f>
        <v/>
      </c>
      <c r="AZ75" s="977" t="n"/>
      <c r="BA75" s="977" t="n"/>
      <c r="BB75" s="978" t="n"/>
      <c r="BC75" s="977" t="n">
        <v>-2554393.487321</v>
      </c>
      <c r="BD75" s="1191" t="n">
        <v>3893.19437</v>
      </c>
      <c r="BE75" s="977" t="n">
        <v>-81.776129</v>
      </c>
      <c r="BF75" s="977" t="n">
        <v>-686797.398917</v>
      </c>
      <c r="BG75" s="977" t="n">
        <v>-76800.937486</v>
      </c>
      <c r="BH75" s="1191" t="n">
        <v>-296.470122</v>
      </c>
      <c r="BI75" s="977" t="n">
        <v>-1502.750855</v>
      </c>
      <c r="BJ75" s="977" t="n">
        <v>-4469.996651</v>
      </c>
      <c r="BK75" s="977">
        <f>Q75</f>
        <v/>
      </c>
      <c r="BL75" s="979">
        <f>BK75-BC75-SUM(BD75:BJ75)</f>
        <v/>
      </c>
      <c r="BM75" s="977" t="n">
        <v>7391376.926733</v>
      </c>
      <c r="BN75" s="977" t="n"/>
      <c r="BO75" s="977" t="n"/>
      <c r="BP75" s="977">
        <f>AR75</f>
        <v/>
      </c>
      <c r="BQ75" s="1191" t="n"/>
      <c r="BR75" s="977" t="n"/>
      <c r="BS75" s="977">
        <f>R75</f>
        <v/>
      </c>
      <c r="BT75" s="979" t="n">
        <v>0</v>
      </c>
      <c r="BU75" s="979" t="n">
        <v>18913218.52568</v>
      </c>
      <c r="BV75" s="979" t="n">
        <v>2122781.062</v>
      </c>
      <c r="BW75" s="979" t="n">
        <v>9670290.380999999</v>
      </c>
      <c r="BX75" s="1192" t="n">
        <v>1516547.172067</v>
      </c>
      <c r="BY75" s="1192" t="n"/>
      <c r="BZ75" s="1192" t="n">
        <v>344027.108381</v>
      </c>
      <c r="CA75" s="1192" t="n">
        <v>234843.505425</v>
      </c>
      <c r="CB75" s="1192" t="n"/>
      <c r="CC75" s="977" t="n"/>
      <c r="CD75" s="977" t="n"/>
      <c r="CE75" s="1191" t="n"/>
      <c r="CF75" s="1191" t="n"/>
      <c r="CG75" s="1191" t="n"/>
      <c r="CH75" s="1191" t="n"/>
      <c r="CI75" s="1191" t="n"/>
      <c r="CJ75" s="977">
        <f>BW75</f>
        <v/>
      </c>
      <c r="CK75" s="977" t="n"/>
      <c r="CL75" s="977" t="n">
        <v>0</v>
      </c>
      <c r="CM75" s="977" t="n"/>
      <c r="CN75" s="978" t="n"/>
      <c r="CO75" s="977" t="n"/>
      <c r="CP75" s="977" t="n"/>
      <c r="CQ75" s="1201" t="n">
        <v>1.7984</v>
      </c>
      <c r="CR75" s="1191" t="n">
        <v>14228760.02624</v>
      </c>
      <c r="CS75" s="1191" t="n">
        <v>7911871.138089</v>
      </c>
      <c r="CT75" s="977" t="n"/>
      <c r="CU75" s="977" t="n">
        <v>4049483.005</v>
      </c>
      <c r="CV75" s="977" t="n"/>
      <c r="CW75" s="108" t="n"/>
      <c r="CX75" s="108" t="n"/>
      <c r="CY75" s="108" t="n"/>
      <c r="CZ75" s="978" t="n"/>
      <c r="DA75" s="977" t="n"/>
      <c r="DB75" s="977" t="n"/>
      <c r="DC75" s="978" t="n"/>
      <c r="DD75" s="977" t="n"/>
      <c r="DE75" s="977" t="n"/>
      <c r="DF75" s="977" t="n"/>
      <c r="DG75" s="1191" t="n"/>
      <c r="DH75" s="1191" t="n"/>
      <c r="DI75" s="1191" t="n"/>
      <c r="DJ75" s="1191" t="n"/>
      <c r="DK75" s="1191" t="n"/>
      <c r="DL75" s="1191" t="n"/>
      <c r="DM75" s="1191" t="n"/>
      <c r="DN75" s="977" t="n"/>
      <c r="DO75" s="977" t="n"/>
      <c r="DP75" s="977" t="n"/>
      <c r="DQ75" s="977" t="n"/>
      <c r="DR75" s="977" t="n"/>
      <c r="DS75" s="977" t="n"/>
      <c r="DT75" s="977" t="n"/>
      <c r="DU75" s="977" t="n"/>
      <c r="DV75" s="977" t="n"/>
      <c r="DW75" s="977" t="n"/>
      <c r="DX75" s="977" t="n"/>
      <c r="DY75" s="977" t="n"/>
      <c r="DZ75" s="977" t="n"/>
      <c r="EA75" s="977" t="n"/>
      <c r="EB75" s="977" t="n"/>
      <c r="EC75" s="977" t="n"/>
      <c r="ED75" s="977" t="n"/>
      <c r="EE75" s="977" t="n"/>
      <c r="EP75" s="977" t="n"/>
      <c r="EQ75" s="977" t="n"/>
      <c r="ER75" s="977" t="n"/>
      <c r="ES75" s="977" t="n"/>
      <c r="ET75" s="977" t="n"/>
      <c r="EU75" s="977" t="n"/>
      <c r="EV75" s="977" t="n"/>
      <c r="EW75" s="977" t="n"/>
      <c r="EX75" s="977" t="n"/>
      <c r="EY75" s="977" t="n"/>
      <c r="EZ75" s="977" t="n"/>
      <c r="FA75" s="977" t="n"/>
      <c r="FB75" s="977" t="n"/>
    </row>
    <row r="76" customFormat="1" s="101">
      <c r="A76" s="101" t="inlineStr">
        <is>
          <t>2512현대해상</t>
        </is>
      </c>
      <c r="B76" s="101" t="n">
        <v>2512</v>
      </c>
      <c r="C76" s="101" t="inlineStr">
        <is>
          <t>현대해상</t>
        </is>
      </c>
      <c r="D76" s="977" t="n">
        <v>49645874.619981</v>
      </c>
      <c r="E76" s="977" t="n">
        <v>9040657.765254</v>
      </c>
      <c r="F76" s="977" t="n">
        <v>25341092.240272</v>
      </c>
      <c r="G76" s="977" t="n">
        <v>10401582.761756</v>
      </c>
      <c r="H76" s="977" t="n">
        <v>337372.021146</v>
      </c>
      <c r="I76" s="978">
        <f>E76/D76</f>
        <v/>
      </c>
      <c r="J76" s="978">
        <f>F76/D76</f>
        <v/>
      </c>
      <c r="K76" s="978">
        <f>G76/D76</f>
        <v/>
      </c>
      <c r="L76" s="977" t="n">
        <v>44762387.153459</v>
      </c>
      <c r="M76" s="977" t="n">
        <v>34852924.404989</v>
      </c>
      <c r="N76" s="979">
        <f>O76-P76</f>
        <v/>
      </c>
      <c r="O76" s="979" t="n">
        <v>4883487.466522</v>
      </c>
      <c r="P76" s="979" t="n"/>
      <c r="Q76" s="979" t="n">
        <v>-3159330.002857</v>
      </c>
      <c r="R76" s="979" t="n">
        <v>7952651.855381</v>
      </c>
      <c r="S76" s="979" t="n">
        <v>4927149.05341</v>
      </c>
      <c r="T76" s="979" t="n">
        <v>4927149.05341</v>
      </c>
      <c r="U76" s="980" t="n">
        <v>49645874.619981</v>
      </c>
      <c r="V76" s="1196" t="n">
        <v>47015756.676</v>
      </c>
      <c r="W76" s="1202" t="n"/>
      <c r="X76" s="979">
        <f>Q76</f>
        <v/>
      </c>
      <c r="Y76" s="979" t="n">
        <v>-3805091.972358</v>
      </c>
      <c r="Z76" s="1192" t="n">
        <v>619502.2327620001</v>
      </c>
      <c r="AA76" s="1192" t="n">
        <v>-16314.455676</v>
      </c>
      <c r="AB76" s="1192" t="n">
        <v>-215453.103075</v>
      </c>
      <c r="AC76" s="1192" t="n">
        <v>342353.805422</v>
      </c>
      <c r="AD76" s="1192" t="n">
        <v>-86167.829715</v>
      </c>
      <c r="AE76" s="979" t="n"/>
      <c r="AF76" s="977" t="n">
        <v>396111.304194</v>
      </c>
      <c r="AG76" s="977" t="n">
        <v>14728779.445394</v>
      </c>
      <c r="AH76" s="977" t="n">
        <v>14332668.1412</v>
      </c>
      <c r="AI76" s="977" t="n">
        <v>330751.285318</v>
      </c>
      <c r="AJ76" s="977" t="n">
        <v>-900984.070943</v>
      </c>
      <c r="AK76" s="977" t="n">
        <v>12880.802504</v>
      </c>
      <c r="AL76" s="977">
        <f>AI76-AJ76-AK76+AM76-AN76</f>
        <v/>
      </c>
      <c r="AM76" s="977" t="n">
        <v>10222.374417</v>
      </c>
      <c r="AN76" s="977" t="n">
        <v>-33512.285886</v>
      </c>
      <c r="AO76" s="977" t="n">
        <v>726862.589512</v>
      </c>
      <c r="AP76" s="977" t="n">
        <v>-32584.869919</v>
      </c>
      <c r="AQ76" s="979" t="n">
        <v>694277.719593</v>
      </c>
      <c r="AR76" s="979" t="n">
        <v>561106.407507</v>
      </c>
      <c r="AS76" s="979">
        <f>AO76+AP76-AQ76</f>
        <v/>
      </c>
      <c r="AT76" s="979">
        <f>AJ76+AK76+AL76-AM76+AN76-AI76</f>
        <v/>
      </c>
      <c r="AU76" s="979">
        <f>AF76+AI76-AO76</f>
        <v/>
      </c>
      <c r="AV76" s="979">
        <f>AF76</f>
        <v/>
      </c>
      <c r="AW76" s="979">
        <f>AI76</f>
        <v/>
      </c>
      <c r="AX76" s="979">
        <f>AP76</f>
        <v/>
      </c>
      <c r="AY76" s="979">
        <f>AV76+AW76+AX76</f>
        <v/>
      </c>
      <c r="AZ76" s="977" t="n"/>
      <c r="BA76" s="977" t="n"/>
      <c r="BB76" s="978" t="n"/>
      <c r="BC76" s="977" t="n">
        <v>-2554393.487321</v>
      </c>
      <c r="BD76" s="1191" t="n">
        <v>-1070701.580722</v>
      </c>
      <c r="BE76" s="977" t="n">
        <v>39.230603</v>
      </c>
      <c r="BF76" s="977" t="n">
        <v>738351.067285</v>
      </c>
      <c r="BG76" s="977" t="n">
        <v>-279436.045005</v>
      </c>
      <c r="BH76" s="1191" t="n">
        <v>-273.135229</v>
      </c>
      <c r="BI76" s="977" t="n">
        <v>702.6678879999999</v>
      </c>
      <c r="BJ76" s="977" t="n">
        <v>-3489.479845</v>
      </c>
      <c r="BK76" s="977">
        <f>Q76</f>
        <v/>
      </c>
      <c r="BL76" s="979">
        <f>BK76-BC76-SUM(BD76:BJ76)</f>
        <v/>
      </c>
      <c r="BM76" s="977" t="n">
        <v>7391376.926733</v>
      </c>
      <c r="BN76" s="977" t="n"/>
      <c r="BO76" s="977" t="n"/>
      <c r="BP76" s="977">
        <f>AR76</f>
        <v/>
      </c>
      <c r="BQ76" s="977" t="n"/>
      <c r="BR76" s="1191" t="n"/>
      <c r="BS76" s="977">
        <f>R76</f>
        <v/>
      </c>
      <c r="BT76" s="1192" t="n">
        <v>0</v>
      </c>
      <c r="BU76" s="979" t="n">
        <v>18214447.40351</v>
      </c>
      <c r="BV76" s="979" t="n">
        <v>1934548.315449</v>
      </c>
      <c r="BW76" s="979" t="n">
        <v>8977842.069321999</v>
      </c>
      <c r="BX76" s="979" t="n">
        <v>2037561.27198</v>
      </c>
      <c r="BY76" s="979" t="n">
        <v>963901.355964</v>
      </c>
      <c r="BZ76" s="979" t="n">
        <v>-719030.648057</v>
      </c>
      <c r="CA76" s="979" t="n">
        <v>317725.539575</v>
      </c>
      <c r="CB76" s="979" t="n">
        <v>8305487.261788</v>
      </c>
      <c r="CC76" s="977" t="n"/>
      <c r="CD76" s="977">
        <f>CB76+BX76-BY76+BZ76+CA76-BW76</f>
        <v/>
      </c>
      <c r="CE76" s="1191" t="n"/>
      <c r="CF76" s="1191" t="n"/>
      <c r="CG76" s="1191" t="n"/>
      <c r="CH76" s="1191" t="n"/>
      <c r="CI76" s="1191" t="n"/>
      <c r="CJ76" s="977">
        <f>BW76</f>
        <v/>
      </c>
      <c r="CK76" s="977" t="n"/>
      <c r="CL76" s="977" t="n">
        <v>0</v>
      </c>
      <c r="CM76" s="977" t="n"/>
      <c r="CN76" s="1201" t="n">
        <v>1.901</v>
      </c>
      <c r="CO76" s="1191" t="n">
        <v>13958476</v>
      </c>
      <c r="CP76" s="1191" t="n">
        <v>7340818</v>
      </c>
      <c r="CQ76" s="1200" t="n">
        <v>1.901</v>
      </c>
      <c r="CR76" s="1192" t="n">
        <v>13958476</v>
      </c>
      <c r="CS76" s="1192" t="n">
        <v>7340818</v>
      </c>
      <c r="CT76" s="977" t="n"/>
      <c r="CU76" s="977" t="n">
        <v>3916614.589</v>
      </c>
      <c r="CV76" s="977" t="n"/>
      <c r="CW76" s="108" t="n">
        <v>0.973</v>
      </c>
      <c r="CX76" s="108" t="n">
        <v>1.039</v>
      </c>
      <c r="CY76" s="108">
        <f>CW76-CX76</f>
        <v/>
      </c>
      <c r="CZ76" s="978">
        <f>CX76/CW76</f>
        <v/>
      </c>
      <c r="DA76" s="977" t="n"/>
      <c r="DB76" s="977" t="n"/>
      <c r="DC76" s="978" t="n"/>
      <c r="DD76" s="977" t="n"/>
      <c r="DE76" s="977" t="n"/>
      <c r="DF76" s="977" t="n"/>
      <c r="DG76" s="1191" t="n"/>
      <c r="DH76" s="1191" t="n"/>
      <c r="DI76" s="1191" t="n"/>
      <c r="DJ76" s="1191" t="n"/>
      <c r="DK76" s="1191" t="n"/>
      <c r="DL76" s="1191" t="n"/>
      <c r="DM76" s="1191" t="n"/>
      <c r="DN76" s="977" t="n"/>
      <c r="DO76" s="977" t="n"/>
      <c r="DP76" s="977" t="n"/>
      <c r="DQ76" s="977" t="n"/>
      <c r="DR76" s="977" t="n"/>
      <c r="DS76" s="977" t="n"/>
      <c r="DT76" s="977" t="n"/>
      <c r="DU76" s="977" t="n"/>
      <c r="DV76" s="977" t="n"/>
      <c r="DW76" s="977" t="n"/>
      <c r="DX76" s="977" t="n"/>
      <c r="DY76" s="977" t="n"/>
      <c r="DZ76" s="977" t="n"/>
      <c r="EA76" s="977" t="n"/>
      <c r="EB76" s="977" t="n"/>
      <c r="EC76" s="977" t="n"/>
      <c r="ED76" s="977" t="n"/>
      <c r="EE76" s="977" t="n"/>
      <c r="EP76" s="977" t="n">
        <v>299613.522329</v>
      </c>
      <c r="EQ76" s="977" t="n">
        <v>1298617.542534</v>
      </c>
      <c r="ER76" s="977" t="n">
        <v>-400726.961712</v>
      </c>
      <c r="ES76" s="977" t="n">
        <v>-31793.662579</v>
      </c>
      <c r="ET76" s="977" t="n">
        <v>-153308.830608</v>
      </c>
      <c r="EU76" s="977" t="n"/>
      <c r="EV76" s="977" t="n"/>
      <c r="EW76" s="977" t="n">
        <v>-299613.522329</v>
      </c>
      <c r="EX76" s="977" t="n">
        <v>-1298617.542534</v>
      </c>
      <c r="EY76" s="977" t="n">
        <v>400726.961712</v>
      </c>
      <c r="EZ76" s="977" t="n">
        <v>31793.662579</v>
      </c>
      <c r="FA76" s="977" t="n">
        <v>153308.830566</v>
      </c>
      <c r="FB76" s="977" t="n">
        <v>293370.961949</v>
      </c>
      <c r="FC76" s="767" t="n">
        <v>0</v>
      </c>
    </row>
    <row r="77" customFormat="1" s="101">
      <c r="D77" s="977" t="n"/>
      <c r="E77" s="977" t="n"/>
      <c r="F77" s="977" t="n"/>
      <c r="G77" s="977" t="n"/>
      <c r="H77" s="977" t="n"/>
      <c r="I77" s="978" t="n"/>
      <c r="J77" s="978" t="n"/>
      <c r="K77" s="978" t="n"/>
      <c r="L77" s="977" t="n"/>
      <c r="M77" s="977" t="n"/>
      <c r="N77" s="979" t="n"/>
      <c r="O77" s="979" t="n"/>
      <c r="P77" s="979" t="n"/>
      <c r="Q77" s="979" t="n"/>
      <c r="R77" s="979" t="n"/>
      <c r="S77" s="979" t="n"/>
      <c r="T77" s="979" t="n"/>
      <c r="U77" s="980" t="n"/>
      <c r="V77" s="980" t="n"/>
      <c r="W77" s="107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7" t="n"/>
      <c r="AG77" s="977" t="n"/>
      <c r="AH77" s="977" t="n"/>
      <c r="AI77" s="977" t="n"/>
      <c r="AJ77" s="977" t="n"/>
      <c r="AK77" s="977" t="n"/>
      <c r="AL77" s="977" t="n"/>
      <c r="AM77" s="977" t="n"/>
      <c r="AN77" s="977" t="n"/>
      <c r="AO77" s="977" t="n"/>
      <c r="AP77" s="977" t="n"/>
      <c r="AQ77" s="979" t="n"/>
      <c r="AR77" s="979" t="n"/>
      <c r="AS77" s="979" t="n"/>
      <c r="AT77" s="979" t="n"/>
      <c r="AU77" s="979" t="n"/>
      <c r="AV77" s="979" t="n"/>
      <c r="AW77" s="979" t="n"/>
      <c r="AX77" s="979" t="n"/>
      <c r="AY77" s="979" t="n"/>
      <c r="AZ77" s="977" t="n"/>
      <c r="BA77" s="977" t="n"/>
      <c r="BB77" s="978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9" t="n"/>
      <c r="BM77" s="977" t="n"/>
      <c r="BN77" s="977" t="n"/>
      <c r="BO77" s="977" t="n"/>
      <c r="BP77" s="977" t="n"/>
      <c r="BQ77" s="977" t="n"/>
      <c r="BR77" s="977" t="n"/>
      <c r="BS77" s="977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9" t="n"/>
      <c r="CC77" s="977" t="n"/>
      <c r="CD77" s="977" t="n"/>
      <c r="CE77" s="977" t="n"/>
      <c r="CF77" s="977" t="n"/>
      <c r="CG77" s="977" t="n"/>
      <c r="CH77" s="977" t="n"/>
      <c r="CI77" s="977" t="n"/>
      <c r="CJ77" s="977" t="n"/>
      <c r="CK77" s="977" t="n"/>
      <c r="CL77" s="977" t="n"/>
      <c r="CM77" s="977" t="n"/>
      <c r="CN77" s="978" t="n"/>
      <c r="CO77" s="977" t="n"/>
      <c r="CP77" s="977" t="n"/>
      <c r="CQ77" s="996" t="n"/>
      <c r="CR77" s="979" t="n"/>
      <c r="CS77" s="979" t="n"/>
      <c r="CT77" s="977" t="n"/>
      <c r="CU77" s="977" t="n"/>
      <c r="CV77" s="977" t="n"/>
      <c r="CW77" s="108" t="n"/>
      <c r="CX77" s="108" t="n"/>
      <c r="CY77" s="108" t="n"/>
      <c r="CZ77" s="978" t="n"/>
      <c r="DA77" s="977" t="n"/>
      <c r="DB77" s="977" t="n"/>
      <c r="DC77" s="978" t="n"/>
      <c r="DD77" s="977" t="n"/>
      <c r="DE77" s="977" t="n"/>
      <c r="DF77" s="977" t="n"/>
      <c r="DG77" s="977" t="n"/>
      <c r="DH77" s="977" t="n"/>
      <c r="DI77" s="977" t="n"/>
      <c r="DJ77" s="978" t="n"/>
      <c r="DK77" s="977" t="n"/>
      <c r="DL77" s="977" t="n"/>
      <c r="DM77" s="977" t="n"/>
      <c r="DN77" s="977" t="n"/>
      <c r="DO77" s="977" t="n"/>
      <c r="DP77" s="977" t="n"/>
      <c r="DQ77" s="977" t="n"/>
      <c r="DR77" s="977" t="n"/>
      <c r="DS77" s="977" t="n"/>
      <c r="DT77" s="977" t="n"/>
      <c r="DU77" s="977" t="n"/>
      <c r="DV77" s="977" t="n"/>
      <c r="DW77" s="977" t="n"/>
      <c r="DX77" s="977" t="n"/>
      <c r="DY77" s="977" t="n"/>
      <c r="DZ77" s="977" t="n"/>
      <c r="EA77" s="977" t="n"/>
      <c r="EB77" s="977" t="n"/>
      <c r="EC77" s="977" t="n"/>
      <c r="ED77" s="977" t="n"/>
      <c r="EE77" s="977" t="n"/>
      <c r="EP77" s="977" t="n"/>
      <c r="EQ77" s="977" t="n"/>
      <c r="ER77" s="977" t="n"/>
      <c r="ES77" s="977" t="n"/>
      <c r="ET77" s="977" t="n"/>
      <c r="EU77" s="977" t="n"/>
      <c r="EV77" s="977" t="n"/>
      <c r="EW77" s="977" t="n"/>
      <c r="EX77" s="977" t="n"/>
      <c r="EY77" s="977" t="n"/>
      <c r="EZ77" s="977" t="n"/>
      <c r="FA77" s="977" t="n"/>
      <c r="FB77" s="977" t="n"/>
    </row>
    <row r="78">
      <c r="A78" s="643" t="inlineStr">
        <is>
          <t>2212메리츠화재</t>
        </is>
      </c>
      <c r="B78" s="643" t="n">
        <v>2212</v>
      </c>
      <c r="C78" s="643" t="inlineStr">
        <is>
          <t>메리츠화재</t>
        </is>
      </c>
      <c r="I78" s="786" t="n"/>
      <c r="J78" s="786" t="n"/>
      <c r="K78" s="786" t="n"/>
      <c r="O78" s="1205" t="n"/>
      <c r="P78" s="1205" t="n"/>
      <c r="Q78" s="1205" t="n"/>
      <c r="R78" s="1205" t="n"/>
      <c r="AS78" s="966" t="n"/>
      <c r="AT78" s="966" t="n"/>
      <c r="AU78" s="966" t="n"/>
      <c r="AV78" s="966" t="n"/>
      <c r="AW78" s="966" t="n"/>
      <c r="AX78" s="966" t="n"/>
      <c r="AY78" s="966" t="n"/>
      <c r="BB78" s="786" t="n"/>
      <c r="BC78" s="966" t="n"/>
      <c r="BD78" s="966" t="n"/>
      <c r="BE78" s="966" t="n"/>
      <c r="BF78" s="966" t="n"/>
      <c r="BG78" s="966" t="n"/>
      <c r="BH78" s="966" t="n"/>
      <c r="BI78" s="966" t="n"/>
      <c r="BJ78" s="966" t="n"/>
      <c r="BK78" s="966" t="n"/>
      <c r="BL78" s="966" t="n"/>
      <c r="BM78" s="966" t="n"/>
      <c r="BN78" s="966" t="n"/>
      <c r="BO78" s="966" t="n"/>
      <c r="BP78" s="966" t="n"/>
      <c r="BQ78" s="966" t="n"/>
      <c r="BR78" s="966" t="n"/>
      <c r="BS78" s="966" t="n"/>
      <c r="BT78" s="1192" t="n"/>
      <c r="BU78" s="1205" t="n"/>
      <c r="BV78" s="1205" t="n"/>
      <c r="BW78" s="1205" t="n"/>
      <c r="CN78" s="786" t="n"/>
      <c r="CQ78" s="786" t="n"/>
    </row>
    <row r="79">
      <c r="A79" s="643" t="inlineStr">
        <is>
          <t>2312메리츠화재</t>
        </is>
      </c>
      <c r="B79" s="643" t="n">
        <v>2312</v>
      </c>
      <c r="C79" s="643" t="inlineStr">
        <is>
          <t>메리츠화재</t>
        </is>
      </c>
      <c r="D79" s="697" t="n">
        <v>39403862.443763</v>
      </c>
      <c r="E79" s="697" t="n">
        <v>8052071.734624</v>
      </c>
      <c r="F79" s="697" t="n">
        <v>26102575.035676</v>
      </c>
      <c r="G79" s="697" t="n">
        <v>1213098.423866</v>
      </c>
      <c r="H79" s="697" t="n">
        <v>119097.7484</v>
      </c>
      <c r="I79" s="786">
        <f>E79/D79</f>
        <v/>
      </c>
      <c r="J79" s="786">
        <f>F79/D79</f>
        <v/>
      </c>
      <c r="K79" s="786">
        <f>G79/D79</f>
        <v/>
      </c>
      <c r="L79" s="697" t="n">
        <v>33931288.79078</v>
      </c>
      <c r="M79" s="697" t="n">
        <v>21549324.737068</v>
      </c>
      <c r="N79" s="697">
        <f>O79-P79</f>
        <v/>
      </c>
      <c r="O79" s="697" t="n">
        <v>5472573.652983</v>
      </c>
      <c r="P79" s="697" t="n">
        <v>283729.68</v>
      </c>
      <c r="Q79" s="697" t="n">
        <v>479733.856213</v>
      </c>
      <c r="R79" s="697" t="n">
        <v>4547708.998364</v>
      </c>
      <c r="S79" s="697" t="n">
        <v>3661822.899317</v>
      </c>
      <c r="T79" s="979" t="n">
        <v>3378093.219317</v>
      </c>
      <c r="U79" s="697" t="n">
        <v>39403862.443763</v>
      </c>
      <c r="V79" s="1205" t="n">
        <v>37673227.304</v>
      </c>
      <c r="W79" s="1202" t="n"/>
      <c r="X79" s="697">
        <f>Q79</f>
        <v/>
      </c>
      <c r="Y79" s="697" t="n">
        <v>-1781322</v>
      </c>
      <c r="Z79" s="1205" t="n">
        <v>1816540</v>
      </c>
      <c r="AA79" s="1205" t="n">
        <v>-55658</v>
      </c>
      <c r="AB79" s="1205" t="n">
        <v>130303</v>
      </c>
      <c r="AC79" s="697" t="n">
        <v>381318</v>
      </c>
      <c r="AD79" s="697" t="n">
        <v>-11447</v>
      </c>
      <c r="AF79" s="697" t="n">
        <v>1497057.260733</v>
      </c>
      <c r="AG79" s="697" t="n">
        <v>8672579.732765</v>
      </c>
      <c r="AH79" s="697" t="n">
        <v>7175522.472032</v>
      </c>
      <c r="AI79" s="697" t="n">
        <v>609451.778718</v>
      </c>
      <c r="AJ79" s="697" t="n">
        <v>-673995.363422</v>
      </c>
      <c r="AK79" s="697" t="n">
        <v>25932.864124</v>
      </c>
      <c r="AL79" s="697">
        <f>AI79-AJ79-AK79+AM79-AN79</f>
        <v/>
      </c>
      <c r="AM79" s="697" t="n">
        <v>31226.255661</v>
      </c>
      <c r="AN79" s="697" t="n">
        <v>413321.914995</v>
      </c>
      <c r="AO79" s="1205" t="n"/>
      <c r="AP79" s="697" t="n">
        <v>12978.156515</v>
      </c>
      <c r="AQ79" s="697" t="n">
        <v>2119487.195966</v>
      </c>
      <c r="AR79" s="697" t="n">
        <v>1566982.63253</v>
      </c>
      <c r="AS79" s="966" t="n"/>
      <c r="AT79" s="966">
        <f>AJ79+AK79+AL79-AM79+AN79-AI79</f>
        <v/>
      </c>
      <c r="AU79" s="966" t="n"/>
      <c r="AV79" s="966">
        <f>AF79</f>
        <v/>
      </c>
      <c r="AW79" s="966">
        <f>AI79</f>
        <v/>
      </c>
      <c r="AX79" s="966">
        <f>AP79</f>
        <v/>
      </c>
      <c r="AY79" s="966">
        <f>AV79+AW79+AX79</f>
        <v/>
      </c>
      <c r="BB79" s="1201" t="n"/>
      <c r="BC79" s="1195" t="n">
        <v>286453.205592</v>
      </c>
      <c r="BD79" s="697" t="n">
        <v>1143248.785961</v>
      </c>
      <c r="BE79" s="697" t="n">
        <v>54656.167178</v>
      </c>
      <c r="BF79" s="697" t="n">
        <v>-1177866.776327</v>
      </c>
      <c r="BG79" s="697" t="n">
        <v>297002.758475</v>
      </c>
      <c r="BH79" s="1205" t="n"/>
      <c r="BI79" s="697" t="n">
        <v>-9296.163087999999</v>
      </c>
      <c r="BK79" s="697">
        <f>Q79</f>
        <v/>
      </c>
      <c r="BL79" s="966" t="n"/>
      <c r="BM79" s="1195" t="n">
        <v>3109774.5323</v>
      </c>
      <c r="BN79" s="1205" t="n"/>
      <c r="BO79" s="1205" t="n"/>
      <c r="BP79" s="697">
        <f>AR79</f>
        <v/>
      </c>
      <c r="BQ79" s="697" t="n">
        <v>21.852584</v>
      </c>
      <c r="BR79" s="697" t="n">
        <v>-9641.886425000001</v>
      </c>
      <c r="BS79" s="697">
        <f>R79</f>
        <v/>
      </c>
      <c r="BT79" s="1192" t="n">
        <v>0</v>
      </c>
      <c r="BU79" s="1205" t="n"/>
      <c r="BV79" s="1205" t="n">
        <v>1859062.326</v>
      </c>
      <c r="BW79" s="1205" t="n">
        <v>10418721.299</v>
      </c>
      <c r="BX79" s="1205" t="n"/>
      <c r="BY79" s="1205" t="n"/>
      <c r="BZ79" s="1205" t="n"/>
      <c r="CA79" s="1205" t="n"/>
      <c r="CB79" s="1205" t="n"/>
      <c r="CE79" s="1205" t="n"/>
      <c r="CF79" s="1205" t="n"/>
      <c r="CG79" s="1205" t="n"/>
      <c r="CH79" s="1205" t="n"/>
      <c r="CI79" s="1205" t="n"/>
      <c r="CL79" s="1205" t="n"/>
      <c r="CN79" s="1201" t="n">
        <v>2.422</v>
      </c>
      <c r="CO79" s="1205" t="n">
        <v>12949761</v>
      </c>
      <c r="CP79" s="1205" t="n">
        <v>5346299</v>
      </c>
      <c r="CQ79" s="1201" t="n">
        <v>2.422</v>
      </c>
      <c r="CR79" s="1205" t="n">
        <v>12949761</v>
      </c>
      <c r="CS79" s="1205" t="n">
        <v>5346299</v>
      </c>
      <c r="CU79" s="697" t="n">
        <v>1031254.904</v>
      </c>
      <c r="DC79" s="1205" t="n"/>
      <c r="DG79" s="1205" t="n"/>
      <c r="DH79" s="1205" t="n"/>
      <c r="DI79" s="1205" t="n"/>
      <c r="DJ79" s="1205" t="n"/>
      <c r="DK79" s="1205" t="n"/>
      <c r="DL79" s="1205" t="n"/>
      <c r="DM79" s="1205" t="n"/>
      <c r="DN79" s="1205" t="n"/>
      <c r="DO79" s="1205" t="n"/>
      <c r="DP79" s="1205" t="n"/>
    </row>
    <row r="80">
      <c r="A80" s="643" t="inlineStr">
        <is>
          <t>2412메리츠화재</t>
        </is>
      </c>
      <c r="B80" s="643" t="n">
        <v>2412</v>
      </c>
      <c r="C80" s="643" t="inlineStr">
        <is>
          <t>메리츠화재</t>
        </is>
      </c>
      <c r="D80" s="697" t="n">
        <v>43358482.458819</v>
      </c>
      <c r="E80" s="697" t="n">
        <v>7043831.964924</v>
      </c>
      <c r="F80" s="697" t="n">
        <v>31071033.527892</v>
      </c>
      <c r="G80" s="697" t="n">
        <v>1522762.519808</v>
      </c>
      <c r="H80" s="697" t="n">
        <v>143704.78548</v>
      </c>
      <c r="I80" s="786">
        <f>E80/D80</f>
        <v/>
      </c>
      <c r="J80" s="786">
        <f>F80/D80</f>
        <v/>
      </c>
      <c r="K80" s="786">
        <f>G80/D80</f>
        <v/>
      </c>
      <c r="L80" s="697" t="n">
        <v>37618396.153772</v>
      </c>
      <c r="M80" s="697" t="n">
        <v>24357752.492165</v>
      </c>
      <c r="N80" s="697">
        <f>O80-P80</f>
        <v/>
      </c>
      <c r="O80" s="697" t="n">
        <v>5740086.305047</v>
      </c>
      <c r="P80" s="697" t="n">
        <v>283729.68</v>
      </c>
      <c r="Q80" s="697" t="n">
        <v>-171377.796805</v>
      </c>
      <c r="R80" s="697" t="n">
        <v>5466333.303446</v>
      </c>
      <c r="S80" s="697" t="n">
        <v>5472573.652983</v>
      </c>
      <c r="T80" s="979" t="n">
        <v>5188843.972983</v>
      </c>
      <c r="U80" s="697" t="n">
        <v>43358482.458819</v>
      </c>
      <c r="V80" s="1205" t="n">
        <v>41344387.481</v>
      </c>
      <c r="W80" s="1202" t="n"/>
      <c r="X80" s="697">
        <f>Q80</f>
        <v/>
      </c>
      <c r="Y80" s="697" t="n">
        <v>-1039455</v>
      </c>
      <c r="Z80" s="1205" t="n">
        <v>125600</v>
      </c>
      <c r="AA80" s="1205" t="n">
        <v>-10497</v>
      </c>
      <c r="AB80" s="1205" t="n">
        <v>305807</v>
      </c>
      <c r="AC80" s="697" t="n">
        <v>468466</v>
      </c>
      <c r="AD80" s="1195" t="n">
        <v>-21170</v>
      </c>
      <c r="AF80" s="697" t="n">
        <v>1533644.053333</v>
      </c>
      <c r="AG80" s="697" t="n">
        <v>8977073.128508</v>
      </c>
      <c r="AH80" s="697" t="n">
        <v>7443429.075175</v>
      </c>
      <c r="AI80" s="697" t="n">
        <v>761580.942493</v>
      </c>
      <c r="AJ80" s="697" t="n">
        <v>-719221.843999</v>
      </c>
      <c r="AK80" s="697" t="n">
        <v>27919.351787</v>
      </c>
      <c r="AL80" s="697">
        <f>AI80-AJ80-AK80+AM80-AN80</f>
        <v/>
      </c>
      <c r="AM80" s="697" t="n">
        <v>16289.049374</v>
      </c>
      <c r="AN80" s="697" t="n">
        <v>545908.571349</v>
      </c>
      <c r="AO80" s="697" t="n">
        <v>2295224.995826</v>
      </c>
      <c r="AP80" s="697" t="n">
        <v>3182.418989</v>
      </c>
      <c r="AQ80" s="697" t="n">
        <v>2298407.414815</v>
      </c>
      <c r="AR80" s="697" t="n">
        <v>1710549.883383</v>
      </c>
      <c r="AS80" s="966">
        <f>AO80+AP80-AQ80</f>
        <v/>
      </c>
      <c r="AT80" s="966">
        <f>AJ80+AK80+AL80-AM80+AN80-AI80</f>
        <v/>
      </c>
      <c r="AU80" s="966">
        <f>AF80+AI80-AO80</f>
        <v/>
      </c>
      <c r="AV80" s="966">
        <f>AF80</f>
        <v/>
      </c>
      <c r="AW80" s="966">
        <f>AI80</f>
        <v/>
      </c>
      <c r="AX80" s="966">
        <f>AP80</f>
        <v/>
      </c>
      <c r="AY80" s="966">
        <f>AV80+AW80+AX80</f>
        <v/>
      </c>
      <c r="BB80" s="1201" t="n"/>
      <c r="BC80" s="966" t="n">
        <v>479733.856213</v>
      </c>
      <c r="BD80" s="966" t="n">
        <v>741810.31333</v>
      </c>
      <c r="BE80" s="966" t="n">
        <v>74408.92256399999</v>
      </c>
      <c r="BF80" s="966" t="n">
        <v>-1645780.074309</v>
      </c>
      <c r="BG80" s="966" t="n">
        <v>175504.288526</v>
      </c>
      <c r="BH80" s="966" t="n">
        <v>87148.058846</v>
      </c>
      <c r="BI80" s="966" t="n">
        <v>-9794.239411</v>
      </c>
      <c r="BJ80" s="966" t="n"/>
      <c r="BK80" s="966">
        <f>Q80</f>
        <v/>
      </c>
      <c r="BL80" s="966">
        <f>BK80-BC80-SUM(BD80:BJ80)</f>
        <v/>
      </c>
      <c r="BM80" s="966" t="n">
        <v>4547708.998364</v>
      </c>
      <c r="BN80" s="966" t="n">
        <v>-783490</v>
      </c>
      <c r="BO80" s="966" t="n"/>
      <c r="BP80" s="966">
        <f>AR80</f>
        <v/>
      </c>
      <c r="BQ80" s="966" t="n">
        <v>1239.141699</v>
      </c>
      <c r="BR80" s="966" t="n">
        <v>-9674.719999999999</v>
      </c>
      <c r="BS80" s="966">
        <f>R80</f>
        <v/>
      </c>
      <c r="BT80" s="966" t="n">
        <v>0</v>
      </c>
      <c r="BU80" s="1205" t="n"/>
      <c r="BV80" s="1205" t="n">
        <v>1503563.31</v>
      </c>
      <c r="BW80" s="1205" t="n">
        <v>11127198.803</v>
      </c>
      <c r="BX80" s="1205" t="n"/>
      <c r="BY80" s="1205" t="n"/>
      <c r="BZ80" s="1205" t="n"/>
      <c r="CA80" s="1205" t="n"/>
      <c r="CB80" s="1205" t="n"/>
      <c r="CE80" s="1205" t="n"/>
      <c r="CF80" s="1205" t="n"/>
      <c r="CG80" s="1205" t="n"/>
      <c r="CH80" s="1205" t="n"/>
      <c r="CI80" s="1205" t="n"/>
      <c r="CL80" s="1205" t="n"/>
      <c r="CN80" s="786" t="n">
        <v>2.482</v>
      </c>
      <c r="CO80" s="697" t="n">
        <v>13516510</v>
      </c>
      <c r="CP80" s="697" t="n">
        <v>5444926</v>
      </c>
      <c r="CQ80" s="1201" t="n">
        <v>2.482</v>
      </c>
      <c r="CR80" s="1205" t="n">
        <v>13516510</v>
      </c>
      <c r="CS80" s="1205" t="n">
        <v>5444926</v>
      </c>
      <c r="CU80" s="697" t="n">
        <v>1793089.349</v>
      </c>
      <c r="CW80" s="103" t="n">
        <v>0.9949</v>
      </c>
      <c r="CX80" s="103" t="n">
        <v>0.9018</v>
      </c>
      <c r="CY80" s="103">
        <f>CW80-CX80</f>
        <v/>
      </c>
      <c r="CZ80" s="786">
        <f>CX80/CW80</f>
        <v/>
      </c>
      <c r="DC80" s="1205" t="n"/>
      <c r="DG80" s="1205" t="n"/>
      <c r="DH80" s="1205" t="n"/>
      <c r="DI80" s="1205" t="n"/>
      <c r="DJ80" s="1205" t="n"/>
      <c r="DK80" s="1205" t="n"/>
      <c r="DL80" s="1205" t="n"/>
      <c r="DM80" s="1205" t="n"/>
      <c r="EP80" s="697" t="n">
        <v>304641</v>
      </c>
      <c r="EQ80" s="697" t="n">
        <v>-915465</v>
      </c>
      <c r="ER80" s="697" t="n">
        <v>327976</v>
      </c>
      <c r="ES80" s="697" t="n">
        <v>10669</v>
      </c>
      <c r="ET80" s="697" t="n">
        <v>77325</v>
      </c>
      <c r="EW80" s="697" t="n">
        <v>-304641</v>
      </c>
      <c r="EX80" s="697" t="n">
        <v>915465</v>
      </c>
      <c r="EY80" s="697" t="n">
        <v>-327976</v>
      </c>
      <c r="EZ80" s="697" t="n">
        <v>-10669</v>
      </c>
      <c r="FA80" s="697" t="n">
        <v>-77325</v>
      </c>
      <c r="FB80" s="697" t="n">
        <v>-42933</v>
      </c>
      <c r="FC80" s="697" t="n">
        <v>0</v>
      </c>
    </row>
    <row r="81">
      <c r="A81" s="643" t="inlineStr">
        <is>
          <t>2503메리츠화재</t>
        </is>
      </c>
      <c r="B81" s="643" t="n">
        <v>2503</v>
      </c>
      <c r="C81" s="643" t="inlineStr">
        <is>
          <t>메리츠화재</t>
        </is>
      </c>
      <c r="D81" s="697" t="n">
        <v>44426134.909558</v>
      </c>
      <c r="E81" s="697" t="n">
        <v>8243793.422945</v>
      </c>
      <c r="F81" s="697" t="n">
        <v>30918911.814647</v>
      </c>
      <c r="G81" s="697" t="n">
        <v>1450343.843757</v>
      </c>
      <c r="H81" s="697" t="n">
        <v>145318.694397</v>
      </c>
      <c r="I81" s="786">
        <f>E81/D81</f>
        <v/>
      </c>
      <c r="J81" s="786">
        <f>F81/D81</f>
        <v/>
      </c>
      <c r="K81" s="786">
        <f>G81/D81</f>
        <v/>
      </c>
      <c r="L81" s="697" t="n">
        <v>39173541.920856</v>
      </c>
      <c r="M81" s="697" t="n">
        <v>25971651.582767</v>
      </c>
      <c r="N81" s="697">
        <f>O81-P81</f>
        <v/>
      </c>
      <c r="O81" s="697" t="n">
        <v>5252592.988702</v>
      </c>
      <c r="P81" s="697" t="n">
        <v>283729.68</v>
      </c>
      <c r="Q81" s="697" t="n">
        <v>-605835.305993</v>
      </c>
      <c r="R81" s="697" t="n">
        <v>5413297.496289</v>
      </c>
      <c r="S81" s="697" t="n">
        <v>5740086.305047</v>
      </c>
      <c r="T81" s="979" t="n">
        <v>5456356.625047</v>
      </c>
      <c r="U81" s="697" t="n">
        <v>44426134.909558</v>
      </c>
      <c r="V81" s="1205" t="n">
        <v>42265580.484</v>
      </c>
      <c r="W81" s="1202" t="n">
        <v>0.956</v>
      </c>
      <c r="X81" s="697">
        <f>Q81</f>
        <v/>
      </c>
      <c r="Y81" s="1205" t="n"/>
      <c r="Z81" s="1205" t="n"/>
      <c r="AA81" s="1205" t="n"/>
      <c r="AB81" s="1205" t="n"/>
      <c r="AC81" s="1205" t="n"/>
      <c r="AD81" s="1205" t="n"/>
      <c r="AE81" s="697">
        <f>X81-(Y81+Z81+AA81+AB81+AC81+AD81)</f>
        <v/>
      </c>
      <c r="AF81" s="697" t="n">
        <v>359840.075626</v>
      </c>
      <c r="AG81" s="1195" t="n">
        <v>2356025.936379</v>
      </c>
      <c r="AH81" s="697" t="n">
        <v>1996185.860753</v>
      </c>
      <c r="AI81" s="697" t="n">
        <v>262066.998393</v>
      </c>
      <c r="AJ81" s="697" t="n">
        <v>-168056.83015</v>
      </c>
      <c r="AK81" s="697" t="n">
        <v>6245.607863</v>
      </c>
      <c r="AL81" s="697">
        <f>AI81-AJ81-AK81+AM81-AN81</f>
        <v/>
      </c>
      <c r="AM81" s="697" t="n">
        <v>2400.919476</v>
      </c>
      <c r="AN81" s="697" t="n">
        <v>90341.16309</v>
      </c>
      <c r="AO81" s="697" t="n">
        <v>621907.0740190001</v>
      </c>
      <c r="AP81" s="697" t="n">
        <v>2109.6886</v>
      </c>
      <c r="AQ81" s="697" t="n">
        <v>624016.762619</v>
      </c>
      <c r="AR81" s="697" t="n">
        <v>462513.372349</v>
      </c>
      <c r="AS81" s="966">
        <f>AO81+AP81-AQ81</f>
        <v/>
      </c>
      <c r="AT81" s="966">
        <f>AJ81+AK81+AL81-AM81+AN81-AI81</f>
        <v/>
      </c>
      <c r="AU81" s="966">
        <f>AF81+AI81-AO81</f>
        <v/>
      </c>
      <c r="AV81" s="966">
        <f>AF81</f>
        <v/>
      </c>
      <c r="AW81" s="966">
        <f>AI81</f>
        <v/>
      </c>
      <c r="AX81" s="966">
        <f>AP81</f>
        <v/>
      </c>
      <c r="AY81" s="966">
        <f>AV81+AW81+AX81</f>
        <v/>
      </c>
      <c r="BB81" s="786" t="n"/>
      <c r="BC81" s="966" t="n">
        <v>-171377.796805</v>
      </c>
      <c r="BD81" s="966" t="n">
        <v>445365.382448</v>
      </c>
      <c r="BE81" s="966" t="n">
        <v>-8976.796313000001</v>
      </c>
      <c r="BF81" s="966" t="n">
        <v>-1047086.231137</v>
      </c>
      <c r="BG81" s="966" t="n">
        <v>167532.899966</v>
      </c>
      <c r="BH81" s="966" t="n"/>
      <c r="BI81" s="966" t="n">
        <v>-269.560465</v>
      </c>
      <c r="BJ81" s="966" t="n"/>
      <c r="BK81" s="966">
        <f>Q81</f>
        <v/>
      </c>
      <c r="BL81" s="966" t="n"/>
      <c r="BM81" s="966" t="n">
        <v>5466333.303446</v>
      </c>
      <c r="BN81" s="1192" t="n"/>
      <c r="BO81" s="966" t="n"/>
      <c r="BP81" s="966">
        <f>AR81</f>
        <v/>
      </c>
      <c r="BQ81" s="966" t="n"/>
      <c r="BR81" s="1192" t="n"/>
      <c r="BS81" s="966">
        <f>R81</f>
        <v/>
      </c>
      <c r="BT81" s="966" t="n">
        <v>0</v>
      </c>
      <c r="BU81" s="1205" t="n">
        <v>8510952</v>
      </c>
      <c r="BV81" s="1205" t="n">
        <v>1533364.062</v>
      </c>
      <c r="BW81" s="1205" t="n">
        <v>11116288.109</v>
      </c>
      <c r="BX81" s="1205" t="n"/>
      <c r="BY81" s="1205" t="n"/>
      <c r="BZ81" s="1205" t="n"/>
      <c r="CA81" s="1205" t="n"/>
      <c r="CB81" s="1205" t="n"/>
      <c r="CE81" s="1205" t="n"/>
      <c r="CF81" s="1205" t="n"/>
      <c r="CG81" s="1205" t="n"/>
      <c r="CH81" s="1205" t="n"/>
      <c r="CI81" s="1205" t="n"/>
      <c r="CJ81" s="697">
        <f>BW81</f>
        <v/>
      </c>
      <c r="CL81" s="1205" t="n"/>
      <c r="CN81" s="786" t="n"/>
      <c r="CQ81" s="1201" t="n">
        <v>2.3892</v>
      </c>
      <c r="CR81" s="1205" t="n">
        <v>13244081.824</v>
      </c>
      <c r="CS81" s="1205" t="n">
        <v>5543397.35</v>
      </c>
      <c r="CU81" s="697" t="n">
        <v>2019070.605</v>
      </c>
      <c r="CW81" s="103" t="n"/>
      <c r="CX81" s="103" t="n"/>
      <c r="CY81" s="103" t="n"/>
      <c r="CZ81" s="786" t="n"/>
      <c r="DC81" s="1205" t="n"/>
      <c r="DG81" s="1205" t="n"/>
      <c r="DH81" s="1205" t="n"/>
      <c r="DI81" s="1205" t="n"/>
      <c r="DJ81" s="1205" t="n"/>
      <c r="DK81" s="1205" t="n"/>
      <c r="DL81" s="1205" t="n"/>
      <c r="DM81" s="1205" t="n"/>
    </row>
    <row r="82">
      <c r="A82" s="643" t="inlineStr">
        <is>
          <t>2506메리츠화재</t>
        </is>
      </c>
      <c r="B82" s="643" t="n">
        <v>2506</v>
      </c>
      <c r="C82" s="643" t="inlineStr">
        <is>
          <t>메리츠화재</t>
        </is>
      </c>
      <c r="D82" s="697" t="n">
        <v>44466739.671615</v>
      </c>
      <c r="E82" s="697" t="n">
        <v>8911786.237605</v>
      </c>
      <c r="F82" s="697" t="n">
        <v>30307679.529424</v>
      </c>
      <c r="G82" s="697" t="n">
        <v>1392337.446824</v>
      </c>
      <c r="H82" s="697" t="n">
        <v>146196.728373</v>
      </c>
      <c r="I82" s="786">
        <f>E82/D82</f>
        <v/>
      </c>
      <c r="J82" s="786">
        <f>F82/D82</f>
        <v/>
      </c>
      <c r="K82" s="786">
        <f>G82/D82</f>
        <v/>
      </c>
      <c r="L82" s="697" t="n">
        <v>38752729.105954</v>
      </c>
      <c r="M82" s="697" t="n">
        <v>25472225.285432</v>
      </c>
      <c r="N82" s="697">
        <f>O82-P82</f>
        <v/>
      </c>
      <c r="O82" s="697" t="n">
        <v>5714010.565661</v>
      </c>
      <c r="P82" s="697" t="n">
        <v>283729.68</v>
      </c>
      <c r="Q82" s="697" t="n">
        <v>-666728.796239</v>
      </c>
      <c r="R82" s="697" t="n">
        <v>5935608.563494</v>
      </c>
      <c r="S82" s="697" t="n">
        <v>5740086.305047</v>
      </c>
      <c r="T82" s="979" t="n">
        <v>5456356.625047</v>
      </c>
      <c r="U82" s="697" t="n">
        <v>44466739.671615</v>
      </c>
      <c r="V82" s="1205" t="n">
        <v>42411398.7</v>
      </c>
      <c r="W82" s="1202" t="n"/>
      <c r="X82" s="990">
        <f>Q82</f>
        <v/>
      </c>
      <c r="Y82" s="1192" t="n"/>
      <c r="Z82" s="1192" t="n"/>
      <c r="AA82" s="1192" t="n"/>
      <c r="AB82" s="1192" t="n"/>
      <c r="AC82" s="1192" t="n"/>
      <c r="AD82" s="1192" t="n"/>
      <c r="AE82" s="697">
        <f>X82-(Y82+Z82+AA82+AB82+AC82+AD82)</f>
        <v/>
      </c>
      <c r="AF82" s="697" t="n">
        <v>724191.945967</v>
      </c>
      <c r="AG82" s="697" t="n">
        <v>4744667.88267</v>
      </c>
      <c r="AH82" s="697" t="n">
        <v>4020475.936703</v>
      </c>
      <c r="AI82" s="697" t="n">
        <v>604758.352688</v>
      </c>
      <c r="AJ82" s="1195" t="n">
        <v>-331473.587195</v>
      </c>
      <c r="AK82" s="1195" t="n">
        <v>12901.049594</v>
      </c>
      <c r="AL82" s="697">
        <f>AI82-AJ82-AK82+AM82-AN82</f>
        <v/>
      </c>
      <c r="AM82" s="1195" t="n">
        <v>5347.044633</v>
      </c>
      <c r="AN82" s="1195" t="n">
        <v>28279.966943</v>
      </c>
      <c r="AO82" s="697" t="n">
        <v>1328950.298655</v>
      </c>
      <c r="AP82" s="697" t="n">
        <v>2524.142953</v>
      </c>
      <c r="AQ82" s="697" t="n">
        <v>1331474.441608</v>
      </c>
      <c r="AR82" s="697" t="n">
        <v>987254.371281</v>
      </c>
      <c r="AS82" s="966">
        <f>AO82+AP82-AQ82</f>
        <v/>
      </c>
      <c r="AT82" s="966">
        <f>AJ82+AK82+AL82-AM82+AN82-AI82</f>
        <v/>
      </c>
      <c r="AU82" s="966">
        <f>AF82+AI82-AO82</f>
        <v/>
      </c>
      <c r="AV82" s="966">
        <f>AF82</f>
        <v/>
      </c>
      <c r="AW82" s="966">
        <f>AI82</f>
        <v/>
      </c>
      <c r="AX82" s="966">
        <f>AP82</f>
        <v/>
      </c>
      <c r="AY82" s="966">
        <f>AV82+AW82+AX82</f>
        <v/>
      </c>
      <c r="BB82" s="786" t="n"/>
      <c r="BC82" s="966" t="n">
        <v>-171377.796805</v>
      </c>
      <c r="BD82" s="966" t="n">
        <v>65576.448019</v>
      </c>
      <c r="BE82" s="1192" t="n">
        <v>-4144.700667</v>
      </c>
      <c r="BF82" s="966" t="n">
        <v>-562729.606785</v>
      </c>
      <c r="BG82" s="966" t="n">
        <v>2430.796122</v>
      </c>
      <c r="BH82" s="1192" t="n"/>
      <c r="BI82" s="966" t="n">
        <v>-628.63679</v>
      </c>
      <c r="BJ82" s="1192" t="n"/>
      <c r="BK82" s="966">
        <f>Q82</f>
        <v/>
      </c>
      <c r="BL82" s="966" t="n"/>
      <c r="BM82" s="966" t="n">
        <v>5466333.303446</v>
      </c>
      <c r="BN82" s="966" t="n">
        <v>-513160</v>
      </c>
      <c r="BO82" s="1192" t="n"/>
      <c r="BP82" s="966">
        <f>AR82</f>
        <v/>
      </c>
      <c r="BQ82" s="1192" t="n"/>
      <c r="BR82" s="966" t="n">
        <v>-4819.111233</v>
      </c>
      <c r="BS82" s="966">
        <f>R82</f>
        <v/>
      </c>
      <c r="BT82" s="966" t="n">
        <v>0</v>
      </c>
      <c r="BU82" s="1205" t="n">
        <v>8510952</v>
      </c>
      <c r="BV82" s="1205" t="n">
        <v>1539853.39</v>
      </c>
      <c r="BW82" s="1205" t="n">
        <v>11198404.739</v>
      </c>
      <c r="BX82" s="1205" t="n"/>
      <c r="BY82" s="1205" t="n"/>
      <c r="BZ82" s="1205" t="n"/>
      <c r="CA82" s="1205" t="n"/>
      <c r="CB82" s="1205" t="n"/>
      <c r="CE82" s="1205" t="n"/>
      <c r="CF82" s="1205" t="n"/>
      <c r="CG82" s="1205" t="n"/>
      <c r="CH82" s="1205" t="n"/>
      <c r="CI82" s="1205" t="n"/>
      <c r="CJ82" s="697">
        <f>BW82</f>
        <v/>
      </c>
      <c r="CL82" s="1205" t="n"/>
      <c r="CN82" s="786" t="n"/>
      <c r="CQ82" s="1201" t="n">
        <v>2.3984</v>
      </c>
      <c r="CR82" s="1205" t="n">
        <v>13395855.06</v>
      </c>
      <c r="CS82" s="1205" t="n">
        <v>5585237.07</v>
      </c>
      <c r="CU82" s="697" t="n">
        <v>2234057.342</v>
      </c>
      <c r="CW82" s="103" t="n"/>
      <c r="CX82" s="103" t="n"/>
      <c r="CY82" s="103" t="n"/>
      <c r="CZ82" s="786" t="n"/>
      <c r="DC82" s="1205" t="n"/>
      <c r="DG82" s="1205" t="n"/>
      <c r="DH82" s="1205" t="n"/>
      <c r="DI82" s="1205" t="n"/>
      <c r="DJ82" s="1205" t="n"/>
      <c r="DK82" s="1205" t="n"/>
      <c r="DL82" s="1205" t="n"/>
      <c r="DM82" s="1205" t="n"/>
    </row>
    <row r="83">
      <c r="A83" s="643" t="inlineStr">
        <is>
          <t>2509메리츠화재</t>
        </is>
      </c>
      <c r="B83" s="643" t="n">
        <v>2509</v>
      </c>
      <c r="C83" s="643" t="inlineStr">
        <is>
          <t>메리츠화재</t>
        </is>
      </c>
      <c r="D83" s="697" t="n">
        <v>44532796.285194</v>
      </c>
      <c r="E83" s="697" t="n">
        <v>8567141.443325</v>
      </c>
      <c r="F83" s="697" t="n">
        <v>31228382.89197</v>
      </c>
      <c r="G83" s="697" t="n">
        <v>968976.169792</v>
      </c>
      <c r="H83" s="697" t="n">
        <v>214225.01</v>
      </c>
      <c r="I83" s="786">
        <f>E83/D83</f>
        <v/>
      </c>
      <c r="J83" s="786">
        <f>F83/D83</f>
        <v/>
      </c>
      <c r="K83" s="786">
        <f>G83/D83</f>
        <v/>
      </c>
      <c r="L83" s="697" t="n">
        <v>38937420.158409</v>
      </c>
      <c r="M83" s="697" t="n">
        <v>25520745.511828</v>
      </c>
      <c r="N83" s="697">
        <f>O83-P83</f>
        <v/>
      </c>
      <c r="O83" s="697" t="n">
        <v>5595376.126785</v>
      </c>
      <c r="P83" s="697" t="n">
        <v>283729.68</v>
      </c>
      <c r="Q83" s="697" t="n">
        <v>-904649.531873</v>
      </c>
      <c r="R83" s="697" t="n">
        <v>6054894.860252</v>
      </c>
      <c r="S83" s="697" t="n">
        <v>5740086.305047</v>
      </c>
      <c r="T83" s="979" t="n">
        <v>5456356.625047</v>
      </c>
      <c r="U83" s="697" t="n">
        <v>44532796.285194</v>
      </c>
      <c r="V83" s="1205" t="n">
        <v>42594540.121</v>
      </c>
      <c r="W83" s="1202" t="n"/>
      <c r="X83" s="697">
        <f>Q83</f>
        <v/>
      </c>
      <c r="Y83" s="1205" t="n"/>
      <c r="Z83" s="1205" t="n"/>
      <c r="AA83" s="1205" t="n"/>
      <c r="AB83" s="1205" t="n"/>
      <c r="AC83" s="1205" t="n"/>
      <c r="AD83" s="1205" t="n"/>
      <c r="AE83" s="697">
        <f>X83-(Y83+Z83+AA83+AB83+AC83+AD83)</f>
        <v/>
      </c>
      <c r="AF83" s="697" t="n">
        <v>1024249.485878</v>
      </c>
      <c r="AG83" s="697" t="n">
        <v>7185156.355375</v>
      </c>
      <c r="AH83" s="697" t="n">
        <v>6160906.869497</v>
      </c>
      <c r="AI83" s="697" t="n">
        <v>929749.132806</v>
      </c>
      <c r="AJ83" s="697" t="n">
        <v>-498519.441117</v>
      </c>
      <c r="AK83" s="697" t="n">
        <v>18403.740852</v>
      </c>
      <c r="AL83" s="697">
        <f>AI83-AJ83-AK83+AM83-AN83</f>
        <v/>
      </c>
      <c r="AM83" s="697" t="n">
        <v>7958.308712</v>
      </c>
      <c r="AN83" s="697" t="n">
        <v>140193.450424</v>
      </c>
      <c r="AO83" s="697" t="n">
        <v>1953998.618684</v>
      </c>
      <c r="AP83" s="697" t="n">
        <v>4545.696684</v>
      </c>
      <c r="AQ83" s="697" t="n">
        <v>1958544.315368</v>
      </c>
      <c r="AR83" s="697" t="n">
        <v>1451075.840971</v>
      </c>
      <c r="AS83" s="966">
        <f>AO83+AP83-AQ83</f>
        <v/>
      </c>
      <c r="AT83" s="966">
        <f>AJ83+AK83+AL83-AM83+AN83-AI83</f>
        <v/>
      </c>
      <c r="AU83" s="966">
        <f>AF83+AI83-AO83</f>
        <v/>
      </c>
      <c r="AV83" s="966">
        <f>AF83</f>
        <v/>
      </c>
      <c r="AW83" s="966">
        <f>AI83</f>
        <v/>
      </c>
      <c r="AX83" s="966">
        <f>AP83</f>
        <v/>
      </c>
      <c r="AY83" s="966">
        <f>AV83+AW83+AX83</f>
        <v/>
      </c>
      <c r="BB83" s="786" t="n"/>
      <c r="BC83" s="966" t="n">
        <v>-171377.796805</v>
      </c>
      <c r="BD83" s="966" t="n">
        <v>-175950.262417</v>
      </c>
      <c r="BE83" s="966" t="n">
        <v>-687.1656410000001</v>
      </c>
      <c r="BF83" s="966" t="n">
        <v>-467810.452231</v>
      </c>
      <c r="BG83" s="966" t="n">
        <v>-88676.64801400001</v>
      </c>
      <c r="BH83" s="966" t="n"/>
      <c r="BI83" s="966" t="n">
        <v>-834.372406</v>
      </c>
      <c r="BJ83" s="966" t="n"/>
      <c r="BK83" s="966">
        <f>Q83</f>
        <v/>
      </c>
      <c r="BL83" s="966" t="n"/>
      <c r="BM83" s="966" t="n">
        <v>5466333.303446</v>
      </c>
      <c r="BN83" s="966" t="n">
        <v>-855270</v>
      </c>
      <c r="BO83" s="966" t="n"/>
      <c r="BP83" s="966">
        <f>AR83</f>
        <v/>
      </c>
      <c r="BQ83" s="966" t="n"/>
      <c r="BR83" s="966" t="n">
        <v>-7244.284165</v>
      </c>
      <c r="BS83" s="966">
        <f>R83</f>
        <v/>
      </c>
      <c r="BT83" s="966" t="n">
        <v>0</v>
      </c>
      <c r="BU83" s="1205" t="n">
        <v>8510952</v>
      </c>
      <c r="BV83" s="1205" t="n">
        <v>1563849.953</v>
      </c>
      <c r="BW83" s="1205" t="n">
        <v>11422206.848</v>
      </c>
      <c r="BX83" s="1205" t="n"/>
      <c r="BY83" s="1205" t="n"/>
      <c r="BZ83" s="1205" t="n"/>
      <c r="CA83" s="1205" t="n"/>
      <c r="CB83" s="1205" t="n"/>
      <c r="CE83" s="1205" t="n"/>
      <c r="CF83" s="1205" t="n"/>
      <c r="CG83" s="1205" t="n"/>
      <c r="CH83" s="1205" t="n"/>
      <c r="CI83" s="1205" t="n"/>
      <c r="CJ83" s="697">
        <f>BW83</f>
        <v/>
      </c>
      <c r="CL83" s="1205" t="n"/>
      <c r="CN83" s="786" t="n"/>
      <c r="CQ83" s="1201" t="n">
        <v>2.437</v>
      </c>
      <c r="CR83" s="1205" t="n">
        <v>13790070.736</v>
      </c>
      <c r="CS83" s="1205" t="n">
        <v>5658694.738</v>
      </c>
      <c r="CU83" s="697" t="n">
        <v>2490007.296</v>
      </c>
      <c r="CW83" s="103" t="n"/>
      <c r="CX83" s="103" t="n"/>
      <c r="CY83" s="103" t="n"/>
      <c r="CZ83" s="786" t="n"/>
      <c r="DC83" s="1205" t="n"/>
      <c r="DG83" s="1205" t="n"/>
      <c r="DH83" s="1205" t="n"/>
      <c r="DI83" s="1205" t="n"/>
      <c r="DJ83" s="1205" t="n"/>
      <c r="DK83" s="1205" t="n"/>
      <c r="DL83" s="1205" t="n"/>
      <c r="DM83" s="1205" t="n"/>
      <c r="FC83" s="787" t="n"/>
    </row>
    <row r="84" ht="16.5" customHeight="1" s="759">
      <c r="A84" s="643" t="inlineStr">
        <is>
          <t>2512메리츠화재</t>
        </is>
      </c>
      <c r="B84" s="643" t="n">
        <v>2512</v>
      </c>
      <c r="C84" s="643" t="inlineStr">
        <is>
          <t>메리츠화재</t>
        </is>
      </c>
      <c r="D84" s="697" t="n">
        <v>44242792.244563</v>
      </c>
      <c r="E84" s="697" t="n">
        <v>7569926.137527</v>
      </c>
      <c r="F84" s="697" t="n">
        <v>31560738.837675</v>
      </c>
      <c r="G84" s="697" t="n">
        <v>972103.649955</v>
      </c>
      <c r="H84" s="697" t="n">
        <v>219756.806124</v>
      </c>
      <c r="I84" s="786">
        <f>E84/D84</f>
        <v/>
      </c>
      <c r="J84" s="786">
        <f>F84/D84</f>
        <v/>
      </c>
      <c r="K84" s="786">
        <f>G84/D84</f>
        <v/>
      </c>
      <c r="L84" s="697" t="n">
        <v>38388473.445768</v>
      </c>
      <c r="M84" s="697" t="n">
        <v>23715710.921184</v>
      </c>
      <c r="N84" s="697">
        <f>O84-P84</f>
        <v/>
      </c>
      <c r="O84" s="697" t="n">
        <v>5854318.798795</v>
      </c>
      <c r="P84" s="697" t="n">
        <v>179195.32</v>
      </c>
      <c r="Q84" s="697" t="n">
        <v>-759257.610688</v>
      </c>
      <c r="R84" s="697" t="n">
        <v>6272973.47037</v>
      </c>
      <c r="S84" s="697" t="n">
        <v>5740086.305047</v>
      </c>
      <c r="T84" s="979" t="n">
        <v>5456356.625047</v>
      </c>
      <c r="U84" s="697" t="n">
        <v>44242792.244563</v>
      </c>
      <c r="V84" s="697" t="n">
        <v>42515095.494</v>
      </c>
      <c r="W84" s="142" t="n">
        <v>0.961</v>
      </c>
      <c r="X84" s="697">
        <f>Q84</f>
        <v/>
      </c>
      <c r="Y84" s="697" t="n">
        <v>-1916018</v>
      </c>
      <c r="Z84" s="1205" t="n">
        <v>862204</v>
      </c>
      <c r="AA84" s="1205" t="n">
        <v>-63454</v>
      </c>
      <c r="AB84" s="1205" t="n">
        <v>-82981</v>
      </c>
      <c r="AC84" s="697" t="n">
        <v>462769</v>
      </c>
      <c r="AD84" s="1195" t="n">
        <v>-21778</v>
      </c>
      <c r="AF84" s="697" t="n">
        <v>1425411.27889</v>
      </c>
      <c r="AG84" s="697" t="n">
        <v>9542054.947107</v>
      </c>
      <c r="AH84" s="697" t="n">
        <v>8116643.668217</v>
      </c>
      <c r="AI84" s="697" t="n">
        <v>862351.698548</v>
      </c>
      <c r="AJ84" s="697" t="n">
        <v>-675238.217876</v>
      </c>
      <c r="AK84" s="697" t="n">
        <v>33663.079261</v>
      </c>
      <c r="AL84" s="697">
        <f>AI84-AJ84-AK84+AM84-AN84</f>
        <v/>
      </c>
      <c r="AM84" s="697" t="n">
        <v>23955.774512</v>
      </c>
      <c r="AN84" s="697" t="n">
        <v>364916.202222</v>
      </c>
      <c r="AO84" s="697" t="n">
        <v>2287762.977438</v>
      </c>
      <c r="AP84" s="697" t="n">
        <v>6264.479184</v>
      </c>
      <c r="AQ84" s="697" t="n">
        <v>2294027.456622</v>
      </c>
      <c r="AR84" s="697" t="n">
        <v>1681024.330229</v>
      </c>
      <c r="AS84" s="966">
        <f>AO84+AP84-AQ84</f>
        <v/>
      </c>
      <c r="AT84" s="966">
        <f>AJ84+AK84+AL84-AM84+AN84-AI84</f>
        <v/>
      </c>
      <c r="AU84" s="966">
        <f>AF84+AI84-AO84</f>
        <v/>
      </c>
      <c r="AV84" s="966">
        <f>AF84</f>
        <v/>
      </c>
      <c r="AW84" s="966">
        <f>AI84</f>
        <v/>
      </c>
      <c r="AX84" s="966">
        <f>AP84</f>
        <v/>
      </c>
      <c r="AY84" s="966">
        <f>AV84+AW84+AX84</f>
        <v/>
      </c>
      <c r="BB84" s="786" t="n"/>
      <c r="BC84" s="966" t="n">
        <v>-171377.796805</v>
      </c>
      <c r="BD84" s="966" t="n">
        <v>-876505.89321</v>
      </c>
      <c r="BE84" s="966" t="n">
        <v>-9539.692451000001</v>
      </c>
      <c r="BF84" s="966" t="n">
        <v>683648.09089</v>
      </c>
      <c r="BG84" s="966" t="n">
        <v>-388787.541919</v>
      </c>
      <c r="BH84" s="1192" t="n"/>
      <c r="BI84" s="966" t="n">
        <v>-536.907845</v>
      </c>
      <c r="BJ84" s="966" t="n"/>
      <c r="BK84" s="966">
        <f>Q84</f>
        <v/>
      </c>
      <c r="BL84" s="966" t="n"/>
      <c r="BM84" s="1192" t="n">
        <v>5466333.303446</v>
      </c>
      <c r="BN84" s="966" t="n">
        <v>-855270</v>
      </c>
      <c r="BO84" s="966" t="n"/>
      <c r="BP84" s="966">
        <f>AR84</f>
        <v/>
      </c>
      <c r="BQ84" s="966" t="n">
        <v>12.07566</v>
      </c>
      <c r="BR84" s="1192" t="n">
        <v>-9377.456657999999</v>
      </c>
      <c r="BS84" s="966">
        <f>R84</f>
        <v/>
      </c>
      <c r="BT84" s="966" t="n">
        <v>0</v>
      </c>
      <c r="BU84" s="697" t="n">
        <v>9573721</v>
      </c>
      <c r="BV84" s="697" t="n">
        <v>1468002</v>
      </c>
      <c r="BW84" s="697" t="n">
        <v>11103696</v>
      </c>
      <c r="BX84" s="697" t="n">
        <v>1588172</v>
      </c>
      <c r="BY84" s="697" t="n">
        <v>1167264</v>
      </c>
      <c r="BZ84" s="697" t="n">
        <v>-866645</v>
      </c>
      <c r="CA84" s="697" t="n">
        <v>361544</v>
      </c>
      <c r="CB84" s="697" t="n">
        <v>11187889</v>
      </c>
      <c r="CD84" s="697">
        <f>CB84+BX84-BY84+BZ84+CA84-BW84</f>
        <v/>
      </c>
      <c r="CE84" s="1205" t="n"/>
      <c r="CF84" s="1205" t="n"/>
      <c r="CG84" s="1205" t="n"/>
      <c r="CH84" s="1205" t="n"/>
      <c r="CI84" s="1205" t="n"/>
      <c r="CJ84" s="697">
        <f>BW84</f>
        <v/>
      </c>
      <c r="CL84" s="1195" t="n">
        <v>0</v>
      </c>
      <c r="CN84" s="1201" t="n">
        <v>2.413</v>
      </c>
      <c r="CO84" s="697" t="n">
        <v>13350622</v>
      </c>
      <c r="CP84" s="1195" t="n">
        <v>5532186</v>
      </c>
      <c r="CQ84" s="991" t="n">
        <v>2.413</v>
      </c>
      <c r="CR84" s="966" t="n">
        <v>13350622</v>
      </c>
      <c r="CS84" s="966" t="n">
        <v>5532186</v>
      </c>
      <c r="CU84" s="697" t="n">
        <v>2976566.402</v>
      </c>
      <c r="CW84" s="103" t="n">
        <v>0.9661</v>
      </c>
      <c r="CX84" s="103" t="n">
        <v>0.9659</v>
      </c>
      <c r="CY84" s="103">
        <f>CW84-CX84</f>
        <v/>
      </c>
      <c r="CZ84" s="786">
        <f>CX84/CW84</f>
        <v/>
      </c>
      <c r="DC84" s="1205" t="n"/>
      <c r="DG84" s="1191" t="n"/>
      <c r="DH84" s="1191" t="n"/>
      <c r="DI84" s="1191" t="n"/>
      <c r="DJ84" s="1191" t="n"/>
      <c r="DK84" s="1191" t="n"/>
      <c r="DL84" s="1191" t="n"/>
      <c r="DM84" s="1191" t="n"/>
      <c r="EP84" s="977" t="n">
        <v>557076</v>
      </c>
      <c r="EQ84" s="977" t="n">
        <v>-1112338</v>
      </c>
      <c r="ER84" s="977" t="n">
        <v>417097</v>
      </c>
      <c r="ES84" s="977" t="n">
        <v>2356</v>
      </c>
      <c r="ET84" s="977" t="n">
        <v>654901</v>
      </c>
      <c r="EU84" s="977" t="n"/>
      <c r="EV84" s="977" t="n"/>
      <c r="EW84" s="977" t="n">
        <v>-557076</v>
      </c>
      <c r="EX84" s="977" t="n">
        <v>1112338</v>
      </c>
      <c r="EY84" s="977" t="n">
        <v>-417097</v>
      </c>
      <c r="EZ84" s="977" t="n">
        <v>-2356</v>
      </c>
      <c r="FA84" s="977" t="n">
        <v>-654901</v>
      </c>
      <c r="FB84" s="977" t="n">
        <v>-347553</v>
      </c>
      <c r="FC84" s="787" t="n">
        <v>0</v>
      </c>
    </row>
    <row r="85">
      <c r="I85" s="786" t="n"/>
      <c r="J85" s="786" t="n"/>
      <c r="K85" s="786" t="n"/>
      <c r="T85" s="979" t="n"/>
      <c r="W85" s="142" t="n"/>
      <c r="AS85" s="966" t="n"/>
      <c r="AT85" s="966" t="n"/>
      <c r="AU85" s="966" t="n"/>
      <c r="AV85" s="966" t="n"/>
      <c r="AW85" s="966" t="n"/>
      <c r="AX85" s="966" t="n"/>
      <c r="AY85" s="966" t="n"/>
      <c r="BB85" s="786" t="n"/>
      <c r="BC85" s="966" t="n"/>
      <c r="BD85" s="966" t="n"/>
      <c r="BE85" s="966" t="n"/>
      <c r="BF85" s="966" t="n"/>
      <c r="BG85" s="966" t="n"/>
      <c r="BH85" s="966" t="n"/>
      <c r="BI85" s="966" t="n"/>
      <c r="BJ85" s="966" t="n"/>
      <c r="BK85" s="966" t="n"/>
      <c r="BL85" s="966" t="n"/>
      <c r="BM85" s="966" t="n"/>
      <c r="BN85" s="966" t="n"/>
      <c r="BO85" s="966" t="n"/>
      <c r="BP85" s="966" t="n"/>
      <c r="BQ85" s="966" t="n"/>
      <c r="BR85" s="966" t="n"/>
      <c r="BS85" s="966" t="n"/>
      <c r="BT85" s="966" t="n"/>
      <c r="CN85" s="786" t="n"/>
      <c r="CQ85" s="991" t="n"/>
      <c r="CR85" s="966" t="n"/>
      <c r="CS85" s="966" t="n"/>
      <c r="CW85" s="103" t="n"/>
      <c r="CX85" s="103" t="n"/>
      <c r="CY85" s="103" t="n"/>
      <c r="CZ85" s="786" t="n"/>
      <c r="DJ85" s="978" t="n"/>
      <c r="FC85" s="787" t="n"/>
    </row>
    <row r="86" customFormat="1" s="101">
      <c r="A86" s="101" t="inlineStr">
        <is>
          <t>2212KB손보</t>
        </is>
      </c>
      <c r="B86" s="101" t="n">
        <v>2212</v>
      </c>
      <c r="C86" s="101" t="inlineStr">
        <is>
          <t>KB손보</t>
        </is>
      </c>
      <c r="D86" s="977" t="n"/>
      <c r="E86" s="977" t="n"/>
      <c r="F86" s="977" t="n"/>
      <c r="G86" s="977" t="n"/>
      <c r="H86" s="977" t="n"/>
      <c r="I86" s="978" t="n"/>
      <c r="J86" s="978" t="n"/>
      <c r="K86" s="978" t="n"/>
      <c r="L86" s="977" t="n"/>
      <c r="M86" s="977" t="n"/>
      <c r="N86" s="979" t="n"/>
      <c r="O86" s="1192" t="n"/>
      <c r="P86" s="979" t="n"/>
      <c r="Q86" s="1192" t="n"/>
      <c r="R86" s="1192" t="n"/>
      <c r="S86" s="979" t="n"/>
      <c r="T86" s="979" t="n"/>
      <c r="U86" s="980" t="n"/>
      <c r="V86" s="980" t="n"/>
      <c r="W86" s="980" t="n"/>
      <c r="X86" s="979" t="n"/>
      <c r="Y86" s="979" t="n"/>
      <c r="Z86" s="979" t="n"/>
      <c r="AA86" s="979" t="n"/>
      <c r="AB86" s="979" t="n"/>
      <c r="AC86" s="979" t="n"/>
      <c r="AD86" s="979" t="n"/>
      <c r="AE86" s="979" t="n"/>
      <c r="AF86" s="977" t="n"/>
      <c r="AG86" s="977" t="n"/>
      <c r="AH86" s="977" t="n"/>
      <c r="AI86" s="977" t="n"/>
      <c r="AJ86" s="977" t="n"/>
      <c r="AK86" s="977" t="n"/>
      <c r="AL86" s="977" t="n"/>
      <c r="AM86" s="977" t="n"/>
      <c r="AN86" s="977" t="n"/>
      <c r="AO86" s="977" t="n"/>
      <c r="AP86" s="977" t="n"/>
      <c r="AQ86" s="979" t="n"/>
      <c r="AR86" s="979" t="n"/>
      <c r="AS86" s="979" t="n"/>
      <c r="AT86" s="979" t="n"/>
      <c r="AU86" s="979" t="n"/>
      <c r="AV86" s="979" t="n"/>
      <c r="AW86" s="979" t="n"/>
      <c r="AX86" s="979" t="n"/>
      <c r="AY86" s="979" t="n"/>
      <c r="AZ86" s="977" t="n"/>
      <c r="BA86" s="977" t="n"/>
      <c r="BB86" s="978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9" t="n"/>
      <c r="BM86" s="977" t="n"/>
      <c r="BN86" s="977" t="n"/>
      <c r="BO86" s="977" t="n"/>
      <c r="BP86" s="977" t="n"/>
      <c r="BQ86" s="977" t="n"/>
      <c r="BR86" s="977" t="n"/>
      <c r="BS86" s="977" t="n"/>
      <c r="BT86" s="1192" t="n"/>
      <c r="BU86" s="1192" t="n"/>
      <c r="BV86" s="1192" t="n"/>
      <c r="BW86" s="1192" t="n"/>
      <c r="BX86" s="979" t="n"/>
      <c r="BY86" s="979" t="n"/>
      <c r="BZ86" s="979" t="n"/>
      <c r="CA86" s="979" t="n"/>
      <c r="CB86" s="979" t="n"/>
      <c r="CC86" s="977" t="n"/>
      <c r="CD86" s="977" t="n"/>
      <c r="CE86" s="977" t="n"/>
      <c r="CF86" s="977" t="n"/>
      <c r="CG86" s="977" t="n"/>
      <c r="CH86" s="977" t="n"/>
      <c r="CI86" s="977" t="n"/>
      <c r="CJ86" s="977" t="n"/>
      <c r="CK86" s="977" t="n"/>
      <c r="CL86" s="977" t="n"/>
      <c r="CM86" s="977" t="n"/>
      <c r="CN86" s="978" t="n"/>
      <c r="CO86" s="977" t="n"/>
      <c r="CP86" s="977" t="n"/>
      <c r="CQ86" s="978" t="n"/>
      <c r="CR86" s="977" t="n"/>
      <c r="CS86" s="977" t="n"/>
      <c r="CT86" s="977" t="n"/>
      <c r="CU86" s="977" t="n"/>
      <c r="CV86" s="977" t="n"/>
      <c r="CW86" s="977" t="n"/>
      <c r="CX86" s="977" t="n"/>
      <c r="CY86" s="977" t="n"/>
      <c r="CZ86" s="977" t="n"/>
      <c r="DA86" s="977" t="n"/>
      <c r="DB86" s="977" t="n"/>
      <c r="DC86" s="978" t="n"/>
      <c r="DD86" s="977" t="n"/>
      <c r="DE86" s="977" t="n"/>
      <c r="DF86" s="977" t="n"/>
      <c r="DG86" s="977" t="n"/>
      <c r="DH86" s="977" t="n"/>
      <c r="DI86" s="977" t="n"/>
      <c r="DJ86" s="977" t="n"/>
      <c r="DK86" s="977" t="n"/>
      <c r="DL86" s="977" t="n"/>
      <c r="DM86" s="977" t="n"/>
      <c r="DN86" s="977" t="n"/>
      <c r="DO86" s="977" t="n"/>
      <c r="DP86" s="977" t="n"/>
      <c r="DQ86" s="977" t="n"/>
      <c r="DR86" s="977" t="n"/>
      <c r="DS86" s="977" t="n"/>
      <c r="DT86" s="977" t="n"/>
      <c r="DU86" s="977" t="n"/>
      <c r="DV86" s="977" t="n"/>
      <c r="DW86" s="977" t="n"/>
      <c r="DX86" s="977" t="n"/>
      <c r="DY86" s="977" t="n"/>
      <c r="DZ86" s="977" t="n"/>
      <c r="EA86" s="977" t="n"/>
      <c r="EB86" s="977" t="n"/>
      <c r="EC86" s="977" t="n"/>
      <c r="ED86" s="977" t="n"/>
      <c r="EE86" s="977" t="n"/>
      <c r="EP86" s="977" t="n"/>
      <c r="EQ86" s="977" t="n"/>
      <c r="ER86" s="977" t="n"/>
      <c r="ES86" s="977" t="n"/>
      <c r="ET86" s="977" t="n"/>
      <c r="EU86" s="977" t="n"/>
      <c r="EV86" s="977" t="n"/>
      <c r="EW86" s="977" t="n"/>
      <c r="EX86" s="977" t="n"/>
      <c r="EY86" s="977" t="n"/>
      <c r="EZ86" s="977" t="n"/>
      <c r="FA86" s="977" t="n"/>
      <c r="FB86" s="977" t="n"/>
    </row>
    <row r="87" customFormat="1" s="101">
      <c r="A87" s="101" t="inlineStr">
        <is>
          <t>2312KB손보</t>
        </is>
      </c>
      <c r="B87" s="101" t="n">
        <v>2312</v>
      </c>
      <c r="C87" s="101" t="inlineStr">
        <is>
          <t>KB손보</t>
        </is>
      </c>
      <c r="D87" s="977" t="n">
        <v>37660829</v>
      </c>
      <c r="E87" s="977" t="n">
        <v>9142251</v>
      </c>
      <c r="F87" s="977" t="n">
        <v>18035012</v>
      </c>
      <c r="G87" s="977" t="n">
        <v>6288669</v>
      </c>
      <c r="H87" s="977" t="n">
        <v>421387</v>
      </c>
      <c r="I87" s="978">
        <f>E87/D87</f>
        <v/>
      </c>
      <c r="J87" s="978">
        <f>F87/D87</f>
        <v/>
      </c>
      <c r="K87" s="978">
        <f>G87/D87</f>
        <v/>
      </c>
      <c r="L87" s="977" t="n">
        <v>31353639</v>
      </c>
      <c r="M87" s="977" t="n">
        <v>24338726</v>
      </c>
      <c r="N87" s="979">
        <f>O87-P87</f>
        <v/>
      </c>
      <c r="O87" s="1192" t="n">
        <v>6307190</v>
      </c>
      <c r="P87" s="1192" t="n"/>
      <c r="Q87" s="1192" t="n">
        <v>286768</v>
      </c>
      <c r="R87" s="1192" t="n">
        <v>5638718</v>
      </c>
      <c r="S87" s="1192" t="n">
        <v>5768703</v>
      </c>
      <c r="T87" s="1192" t="n">
        <v>5768703</v>
      </c>
      <c r="U87" s="980" t="n">
        <v>37660829</v>
      </c>
      <c r="V87" s="1196" t="n">
        <v>34949542.216</v>
      </c>
      <c r="W87" s="1202" t="n"/>
      <c r="X87" s="979">
        <f>Q87</f>
        <v/>
      </c>
      <c r="Y87" s="1192" t="n">
        <v>-1616540</v>
      </c>
      <c r="Z87" s="1192" t="n">
        <v>1818084</v>
      </c>
      <c r="AA87" s="1192" t="n">
        <v>-30589</v>
      </c>
      <c r="AB87" s="1192" t="n">
        <v>77139</v>
      </c>
      <c r="AC87" s="979" t="n">
        <v>50988</v>
      </c>
      <c r="AD87" s="979" t="n">
        <v>-15059</v>
      </c>
      <c r="AE87" s="979" t="n"/>
      <c r="AF87" s="1191" t="n">
        <v>832922</v>
      </c>
      <c r="AG87" s="977" t="n">
        <v>9964496</v>
      </c>
      <c r="AH87" s="977" t="n">
        <v>9131574</v>
      </c>
      <c r="AI87" s="1191" t="n">
        <v>210520</v>
      </c>
      <c r="AJ87" s="1191" t="n">
        <v>-731924</v>
      </c>
      <c r="AK87" s="1191" t="n">
        <v>-8479</v>
      </c>
      <c r="AL87" s="977">
        <f>AI87-AJ87-AK87+AM87-AN87</f>
        <v/>
      </c>
      <c r="AM87" s="977" t="n">
        <v>38780</v>
      </c>
      <c r="AN87" s="977" t="n">
        <v>337906</v>
      </c>
      <c r="AO87" s="1191" t="n"/>
      <c r="AP87" s="977" t="n">
        <v>-1067</v>
      </c>
      <c r="AQ87" s="1192" t="n">
        <v>1042375</v>
      </c>
      <c r="AR87" s="1192" t="n">
        <v>776386</v>
      </c>
      <c r="AS87" s="979" t="n"/>
      <c r="AT87" s="979">
        <f>AJ87+AK87+AL87-AM87+AN87-AI87</f>
        <v/>
      </c>
      <c r="AU87" s="979" t="n"/>
      <c r="AV87" s="979">
        <f>AF87</f>
        <v/>
      </c>
      <c r="AW87" s="979">
        <f>AI87</f>
        <v/>
      </c>
      <c r="AX87" s="979">
        <f>AP87</f>
        <v/>
      </c>
      <c r="AY87" s="979">
        <f>AV87+AW87+AX87</f>
        <v/>
      </c>
      <c r="AZ87" s="977" t="n"/>
      <c r="BA87" s="977" t="n"/>
      <c r="BB87" s="978" t="n"/>
      <c r="BC87" s="1191" t="n">
        <v>174668</v>
      </c>
      <c r="BD87" s="1191" t="n">
        <v>1176289</v>
      </c>
      <c r="BE87" s="977" t="n">
        <v>3268</v>
      </c>
      <c r="BF87" s="1191" t="n">
        <v>-1206098</v>
      </c>
      <c r="BG87" s="977" t="n">
        <v>138904</v>
      </c>
      <c r="BH87" s="1191" t="n"/>
      <c r="BI87" s="977" t="n">
        <v>-2403</v>
      </c>
      <c r="BJ87" s="977" t="n">
        <v>2071</v>
      </c>
      <c r="BK87" s="977">
        <f>Q87</f>
        <v/>
      </c>
      <c r="BL87" s="979" t="n"/>
      <c r="BM87" s="1191" t="n">
        <v>5212331</v>
      </c>
      <c r="BN87" s="977" t="n">
        <v>-350002</v>
      </c>
      <c r="BO87" s="977" t="n"/>
      <c r="BP87" s="977">
        <f>AR87</f>
        <v/>
      </c>
      <c r="BQ87" s="977" t="n"/>
      <c r="BR87" s="977" t="n"/>
      <c r="BS87" s="977">
        <f>R87</f>
        <v/>
      </c>
      <c r="BT87" s="979" t="n">
        <v>0</v>
      </c>
      <c r="BU87" s="1192" t="n"/>
      <c r="BV87" s="1192" t="n">
        <v>1225885.038</v>
      </c>
      <c r="BW87" s="1192" t="n">
        <v>8256205.547</v>
      </c>
      <c r="BX87" s="1192" t="n"/>
      <c r="BY87" s="1192" t="n"/>
      <c r="BZ87" s="1192" t="n"/>
      <c r="CA87" s="1192" t="n"/>
      <c r="CB87" s="1192" t="n"/>
      <c r="CC87" s="977" t="n"/>
      <c r="CD87" s="977" t="n"/>
      <c r="CE87" s="1191" t="n"/>
      <c r="CF87" s="1191" t="n"/>
      <c r="CG87" s="1191" t="n"/>
      <c r="CH87" s="1191" t="n"/>
      <c r="CI87" s="1191" t="n"/>
      <c r="CJ87" s="977" t="n"/>
      <c r="CK87" s="977" t="n"/>
      <c r="CL87" s="1191" t="n"/>
      <c r="CM87" s="977" t="n"/>
      <c r="CN87" s="1201" t="n">
        <v>2.1594</v>
      </c>
      <c r="CO87" s="1191" t="n">
        <v>11668880</v>
      </c>
      <c r="CP87" s="1191" t="n">
        <v>5403656</v>
      </c>
      <c r="CQ87" s="1201" t="n">
        <v>2.1594</v>
      </c>
      <c r="CR87" s="1191" t="n">
        <v>11668880</v>
      </c>
      <c r="CS87" s="1191" t="n">
        <v>5403656</v>
      </c>
      <c r="CT87" s="977" t="n"/>
      <c r="CU87" s="977" t="n">
        <v>2792852.794</v>
      </c>
      <c r="CV87" s="977" t="n"/>
      <c r="CW87" s="977" t="n"/>
      <c r="CX87" s="977" t="n"/>
      <c r="CY87" s="977" t="n"/>
      <c r="CZ87" s="977" t="n"/>
      <c r="DA87" s="977" t="n"/>
      <c r="DB87" s="977" t="n"/>
      <c r="DC87" s="1201" t="n"/>
      <c r="DD87" s="1191" t="n"/>
      <c r="DE87" s="1191" t="n"/>
      <c r="DF87" s="977" t="n"/>
      <c r="DG87" s="977" t="n"/>
      <c r="DH87" s="977" t="n"/>
      <c r="DI87" s="977" t="n"/>
      <c r="DJ87" s="977" t="n"/>
      <c r="DK87" s="977" t="n"/>
      <c r="DL87" s="977" t="n"/>
      <c r="DM87" s="977" t="n"/>
      <c r="DN87" s="977" t="n"/>
      <c r="DO87" s="977" t="n"/>
      <c r="DP87" s="977" t="n"/>
      <c r="DQ87" s="977" t="n"/>
      <c r="DR87" s="977" t="n"/>
      <c r="DS87" s="977" t="n"/>
      <c r="DT87" s="977" t="n"/>
      <c r="DU87" s="977" t="n"/>
      <c r="DV87" s="977" t="n"/>
      <c r="DW87" s="977" t="n"/>
      <c r="DX87" s="977" t="n"/>
      <c r="DY87" s="977" t="n"/>
      <c r="DZ87" s="977" t="n"/>
      <c r="EA87" s="977" t="n"/>
      <c r="EB87" s="977" t="n"/>
      <c r="EC87" s="977" t="n"/>
      <c r="ED87" s="977" t="n"/>
      <c r="EE87" s="977" t="n"/>
      <c r="EP87" s="977" t="n"/>
      <c r="EQ87" s="977" t="n"/>
      <c r="ER87" s="977" t="n"/>
      <c r="ES87" s="977" t="n"/>
      <c r="ET87" s="977" t="n"/>
      <c r="EU87" s="977" t="n"/>
      <c r="EV87" s="977" t="n"/>
      <c r="EW87" s="977" t="n"/>
      <c r="EX87" s="977" t="n"/>
      <c r="EY87" s="977" t="n"/>
      <c r="EZ87" s="977" t="n"/>
      <c r="FA87" s="977" t="n"/>
      <c r="FB87" s="977" t="n"/>
    </row>
    <row r="88" customFormat="1" s="101">
      <c r="A88" s="101" t="inlineStr">
        <is>
          <t>2412KB손보</t>
        </is>
      </c>
      <c r="B88" s="101" t="n">
        <v>2412</v>
      </c>
      <c r="C88" s="101" t="inlineStr">
        <is>
          <t>KB손보</t>
        </is>
      </c>
      <c r="D88" s="977" t="n">
        <v>40710844</v>
      </c>
      <c r="E88" s="977" t="n">
        <v>9431766</v>
      </c>
      <c r="F88" s="977" t="n">
        <v>20523003</v>
      </c>
      <c r="G88" s="977" t="n">
        <v>6910843</v>
      </c>
      <c r="H88" s="977" t="n">
        <v>448957</v>
      </c>
      <c r="I88" s="978">
        <f>E88/D88</f>
        <v/>
      </c>
      <c r="J88" s="978">
        <f>F88/D88</f>
        <v/>
      </c>
      <c r="K88" s="978">
        <f>G88/D88</f>
        <v/>
      </c>
      <c r="L88" s="977" t="n">
        <v>34854403</v>
      </c>
      <c r="M88" s="977" t="n">
        <v>26451376</v>
      </c>
      <c r="N88" s="979">
        <f>O88-P88</f>
        <v/>
      </c>
      <c r="O88" s="979" t="n">
        <v>5856441</v>
      </c>
      <c r="P88" s="1192" t="n"/>
      <c r="Q88" s="979" t="n">
        <v>-684025</v>
      </c>
      <c r="R88" s="979" t="n">
        <v>6158762</v>
      </c>
      <c r="S88" s="979" t="n">
        <v>6297816</v>
      </c>
      <c r="T88" s="979" t="n">
        <v>6297816</v>
      </c>
      <c r="U88" s="980" t="n">
        <v>40710844</v>
      </c>
      <c r="V88" s="980" t="n">
        <v>38051204.264</v>
      </c>
      <c r="W88" s="107" t="n">
        <v>0.9350000000000001</v>
      </c>
      <c r="X88" s="979">
        <f>Q88</f>
        <v/>
      </c>
      <c r="Y88" s="1192" t="n">
        <v>-1080448</v>
      </c>
      <c r="Z88" s="979" t="n">
        <v>236172</v>
      </c>
      <c r="AA88" s="979" t="n">
        <v>-5578</v>
      </c>
      <c r="AB88" s="1192" t="n">
        <v>144113</v>
      </c>
      <c r="AC88" s="979" t="n">
        <v>50988</v>
      </c>
      <c r="AD88" s="979" t="n">
        <v>-40360</v>
      </c>
      <c r="AE88" s="979">
        <f>X88-(Y88+Z88+AA88+AB88+AC88+AD88)</f>
        <v/>
      </c>
      <c r="AF88" s="977" t="n">
        <v>977999</v>
      </c>
      <c r="AG88" s="977" t="n">
        <v>10406503</v>
      </c>
      <c r="AH88" s="977" t="n">
        <v>9428504</v>
      </c>
      <c r="AI88" s="977" t="n">
        <v>177571</v>
      </c>
      <c r="AJ88" s="977" t="n">
        <v>-764305</v>
      </c>
      <c r="AK88" s="977" t="n">
        <v>4761</v>
      </c>
      <c r="AL88" s="977">
        <f>AI88-AJ88-AK88+AM88-AN88</f>
        <v/>
      </c>
      <c r="AM88" s="977" t="n">
        <v>27369</v>
      </c>
      <c r="AN88" s="1191" t="n">
        <v>349344</v>
      </c>
      <c r="AO88" s="977" t="n">
        <v>1155570</v>
      </c>
      <c r="AP88" s="977" t="n">
        <v>-17615</v>
      </c>
      <c r="AQ88" s="979" t="n">
        <v>1137955</v>
      </c>
      <c r="AR88" s="979" t="n">
        <v>856749</v>
      </c>
      <c r="AS88" s="979">
        <f>AO88+AP88-AQ88</f>
        <v/>
      </c>
      <c r="AT88" s="979">
        <f>AJ88+AK88+AL88-AM88+AN88-AI88</f>
        <v/>
      </c>
      <c r="AU88" s="979">
        <f>AF88+AI88-AO88</f>
        <v/>
      </c>
      <c r="AV88" s="979">
        <f>AF88</f>
        <v/>
      </c>
      <c r="AW88" s="979">
        <f>AI88</f>
        <v/>
      </c>
      <c r="AX88" s="979">
        <f>AP88</f>
        <v/>
      </c>
      <c r="AY88" s="979">
        <f>AV88+AW88+AX88</f>
        <v/>
      </c>
      <c r="AZ88" s="977" t="n"/>
      <c r="BA88" s="977" t="n"/>
      <c r="BB88" s="1201" t="n"/>
      <c r="BC88" s="977" t="n">
        <v>364126</v>
      </c>
      <c r="BD88" s="977" t="n">
        <v>536093</v>
      </c>
      <c r="BE88" s="977" t="n">
        <v>423</v>
      </c>
      <c r="BF88" s="977" t="n">
        <v>-1634259</v>
      </c>
      <c r="BG88" s="977" t="n">
        <v>66974</v>
      </c>
      <c r="BH88" s="977" t="n"/>
      <c r="BI88" s="977" t="n">
        <v>-25301</v>
      </c>
      <c r="BJ88" s="977" t="n">
        <v>7920</v>
      </c>
      <c r="BK88" s="977">
        <f>Q88</f>
        <v/>
      </c>
      <c r="BL88" s="979" t="n"/>
      <c r="BM88" s="977" t="n">
        <v>5551986</v>
      </c>
      <c r="BN88" s="977" t="n">
        <v>-249974</v>
      </c>
      <c r="BO88" s="977" t="n"/>
      <c r="BP88" s="977">
        <f>AR88</f>
        <v/>
      </c>
      <c r="BQ88" s="977" t="n"/>
      <c r="BR88" s="977" t="n"/>
      <c r="BS88" s="977">
        <f>R88</f>
        <v/>
      </c>
      <c r="BT88" s="979" t="n">
        <v>0</v>
      </c>
      <c r="BU88" s="1192" t="n"/>
      <c r="BV88" s="1192" t="n">
        <v>1442135.386</v>
      </c>
      <c r="BW88" s="1192" t="n">
        <v>8631813.970000001</v>
      </c>
      <c r="BX88" s="1192" t="n"/>
      <c r="BY88" s="1192" t="n"/>
      <c r="BZ88" s="1192" t="n"/>
      <c r="CA88" s="1192" t="n"/>
      <c r="CB88" s="1192" t="n"/>
      <c r="CC88" s="977" t="n"/>
      <c r="CD88" s="977" t="n"/>
      <c r="CE88" s="1191" t="n"/>
      <c r="CF88" s="1191" t="n"/>
      <c r="CG88" s="1191" t="n"/>
      <c r="CH88" s="1191" t="n"/>
      <c r="CI88" s="1191" t="n"/>
      <c r="CJ88" s="977" t="n"/>
      <c r="CK88" s="977" t="n"/>
      <c r="CL88" s="1191" t="n"/>
      <c r="CM88" s="977" t="n"/>
      <c r="CN88" s="978" t="n">
        <v>1.8619</v>
      </c>
      <c r="CO88" s="977" t="n">
        <v>11309886</v>
      </c>
      <c r="CP88" s="977" t="n">
        <v>6074317</v>
      </c>
      <c r="CQ88" s="1201" t="n">
        <v>1.8642</v>
      </c>
      <c r="CR88" s="977" t="n">
        <v>11318549</v>
      </c>
      <c r="CS88" s="977" t="n">
        <v>6071606</v>
      </c>
      <c r="CT88" s="977" t="n"/>
      <c r="CU88" s="977" t="n">
        <v>2838011.874</v>
      </c>
      <c r="CV88" s="977" t="n"/>
      <c r="CW88" s="108" t="n">
        <v>0.946</v>
      </c>
      <c r="CX88" s="108" t="n">
        <v>0.883</v>
      </c>
      <c r="CY88" s="108">
        <f>CW88-CX88</f>
        <v/>
      </c>
      <c r="CZ88" s="978">
        <f>CX88/CW88</f>
        <v/>
      </c>
      <c r="DA88" s="977" t="n"/>
      <c r="DB88" s="977" t="n"/>
      <c r="DC88" s="1201" t="n"/>
      <c r="DD88" s="1191" t="n"/>
      <c r="DE88" s="1191" t="n"/>
      <c r="DF88" s="977" t="n"/>
      <c r="DG88" s="977" t="n"/>
      <c r="DH88" s="977" t="n"/>
      <c r="DI88" s="977" t="n"/>
      <c r="DJ88" s="977" t="n"/>
      <c r="DK88" s="977" t="n"/>
      <c r="DL88" s="977" t="n"/>
      <c r="DM88" s="977" t="n"/>
      <c r="DN88" s="977" t="n"/>
      <c r="DO88" s="977" t="n"/>
      <c r="DP88" s="977" t="n"/>
      <c r="DQ88" s="977" t="n"/>
      <c r="DR88" s="977" t="n"/>
      <c r="DS88" s="977" t="n"/>
      <c r="DT88" s="977" t="n"/>
      <c r="DU88" s="977" t="n"/>
      <c r="DV88" s="977" t="n"/>
      <c r="DW88" s="977" t="n"/>
      <c r="DX88" s="977" t="n"/>
      <c r="DY88" s="977" t="n"/>
      <c r="DZ88" s="977" t="n"/>
      <c r="EA88" s="977" t="n"/>
      <c r="EB88" s="977" t="n"/>
      <c r="EC88" s="977" t="n"/>
      <c r="ED88" s="977" t="n"/>
      <c r="EE88" s="977" t="n"/>
      <c r="EP88" s="977" t="n">
        <v>1224470</v>
      </c>
      <c r="EQ88" s="977" t="n">
        <v>-129764</v>
      </c>
      <c r="ER88" s="977" t="n">
        <v>36821</v>
      </c>
      <c r="ES88" s="977" t="n">
        <v>-10483</v>
      </c>
      <c r="ET88" s="977" t="n">
        <v>112881</v>
      </c>
      <c r="EU88" s="977" t="n"/>
      <c r="EV88" s="977" t="n"/>
      <c r="EW88" s="977" t="n">
        <v>-1224470</v>
      </c>
      <c r="EX88" s="977" t="n">
        <v>129764</v>
      </c>
      <c r="EY88" s="977" t="n">
        <v>-36821</v>
      </c>
      <c r="EZ88" s="977" t="n">
        <v>10483</v>
      </c>
      <c r="FA88" s="977" t="n">
        <v>-112881</v>
      </c>
      <c r="FB88" s="977" t="n">
        <v>111850</v>
      </c>
      <c r="FC88" s="767" t="n">
        <v>0</v>
      </c>
    </row>
    <row r="89" customFormat="1" s="101">
      <c r="A89" s="101" t="inlineStr">
        <is>
          <t>2503KB손보</t>
        </is>
      </c>
      <c r="B89" s="101" t="n">
        <v>2503</v>
      </c>
      <c r="C89" s="101" t="inlineStr">
        <is>
          <t>KB손보</t>
        </is>
      </c>
      <c r="D89" s="977" t="n">
        <v>41967068</v>
      </c>
      <c r="E89" s="977" t="n">
        <v>9863694</v>
      </c>
      <c r="F89" s="977" t="n">
        <v>21527844</v>
      </c>
      <c r="G89" s="977" t="n">
        <v>6759615</v>
      </c>
      <c r="H89" s="977" t="n">
        <v>443792</v>
      </c>
      <c r="I89" s="978">
        <f>E89/D89</f>
        <v/>
      </c>
      <c r="J89" s="978">
        <f>F89/D89</f>
        <v/>
      </c>
      <c r="K89" s="978">
        <f>G89/D89</f>
        <v/>
      </c>
      <c r="L89" s="977" t="n">
        <v>36714834</v>
      </c>
      <c r="M89" s="977" t="n">
        <v>28154589</v>
      </c>
      <c r="N89" s="979">
        <f>O89-P89</f>
        <v/>
      </c>
      <c r="O89" s="979" t="n">
        <v>5252234</v>
      </c>
      <c r="P89" s="979" t="n"/>
      <c r="Q89" s="979" t="n">
        <v>-1308069</v>
      </c>
      <c r="R89" s="979" t="n">
        <v>6178599</v>
      </c>
      <c r="S89" s="979" t="n">
        <v>5856441</v>
      </c>
      <c r="T89" s="979" t="n">
        <v>5856441</v>
      </c>
      <c r="U89" s="980" t="n">
        <v>41967068</v>
      </c>
      <c r="V89" s="1196" t="n">
        <v>39115584.798</v>
      </c>
      <c r="W89" s="1202" t="n">
        <v>0.931</v>
      </c>
      <c r="X89" s="979">
        <f>Q89</f>
        <v/>
      </c>
      <c r="Y89" s="1192" t="n"/>
      <c r="Z89" s="1192" t="n"/>
      <c r="AA89" s="1192" t="n"/>
      <c r="AB89" s="1192" t="n"/>
      <c r="AC89" s="1192" t="n"/>
      <c r="AD89" s="1192" t="n"/>
      <c r="AE89" s="979">
        <f>X89-(Y89+Z89+AA89+AB89+AC89+AD89)</f>
        <v/>
      </c>
      <c r="AF89" s="977" t="n">
        <v>263066</v>
      </c>
      <c r="AG89" s="977" t="n">
        <v>2846282</v>
      </c>
      <c r="AH89" s="977" t="n">
        <v>2583216</v>
      </c>
      <c r="AI89" s="977" t="n">
        <v>165751</v>
      </c>
      <c r="AJ89" s="977" t="n">
        <v>-191601</v>
      </c>
      <c r="AK89" s="977" t="n">
        <v>14006</v>
      </c>
      <c r="AL89" s="977">
        <f>AI89-AJ89-AK89+AM89-AN89</f>
        <v/>
      </c>
      <c r="AM89" s="977" t="n">
        <v>7098</v>
      </c>
      <c r="AN89" s="1191" t="n">
        <v>83613</v>
      </c>
      <c r="AO89" s="977" t="n">
        <v>428817</v>
      </c>
      <c r="AP89" s="977" t="n">
        <v>1227</v>
      </c>
      <c r="AQ89" s="979" t="n">
        <v>430044</v>
      </c>
      <c r="AR89" s="979" t="n">
        <v>319819</v>
      </c>
      <c r="AS89" s="979">
        <f>AO89+AP89-AQ89</f>
        <v/>
      </c>
      <c r="AT89" s="979">
        <f>AJ89+AK89+AL89-AM89+AN89-AI89</f>
        <v/>
      </c>
      <c r="AU89" s="979">
        <f>AF89+AI89-AO89</f>
        <v/>
      </c>
      <c r="AV89" s="979">
        <f>AF89</f>
        <v/>
      </c>
      <c r="AW89" s="979">
        <f>AI89</f>
        <v/>
      </c>
      <c r="AX89" s="979">
        <f>AP89</f>
        <v/>
      </c>
      <c r="AY89" s="979">
        <f>AV89+AW89+AX89</f>
        <v/>
      </c>
      <c r="AZ89" s="977" t="n"/>
      <c r="BA89" s="977" t="n"/>
      <c r="BB89" s="978" t="n"/>
      <c r="BC89" s="977" t="n">
        <v>-684025</v>
      </c>
      <c r="BD89" s="977" t="n">
        <v>410666</v>
      </c>
      <c r="BE89" s="977" t="n">
        <v>59</v>
      </c>
      <c r="BF89" s="977" t="n">
        <v>-1093595</v>
      </c>
      <c r="BG89" s="977" t="n">
        <v>59353</v>
      </c>
      <c r="BH89" s="977" t="n"/>
      <c r="BI89" s="977" t="n">
        <v>-366</v>
      </c>
      <c r="BJ89" s="977" t="n">
        <v>-162</v>
      </c>
      <c r="BK89" s="977">
        <f>Q89</f>
        <v/>
      </c>
      <c r="BL89" s="979" t="n"/>
      <c r="BM89" s="977" t="n">
        <v>6158762</v>
      </c>
      <c r="BN89" s="1191" t="n"/>
      <c r="BO89" s="977" t="n"/>
      <c r="BP89" s="977">
        <f>AR89</f>
        <v/>
      </c>
      <c r="BQ89" s="977" t="n"/>
      <c r="BR89" s="977" t="n"/>
      <c r="BS89" s="977">
        <f>R89</f>
        <v/>
      </c>
      <c r="BT89" s="979" t="n">
        <v>0</v>
      </c>
      <c r="BU89" s="1192" t="n">
        <v>10382840</v>
      </c>
      <c r="BV89" s="1192" t="n">
        <v>1499564.994</v>
      </c>
      <c r="BW89" s="1192" t="n">
        <v>8729683.783</v>
      </c>
      <c r="BX89" s="1192" t="n"/>
      <c r="BY89" s="1192" t="n"/>
      <c r="BZ89" s="1192" t="n"/>
      <c r="CA89" s="1192" t="n"/>
      <c r="CB89" s="1192" t="n"/>
      <c r="CC89" s="977" t="n"/>
      <c r="CD89" s="977" t="n"/>
      <c r="CE89" s="1191" t="n"/>
      <c r="CF89" s="1191" t="n"/>
      <c r="CG89" s="1191" t="n"/>
      <c r="CH89" s="1191" t="n"/>
      <c r="CI89" s="1191" t="n"/>
      <c r="CJ89" s="977">
        <f>BW89</f>
        <v/>
      </c>
      <c r="CK89" s="977" t="n"/>
      <c r="CL89" s="1191" t="n"/>
      <c r="CM89" s="977" t="n"/>
      <c r="CN89" s="978" t="n"/>
      <c r="CO89" s="977" t="n"/>
      <c r="CP89" s="977" t="n"/>
      <c r="CQ89" s="1201" t="n">
        <v>1.8216</v>
      </c>
      <c r="CR89" s="1191" t="n">
        <v>11570133.782558</v>
      </c>
      <c r="CS89" s="1191" t="n">
        <v>6351543.789326</v>
      </c>
      <c r="CT89" s="977" t="n"/>
      <c r="CU89" s="977" t="n">
        <v>3453706.433</v>
      </c>
      <c r="CV89" s="977" t="n"/>
      <c r="CW89" s="108" t="n"/>
      <c r="CX89" s="108" t="n"/>
      <c r="CY89" s="108" t="n"/>
      <c r="CZ89" s="978" t="n"/>
      <c r="DA89" s="977" t="n"/>
      <c r="DB89" s="977" t="n"/>
      <c r="DC89" s="1201" t="n"/>
      <c r="DD89" s="1191" t="n"/>
      <c r="DE89" s="1191" t="n"/>
      <c r="DF89" s="977" t="n"/>
      <c r="DG89" s="977" t="n"/>
      <c r="DH89" s="977" t="n"/>
      <c r="DI89" s="977" t="n"/>
      <c r="DJ89" s="977" t="n"/>
      <c r="DK89" s="977" t="n"/>
      <c r="DL89" s="977" t="n"/>
      <c r="DM89" s="977" t="n"/>
      <c r="DN89" s="977" t="n"/>
      <c r="DO89" s="977" t="n"/>
      <c r="DP89" s="977" t="n"/>
      <c r="DQ89" s="977" t="n"/>
      <c r="DR89" s="977" t="n"/>
      <c r="DS89" s="977" t="n"/>
      <c r="DT89" s="977" t="n"/>
      <c r="DU89" s="977" t="n"/>
      <c r="DV89" s="977" t="n"/>
      <c r="DW89" s="977" t="n"/>
      <c r="DX89" s="977" t="n"/>
      <c r="DY89" s="977" t="n"/>
      <c r="DZ89" s="977" t="n"/>
      <c r="EA89" s="977" t="n"/>
      <c r="EB89" s="977" t="n"/>
      <c r="EC89" s="977" t="n"/>
      <c r="ED89" s="977" t="n"/>
      <c r="EE89" s="977" t="n"/>
      <c r="EP89" s="977" t="n"/>
      <c r="EQ89" s="977" t="n"/>
      <c r="ER89" s="977" t="n"/>
      <c r="ES89" s="977" t="n"/>
      <c r="ET89" s="977" t="n"/>
      <c r="EU89" s="977" t="n"/>
      <c r="EV89" s="977" t="n"/>
      <c r="EW89" s="977" t="n"/>
      <c r="EX89" s="977" t="n"/>
      <c r="EY89" s="977" t="n"/>
      <c r="EZ89" s="977" t="n"/>
      <c r="FA89" s="977" t="n"/>
      <c r="FB89" s="977" t="n"/>
    </row>
    <row r="90" customFormat="1" s="101">
      <c r="A90" s="101" t="inlineStr">
        <is>
          <t>2506KB손보</t>
        </is>
      </c>
      <c r="B90" s="101" t="n">
        <v>2506</v>
      </c>
      <c r="C90" s="101" t="inlineStr">
        <is>
          <t>KB손보</t>
        </is>
      </c>
      <c r="D90" s="977" t="n">
        <v>42685362</v>
      </c>
      <c r="E90" s="977" t="n">
        <v>9555695</v>
      </c>
      <c r="F90" s="977" t="n">
        <v>21729635</v>
      </c>
      <c r="G90" s="977" t="n">
        <v>7308087</v>
      </c>
      <c r="H90" s="977" t="n">
        <v>414647</v>
      </c>
      <c r="I90" s="978">
        <f>E90/D90</f>
        <v/>
      </c>
      <c r="J90" s="978">
        <f>F90/D90</f>
        <v/>
      </c>
      <c r="K90" s="978">
        <f>G90/D90</f>
        <v/>
      </c>
      <c r="L90" s="977" t="n">
        <v>37105191</v>
      </c>
      <c r="M90" s="977" t="n">
        <v>27656502</v>
      </c>
      <c r="N90" s="979">
        <f>O90-P90</f>
        <v/>
      </c>
      <c r="O90" s="979" t="n">
        <v>5580171</v>
      </c>
      <c r="P90" s="1192" t="n"/>
      <c r="Q90" s="979" t="n">
        <v>-1226399</v>
      </c>
      <c r="R90" s="979" t="n">
        <v>6424866</v>
      </c>
      <c r="S90" s="979" t="n">
        <v>5856441</v>
      </c>
      <c r="T90" s="979" t="n">
        <v>5856441</v>
      </c>
      <c r="U90" s="980" t="n">
        <v>42685362</v>
      </c>
      <c r="V90" s="1196" t="n">
        <v>39784616.314</v>
      </c>
      <c r="W90" s="1202" t="n"/>
      <c r="X90" s="979">
        <f>Q90</f>
        <v/>
      </c>
      <c r="Y90" s="1192" t="n"/>
      <c r="Z90" s="1192" t="n"/>
      <c r="AA90" s="1192" t="n"/>
      <c r="AB90" s="1192" t="n"/>
      <c r="AC90" s="1192" t="n"/>
      <c r="AD90" s="1192" t="n"/>
      <c r="AE90" s="979">
        <f>X90-(Y90+Z90+AA90+AB90+AC90+AD90)</f>
        <v/>
      </c>
      <c r="AF90" s="977" t="n">
        <v>500996</v>
      </c>
      <c r="AG90" s="977" t="n">
        <v>5627212</v>
      </c>
      <c r="AH90" s="977" t="n">
        <v>5126216</v>
      </c>
      <c r="AI90" s="977" t="n">
        <v>262261</v>
      </c>
      <c r="AJ90" s="1191" t="n">
        <v>-338410</v>
      </c>
      <c r="AK90" s="1191" t="n">
        <v>-14721</v>
      </c>
      <c r="AL90" s="977">
        <f>AI90-AJ90-AK90+AM90-AN90</f>
        <v/>
      </c>
      <c r="AM90" s="1191" t="n">
        <v>11878</v>
      </c>
      <c r="AN90" s="1191" t="n">
        <v>160467</v>
      </c>
      <c r="AO90" s="977" t="n">
        <v>763257</v>
      </c>
      <c r="AP90" s="977" t="n">
        <v>1008</v>
      </c>
      <c r="AQ90" s="979" t="n">
        <v>764265</v>
      </c>
      <c r="AR90" s="979" t="n">
        <v>566086</v>
      </c>
      <c r="AS90" s="979">
        <f>AO90+AP90-AQ90</f>
        <v/>
      </c>
      <c r="AT90" s="979">
        <f>AJ90+AK90+AL90-AM90+AN90-AI90</f>
        <v/>
      </c>
      <c r="AU90" s="979">
        <f>AF90+AI90-AO90</f>
        <v/>
      </c>
      <c r="AV90" s="979">
        <f>AF90</f>
        <v/>
      </c>
      <c r="AW90" s="979">
        <f>AI90</f>
        <v/>
      </c>
      <c r="AX90" s="979">
        <f>AP90</f>
        <v/>
      </c>
      <c r="AY90" s="979">
        <f>AV90+AW90+AX90</f>
        <v/>
      </c>
      <c r="AZ90" s="977" t="n"/>
      <c r="BA90" s="977" t="n"/>
      <c r="BB90" s="978" t="n"/>
      <c r="BC90" s="977" t="n">
        <v>-684025</v>
      </c>
      <c r="BD90" s="977" t="n">
        <v>126165</v>
      </c>
      <c r="BE90" s="787" t="n">
        <v>-86</v>
      </c>
      <c r="BF90" s="977" t="n">
        <v>-626937</v>
      </c>
      <c r="BG90" s="977" t="n">
        <v>-36916</v>
      </c>
      <c r="BH90" s="977" t="n"/>
      <c r="BI90" s="977" t="n">
        <v>128</v>
      </c>
      <c r="BJ90" s="977" t="n">
        <v>-4729</v>
      </c>
      <c r="BK90" s="977">
        <f>Q90</f>
        <v/>
      </c>
      <c r="BL90" s="979" t="n"/>
      <c r="BM90" s="977" t="n">
        <v>6158762</v>
      </c>
      <c r="BN90" s="977" t="n">
        <v>-299982</v>
      </c>
      <c r="BO90" s="1191" t="n"/>
      <c r="BP90" s="977">
        <f>AR90</f>
        <v/>
      </c>
      <c r="BQ90" s="1191" t="n"/>
      <c r="BR90" s="1191" t="n"/>
      <c r="BS90" s="977">
        <f>R90</f>
        <v/>
      </c>
      <c r="BT90" s="979" t="n">
        <v>0</v>
      </c>
      <c r="BU90" s="1192" t="n">
        <v>10382840</v>
      </c>
      <c r="BV90" s="1192" t="n">
        <v>1509121.022</v>
      </c>
      <c r="BW90" s="1192" t="n">
        <v>9013774.435000001</v>
      </c>
      <c r="BX90" s="1192" t="n"/>
      <c r="BY90" s="1192" t="n"/>
      <c r="BZ90" s="1192" t="n"/>
      <c r="CA90" s="1192" t="n"/>
      <c r="CB90" s="1192" t="n"/>
      <c r="CC90" s="977" t="n"/>
      <c r="CD90" s="977" t="n"/>
      <c r="CE90" s="1191" t="n"/>
      <c r="CF90" s="1191" t="n"/>
      <c r="CG90" s="1191" t="n"/>
      <c r="CH90" s="1191" t="n"/>
      <c r="CI90" s="1191" t="n"/>
      <c r="CJ90" s="977">
        <f>BW90</f>
        <v/>
      </c>
      <c r="CK90" s="977" t="n"/>
      <c r="CL90" s="1191" t="n"/>
      <c r="CM90" s="977" t="n"/>
      <c r="CN90" s="978" t="n"/>
      <c r="CO90" s="977" t="n"/>
      <c r="CP90" s="977" t="n"/>
      <c r="CQ90" s="1201" t="n">
        <v>1.915</v>
      </c>
      <c r="CR90" s="1191" t="n">
        <v>12153094.456044</v>
      </c>
      <c r="CS90" s="1191" t="n">
        <v>6346294.259079</v>
      </c>
      <c r="CT90" s="977" t="n"/>
      <c r="CU90" s="977" t="n">
        <v>3281747.964</v>
      </c>
      <c r="CV90" s="977" t="n"/>
      <c r="CW90" s="108" t="n"/>
      <c r="CX90" s="108" t="n"/>
      <c r="CY90" s="108" t="n"/>
      <c r="CZ90" s="978" t="n"/>
      <c r="DA90" s="977" t="n"/>
      <c r="DB90" s="977" t="n"/>
      <c r="DC90" s="1201" t="n"/>
      <c r="DD90" s="1191" t="n"/>
      <c r="DE90" s="1191" t="n"/>
      <c r="DF90" s="977" t="n"/>
      <c r="DG90" s="977" t="n"/>
      <c r="DH90" s="977" t="n"/>
      <c r="DI90" s="977" t="n"/>
      <c r="DJ90" s="977" t="n"/>
      <c r="DK90" s="977" t="n"/>
      <c r="DL90" s="977" t="n"/>
      <c r="DM90" s="977" t="n"/>
      <c r="DN90" s="977" t="n"/>
      <c r="DO90" s="977" t="n"/>
      <c r="DP90" s="977" t="n"/>
      <c r="DQ90" s="977" t="n"/>
      <c r="DR90" s="977" t="n"/>
      <c r="DS90" s="977" t="n"/>
      <c r="DT90" s="977" t="n"/>
      <c r="DU90" s="977" t="n"/>
      <c r="DV90" s="977" t="n"/>
      <c r="DW90" s="977" t="n"/>
      <c r="DX90" s="977" t="n"/>
      <c r="DY90" s="977" t="n"/>
      <c r="DZ90" s="977" t="n"/>
      <c r="EA90" s="977" t="n"/>
      <c r="EB90" s="977" t="n"/>
      <c r="EC90" s="977" t="n"/>
      <c r="ED90" s="977" t="n"/>
      <c r="EE90" s="977" t="n"/>
      <c r="EP90" s="977" t="n"/>
      <c r="EQ90" s="977" t="n"/>
      <c r="ER90" s="977" t="n"/>
      <c r="ES90" s="977" t="n"/>
      <c r="ET90" s="977" t="n"/>
      <c r="EU90" s="977" t="n"/>
      <c r="EV90" s="977" t="n"/>
      <c r="EW90" s="977" t="n"/>
      <c r="EX90" s="977" t="n"/>
      <c r="EY90" s="977" t="n"/>
      <c r="EZ90" s="977" t="n"/>
      <c r="FA90" s="977" t="n"/>
      <c r="FB90" s="977" t="n"/>
    </row>
    <row r="91" customFormat="1" s="101">
      <c r="A91" s="101" t="inlineStr">
        <is>
          <t>2509KB손보</t>
        </is>
      </c>
      <c r="B91" s="101" t="n">
        <v>2509</v>
      </c>
      <c r="C91" s="101" t="inlineStr">
        <is>
          <t>KB손보</t>
        </is>
      </c>
      <c r="D91" s="977" t="n">
        <v>43453891</v>
      </c>
      <c r="E91" s="977" t="n">
        <v>9882040</v>
      </c>
      <c r="F91" s="977" t="n">
        <v>21970334</v>
      </c>
      <c r="G91" s="977" t="n">
        <v>7469297</v>
      </c>
      <c r="H91" s="977" t="n">
        <v>496364</v>
      </c>
      <c r="I91" s="978">
        <f>E91/D91</f>
        <v/>
      </c>
      <c r="J91" s="978">
        <f>F91/D91</f>
        <v/>
      </c>
      <c r="K91" s="978">
        <f>G91/D91</f>
        <v/>
      </c>
      <c r="L91" s="977" t="n">
        <v>37760138</v>
      </c>
      <c r="M91" s="977" t="n">
        <v>27621275</v>
      </c>
      <c r="N91" s="979">
        <f>O91-P91</f>
        <v/>
      </c>
      <c r="O91" s="979" t="n">
        <v>5693753</v>
      </c>
      <c r="P91" s="1192" t="n"/>
      <c r="Q91" s="979" t="n">
        <v>-1322961</v>
      </c>
      <c r="R91" s="979" t="n">
        <v>6635010</v>
      </c>
      <c r="S91" s="979" t="n">
        <v>5856441</v>
      </c>
      <c r="T91" s="979" t="n">
        <v>5856441</v>
      </c>
      <c r="U91" s="980" t="n">
        <v>43453891</v>
      </c>
      <c r="V91" s="1196" t="n">
        <v>40467222.413</v>
      </c>
      <c r="W91" s="1202" t="n"/>
      <c r="X91" s="979">
        <f>Q91</f>
        <v/>
      </c>
      <c r="Y91" s="1192" t="n"/>
      <c r="Z91" s="1192" t="n"/>
      <c r="AA91" s="1192" t="n"/>
      <c r="AB91" s="1192" t="n"/>
      <c r="AC91" s="1192" t="n"/>
      <c r="AD91" s="1192" t="n"/>
      <c r="AE91" s="979">
        <f>X91-(Y91+Z91+AA91+AB91+AC91+AD91)</f>
        <v/>
      </c>
      <c r="AF91" s="977" t="n">
        <v>655912</v>
      </c>
      <c r="AG91" s="977" t="n">
        <v>8510442</v>
      </c>
      <c r="AH91" s="977" t="n">
        <v>7854530</v>
      </c>
      <c r="AI91" s="977" t="n">
        <v>394123</v>
      </c>
      <c r="AJ91" s="977" t="n">
        <v>-536855</v>
      </c>
      <c r="AK91" s="977" t="n">
        <v>8606</v>
      </c>
      <c r="AL91" s="977">
        <f>AI91-AJ91-AK91+AM91-AN91</f>
        <v/>
      </c>
      <c r="AM91" s="977" t="n">
        <v>16868</v>
      </c>
      <c r="AN91" s="977" t="n">
        <v>246879</v>
      </c>
      <c r="AO91" s="977" t="n">
        <v>1050035</v>
      </c>
      <c r="AP91" s="977" t="n">
        <v>788</v>
      </c>
      <c r="AQ91" s="979" t="n">
        <v>1050823</v>
      </c>
      <c r="AR91" s="979" t="n">
        <v>776230</v>
      </c>
      <c r="AS91" s="979">
        <f>AO91+AP91-AQ91</f>
        <v/>
      </c>
      <c r="AT91" s="979">
        <f>AJ91+AK91+AL91-AM91+AN91-AI91</f>
        <v/>
      </c>
      <c r="AU91" s="979">
        <f>AF91+AI91-AO91</f>
        <v/>
      </c>
      <c r="AV91" s="979">
        <f>AF91</f>
        <v/>
      </c>
      <c r="AW91" s="979">
        <f>AI91</f>
        <v/>
      </c>
      <c r="AX91" s="979">
        <f>AP91</f>
        <v/>
      </c>
      <c r="AY91" s="979">
        <f>AV91+AW91+AX91</f>
        <v/>
      </c>
      <c r="AZ91" s="977" t="n"/>
      <c r="BA91" s="977" t="n"/>
      <c r="BB91" s="978" t="n"/>
      <c r="BC91" s="977" t="n">
        <v>-684025</v>
      </c>
      <c r="BD91" s="1191" t="n">
        <v>-23329</v>
      </c>
      <c r="BE91" s="977" t="n">
        <v>-199</v>
      </c>
      <c r="BF91" s="977" t="n">
        <v>-532626</v>
      </c>
      <c r="BG91" s="977" t="n">
        <v>-81396</v>
      </c>
      <c r="BH91" s="977" t="n"/>
      <c r="BI91" s="977" t="n">
        <v>1501</v>
      </c>
      <c r="BJ91" s="977" t="n">
        <v>-2888</v>
      </c>
      <c r="BK91" s="977">
        <f>Q91</f>
        <v/>
      </c>
      <c r="BL91" s="979" t="n"/>
      <c r="BM91" s="977" t="n">
        <v>6158762</v>
      </c>
      <c r="BN91" s="977" t="n">
        <v>-299982</v>
      </c>
      <c r="BO91" s="977" t="n"/>
      <c r="BP91" s="977">
        <f>AR91</f>
        <v/>
      </c>
      <c r="BQ91" s="977" t="n"/>
      <c r="BR91" s="977" t="n"/>
      <c r="BS91" s="977">
        <f>R91</f>
        <v/>
      </c>
      <c r="BT91" s="979" t="n">
        <v>0</v>
      </c>
      <c r="BU91" s="1192" t="n">
        <v>10382840</v>
      </c>
      <c r="BV91" s="1192" t="n">
        <v>1517284.121</v>
      </c>
      <c r="BW91" s="1192" t="n">
        <v>9183246.814999999</v>
      </c>
      <c r="BX91" s="1192" t="n"/>
      <c r="BY91" s="1192" t="n"/>
      <c r="BZ91" s="1192" t="n"/>
      <c r="CA91" s="1192" t="n"/>
      <c r="CB91" s="1192" t="n"/>
      <c r="CC91" s="977" t="n"/>
      <c r="CD91" s="977" t="n"/>
      <c r="CE91" s="1191" t="n"/>
      <c r="CF91" s="1191" t="n"/>
      <c r="CG91" s="1191" t="n"/>
      <c r="CH91" s="1191" t="n"/>
      <c r="CI91" s="1191" t="n"/>
      <c r="CJ91" s="977">
        <f>BW91</f>
        <v/>
      </c>
      <c r="CK91" s="977" t="n"/>
      <c r="CL91" s="1191" t="n"/>
      <c r="CM91" s="977" t="n"/>
      <c r="CN91" s="978" t="n"/>
      <c r="CO91" s="977" t="n"/>
      <c r="CP91" s="977" t="n"/>
      <c r="CQ91" s="1201" t="n">
        <v>1.9119</v>
      </c>
      <c r="CR91" s="1191" t="n">
        <v>12377040.160008</v>
      </c>
      <c r="CS91" s="1191" t="n">
        <v>6473685.77897</v>
      </c>
      <c r="CT91" s="977" t="n"/>
      <c r="CU91" s="977" t="n">
        <v>3487841.853</v>
      </c>
      <c r="CV91" s="977" t="n"/>
      <c r="CW91" s="108" t="n"/>
      <c r="CX91" s="108" t="n"/>
      <c r="CY91" s="108" t="n"/>
      <c r="CZ91" s="978" t="n"/>
      <c r="DA91" s="977" t="n"/>
      <c r="DB91" s="977" t="n"/>
      <c r="DC91" s="1201" t="n"/>
      <c r="DD91" s="1191" t="n"/>
      <c r="DE91" s="1191" t="n"/>
      <c r="DF91" s="977" t="n"/>
      <c r="DG91" s="977" t="n"/>
      <c r="DH91" s="977" t="n"/>
      <c r="DI91" s="977" t="n"/>
      <c r="DJ91" s="977" t="n"/>
      <c r="DK91" s="977" t="n"/>
      <c r="DL91" s="977" t="n"/>
      <c r="DM91" s="977" t="n"/>
      <c r="DN91" s="977" t="n"/>
      <c r="DO91" s="977" t="n"/>
      <c r="DP91" s="977" t="n"/>
      <c r="DQ91" s="977" t="n"/>
      <c r="DR91" s="977" t="n"/>
      <c r="DS91" s="977" t="n"/>
      <c r="DT91" s="977" t="n"/>
      <c r="DU91" s="977" t="n"/>
      <c r="DV91" s="977" t="n"/>
      <c r="DW91" s="977" t="n"/>
      <c r="DX91" s="977" t="n"/>
      <c r="DY91" s="977" t="n"/>
      <c r="DZ91" s="977" t="n"/>
      <c r="EA91" s="977" t="n"/>
      <c r="EB91" s="977" t="n"/>
      <c r="EC91" s="977" t="n"/>
      <c r="ED91" s="977" t="n"/>
      <c r="EE91" s="977" t="n"/>
      <c r="EP91" s="977" t="n"/>
      <c r="EQ91" s="977" t="n"/>
      <c r="ER91" s="977" t="n"/>
      <c r="ES91" s="977" t="n"/>
      <c r="ET91" s="977" t="n"/>
      <c r="EU91" s="977" t="n"/>
      <c r="EV91" s="977" t="n"/>
      <c r="EW91" s="977" t="n"/>
      <c r="EX91" s="977" t="n"/>
      <c r="EY91" s="977" t="n"/>
      <c r="EZ91" s="977" t="n"/>
      <c r="FA91" s="977" t="n"/>
      <c r="FB91" s="977" t="n"/>
    </row>
    <row r="92" customFormat="1" s="101">
      <c r="A92" s="101" t="inlineStr">
        <is>
          <t>2512KB손보</t>
        </is>
      </c>
      <c r="B92" s="101" t="n">
        <v>2512</v>
      </c>
      <c r="C92" s="101" t="inlineStr">
        <is>
          <t>KB손보</t>
        </is>
      </c>
      <c r="D92" s="977" t="n">
        <v>44891997</v>
      </c>
      <c r="E92" s="977" t="n">
        <v>9444743</v>
      </c>
      <c r="F92" s="977" t="n">
        <v>21906885</v>
      </c>
      <c r="G92" s="977" t="n">
        <v>8239538</v>
      </c>
      <c r="H92" s="977" t="n">
        <v>1048552</v>
      </c>
      <c r="I92" s="978">
        <f>E92/D92</f>
        <v/>
      </c>
      <c r="J92" s="978">
        <f>F92/D92</f>
        <v/>
      </c>
      <c r="K92" s="978">
        <f>G92/D92</f>
        <v/>
      </c>
      <c r="L92" s="977" t="n">
        <v>39174763</v>
      </c>
      <c r="M92" s="977" t="n">
        <v>26219701</v>
      </c>
      <c r="N92" s="979">
        <f>O92-P92</f>
        <v/>
      </c>
      <c r="O92" s="979" t="n">
        <v>5717234</v>
      </c>
      <c r="P92" s="979" t="n"/>
      <c r="Q92" s="979" t="n">
        <v>-1308222</v>
      </c>
      <c r="R92" s="979" t="n">
        <v>6958956</v>
      </c>
      <c r="S92" s="979" t="n">
        <v>5856441</v>
      </c>
      <c r="T92" s="979" t="n">
        <v>5856441</v>
      </c>
      <c r="U92" s="980" t="n">
        <v>44891997</v>
      </c>
      <c r="V92" s="1196" t="n">
        <v>42203894.164</v>
      </c>
      <c r="W92" s="1202" t="n"/>
      <c r="X92" s="979">
        <f>Q92</f>
        <v/>
      </c>
      <c r="Y92" s="1192" t="n">
        <v>-1908295</v>
      </c>
      <c r="Z92" s="979" t="n">
        <v>773926</v>
      </c>
      <c r="AA92" s="979" t="n">
        <v>-12979</v>
      </c>
      <c r="AB92" s="1192" t="n">
        <v>-197292</v>
      </c>
      <c r="AC92" s="979" t="n">
        <v>50226</v>
      </c>
      <c r="AD92" s="979" t="n">
        <v>-23677</v>
      </c>
      <c r="AE92" s="979">
        <f>X92-(Y92+Z92+AA92+AB92+AC92+AD92)</f>
        <v/>
      </c>
      <c r="AF92" s="977" t="n">
        <v>626695</v>
      </c>
      <c r="AG92" s="977" t="n">
        <v>11334108</v>
      </c>
      <c r="AH92" s="977" t="n">
        <v>10707413</v>
      </c>
      <c r="AI92" s="977" t="n">
        <v>528281</v>
      </c>
      <c r="AJ92" s="977" t="n">
        <v>-719084</v>
      </c>
      <c r="AK92" s="977" t="n">
        <v>62987</v>
      </c>
      <c r="AL92" s="977">
        <f>AI92-AJ92-AK92+AM92-AN92</f>
        <v/>
      </c>
      <c r="AM92" s="977" t="n">
        <v>21522</v>
      </c>
      <c r="AN92" s="977" t="n">
        <v>364385</v>
      </c>
      <c r="AO92" s="977" t="n">
        <v>1154976</v>
      </c>
      <c r="AP92" s="977" t="n">
        <v>-14217</v>
      </c>
      <c r="AQ92" s="979" t="n">
        <v>1140759</v>
      </c>
      <c r="AR92" s="979" t="n">
        <v>781077</v>
      </c>
      <c r="AS92" s="979">
        <f>AO92+AP92-AQ92</f>
        <v/>
      </c>
      <c r="AT92" s="979">
        <f>AJ92+AK92+AL92-AM92+AN92-AI92</f>
        <v/>
      </c>
      <c r="AU92" s="979">
        <f>AF92+AI92-AO92</f>
        <v/>
      </c>
      <c r="AV92" s="979">
        <f>AF92</f>
        <v/>
      </c>
      <c r="AW92" s="979">
        <f>AI92</f>
        <v/>
      </c>
      <c r="AX92" s="979">
        <f>AP92</f>
        <v/>
      </c>
      <c r="AY92" s="979">
        <f>AV92+AW92+AX92</f>
        <v/>
      </c>
      <c r="AZ92" s="977" t="n"/>
      <c r="BA92" s="977" t="n"/>
      <c r="BB92" s="978" t="n"/>
      <c r="BC92" s="977" t="n">
        <v>-684025</v>
      </c>
      <c r="BD92" s="977" t="n">
        <v>-827847</v>
      </c>
      <c r="BE92" s="977" t="n">
        <v>257</v>
      </c>
      <c r="BF92" s="977" t="n">
        <v>530353</v>
      </c>
      <c r="BG92" s="977" t="n">
        <v>-341405</v>
      </c>
      <c r="BH92" s="977" t="n">
        <v>-762</v>
      </c>
      <c r="BI92" s="977" t="n">
        <v>16683</v>
      </c>
      <c r="BJ92" s="977" t="n">
        <v>-1477</v>
      </c>
      <c r="BK92" s="977">
        <f>Q92</f>
        <v/>
      </c>
      <c r="BL92" s="979">
        <f>BK92-BC92-SUM(BD92:BJ92)</f>
        <v/>
      </c>
      <c r="BM92" s="977" t="n">
        <v>6158762</v>
      </c>
      <c r="BN92" s="977" t="n">
        <v>-299982</v>
      </c>
      <c r="BO92" s="977" t="n"/>
      <c r="BP92" s="977">
        <f>AR92</f>
        <v/>
      </c>
      <c r="BQ92" s="1191" t="n">
        <v>3895</v>
      </c>
      <c r="BR92" s="977" t="n"/>
      <c r="BS92" s="977">
        <f>R92</f>
        <v/>
      </c>
      <c r="BT92" s="979" t="n">
        <v>0</v>
      </c>
      <c r="BU92" s="979" t="n">
        <v>11419172</v>
      </c>
      <c r="BV92" s="979" t="n">
        <v>1488503</v>
      </c>
      <c r="BW92" s="979" t="n">
        <v>9285033</v>
      </c>
      <c r="BX92" s="979" t="n">
        <v>1741856</v>
      </c>
      <c r="BY92" s="979" t="n">
        <v>853435</v>
      </c>
      <c r="BZ92" s="979" t="n">
        <v>-755917</v>
      </c>
      <c r="CA92" s="979" t="n">
        <v>332047</v>
      </c>
      <c r="CB92" s="979" t="n">
        <v>8820482</v>
      </c>
      <c r="CC92" s="977" t="n"/>
      <c r="CD92" s="977">
        <f>CB92+BX92-BY92+BZ92+CA92-BW92</f>
        <v/>
      </c>
      <c r="CE92" s="1191" t="n"/>
      <c r="CF92" s="1191" t="n"/>
      <c r="CG92" s="1191" t="n"/>
      <c r="CH92" s="1191" t="n"/>
      <c r="CI92" s="1191" t="n"/>
      <c r="CJ92" s="977">
        <f>BW92</f>
        <v/>
      </c>
      <c r="CK92" s="977" t="n"/>
      <c r="CL92" s="977" t="n">
        <v>0</v>
      </c>
      <c r="CM92" s="977" t="n"/>
      <c r="CN92" s="1201" t="n">
        <v>1.9154</v>
      </c>
      <c r="CO92" s="1191" t="n">
        <v>12190866</v>
      </c>
      <c r="CP92" s="1191" t="n">
        <v>6364632</v>
      </c>
      <c r="CQ92" s="1200" t="n">
        <v>1.9154</v>
      </c>
      <c r="CR92" s="1192" t="n">
        <v>12190866</v>
      </c>
      <c r="CS92" s="1192" t="n">
        <v>6364632</v>
      </c>
      <c r="CT92" s="977" t="n"/>
      <c r="CU92" s="977" t="n">
        <v>3646235.742</v>
      </c>
      <c r="CV92" s="977" t="n"/>
      <c r="CW92" s="108" t="n">
        <v>0.945</v>
      </c>
      <c r="CX92" s="108" t="n">
        <v>0.969</v>
      </c>
      <c r="CY92" s="108">
        <f>CW92-CX92</f>
        <v/>
      </c>
      <c r="CZ92" s="978">
        <f>CX92/CW92</f>
        <v/>
      </c>
      <c r="DA92" s="977" t="n"/>
      <c r="DB92" s="977" t="n"/>
      <c r="DC92" s="978" t="n"/>
      <c r="DD92" s="977" t="n"/>
      <c r="DE92" s="977" t="n"/>
      <c r="DF92" s="977" t="n"/>
      <c r="DG92" s="977" t="n"/>
      <c r="DH92" s="977" t="n"/>
      <c r="DI92" s="977" t="n"/>
      <c r="DJ92" s="977" t="n"/>
      <c r="DK92" s="977" t="n"/>
      <c r="DL92" s="977" t="n"/>
      <c r="DM92" s="977" t="n"/>
      <c r="DN92" s="977" t="n"/>
      <c r="DO92" s="977" t="n"/>
      <c r="DP92" s="977" t="n"/>
      <c r="DQ92" s="977" t="n"/>
      <c r="DR92" s="977" t="n"/>
      <c r="DS92" s="977" t="n"/>
      <c r="DT92" s="977" t="n"/>
      <c r="DU92" s="977" t="n"/>
      <c r="DV92" s="977" t="n"/>
      <c r="DW92" s="977" t="n"/>
      <c r="DX92" s="977" t="n"/>
      <c r="DY92" s="977" t="n"/>
      <c r="DZ92" s="977" t="n"/>
      <c r="EA92" s="977" t="n"/>
      <c r="EB92" s="977" t="n"/>
      <c r="EC92" s="977" t="n"/>
      <c r="ED92" s="977" t="n"/>
      <c r="EE92" s="977" t="n"/>
      <c r="EP92" s="977" t="n">
        <v>89276</v>
      </c>
      <c r="EQ92" s="977" t="n">
        <v>-439240</v>
      </c>
      <c r="ER92" s="977" t="n">
        <v>246988</v>
      </c>
      <c r="ES92" s="977" t="n">
        <v>-5048</v>
      </c>
      <c r="ET92" s="977" t="n">
        <v>875657</v>
      </c>
      <c r="EU92" s="977" t="n"/>
      <c r="EV92" s="977" t="n"/>
      <c r="EW92" s="977" t="n">
        <v>-89276</v>
      </c>
      <c r="EX92" s="977" t="n">
        <v>439240</v>
      </c>
      <c r="EY92" s="977" t="n">
        <v>-246988</v>
      </c>
      <c r="EZ92" s="977" t="n">
        <v>5048</v>
      </c>
      <c r="FA92" s="977" t="n">
        <v>-875657</v>
      </c>
      <c r="FB92" s="977" t="n">
        <v>11716</v>
      </c>
      <c r="FC92" s="767" t="n">
        <v>0</v>
      </c>
    </row>
    <row r="93" customFormat="1" s="101">
      <c r="D93" s="977" t="n"/>
      <c r="E93" s="977" t="n"/>
      <c r="F93" s="977" t="n"/>
      <c r="G93" s="977" t="n"/>
      <c r="H93" s="977" t="n"/>
      <c r="I93" s="978" t="n"/>
      <c r="J93" s="978" t="n"/>
      <c r="K93" s="978" t="n"/>
      <c r="L93" s="977" t="n"/>
      <c r="M93" s="977" t="n"/>
      <c r="N93" s="979" t="n"/>
      <c r="O93" s="979" t="n"/>
      <c r="P93" s="979" t="n"/>
      <c r="Q93" s="979" t="n"/>
      <c r="R93" s="979" t="n"/>
      <c r="S93" s="979" t="n"/>
      <c r="T93" s="979" t="n"/>
      <c r="U93" s="980" t="n"/>
      <c r="V93" s="980" t="n"/>
      <c r="W93" s="107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977" t="n"/>
      <c r="AH93" s="977" t="n"/>
      <c r="AI93" s="977" t="n"/>
      <c r="AJ93" s="977" t="n"/>
      <c r="AK93" s="977" t="n"/>
      <c r="AL93" s="977" t="n"/>
      <c r="AM93" s="977" t="n"/>
      <c r="AN93" s="977" t="n"/>
      <c r="AO93" s="977" t="n"/>
      <c r="AP93" s="977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7" t="n"/>
      <c r="BA93" s="977" t="n"/>
      <c r="BB93" s="978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9" t="n"/>
      <c r="BM93" s="977" t="n"/>
      <c r="BN93" s="977" t="n"/>
      <c r="BO93" s="977" t="n"/>
      <c r="BP93" s="977" t="n"/>
      <c r="BQ93" s="977" t="n"/>
      <c r="BR93" s="977" t="n"/>
      <c r="BS93" s="977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8" t="n"/>
      <c r="CO93" s="977" t="n"/>
      <c r="CP93" s="977" t="n"/>
      <c r="CQ93" s="996" t="n"/>
      <c r="CR93" s="979" t="n"/>
      <c r="CS93" s="979" t="n"/>
      <c r="CT93" s="977" t="n"/>
      <c r="CU93" s="977" t="n"/>
      <c r="CV93" s="977" t="n"/>
      <c r="CW93" s="108" t="n"/>
      <c r="CX93" s="108" t="n"/>
      <c r="CY93" s="108" t="n"/>
      <c r="CZ93" s="978" t="n"/>
      <c r="DA93" s="977" t="n"/>
      <c r="DB93" s="977" t="n"/>
      <c r="DC93" s="978" t="n"/>
      <c r="DD93" s="977" t="n"/>
      <c r="DE93" s="977" t="n"/>
      <c r="DF93" s="977" t="n"/>
      <c r="DG93" s="977" t="n"/>
      <c r="DH93" s="977" t="n"/>
      <c r="DI93" s="977" t="n"/>
      <c r="DJ93" s="977" t="n"/>
      <c r="DK93" s="977" t="n"/>
      <c r="DL93" s="977" t="n"/>
      <c r="DM93" s="977" t="n"/>
      <c r="DN93" s="977" t="n"/>
      <c r="DO93" s="977" t="n"/>
      <c r="DP93" s="977" t="n"/>
      <c r="DQ93" s="977" t="n"/>
      <c r="DR93" s="977" t="n"/>
      <c r="DS93" s="977" t="n"/>
      <c r="DT93" s="977" t="n"/>
      <c r="DU93" s="977" t="n"/>
      <c r="DV93" s="977" t="n"/>
      <c r="DW93" s="977" t="n"/>
      <c r="DX93" s="977" t="n"/>
      <c r="DY93" s="977" t="n"/>
      <c r="DZ93" s="977" t="n"/>
      <c r="EA93" s="977" t="n"/>
      <c r="EB93" s="977" t="n"/>
      <c r="EC93" s="977" t="n"/>
      <c r="ED93" s="977" t="n"/>
      <c r="EE93" s="977" t="n"/>
      <c r="EP93" s="977" t="n"/>
      <c r="EQ93" s="977" t="n"/>
      <c r="ER93" s="977" t="n"/>
      <c r="ES93" s="977" t="n"/>
      <c r="ET93" s="977" t="n"/>
      <c r="EU93" s="977" t="n"/>
      <c r="EV93" s="977" t="n"/>
      <c r="EW93" s="977" t="n"/>
      <c r="EX93" s="977" t="n"/>
      <c r="EY93" s="977" t="n"/>
      <c r="EZ93" s="977" t="n"/>
      <c r="FA93" s="977" t="n"/>
      <c r="FB93" s="977" t="n"/>
    </row>
    <row r="94">
      <c r="A94" s="643" t="inlineStr">
        <is>
          <t>2212DB손보</t>
        </is>
      </c>
      <c r="B94" s="643" t="n">
        <v>2212</v>
      </c>
      <c r="C94" s="643" t="inlineStr">
        <is>
          <t>DB손보</t>
        </is>
      </c>
      <c r="I94" s="786" t="n"/>
      <c r="J94" s="786" t="n"/>
      <c r="K94" s="786" t="n"/>
      <c r="O94" s="1205" t="n"/>
      <c r="Q94" s="1205" t="n"/>
      <c r="R94" s="1205" t="n"/>
      <c r="AS94" s="966" t="n"/>
      <c r="AT94" s="966" t="n"/>
      <c r="AU94" s="966" t="n"/>
      <c r="AV94" s="966" t="n"/>
      <c r="AW94" s="966" t="n"/>
      <c r="AX94" s="966" t="n"/>
      <c r="AY94" s="966" t="n"/>
      <c r="BB94" s="786" t="n"/>
      <c r="BL94" s="966" t="n"/>
      <c r="BT94" s="1192" t="n"/>
      <c r="BU94" s="1205" t="n"/>
      <c r="BV94" s="1205" t="n"/>
      <c r="BW94" s="1205" t="n"/>
      <c r="CN94" s="786" t="n"/>
      <c r="CQ94" s="786" t="n"/>
    </row>
    <row r="95">
      <c r="A95" s="643" t="inlineStr">
        <is>
          <t>2312DB손보</t>
        </is>
      </c>
      <c r="B95" s="643" t="n">
        <v>2312</v>
      </c>
      <c r="C95" s="643" t="inlineStr">
        <is>
          <t>DB손보</t>
        </is>
      </c>
      <c r="D95" s="697" t="n">
        <v>48513527.683125</v>
      </c>
      <c r="E95" s="697" t="n">
        <v>11183349.499132</v>
      </c>
      <c r="F95" s="697" t="n">
        <v>19545190.388694</v>
      </c>
      <c r="G95" s="697" t="n">
        <v>11813123.755885</v>
      </c>
      <c r="H95" s="697" t="n">
        <v>860493.081155</v>
      </c>
      <c r="I95" s="786">
        <f>E95/D95</f>
        <v/>
      </c>
      <c r="J95" s="786">
        <f>F95/D95</f>
        <v/>
      </c>
      <c r="K95" s="786">
        <f>G95/D95</f>
        <v/>
      </c>
      <c r="L95" s="697" t="n">
        <v>39837977.664305</v>
      </c>
      <c r="M95" s="697" t="n">
        <v>29395049.529557</v>
      </c>
      <c r="N95" s="697">
        <f>O95-P95</f>
        <v/>
      </c>
      <c r="O95" s="697" t="n">
        <v>8675550.018820001</v>
      </c>
      <c r="Q95" s="697" t="n">
        <v>104094.845528</v>
      </c>
      <c r="R95" s="697" t="n">
        <v>8650634.401634</v>
      </c>
      <c r="S95" s="1195" t="n">
        <v>9223423.899777001</v>
      </c>
      <c r="T95" s="1192" t="n">
        <v>9223423.899777001</v>
      </c>
      <c r="U95" s="697" t="n">
        <v>48513527.683125</v>
      </c>
      <c r="V95" s="1205" t="n">
        <v>44932418.219</v>
      </c>
      <c r="W95" s="1202" t="n"/>
      <c r="X95" s="697">
        <f>Q95</f>
        <v/>
      </c>
      <c r="Y95" s="1195" t="n">
        <v>-26516</v>
      </c>
      <c r="Z95" s="1195" t="n">
        <v>-2714153</v>
      </c>
      <c r="AA95" s="1195" t="n">
        <v>12504</v>
      </c>
      <c r="AB95" s="1205" t="n"/>
      <c r="AC95" s="1205" t="n"/>
      <c r="AD95" s="1195" t="n">
        <v>225318</v>
      </c>
      <c r="AF95" s="697" t="n">
        <v>1550007.97701</v>
      </c>
      <c r="AG95" s="697" t="n">
        <v>14936307.512484</v>
      </c>
      <c r="AH95" s="697" t="n">
        <v>13386299.535474</v>
      </c>
      <c r="AI95" s="697" t="n">
        <v>466754.713684</v>
      </c>
      <c r="AJ95" s="697" t="n">
        <v>-788811.326731</v>
      </c>
      <c r="AL95" s="697">
        <f>AI95-AJ95-AK95+AM95-AN95</f>
        <v/>
      </c>
      <c r="AM95" s="697" t="n">
        <v>43002.0375</v>
      </c>
      <c r="AN95" s="697" t="n">
        <v>445875.049828</v>
      </c>
      <c r="AO95" s="697" t="n">
        <v>2016762.690694</v>
      </c>
      <c r="AP95" s="697" t="n">
        <v>8523.729153</v>
      </c>
      <c r="AQ95" s="697" t="n">
        <v>2025286.419847</v>
      </c>
      <c r="AR95" s="697" t="n">
        <v>1536745.952688</v>
      </c>
      <c r="AS95" s="966">
        <f>AO95+AP95-AQ95</f>
        <v/>
      </c>
      <c r="AT95" s="966">
        <f>AJ95+AK95+AL95-AM95+AN95-AI95</f>
        <v/>
      </c>
      <c r="AU95" s="966">
        <f>AF95+AI95-AO95</f>
        <v/>
      </c>
      <c r="AV95" s="966">
        <f>AF95</f>
        <v/>
      </c>
      <c r="AW95" s="966">
        <f>AI95</f>
        <v/>
      </c>
      <c r="AX95" s="966">
        <f>AP95</f>
        <v/>
      </c>
      <c r="AY95" s="966">
        <f>AV95+AW95+AX95</f>
        <v/>
      </c>
      <c r="BB95" s="1201" t="n"/>
      <c r="BC95" s="1195" t="n">
        <v>1867440.203082</v>
      </c>
      <c r="BD95" s="697" t="n">
        <v>957440.68825</v>
      </c>
      <c r="BF95" s="697" t="n">
        <v>-1047114.11923</v>
      </c>
      <c r="BG95" s="697" t="n">
        <v>82037.412347</v>
      </c>
      <c r="BH95" s="697" t="n">
        <v>895.8450759999999</v>
      </c>
      <c r="BI95" s="697" t="n">
        <v>-28167.176781</v>
      </c>
      <c r="BJ95" s="1195" t="n">
        <v>-1302.31885</v>
      </c>
      <c r="BK95" s="697">
        <f>Q95</f>
        <v/>
      </c>
      <c r="BL95" s="966">
        <f>BK95-BC95-SUM(BD95:BJ95)</f>
        <v/>
      </c>
      <c r="BM95" s="1195" t="n">
        <v>7435162.925037</v>
      </c>
      <c r="BN95" s="697" t="n">
        <v>-276199.9574</v>
      </c>
      <c r="BP95" s="697">
        <f>AR95</f>
        <v/>
      </c>
      <c r="BQ95" s="1205" t="n"/>
      <c r="BS95" s="697">
        <f>R95</f>
        <v/>
      </c>
      <c r="BT95" s="966" t="n">
        <v>0</v>
      </c>
      <c r="BU95" s="1205" t="n"/>
      <c r="BV95" s="1205" t="n">
        <v>1575135.366</v>
      </c>
      <c r="BW95" s="1205" t="n">
        <v>11351156.284</v>
      </c>
      <c r="BX95" s="1205" t="n"/>
      <c r="BY95" s="1205" t="n"/>
      <c r="BZ95" s="1205" t="n"/>
      <c r="CA95" s="1205" t="n"/>
      <c r="CB95" s="1205" t="n"/>
      <c r="CL95" s="1205" t="n"/>
      <c r="CN95" s="1201" t="n">
        <v>2.331</v>
      </c>
      <c r="CO95" s="1205" t="n">
        <v>19575206</v>
      </c>
      <c r="CP95" s="1205" t="n">
        <v>8396170</v>
      </c>
      <c r="CQ95" s="1201" t="n">
        <v>2.331</v>
      </c>
      <c r="CR95" s="1205" t="n">
        <v>19575206</v>
      </c>
      <c r="CS95" s="1205" t="n">
        <v>8396170</v>
      </c>
      <c r="CU95" s="1195" t="n">
        <v>2645779.99</v>
      </c>
      <c r="DG95" s="1205" t="n"/>
      <c r="DH95" s="1205" t="n"/>
      <c r="DK95" s="1205" t="n"/>
    </row>
    <row r="96">
      <c r="A96" s="643" t="inlineStr">
        <is>
          <t>2412DB손보</t>
        </is>
      </c>
      <c r="B96" s="643" t="n">
        <v>2412</v>
      </c>
      <c r="C96" s="643" t="inlineStr">
        <is>
          <t>DB손보</t>
        </is>
      </c>
      <c r="D96" s="697" t="n">
        <v>52858940.874889</v>
      </c>
      <c r="E96" s="697" t="n">
        <v>11418284.442054</v>
      </c>
      <c r="F96" s="697" t="n">
        <v>22226035.937252</v>
      </c>
      <c r="G96" s="697" t="n">
        <v>13714616.175914</v>
      </c>
      <c r="H96" s="697" t="n">
        <v>1019190.633577</v>
      </c>
      <c r="I96" s="786">
        <f>E96/D96</f>
        <v/>
      </c>
      <c r="J96" s="786">
        <f>F96/D96</f>
        <v/>
      </c>
      <c r="K96" s="786">
        <f>G96/D96</f>
        <v/>
      </c>
      <c r="L96" s="697" t="n">
        <v>44442942.208589</v>
      </c>
      <c r="M96" s="697" t="n">
        <v>31937300.553866</v>
      </c>
      <c r="N96" s="697">
        <f>O96-P96</f>
        <v/>
      </c>
      <c r="O96" s="697" t="n">
        <v>8415998.666300001</v>
      </c>
      <c r="Q96" s="697" t="n">
        <v>-1609455.266593</v>
      </c>
      <c r="R96" s="697" t="n">
        <v>10104633.161235</v>
      </c>
      <c r="S96" s="697" t="n">
        <v>8675550.018820001</v>
      </c>
      <c r="T96" s="979" t="n">
        <v>8675550.018820001</v>
      </c>
      <c r="U96" s="697" t="n">
        <v>52858940.874889</v>
      </c>
      <c r="V96" s="1195" t="n">
        <v>49627472.622</v>
      </c>
      <c r="W96" s="1202" t="n">
        <v>0.959</v>
      </c>
      <c r="X96" s="697">
        <f>Q96</f>
        <v/>
      </c>
      <c r="Y96" s="1195" t="n">
        <v>-2117670</v>
      </c>
      <c r="Z96" s="1195" t="n">
        <v>170831</v>
      </c>
      <c r="AA96" s="1195" t="n">
        <v>2723</v>
      </c>
      <c r="AB96" s="1195" t="n">
        <v>71424</v>
      </c>
      <c r="AC96" s="1195" t="n">
        <v>279287</v>
      </c>
      <c r="AD96" s="1205" t="n"/>
      <c r="AF96" s="697" t="n">
        <v>1619094.289949</v>
      </c>
      <c r="AG96" s="697" t="n">
        <v>15052383.574282</v>
      </c>
      <c r="AH96" s="697" t="n">
        <v>13433289.284333</v>
      </c>
      <c r="AI96" s="697" t="n">
        <v>743568.2247200001</v>
      </c>
      <c r="AJ96" s="697" t="n">
        <v>-770184.220429</v>
      </c>
      <c r="AL96" s="697">
        <f>AI96-AJ96-AK96+AM96-AN96</f>
        <v/>
      </c>
      <c r="AM96" s="697" t="n">
        <v>36144.763441</v>
      </c>
      <c r="AN96" s="697" t="n">
        <v>511841.556439</v>
      </c>
      <c r="AO96" s="697" t="n">
        <v>2362662.514669</v>
      </c>
      <c r="AP96" s="697" t="n">
        <v>3151.389897</v>
      </c>
      <c r="AQ96" s="697" t="n">
        <v>2365813.904566</v>
      </c>
      <c r="AR96" s="697" t="n">
        <v>1772229.201821</v>
      </c>
      <c r="AS96" s="966">
        <f>AO96+AP96-AQ96</f>
        <v/>
      </c>
      <c r="AT96" s="966">
        <f>AJ96+AK96+AL96-AM96+AN96-AI96</f>
        <v/>
      </c>
      <c r="AU96" s="966">
        <f>AF96+AI96-AO96</f>
        <v/>
      </c>
      <c r="AV96" s="966">
        <f>AF96</f>
        <v/>
      </c>
      <c r="AW96" s="966">
        <f>AI96</f>
        <v/>
      </c>
      <c r="AX96" s="966">
        <f>AP96</f>
        <v/>
      </c>
      <c r="AY96" s="966">
        <f>AV96+AW96+AX96</f>
        <v/>
      </c>
      <c r="BB96" s="1201" t="n"/>
      <c r="BC96" s="697" t="n">
        <v>104094.845528</v>
      </c>
      <c r="BD96" s="1195" t="n">
        <v>51322.176007</v>
      </c>
      <c r="BF96" s="697" t="n">
        <v>-1869152.877961</v>
      </c>
      <c r="BG96" s="697" t="n">
        <v>73776.882153</v>
      </c>
      <c r="BH96" s="697" t="n">
        <v>352.990764</v>
      </c>
      <c r="BI96" s="697" t="n">
        <v>-19614.623966</v>
      </c>
      <c r="BJ96" s="697" t="n">
        <v>30495.461398</v>
      </c>
      <c r="BK96" s="697">
        <f>Q96</f>
        <v/>
      </c>
      <c r="BL96" s="966">
        <f>BK96-BC96-SUM(BD96:BJ96)</f>
        <v/>
      </c>
      <c r="BM96" s="697" t="n">
        <v>8650634.401634</v>
      </c>
      <c r="BN96" s="697" t="n">
        <v>-318230.3857</v>
      </c>
      <c r="BP96" s="697">
        <f>AR96</f>
        <v/>
      </c>
      <c r="BQ96" s="1205" t="n"/>
      <c r="BS96" s="697">
        <f>R96</f>
        <v/>
      </c>
      <c r="BT96" s="966" t="n">
        <v>0</v>
      </c>
      <c r="BU96" s="1205" t="n"/>
      <c r="BV96" s="1205" t="n">
        <v>1883520.821</v>
      </c>
      <c r="BW96" s="1205" t="n">
        <v>11516133.945</v>
      </c>
      <c r="BX96" s="1205" t="n"/>
      <c r="BY96" s="1205" t="n"/>
      <c r="BZ96" s="1205" t="n"/>
      <c r="CA96" s="1205" t="n"/>
      <c r="CB96" s="1205" t="n"/>
      <c r="CD96" s="985" t="n"/>
      <c r="CE96" s="1205" t="n"/>
      <c r="CF96" s="1205" t="n"/>
      <c r="CG96" s="1205" t="n"/>
      <c r="CH96" s="1205" t="n"/>
      <c r="CI96" s="1205" t="n"/>
      <c r="CL96" s="1205" t="n"/>
      <c r="CN96" s="697" t="n">
        <v>2.03</v>
      </c>
      <c r="CO96" s="697" t="n">
        <v>19097509</v>
      </c>
      <c r="CP96" s="697" t="n">
        <v>9408163</v>
      </c>
      <c r="CQ96" s="1000" t="n">
        <v>2.031</v>
      </c>
      <c r="CR96" s="697" t="n">
        <v>19097308</v>
      </c>
      <c r="CS96" s="697" t="n">
        <v>9402579</v>
      </c>
      <c r="CU96" s="1195" t="n">
        <v>3239227.357</v>
      </c>
      <c r="CW96" s="103" t="n">
        <v>0.946</v>
      </c>
      <c r="CX96" s="103" t="n">
        <v>0.903</v>
      </c>
      <c r="CY96" s="103">
        <f>CW96-CX96</f>
        <v/>
      </c>
      <c r="CZ96" s="786">
        <f>CX96/CW96</f>
        <v/>
      </c>
      <c r="DG96" s="1205" t="n"/>
      <c r="DH96" s="1205" t="n"/>
      <c r="DK96" s="1205" t="n"/>
      <c r="EP96" s="697" t="n">
        <v>1733869</v>
      </c>
      <c r="EQ96" s="697" t="n">
        <v>-575803</v>
      </c>
      <c r="ER96" s="697" t="n">
        <v>4404</v>
      </c>
      <c r="ES96" s="697" t="n">
        <v>-32369</v>
      </c>
      <c r="ET96" s="697" t="n">
        <v>1067023</v>
      </c>
      <c r="EW96" s="697" t="n">
        <v>-1689990</v>
      </c>
      <c r="EX96" s="697" t="n">
        <v>353537</v>
      </c>
      <c r="EY96" s="697" t="n">
        <v>-9890</v>
      </c>
      <c r="EZ96" s="697" t="n">
        <v>18756</v>
      </c>
      <c r="FA96" s="697" t="n">
        <v>-814264</v>
      </c>
      <c r="FB96" s="697" t="n">
        <v>118610</v>
      </c>
      <c r="FC96" s="697" t="n">
        <v>0</v>
      </c>
    </row>
    <row r="97">
      <c r="A97" s="643" t="inlineStr">
        <is>
          <t>2503DB손보</t>
        </is>
      </c>
      <c r="B97" s="643" t="n">
        <v>2503</v>
      </c>
      <c r="C97" s="643" t="inlineStr">
        <is>
          <t>DB손보</t>
        </is>
      </c>
      <c r="D97" s="697" t="n">
        <v>55478145.040758</v>
      </c>
      <c r="E97" s="697" t="n">
        <v>12079331.436026</v>
      </c>
      <c r="F97" s="697" t="n">
        <v>23095516.511676</v>
      </c>
      <c r="G97" s="697" t="n">
        <v>14886161.435429</v>
      </c>
      <c r="H97" s="697" t="n">
        <v>1054193.133577</v>
      </c>
      <c r="I97" s="786">
        <f>E97/D97</f>
        <v/>
      </c>
      <c r="J97" s="786">
        <f>F97/D97</f>
        <v/>
      </c>
      <c r="K97" s="786">
        <f>G97/D97</f>
        <v/>
      </c>
      <c r="L97" s="697" t="n">
        <v>47984999.893045</v>
      </c>
      <c r="M97" s="697" t="n">
        <v>33766163.701419</v>
      </c>
      <c r="N97" s="697">
        <f>O97-P97</f>
        <v/>
      </c>
      <c r="O97" s="697" t="n">
        <v>7493145.147713</v>
      </c>
      <c r="Q97" s="697" t="n">
        <v>-2570999.788165</v>
      </c>
      <c r="R97" s="697" t="n">
        <v>10143324.16422</v>
      </c>
      <c r="S97" s="697" t="n">
        <v>8415998.666300001</v>
      </c>
      <c r="T97" s="979" t="n">
        <v>8415998.666300001</v>
      </c>
      <c r="U97" s="697" t="n">
        <v>55478145.040758</v>
      </c>
      <c r="V97" s="1205" t="n">
        <v>52112678.66</v>
      </c>
      <c r="W97" s="1202" t="n">
        <v>0.9579</v>
      </c>
      <c r="X97" s="697">
        <f>Q97</f>
        <v/>
      </c>
      <c r="Y97" s="1205" t="n"/>
      <c r="Z97" s="1205" t="n"/>
      <c r="AA97" s="1205" t="n"/>
      <c r="AB97" s="1205" t="n"/>
      <c r="AC97" s="1205" t="n"/>
      <c r="AD97" s="1205" t="n"/>
      <c r="AE97" s="697">
        <f>X97-(Y97+Z97+AA97+AB97+AC97+AD97)</f>
        <v/>
      </c>
      <c r="AF97" s="697" t="n">
        <v>402719.072061</v>
      </c>
      <c r="AG97" s="697" t="n">
        <v>3967475.55702</v>
      </c>
      <c r="AH97" s="697" t="n">
        <v>3564756.484959</v>
      </c>
      <c r="AI97" s="697" t="n">
        <v>243969.186837</v>
      </c>
      <c r="AJ97" s="697" t="n">
        <v>-193577.348375</v>
      </c>
      <c r="AL97" s="697">
        <f>AI97-AJ97-AK97+AM97-AN97</f>
        <v/>
      </c>
      <c r="AM97" s="697" t="n">
        <v>9865.921332</v>
      </c>
      <c r="AN97" s="697" t="n">
        <v>135805.47677</v>
      </c>
      <c r="AO97" s="697" t="n">
        <v>646688.258898</v>
      </c>
      <c r="AP97" s="697" t="n">
        <v>-3377.021134</v>
      </c>
      <c r="AQ97" s="697" t="n">
        <v>643311.237764</v>
      </c>
      <c r="AR97" s="697" t="n">
        <v>446986.592185</v>
      </c>
      <c r="AS97" s="966">
        <f>AO97+AP97-AQ97</f>
        <v/>
      </c>
      <c r="AT97" s="966">
        <f>AJ97+AK97+AL97-AM97+AN97-AI97</f>
        <v/>
      </c>
      <c r="AU97" s="966">
        <f>AF97+AI97-AO97</f>
        <v/>
      </c>
      <c r="AV97" s="966">
        <f>AF97</f>
        <v/>
      </c>
      <c r="AW97" s="966">
        <f>AI97</f>
        <v/>
      </c>
      <c r="AX97" s="966">
        <f>AP97</f>
        <v/>
      </c>
      <c r="AY97" s="966">
        <f>AV97+AW97+AX97</f>
        <v/>
      </c>
      <c r="BC97" s="697" t="n">
        <v>-1609455.266593</v>
      </c>
      <c r="BD97" s="1195" t="n">
        <v>268667.463932</v>
      </c>
      <c r="BF97" s="697" t="n">
        <v>-1299601.127261</v>
      </c>
      <c r="BG97" s="697" t="n">
        <v>64453.720891</v>
      </c>
      <c r="BH97" s="697" t="n">
        <v>-2015.925585</v>
      </c>
      <c r="BI97" s="697" t="n">
        <v>374.98369</v>
      </c>
      <c r="BJ97" s="697" t="n">
        <v>-1059.154212</v>
      </c>
      <c r="BK97" s="697">
        <f>Q97</f>
        <v/>
      </c>
      <c r="BL97" s="966">
        <f>BK97-BC97-SUM(BD97:BJ97)</f>
        <v/>
      </c>
      <c r="BM97" s="697" t="n">
        <v>10104633.161235</v>
      </c>
      <c r="BN97" s="1205" t="n"/>
      <c r="BP97" s="697">
        <f>AR97</f>
        <v/>
      </c>
      <c r="BS97" s="697">
        <f>R97</f>
        <v/>
      </c>
      <c r="BT97" s="966" t="n">
        <v>0</v>
      </c>
      <c r="BU97" s="1205" t="n">
        <v>21713728</v>
      </c>
      <c r="BV97" s="1205" t="n">
        <v>1969605.64</v>
      </c>
      <c r="BW97" s="1205" t="n">
        <v>12207545.889</v>
      </c>
      <c r="BX97" s="1205" t="n"/>
      <c r="BY97" s="1205" t="n"/>
      <c r="BZ97" s="1205" t="n"/>
      <c r="CA97" s="1205" t="n"/>
      <c r="CB97" s="1205" t="n"/>
      <c r="CE97" s="1205" t="n"/>
      <c r="CF97" s="1205" t="n"/>
      <c r="CG97" s="1205" t="n"/>
      <c r="CH97" s="1205" t="n"/>
      <c r="CI97" s="1205" t="n"/>
      <c r="CJ97" s="697">
        <f>BW97</f>
        <v/>
      </c>
      <c r="CL97" s="1205" t="n"/>
      <c r="CQ97" s="1207" t="n">
        <v>2.0466</v>
      </c>
      <c r="CR97" s="1205" t="n">
        <v>20032630.546161</v>
      </c>
      <c r="CS97" s="1205" t="n">
        <v>9788288.487766</v>
      </c>
      <c r="CU97" s="1195" t="n">
        <v>3524045.736</v>
      </c>
      <c r="DG97" s="1205" t="n"/>
      <c r="DH97" s="1205" t="n"/>
      <c r="DK97" s="1205" t="n"/>
    </row>
    <row r="98">
      <c r="A98" s="643" t="inlineStr">
        <is>
          <t>2506DB손보</t>
        </is>
      </c>
      <c r="B98" s="643" t="n">
        <v>2506</v>
      </c>
      <c r="C98" s="643" t="inlineStr">
        <is>
          <t>DB손보</t>
        </is>
      </c>
      <c r="D98" s="697" t="n">
        <v>55939891</v>
      </c>
      <c r="E98" s="697" t="n">
        <v>12879695</v>
      </c>
      <c r="F98" s="697" t="n">
        <v>21420872</v>
      </c>
      <c r="G98" s="697" t="n">
        <v>15696430</v>
      </c>
      <c r="H98" s="697" t="n">
        <v>1054193</v>
      </c>
      <c r="I98" s="786">
        <f>E98/D98</f>
        <v/>
      </c>
      <c r="J98" s="786">
        <f>F98/D98</f>
        <v/>
      </c>
      <c r="K98" s="786">
        <f>G98/D98</f>
        <v/>
      </c>
      <c r="L98" s="697" t="n">
        <v>47759049</v>
      </c>
      <c r="M98" s="697" t="n">
        <v>33393555</v>
      </c>
      <c r="N98" s="697">
        <f>O98-P98</f>
        <v/>
      </c>
      <c r="O98" s="697" t="n">
        <v>8180842</v>
      </c>
      <c r="P98" s="1205" t="n"/>
      <c r="Q98" s="697" t="n">
        <v>-2343226</v>
      </c>
      <c r="R98" s="697" t="n">
        <v>10603247</v>
      </c>
      <c r="S98" s="697" t="n">
        <v>8415999</v>
      </c>
      <c r="T98" s="697" t="n">
        <v>8415999</v>
      </c>
      <c r="U98" s="697" t="n">
        <v>55939891</v>
      </c>
      <c r="V98" s="1205" t="n">
        <v>52129888.888</v>
      </c>
      <c r="W98" s="1202" t="n"/>
      <c r="X98" s="697">
        <f>Q98</f>
        <v/>
      </c>
      <c r="Y98" s="1205" t="n"/>
      <c r="Z98" s="1205" t="n">
        <v>-606304</v>
      </c>
      <c r="AA98" s="1205" t="n">
        <v>3648</v>
      </c>
      <c r="AB98" s="1205" t="n">
        <v>19517</v>
      </c>
      <c r="AC98" s="1205" t="n">
        <v>279287</v>
      </c>
      <c r="AD98" s="1205" t="n">
        <v>-67613</v>
      </c>
      <c r="AE98" s="697">
        <f>X98-(Y98+Z98+AA98+AB98+AC98+AD98)</f>
        <v/>
      </c>
      <c r="AF98" s="697" t="n">
        <v>670411</v>
      </c>
      <c r="AG98" s="697" t="n">
        <v>8109891</v>
      </c>
      <c r="AH98" s="1195" t="n">
        <v>7439480</v>
      </c>
      <c r="AI98" s="697" t="n">
        <v>588618</v>
      </c>
      <c r="AJ98" s="1195" t="n">
        <v>-285306</v>
      </c>
      <c r="AK98" s="1205" t="n"/>
      <c r="AL98" s="697">
        <f>AI98-AJ98-AK98+AM98-AN98</f>
        <v/>
      </c>
      <c r="AM98" s="1195" t="n">
        <v>17548</v>
      </c>
      <c r="AN98" s="1195" t="n">
        <v>258549</v>
      </c>
      <c r="AO98" s="697" t="n">
        <v>1259029</v>
      </c>
      <c r="AP98" s="1195" t="n">
        <v>1133</v>
      </c>
      <c r="AQ98" s="697" t="n">
        <v>1260162</v>
      </c>
      <c r="AR98" s="697" t="n">
        <v>906909</v>
      </c>
      <c r="AS98" s="966">
        <f>AO98+AP98-AQ98</f>
        <v/>
      </c>
      <c r="AT98" s="966">
        <f>AJ98+AK98+AL98-AM98+AN98-AI98</f>
        <v/>
      </c>
      <c r="AU98" s="966">
        <f>AF98+AI98-AO98</f>
        <v/>
      </c>
      <c r="AV98" s="966">
        <f>AF98</f>
        <v/>
      </c>
      <c r="AW98" s="966">
        <f>AI98</f>
        <v/>
      </c>
      <c r="AX98" s="966">
        <f>AP98</f>
        <v/>
      </c>
      <c r="AY98" s="966">
        <f>AV98+AW98+AX98</f>
        <v/>
      </c>
      <c r="BC98" s="697" t="n">
        <v>-1609455</v>
      </c>
      <c r="BD98" s="697" t="n">
        <v>209771</v>
      </c>
      <c r="BE98" s="1205" t="n"/>
      <c r="BF98" s="697" t="n">
        <v>-775547</v>
      </c>
      <c r="BG98" s="1205" t="n"/>
      <c r="BH98" s="697" t="n">
        <v>-2016</v>
      </c>
      <c r="BI98" s="697" t="n">
        <v>-205</v>
      </c>
      <c r="BJ98" s="697" t="n">
        <v>-32504</v>
      </c>
      <c r="BK98" s="697">
        <f>Q98</f>
        <v/>
      </c>
      <c r="BL98" s="966" t="n"/>
      <c r="BM98" s="697" t="n">
        <v>10104633</v>
      </c>
      <c r="BN98" s="697" t="n">
        <v>-408295</v>
      </c>
      <c r="BO98" s="1205" t="n"/>
      <c r="BP98" s="697">
        <f>AR98</f>
        <v/>
      </c>
      <c r="BQ98" s="1205" t="n"/>
      <c r="BR98" s="1205" t="n"/>
      <c r="BS98" s="697">
        <f>R98</f>
        <v/>
      </c>
      <c r="BT98" s="966" t="n">
        <v>0</v>
      </c>
      <c r="BU98" s="1195" t="n">
        <v>12770269</v>
      </c>
      <c r="BV98" s="1195" t="n">
        <v>2015157.549</v>
      </c>
      <c r="BW98" s="697" t="n">
        <v>12574751.712</v>
      </c>
      <c r="BX98" s="1205" t="n">
        <v>1499873</v>
      </c>
      <c r="BY98" s="1205" t="n"/>
      <c r="BZ98" s="1205" t="n">
        <v>-68530</v>
      </c>
      <c r="CA98" s="1205" t="n"/>
      <c r="CB98" s="1205" t="n"/>
      <c r="CE98" s="1205" t="n"/>
      <c r="CF98" s="1205" t="n"/>
      <c r="CG98" s="1205" t="n"/>
      <c r="CH98" s="1205" t="n"/>
      <c r="CI98" s="1205" t="n"/>
      <c r="CJ98" s="697">
        <f>BW98</f>
        <v/>
      </c>
      <c r="CL98" s="697" t="n">
        <v>0</v>
      </c>
      <c r="CQ98" s="1207" t="n">
        <v>2.1329</v>
      </c>
      <c r="CR98" s="1205" t="n">
        <v>20919181.732303</v>
      </c>
      <c r="CS98" s="1205" t="n">
        <v>9807850.883298</v>
      </c>
      <c r="CU98" s="697" t="n">
        <v>3841522.099</v>
      </c>
      <c r="DG98" s="1205" t="n"/>
      <c r="DH98" s="1205" t="n"/>
      <c r="DK98" s="1205" t="n"/>
    </row>
    <row r="99">
      <c r="A99" s="643" t="inlineStr">
        <is>
          <t>2509DB손보</t>
        </is>
      </c>
      <c r="B99" s="643" t="n">
        <v>2509</v>
      </c>
      <c r="C99" s="643" t="inlineStr">
        <is>
          <t>DB손보</t>
        </is>
      </c>
      <c r="D99" s="697" t="n">
        <v>57423593</v>
      </c>
      <c r="E99" s="697" t="n">
        <v>15785981</v>
      </c>
      <c r="F99" s="697" t="n">
        <v>20703906</v>
      </c>
      <c r="G99" s="697" t="n">
        <v>15409837</v>
      </c>
      <c r="H99" s="697" t="n">
        <v>1058977</v>
      </c>
      <c r="I99" s="786">
        <f>E99/D99</f>
        <v/>
      </c>
      <c r="J99" s="786">
        <f>F99/D99</f>
        <v/>
      </c>
      <c r="K99" s="786">
        <f>G99/D99</f>
        <v/>
      </c>
      <c r="L99" s="697" t="n">
        <v>48184324</v>
      </c>
      <c r="M99" s="697" t="n">
        <v>33463246</v>
      </c>
      <c r="N99" s="697">
        <f>O99-P99</f>
        <v/>
      </c>
      <c r="O99" s="697" t="n">
        <v>9239269</v>
      </c>
      <c r="P99" s="697" t="n">
        <v>865006</v>
      </c>
      <c r="Q99" s="697" t="n">
        <v>-2440625</v>
      </c>
      <c r="R99" s="697" t="n">
        <v>10894067</v>
      </c>
      <c r="S99" s="697" t="n">
        <v>8415999</v>
      </c>
      <c r="T99" s="697" t="n">
        <v>8415999</v>
      </c>
      <c r="U99" s="697" t="n">
        <v>57423593</v>
      </c>
      <c r="V99" s="1205" t="n">
        <v>53978450.502</v>
      </c>
      <c r="W99" s="1202" t="n"/>
      <c r="X99" s="697">
        <f>Q99</f>
        <v/>
      </c>
      <c r="Y99" s="1205" t="n">
        <v>-1986996</v>
      </c>
      <c r="Z99" s="1205" t="n">
        <v>-534493</v>
      </c>
      <c r="AA99" s="1205" t="n">
        <v>2225</v>
      </c>
      <c r="AB99" s="1205" t="n">
        <v>-130799</v>
      </c>
      <c r="AC99" s="1205" t="n">
        <v>279287</v>
      </c>
      <c r="AD99" s="1205" t="n">
        <v>-67833</v>
      </c>
      <c r="AE99" s="697">
        <f>X99-(Y99+Z99+AA99+AB99+AC99+AD99)</f>
        <v/>
      </c>
      <c r="AF99" s="697" t="n">
        <v>772533</v>
      </c>
      <c r="AG99" s="697" t="n">
        <v>12101508</v>
      </c>
      <c r="AH99" s="697" t="n">
        <v>11328975</v>
      </c>
      <c r="AI99" s="697" t="n">
        <v>889702</v>
      </c>
      <c r="AJ99" s="697" t="n">
        <v>-471478</v>
      </c>
      <c r="AL99" s="697">
        <f>AI99-AJ99-AK99+AM99-AN99</f>
        <v/>
      </c>
      <c r="AM99" s="697" t="n">
        <v>27098</v>
      </c>
      <c r="AN99" s="1195" t="n">
        <v>422211</v>
      </c>
      <c r="AO99" s="697" t="n">
        <v>1662235</v>
      </c>
      <c r="AP99" s="697" t="n">
        <v>-4781</v>
      </c>
      <c r="AQ99" s="697" t="n">
        <v>1657454</v>
      </c>
      <c r="AR99" s="697" t="n">
        <v>1199909</v>
      </c>
      <c r="AS99" s="966">
        <f>AO99+AP99-AQ99</f>
        <v/>
      </c>
      <c r="AT99" s="966">
        <f>AJ99+AK99+AL99-AM99+AN99-AI99</f>
        <v/>
      </c>
      <c r="AU99" s="966">
        <f>AF99+AI99-AO99</f>
        <v/>
      </c>
      <c r="AV99" s="966">
        <f>AF99</f>
        <v/>
      </c>
      <c r="AW99" s="966">
        <f>AI99</f>
        <v/>
      </c>
      <c r="AX99" s="966">
        <f>AP99</f>
        <v/>
      </c>
      <c r="AY99" s="966">
        <f>AV99+AW99+AX99</f>
        <v/>
      </c>
      <c r="BC99" s="697" t="n">
        <v>-1609455</v>
      </c>
      <c r="BD99" s="697" t="n">
        <v>130812</v>
      </c>
      <c r="BF99" s="697" t="n">
        <v>-705160</v>
      </c>
      <c r="BG99" s="1205" t="n"/>
      <c r="BH99" s="1195" t="n">
        <v>-2016</v>
      </c>
      <c r="BI99" s="697" t="n">
        <v>-425</v>
      </c>
      <c r="BJ99" s="697" t="n">
        <v>-18179</v>
      </c>
      <c r="BK99" s="697">
        <f>Q99</f>
        <v/>
      </c>
      <c r="BL99" s="966" t="n"/>
      <c r="BM99" s="697" t="n">
        <v>10104633</v>
      </c>
      <c r="BN99" s="697" t="n">
        <v>-408295</v>
      </c>
      <c r="BP99" s="697">
        <f>AR99</f>
        <v/>
      </c>
      <c r="BQ99" s="697" t="n">
        <v>137</v>
      </c>
      <c r="BR99" s="697" t="n">
        <v>-2317</v>
      </c>
      <c r="BS99" s="697">
        <f>R99</f>
        <v/>
      </c>
      <c r="BT99" s="966" t="n">
        <v>0</v>
      </c>
      <c r="BU99" s="1195" t="n">
        <v>12563582</v>
      </c>
      <c r="BV99" s="1195" t="n">
        <v>2030501.279</v>
      </c>
      <c r="BW99" s="697" t="n">
        <v>12813110.925</v>
      </c>
      <c r="BX99" s="1205" t="n">
        <v>2223635</v>
      </c>
      <c r="BY99" s="1205" t="n"/>
      <c r="BZ99" s="1205" t="n">
        <v>-342628</v>
      </c>
      <c r="CA99" s="1205" t="n"/>
      <c r="CB99" s="1205" t="n"/>
      <c r="CE99" s="1205" t="n"/>
      <c r="CF99" s="1205" t="n"/>
      <c r="CG99" s="1205" t="n"/>
      <c r="CH99" s="1205" t="n"/>
      <c r="CI99" s="1205" t="n"/>
      <c r="CJ99" s="697">
        <f>BW99</f>
        <v/>
      </c>
      <c r="CL99" s="697" t="n">
        <v>0</v>
      </c>
      <c r="CQ99" s="1207" t="n">
        <v>2.2645</v>
      </c>
      <c r="CR99" s="1205" t="n">
        <v>22154374.177446</v>
      </c>
      <c r="CS99" s="1205" t="n">
        <v>9783298.315861</v>
      </c>
      <c r="CU99" s="697" t="n">
        <v>4105304.352</v>
      </c>
      <c r="DG99" s="1205" t="n"/>
      <c r="DH99" s="1205" t="n"/>
      <c r="DK99" s="1205" t="n"/>
    </row>
    <row r="100" ht="16.5" customHeight="1" s="759">
      <c r="A100" s="643" t="inlineStr">
        <is>
          <t>2512DB손보</t>
        </is>
      </c>
      <c r="B100" s="643" t="n">
        <v>2512</v>
      </c>
      <c r="C100" s="643" t="inlineStr">
        <is>
          <t>DB손보</t>
        </is>
      </c>
      <c r="D100" s="697" t="n">
        <v>59408828</v>
      </c>
      <c r="E100" s="697" t="n">
        <v>17722466</v>
      </c>
      <c r="F100" s="697" t="n">
        <v>20121438</v>
      </c>
      <c r="G100" s="697" t="n">
        <v>15763373</v>
      </c>
      <c r="H100" s="697" t="n">
        <v>1087038</v>
      </c>
      <c r="I100" s="786">
        <f>E100/D100</f>
        <v/>
      </c>
      <c r="J100" s="786">
        <f>F100/D100</f>
        <v/>
      </c>
      <c r="K100" s="786">
        <f>G100/D100</f>
        <v/>
      </c>
      <c r="L100" s="697" t="n">
        <v>49553927</v>
      </c>
      <c r="M100" s="697" t="n">
        <v>31580104</v>
      </c>
      <c r="N100" s="697">
        <f>O100-P100</f>
        <v/>
      </c>
      <c r="O100" s="697" t="n">
        <v>9854901</v>
      </c>
      <c r="P100" s="697" t="n">
        <v>865006</v>
      </c>
      <c r="Q100" s="697" t="n">
        <v>-2229300</v>
      </c>
      <c r="R100" s="697" t="n">
        <v>11201139</v>
      </c>
      <c r="S100" s="697" t="n">
        <v>8415999</v>
      </c>
      <c r="T100" s="697" t="n">
        <v>8415999</v>
      </c>
      <c r="U100" s="697" t="n">
        <v>59408828</v>
      </c>
      <c r="V100" s="1195" t="n">
        <v>56076104.736</v>
      </c>
      <c r="W100" s="1202" t="n">
        <v>0.9623</v>
      </c>
      <c r="X100" s="697">
        <f>Q100</f>
        <v/>
      </c>
      <c r="Y100" s="1205" t="n">
        <v>-2507652</v>
      </c>
      <c r="Z100" s="1205" t="n">
        <v>765024</v>
      </c>
      <c r="AA100" s="1205" t="n">
        <v>-1403</v>
      </c>
      <c r="AB100" s="1205" t="n">
        <v>-694208</v>
      </c>
      <c r="AC100" s="1205" t="n">
        <v>279287</v>
      </c>
      <c r="AD100" s="1205" t="n">
        <v>-68332</v>
      </c>
      <c r="AE100" s="697">
        <f>X100-(Y100+Z100+AA100+AB100+AC100+AD100)</f>
        <v/>
      </c>
      <c r="AF100" s="697" t="n">
        <v>1035950</v>
      </c>
      <c r="AG100" s="697" t="n">
        <v>16048394</v>
      </c>
      <c r="AH100" s="697" t="n">
        <v>15012444</v>
      </c>
      <c r="AI100" s="697" t="n">
        <v>1051830</v>
      </c>
      <c r="AJ100" s="697" t="n">
        <v>-655903</v>
      </c>
      <c r="AL100" s="697">
        <f>AI100-AJ100-AK100+AM100-AN100</f>
        <v/>
      </c>
      <c r="AM100" s="697" t="n">
        <v>35572</v>
      </c>
      <c r="AN100" s="1195" t="n">
        <v>593064</v>
      </c>
      <c r="AO100" s="697" t="n">
        <v>2087780</v>
      </c>
      <c r="AP100" s="697" t="n">
        <v>20174</v>
      </c>
      <c r="AQ100" s="697" t="n">
        <v>2107954</v>
      </c>
      <c r="AR100" s="697" t="n">
        <v>1534880</v>
      </c>
      <c r="AS100" s="966">
        <f>AO100+AP100-AQ100</f>
        <v/>
      </c>
      <c r="AT100" s="966">
        <f>AJ100+AK100+AL100-AM100+AN100-AI100</f>
        <v/>
      </c>
      <c r="AU100" s="966">
        <f>AF100+AI100-AO100</f>
        <v/>
      </c>
      <c r="AV100" s="966">
        <f>AF100</f>
        <v/>
      </c>
      <c r="AW100" s="966">
        <f>AI100</f>
        <v/>
      </c>
      <c r="AX100" s="966">
        <f>AP100</f>
        <v/>
      </c>
      <c r="AY100" s="966">
        <f>AV100+AW100+AX100</f>
        <v/>
      </c>
      <c r="BC100" s="697" t="n">
        <v>-1609455</v>
      </c>
      <c r="BD100" s="697" t="n">
        <v>-389340</v>
      </c>
      <c r="BF100" s="697" t="n">
        <v>590729</v>
      </c>
      <c r="BG100" s="1205" t="n"/>
      <c r="BH100" s="1195" t="n">
        <v>-2016</v>
      </c>
      <c r="BI100" s="697" t="n">
        <v>-923</v>
      </c>
      <c r="BJ100" s="697" t="n">
        <v>-8397</v>
      </c>
      <c r="BK100" s="697">
        <f>Q100</f>
        <v/>
      </c>
      <c r="BL100" s="966" t="n"/>
      <c r="BM100" s="697" t="n">
        <v>10104633</v>
      </c>
      <c r="BN100" s="697" t="n">
        <v>-408296</v>
      </c>
      <c r="BO100" s="697" t="n">
        <v>-20075</v>
      </c>
      <c r="BP100" s="697">
        <f>AR100</f>
        <v/>
      </c>
      <c r="BQ100" s="697" t="n">
        <v>642</v>
      </c>
      <c r="BR100" s="697" t="n">
        <v>-10645</v>
      </c>
      <c r="BS100" s="697">
        <f>R100</f>
        <v/>
      </c>
      <c r="BT100" s="966" t="n">
        <v>0</v>
      </c>
      <c r="BU100" s="697" t="n">
        <v>12095809</v>
      </c>
      <c r="BV100" s="697" t="n">
        <v>1836753</v>
      </c>
      <c r="BW100" s="697" t="n">
        <v>12205343</v>
      </c>
      <c r="BX100" s="697" t="n">
        <v>2932693</v>
      </c>
      <c r="BY100" s="697" t="n">
        <v>1285078</v>
      </c>
      <c r="BZ100" s="697" t="n">
        <v>-2117470</v>
      </c>
      <c r="CA100" s="1205" t="n"/>
      <c r="CB100" s="1205" t="n"/>
      <c r="CE100" s="697" t="n">
        <v>795182</v>
      </c>
      <c r="CF100" s="697" t="n">
        <v>1251541</v>
      </c>
      <c r="CG100" s="697" t="n">
        <v>971127</v>
      </c>
      <c r="CH100" s="697" t="n">
        <v>1887478</v>
      </c>
      <c r="CI100" s="697" t="n">
        <v>7300017</v>
      </c>
      <c r="CJ100" s="697">
        <f>BW100</f>
        <v/>
      </c>
      <c r="CK100" s="697">
        <f>CJ100-SUM(CE100:CI100)</f>
        <v/>
      </c>
      <c r="CL100" s="697" t="n">
        <v>0</v>
      </c>
      <c r="CN100" s="786" t="n">
        <v>2.178</v>
      </c>
      <c r="CO100" s="697" t="n">
        <v>21555174</v>
      </c>
      <c r="CP100" s="697" t="n">
        <v>9895449</v>
      </c>
      <c r="CQ100" s="1200" t="n">
        <v>2.182</v>
      </c>
      <c r="CR100" s="966" t="n">
        <v>21552235</v>
      </c>
      <c r="CS100" s="1192" t="n">
        <v>9876353</v>
      </c>
      <c r="CU100" s="697" t="n">
        <v>4541287.14</v>
      </c>
      <c r="CW100" s="103" t="n">
        <v>0.919</v>
      </c>
      <c r="CX100" s="103" t="n">
        <v>0.956</v>
      </c>
      <c r="CY100" s="103">
        <f>CW100-CX100</f>
        <v/>
      </c>
      <c r="CZ100" s="786">
        <f>CX100/CW100</f>
        <v/>
      </c>
      <c r="DG100" s="1205" t="n"/>
      <c r="DH100" s="1205" t="n"/>
      <c r="DK100" s="1205" t="n"/>
      <c r="EP100" s="697" t="n">
        <v>442871</v>
      </c>
      <c r="EQ100" s="697" t="n">
        <v>-688879</v>
      </c>
      <c r="ER100" s="697" t="n">
        <v>1119294</v>
      </c>
      <c r="ES100" s="697" t="n">
        <v>-20214</v>
      </c>
      <c r="ET100" s="697" t="n">
        <v>1231698</v>
      </c>
      <c r="EW100" s="697" t="n">
        <v>-442871</v>
      </c>
      <c r="EX100" s="697" t="n">
        <v>688879</v>
      </c>
      <c r="EY100" s="697" t="n">
        <v>-1119294</v>
      </c>
      <c r="EZ100" s="697" t="n">
        <v>20214</v>
      </c>
      <c r="FA100" s="697" t="n">
        <v>-1231698</v>
      </c>
      <c r="FB100" s="697" t="n">
        <v>-32700</v>
      </c>
      <c r="FC100" s="767" t="n">
        <v>0</v>
      </c>
    </row>
  </sheetData>
  <mergeCells count="11">
    <mergeCell ref="CN3:CP3"/>
    <mergeCell ref="BC3:BK3"/>
    <mergeCell ref="CQ3:CS3"/>
    <mergeCell ref="CW3:CY3"/>
    <mergeCell ref="D3:T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59" min="2" max="2"/>
    <col width="17.875" customWidth="1" style="759" min="3" max="3"/>
    <col width="9.375" customWidth="1" style="759" min="4" max="15"/>
    <col width="13.125" bestFit="1" customWidth="1" style="759" min="21" max="21"/>
    <col width="11.75" bestFit="1" customWidth="1" style="759" min="22" max="24"/>
    <col width="10.125" bestFit="1" customWidth="1" style="759" min="25" max="27"/>
    <col width="10.375" bestFit="1" customWidth="1" style="759" min="28" max="28"/>
    <col width="10.125" bestFit="1" customWidth="1" style="759" min="29" max="29"/>
    <col width="10.375" bestFit="1" customWidth="1" style="759" min="30" max="30"/>
    <col width="10.125" bestFit="1" customWidth="1" style="759" min="31" max="31"/>
    <col width="10.375" bestFit="1" customWidth="1" style="759" min="32" max="32"/>
  </cols>
  <sheetData>
    <row r="3" ht="17.25" customHeight="1" s="759" thickBot="1"/>
    <row r="4">
      <c r="B4" s="756" t="inlineStr">
        <is>
          <t>구분</t>
        </is>
      </c>
      <c r="C4" s="700" t="n"/>
      <c r="D4" s="746" t="inlineStr">
        <is>
          <t>당사</t>
        </is>
      </c>
      <c r="E4" s="751" t="inlineStr">
        <is>
          <t>생보사</t>
        </is>
      </c>
      <c r="F4" s="709" t="n"/>
      <c r="G4" s="709" t="n"/>
      <c r="H4" s="709" t="n"/>
      <c r="I4" s="709" t="n"/>
      <c r="J4" s="724" t="n"/>
      <c r="K4" s="743" t="inlineStr">
        <is>
          <t>손보사</t>
        </is>
      </c>
      <c r="L4" s="709" t="n"/>
      <c r="M4" s="709" t="n"/>
      <c r="N4" s="709" t="n"/>
      <c r="O4" s="709" t="n"/>
      <c r="S4" s="756" t="inlineStr">
        <is>
          <t>구분</t>
        </is>
      </c>
      <c r="T4" s="700" t="n"/>
      <c r="U4" s="746" t="inlineStr">
        <is>
          <t>당사</t>
        </is>
      </c>
      <c r="V4" s="751" t="inlineStr">
        <is>
          <t>생보사</t>
        </is>
      </c>
      <c r="W4" s="709" t="n"/>
      <c r="X4" s="709" t="n"/>
      <c r="Y4" s="709" t="n"/>
      <c r="Z4" s="709" t="n"/>
      <c r="AA4" s="724" t="n"/>
      <c r="AB4" s="743" t="inlineStr">
        <is>
          <t>손보사</t>
        </is>
      </c>
      <c r="AC4" s="709" t="n"/>
      <c r="AD4" s="709" t="n"/>
      <c r="AE4" s="709" t="n"/>
      <c r="AF4" s="709" t="n"/>
    </row>
    <row r="5" ht="17.25" customHeight="1" s="759" thickBot="1">
      <c r="B5" s="728" t="n"/>
      <c r="C5" s="753" t="n"/>
      <c r="D5" s="747" t="n"/>
      <c r="E5" s="34" t="inlineStr">
        <is>
          <t>삼성</t>
        </is>
      </c>
      <c r="F5" s="34" t="inlineStr">
        <is>
          <t>교보</t>
        </is>
      </c>
      <c r="G5" s="34" t="inlineStr">
        <is>
          <t>한화</t>
        </is>
      </c>
      <c r="H5" s="34" t="inlineStr">
        <is>
          <t>신한</t>
        </is>
      </c>
      <c r="I5" s="34" t="inlineStr">
        <is>
          <t>동양</t>
        </is>
      </c>
      <c r="J5" s="217" t="inlineStr">
        <is>
          <t>KB</t>
        </is>
      </c>
      <c r="K5" s="34" t="inlineStr">
        <is>
          <t>삼성</t>
        </is>
      </c>
      <c r="L5" s="34" t="inlineStr">
        <is>
          <t>현대</t>
        </is>
      </c>
      <c r="M5" s="34" t="inlineStr">
        <is>
          <t>메리츠</t>
        </is>
      </c>
      <c r="N5" s="34" t="inlineStr">
        <is>
          <t>KB</t>
        </is>
      </c>
      <c r="O5" s="216" t="inlineStr">
        <is>
          <t>DB</t>
        </is>
      </c>
      <c r="S5" s="728" t="n"/>
      <c r="T5" s="753" t="n"/>
      <c r="U5" s="747" t="n"/>
      <c r="V5" s="34" t="inlineStr">
        <is>
          <t>삼성</t>
        </is>
      </c>
      <c r="W5" s="34" t="inlineStr">
        <is>
          <t>교보</t>
        </is>
      </c>
      <c r="X5" s="34" t="inlineStr">
        <is>
          <t>한화</t>
        </is>
      </c>
      <c r="Y5" s="34" t="inlineStr">
        <is>
          <t>신한</t>
        </is>
      </c>
      <c r="Z5" s="34" t="inlineStr">
        <is>
          <t>동양</t>
        </is>
      </c>
      <c r="AA5" s="217" t="inlineStr">
        <is>
          <t>KB</t>
        </is>
      </c>
      <c r="AB5" s="34" t="inlineStr">
        <is>
          <t>삼성</t>
        </is>
      </c>
      <c r="AC5" s="34" t="inlineStr">
        <is>
          <t>현대</t>
        </is>
      </c>
      <c r="AD5" s="34" t="inlineStr">
        <is>
          <t>메리츠</t>
        </is>
      </c>
      <c r="AE5" s="34" t="inlineStr">
        <is>
          <t>KB</t>
        </is>
      </c>
      <c r="AF5" s="216" t="inlineStr">
        <is>
          <t>DB</t>
        </is>
      </c>
    </row>
    <row r="6">
      <c r="B6" s="698" t="inlineStr">
        <is>
          <t>자기자본</t>
        </is>
      </c>
      <c r="C6" s="700" t="n"/>
      <c r="D6" s="147" t="n">
        <v>0</v>
      </c>
      <c r="E6" s="148" t="n">
        <v>0</v>
      </c>
      <c r="F6" s="148" t="n">
        <v>0</v>
      </c>
      <c r="G6" s="148" t="n">
        <v>0</v>
      </c>
      <c r="H6" s="148" t="n">
        <v>0</v>
      </c>
      <c r="I6" s="148" t="n">
        <v>0</v>
      </c>
      <c r="J6" s="147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9" t="n">
        <v>0</v>
      </c>
      <c r="S6" s="698" t="inlineStr">
        <is>
          <t>자기자본</t>
        </is>
      </c>
      <c r="T6" s="700" t="n"/>
      <c r="U6" s="1001" t="n">
        <v>0</v>
      </c>
      <c r="V6" s="1002" t="n">
        <v>0</v>
      </c>
      <c r="W6" s="1002" t="n">
        <v>0</v>
      </c>
      <c r="X6" s="1002" t="n">
        <v>0</v>
      </c>
      <c r="Y6" s="1002" t="n">
        <v>0</v>
      </c>
      <c r="Z6" s="1002" t="n">
        <v>0</v>
      </c>
      <c r="AA6" s="1001" t="n">
        <v>0</v>
      </c>
      <c r="AB6" s="1002" t="n">
        <v>0</v>
      </c>
      <c r="AC6" s="1002" t="n">
        <v>0</v>
      </c>
      <c r="AD6" s="1002" t="n">
        <v>0</v>
      </c>
      <c r="AE6" s="1002" t="n">
        <v>0</v>
      </c>
      <c r="AF6" s="1003" t="n">
        <v>0</v>
      </c>
    </row>
    <row r="7">
      <c r="B7" s="47" t="n"/>
      <c r="C7" s="150" t="inlineStr">
        <is>
          <t>2024년 대비(%)</t>
        </is>
      </c>
      <c r="D7" s="1004" t="e">
        <v>#DIV/0!</v>
      </c>
      <c r="E7" s="1005" t="e">
        <v>#DIV/0!</v>
      </c>
      <c r="F7" s="1005" t="e">
        <v>#DIV/0!</v>
      </c>
      <c r="G7" s="1005" t="e">
        <v>#DIV/0!</v>
      </c>
      <c r="H7" s="1005" t="e">
        <v>#DIV/0!</v>
      </c>
      <c r="I7" s="1005" t="e">
        <v>#DIV/0!</v>
      </c>
      <c r="J7" s="1004" t="e">
        <v>#DIV/0!</v>
      </c>
      <c r="K7" s="1005" t="e">
        <v>#DIV/0!</v>
      </c>
      <c r="L7" s="1005" t="e">
        <v>#DIV/0!</v>
      </c>
      <c r="M7" s="1005" t="e">
        <v>#DIV/0!</v>
      </c>
      <c r="N7" s="1005" t="e">
        <v>#DIV/0!</v>
      </c>
      <c r="O7" s="1006" t="e">
        <v>#DIV/0!</v>
      </c>
      <c r="S7" s="47" t="n"/>
      <c r="T7" s="150" t="inlineStr">
        <is>
          <t>2024년</t>
        </is>
      </c>
      <c r="U7" s="1007" t="n">
        <v>0</v>
      </c>
      <c r="V7" s="1008" t="n">
        <v>0</v>
      </c>
      <c r="W7" s="1008" t="n">
        <v>0</v>
      </c>
      <c r="X7" s="1008" t="n">
        <v>0</v>
      </c>
      <c r="Y7" s="1008" t="n">
        <v>0</v>
      </c>
      <c r="Z7" s="1008" t="n">
        <v>0</v>
      </c>
      <c r="AA7" s="1007" t="n">
        <v>0</v>
      </c>
      <c r="AB7" s="1008" t="n">
        <v>0</v>
      </c>
      <c r="AC7" s="1008" t="n">
        <v>0</v>
      </c>
      <c r="AD7" s="1008" t="n">
        <v>0</v>
      </c>
      <c r="AE7" s="1008" t="n">
        <v>0</v>
      </c>
      <c r="AF7" s="1009" t="n">
        <v>0</v>
      </c>
    </row>
    <row r="8" ht="17.25" customHeight="1" s="759" thickBot="1">
      <c r="B8" s="80" t="n"/>
      <c r="C8" s="152" t="inlineStr">
        <is>
          <t>2023년 대비(%)</t>
        </is>
      </c>
      <c r="D8" s="1010" t="e">
        <v>#DIV/0!</v>
      </c>
      <c r="E8" s="1011" t="e">
        <v>#DIV/0!</v>
      </c>
      <c r="F8" s="1011" t="e">
        <v>#DIV/0!</v>
      </c>
      <c r="G8" s="1011" t="e">
        <v>#DIV/0!</v>
      </c>
      <c r="H8" s="1011" t="e">
        <v>#DIV/0!</v>
      </c>
      <c r="I8" s="1011" t="e">
        <v>#DIV/0!</v>
      </c>
      <c r="J8" s="1010" t="e">
        <v>#DIV/0!</v>
      </c>
      <c r="K8" s="1011" t="e">
        <v>#DIV/0!</v>
      </c>
      <c r="L8" s="1011" t="e">
        <v>#DIV/0!</v>
      </c>
      <c r="M8" s="1011" t="e">
        <v>#DIV/0!</v>
      </c>
      <c r="N8" s="1011" t="e">
        <v>#DIV/0!</v>
      </c>
      <c r="O8" s="1012" t="e">
        <v>#DIV/0!</v>
      </c>
      <c r="S8" s="80" t="n"/>
      <c r="T8" s="152" t="inlineStr">
        <is>
          <t>2023년</t>
        </is>
      </c>
      <c r="U8" s="1013" t="n">
        <v>0</v>
      </c>
      <c r="V8" s="1014" t="n">
        <v>0</v>
      </c>
      <c r="W8" s="1014" t="n">
        <v>0</v>
      </c>
      <c r="X8" s="1014" t="n">
        <v>0</v>
      </c>
      <c r="Y8" s="1014" t="n">
        <v>0</v>
      </c>
      <c r="Z8" s="1014" t="n">
        <v>0</v>
      </c>
      <c r="AA8" s="1013" t="n">
        <v>0</v>
      </c>
      <c r="AB8" s="1014" t="n">
        <v>0</v>
      </c>
      <c r="AC8" s="1014" t="n">
        <v>0</v>
      </c>
      <c r="AD8" s="1014" t="n">
        <v>0</v>
      </c>
      <c r="AE8" s="1014" t="n">
        <v>0</v>
      </c>
      <c r="AF8" s="1015" t="n">
        <v>0</v>
      </c>
    </row>
    <row r="9" customFormat="1" s="159">
      <c r="B9" s="748" t="inlineStr">
        <is>
          <t>기타포괄손익</t>
        </is>
      </c>
      <c r="C9" s="700" t="n"/>
      <c r="D9" s="1016" t="n">
        <v>0</v>
      </c>
      <c r="E9" s="1017" t="n">
        <v>0</v>
      </c>
      <c r="F9" s="1017" t="n">
        <v>0</v>
      </c>
      <c r="G9" s="1017" t="n">
        <v>0</v>
      </c>
      <c r="H9" s="1017" t="n">
        <v>0</v>
      </c>
      <c r="I9" s="1017" t="n">
        <v>0</v>
      </c>
      <c r="J9" s="1016" t="n">
        <v>0</v>
      </c>
      <c r="K9" s="1017" t="n">
        <v>0</v>
      </c>
      <c r="L9" s="1017" t="n">
        <v>0</v>
      </c>
      <c r="M9" s="1017" t="n">
        <v>0</v>
      </c>
      <c r="N9" s="1017" t="n">
        <v>0</v>
      </c>
      <c r="O9" s="1018" t="n">
        <v>0</v>
      </c>
      <c r="S9" s="748" t="inlineStr">
        <is>
          <t>기타포괄손익</t>
        </is>
      </c>
      <c r="T9" s="700" t="n"/>
      <c r="U9" s="1019" t="n">
        <v>0</v>
      </c>
      <c r="V9" s="1020" t="n">
        <v>0</v>
      </c>
      <c r="W9" s="1020" t="n">
        <v>0</v>
      </c>
      <c r="X9" s="1020" t="n">
        <v>0</v>
      </c>
      <c r="Y9" s="1020" t="n">
        <v>0</v>
      </c>
      <c r="Z9" s="1020" t="n">
        <v>0</v>
      </c>
      <c r="AA9" s="1019" t="n">
        <v>0</v>
      </c>
      <c r="AB9" s="1020" t="n">
        <v>0</v>
      </c>
      <c r="AC9" s="1020" t="n">
        <v>0</v>
      </c>
      <c r="AD9" s="1020" t="n">
        <v>0</v>
      </c>
      <c r="AE9" s="1020" t="n">
        <v>0</v>
      </c>
      <c r="AF9" s="1021" t="n">
        <v>0</v>
      </c>
    </row>
    <row r="10" customFormat="1" s="159">
      <c r="B10" s="198" t="n"/>
      <c r="C10" s="199" t="inlineStr">
        <is>
          <t>전년대비 금액</t>
        </is>
      </c>
      <c r="D10" s="1016" t="n">
        <v>0</v>
      </c>
      <c r="E10" s="1017" t="n">
        <v>0</v>
      </c>
      <c r="F10" s="1017" t="n">
        <v>0</v>
      </c>
      <c r="G10" s="1017" t="n">
        <v>0</v>
      </c>
      <c r="H10" s="1017" t="n">
        <v>0</v>
      </c>
      <c r="I10" s="1017" t="n">
        <v>0</v>
      </c>
      <c r="J10" s="1016" t="n">
        <v>0</v>
      </c>
      <c r="K10" s="1017" t="n">
        <v>0</v>
      </c>
      <c r="L10" s="1017" t="n">
        <v>0</v>
      </c>
      <c r="M10" s="1017" t="n">
        <v>0</v>
      </c>
      <c r="N10" s="1017" t="n">
        <v>0</v>
      </c>
      <c r="O10" s="1018" t="n">
        <v>0</v>
      </c>
      <c r="S10" s="198" t="n"/>
      <c r="T10" s="199" t="n"/>
      <c r="U10" s="1019" t="n"/>
      <c r="V10" s="1020" t="n"/>
      <c r="W10" s="1020" t="n"/>
      <c r="X10" s="1020" t="n"/>
      <c r="Y10" s="1020" t="n"/>
      <c r="Z10" s="1020" t="n"/>
      <c r="AA10" s="1019" t="n"/>
      <c r="AB10" s="1020" t="n"/>
      <c r="AC10" s="1020" t="n"/>
      <c r="AD10" s="1020" t="n"/>
      <c r="AE10" s="1020" t="n"/>
      <c r="AF10" s="1021" t="n"/>
    </row>
    <row r="11" ht="27" customFormat="1" customHeight="1" s="159">
      <c r="B11" s="160" t="n"/>
      <c r="C11" s="161" t="inlineStr">
        <is>
          <t>2024년 증감액 / 2024년 자기자본</t>
        </is>
      </c>
      <c r="D11" s="1022" t="e">
        <v>#DIV/0!</v>
      </c>
      <c r="E11" s="1023" t="e">
        <v>#DIV/0!</v>
      </c>
      <c r="F11" s="1023" t="e">
        <v>#DIV/0!</v>
      </c>
      <c r="G11" s="1023" t="e">
        <v>#DIV/0!</v>
      </c>
      <c r="H11" s="1023" t="e">
        <v>#DIV/0!</v>
      </c>
      <c r="I11" s="1023" t="e">
        <v>#DIV/0!</v>
      </c>
      <c r="J11" s="1022" t="e">
        <v>#DIV/0!</v>
      </c>
      <c r="K11" s="1023" t="e">
        <v>#DIV/0!</v>
      </c>
      <c r="L11" s="1023" t="e">
        <v>#DIV/0!</v>
      </c>
      <c r="M11" s="1023" t="e">
        <v>#DIV/0!</v>
      </c>
      <c r="N11" s="1023" t="e">
        <v>#DIV/0!</v>
      </c>
      <c r="O11" s="1024" t="e">
        <v>#DIV/0!</v>
      </c>
      <c r="S11" s="160" t="n"/>
      <c r="T11" s="161" t="inlineStr">
        <is>
          <t>2024년</t>
        </is>
      </c>
      <c r="U11" s="1025" t="n">
        <v>0</v>
      </c>
      <c r="V11" s="1026" t="n">
        <v>0</v>
      </c>
      <c r="W11" s="1026" t="n">
        <v>0</v>
      </c>
      <c r="X11" s="1026" t="n">
        <v>0</v>
      </c>
      <c r="Y11" s="1026" t="n">
        <v>0</v>
      </c>
      <c r="Z11" s="1026" t="n">
        <v>0</v>
      </c>
      <c r="AA11" s="1025" t="n">
        <v>0</v>
      </c>
      <c r="AB11" s="1026" t="n">
        <v>0</v>
      </c>
      <c r="AC11" s="1026" t="n">
        <v>0</v>
      </c>
      <c r="AD11" s="1026" t="n">
        <v>0</v>
      </c>
      <c r="AE11" s="1026" t="n">
        <v>0</v>
      </c>
      <c r="AF11" s="1027" t="n">
        <v>0</v>
      </c>
    </row>
    <row r="12" ht="27.75" customFormat="1" customHeight="1" s="159" thickBot="1">
      <c r="B12" s="162" t="n"/>
      <c r="C12" s="163" t="inlineStr">
        <is>
          <t>23~25 증감액 / 2023년 자기자본</t>
        </is>
      </c>
      <c r="D12" s="1028" t="e">
        <v>#DIV/0!</v>
      </c>
      <c r="E12" s="1029" t="e">
        <v>#DIV/0!</v>
      </c>
      <c r="F12" s="1029" t="e">
        <v>#DIV/0!</v>
      </c>
      <c r="G12" s="1029" t="e">
        <v>#DIV/0!</v>
      </c>
      <c r="H12" s="1029" t="e">
        <v>#DIV/0!</v>
      </c>
      <c r="I12" s="1029" t="e">
        <v>#DIV/0!</v>
      </c>
      <c r="J12" s="1028" t="e">
        <v>#DIV/0!</v>
      </c>
      <c r="K12" s="1029" t="e">
        <v>#DIV/0!</v>
      </c>
      <c r="L12" s="1029" t="e">
        <v>#DIV/0!</v>
      </c>
      <c r="M12" s="1029" t="e">
        <v>#DIV/0!</v>
      </c>
      <c r="N12" s="1029" t="e">
        <v>#DIV/0!</v>
      </c>
      <c r="O12" s="1030" t="e">
        <v>#DIV/0!</v>
      </c>
      <c r="S12" s="162" t="n"/>
      <c r="T12" s="163" t="inlineStr">
        <is>
          <t>2023년</t>
        </is>
      </c>
      <c r="U12" s="1031" t="n">
        <v>0</v>
      </c>
      <c r="V12" s="1032" t="n">
        <v>0</v>
      </c>
      <c r="W12" s="1032" t="n">
        <v>0</v>
      </c>
      <c r="X12" s="1032" t="n">
        <v>0</v>
      </c>
      <c r="Y12" s="1032" t="n">
        <v>0</v>
      </c>
      <c r="Z12" s="1032" t="n">
        <v>0</v>
      </c>
      <c r="AA12" s="1031" t="n">
        <v>0</v>
      </c>
      <c r="AB12" s="1032" t="n">
        <v>0</v>
      </c>
      <c r="AC12" s="1032" t="n">
        <v>0</v>
      </c>
      <c r="AD12" s="1032" t="n">
        <v>0</v>
      </c>
      <c r="AE12" s="1032" t="n">
        <v>0</v>
      </c>
      <c r="AF12" s="1033" t="n">
        <v>0</v>
      </c>
    </row>
    <row r="13">
      <c r="B13" s="698" t="inlineStr">
        <is>
          <t xml:space="preserve">K-ICS비율 </t>
        </is>
      </c>
      <c r="C13" s="700" t="n"/>
      <c r="D13" s="1034" t="n">
        <v>0</v>
      </c>
      <c r="E13" s="1035" t="n">
        <v>0</v>
      </c>
      <c r="F13" s="1035" t="n">
        <v>0</v>
      </c>
      <c r="G13" s="1035" t="n">
        <v>0</v>
      </c>
      <c r="H13" s="1035" t="n">
        <v>0</v>
      </c>
      <c r="I13" s="1035" t="n">
        <v>0</v>
      </c>
      <c r="J13" s="1034" t="n">
        <v>0</v>
      </c>
      <c r="K13" s="1035" t="n">
        <v>0</v>
      </c>
      <c r="L13" s="1035" t="n">
        <v>0</v>
      </c>
      <c r="M13" s="1035" t="n">
        <v>0</v>
      </c>
      <c r="N13" s="1035" t="n">
        <v>0</v>
      </c>
      <c r="O13" s="1036" t="n">
        <v>0</v>
      </c>
      <c r="S13" s="698" t="inlineStr">
        <is>
          <t xml:space="preserve">K-ICS비율 </t>
        </is>
      </c>
      <c r="T13" s="700" t="n"/>
      <c r="U13" s="1037" t="n">
        <v>0</v>
      </c>
      <c r="V13" s="1038" t="n">
        <v>0</v>
      </c>
      <c r="W13" s="1038" t="n">
        <v>0</v>
      </c>
      <c r="X13" s="1038" t="n">
        <v>0</v>
      </c>
      <c r="Y13" s="1038" t="n">
        <v>0</v>
      </c>
      <c r="Z13" s="1038" t="n">
        <v>0</v>
      </c>
      <c r="AA13" s="1037" t="n">
        <v>0</v>
      </c>
      <c r="AB13" s="1038" t="n">
        <v>0</v>
      </c>
      <c r="AC13" s="1038" t="n">
        <v>0</v>
      </c>
      <c r="AD13" s="1038" t="n">
        <v>0</v>
      </c>
      <c r="AE13" s="1038" t="n">
        <v>0</v>
      </c>
      <c r="AF13" s="1039" t="n">
        <v>0</v>
      </c>
    </row>
    <row r="14" ht="17.25" customHeight="1" s="759" thickBot="1">
      <c r="B14" s="79" t="n"/>
      <c r="C14" s="153" t="inlineStr">
        <is>
          <t>전기대비</t>
        </is>
      </c>
      <c r="D14" s="1040" t="n">
        <v>0</v>
      </c>
      <c r="E14" s="1041" t="n">
        <v>0</v>
      </c>
      <c r="F14" s="1041" t="n">
        <v>0</v>
      </c>
      <c r="G14" s="1041" t="n">
        <v>0</v>
      </c>
      <c r="H14" s="1041" t="n">
        <v>0</v>
      </c>
      <c r="I14" s="1041" t="n">
        <v>0</v>
      </c>
      <c r="J14" s="1040" t="n">
        <v>0</v>
      </c>
      <c r="K14" s="1041" t="n">
        <v>0</v>
      </c>
      <c r="L14" s="1041" t="n">
        <v>0</v>
      </c>
      <c r="M14" s="1041" t="n">
        <v>0</v>
      </c>
      <c r="N14" s="1041" t="n">
        <v>0</v>
      </c>
      <c r="O14" s="1042" t="n">
        <v>0</v>
      </c>
      <c r="S14" s="79" t="n"/>
      <c r="T14" s="153" t="inlineStr">
        <is>
          <t>전기대비</t>
        </is>
      </c>
      <c r="U14" s="1043" t="n">
        <v>0</v>
      </c>
      <c r="V14" s="1044" t="n">
        <v>0</v>
      </c>
      <c r="W14" s="1044" t="n">
        <v>0</v>
      </c>
      <c r="X14" s="1044" t="n">
        <v>0</v>
      </c>
      <c r="Y14" s="1044" t="n">
        <v>0</v>
      </c>
      <c r="Z14" s="1044" t="n">
        <v>0</v>
      </c>
      <c r="AA14" s="1043" t="n">
        <v>0</v>
      </c>
      <c r="AB14" s="1044" t="n">
        <v>0</v>
      </c>
      <c r="AC14" s="1044" t="n">
        <v>0</v>
      </c>
      <c r="AD14" s="1044" t="n">
        <v>0</v>
      </c>
      <c r="AE14" s="1044" t="n">
        <v>0</v>
      </c>
      <c r="AF14" s="1045" t="n">
        <v>0</v>
      </c>
    </row>
    <row r="15">
      <c r="U15" s="849" t="n"/>
      <c r="V15" s="849" t="n"/>
      <c r="W15" s="849" t="n"/>
      <c r="X15" s="849" t="n"/>
      <c r="Y15" s="849" t="n"/>
      <c r="Z15" s="849" t="n"/>
      <c r="AA15" s="849" t="n"/>
      <c r="AB15" s="849" t="n"/>
      <c r="AC15" s="849" t="n"/>
      <c r="AD15" s="849" t="n"/>
      <c r="AE15" s="849" t="n"/>
      <c r="AF15" s="849" t="n"/>
    </row>
    <row r="21" ht="17.25" customHeight="1" s="759" thickBot="1"/>
    <row r="22">
      <c r="B22" s="748" t="inlineStr">
        <is>
          <t>기타포괄손익</t>
        </is>
      </c>
      <c r="C22" s="700" t="n"/>
      <c r="D22" s="154" t="n"/>
      <c r="E22" s="155" t="n"/>
      <c r="F22" s="156" t="n"/>
      <c r="G22" s="156" t="n"/>
      <c r="H22" s="156" t="n"/>
      <c r="I22" s="156" t="n"/>
      <c r="J22" s="157" t="n"/>
      <c r="K22" s="155" t="n"/>
      <c r="L22" s="156" t="n"/>
      <c r="M22" s="156" t="n"/>
      <c r="N22" s="156" t="n"/>
      <c r="O22" s="158" t="n"/>
      <c r="P22" s="159" t="n"/>
    </row>
    <row r="23">
      <c r="B23" s="160" t="n"/>
      <c r="C23" s="161" t="inlineStr">
        <is>
          <t>2024년 대비(%)</t>
        </is>
      </c>
      <c r="D23" s="1022" t="e">
        <v>#DIV/0!</v>
      </c>
      <c r="E23" s="1023" t="e">
        <v>#DIV/0!</v>
      </c>
      <c r="F23" s="1023" t="e">
        <v>#DIV/0!</v>
      </c>
      <c r="G23" s="1023" t="e">
        <v>#DIV/0!</v>
      </c>
      <c r="H23" s="1023" t="e">
        <v>#DIV/0!</v>
      </c>
      <c r="I23" s="1023" t="e">
        <v>#DIV/0!</v>
      </c>
      <c r="J23" s="1022" t="e">
        <v>#DIV/0!</v>
      </c>
      <c r="K23" s="1023" t="e">
        <v>#DIV/0!</v>
      </c>
      <c r="L23" s="1023" t="e">
        <v>#DIV/0!</v>
      </c>
      <c r="M23" s="1023" t="e">
        <v>#DIV/0!</v>
      </c>
      <c r="N23" s="1023" t="e">
        <v>#DIV/0!</v>
      </c>
      <c r="O23" s="1024" t="e">
        <v>#DIV/0!</v>
      </c>
      <c r="P23" s="159" t="n"/>
    </row>
    <row r="24" ht="17.25" customHeight="1" s="759" thickBot="1">
      <c r="B24" s="162" t="n"/>
      <c r="C24" s="163" t="inlineStr">
        <is>
          <t>2023년 대비(%)</t>
        </is>
      </c>
      <c r="D24" s="1028" t="e">
        <v>#DIV/0!</v>
      </c>
      <c r="E24" s="1029" t="e">
        <v>#DIV/0!</v>
      </c>
      <c r="F24" s="1029" t="e">
        <v>#DIV/0!</v>
      </c>
      <c r="G24" s="1029" t="e">
        <v>#DIV/0!</v>
      </c>
      <c r="H24" s="1029" t="e">
        <v>#DIV/0!</v>
      </c>
      <c r="I24" s="1029" t="e">
        <v>#DIV/0!</v>
      </c>
      <c r="J24" s="1028" t="e">
        <v>#DIV/0!</v>
      </c>
      <c r="K24" s="1029" t="e">
        <v>#DIV/0!</v>
      </c>
      <c r="L24" s="1029" t="e">
        <v>#DIV/0!</v>
      </c>
      <c r="M24" s="1029" t="e">
        <v>#DIV/0!</v>
      </c>
      <c r="N24" s="1029" t="e">
        <v>#DIV/0!</v>
      </c>
      <c r="O24" s="1030" t="e">
        <v>#DIV/0!</v>
      </c>
      <c r="P24" s="159" t="n"/>
    </row>
    <row r="29" ht="17.25" customHeight="1" s="759" thickBot="1"/>
    <row r="30">
      <c r="A30" s="166" t="inlineStr">
        <is>
          <t>구분</t>
        </is>
      </c>
      <c r="B30" s="166" t="n"/>
      <c r="C30" s="167" t="n"/>
      <c r="D30" s="746" t="inlineStr">
        <is>
          <t>당사</t>
        </is>
      </c>
      <c r="E30" s="751" t="inlineStr">
        <is>
          <t>생보사</t>
        </is>
      </c>
      <c r="F30" s="709" t="n"/>
      <c r="G30" s="709" t="n"/>
      <c r="H30" s="709" t="n"/>
      <c r="I30" s="709" t="n"/>
      <c r="J30" s="724" t="n"/>
      <c r="K30" s="743" t="inlineStr">
        <is>
          <t>생보사</t>
        </is>
      </c>
      <c r="L30" s="709" t="n"/>
      <c r="M30" s="709" t="n"/>
      <c r="N30" s="709" t="n"/>
      <c r="O30" s="709" t="n"/>
      <c r="R30" s="166" t="inlineStr">
        <is>
          <t>구분</t>
        </is>
      </c>
      <c r="S30" s="166" t="n"/>
      <c r="T30" s="167" t="n"/>
      <c r="U30" s="746" t="inlineStr">
        <is>
          <t>당사</t>
        </is>
      </c>
      <c r="V30" s="751" t="inlineStr">
        <is>
          <t>생보사</t>
        </is>
      </c>
      <c r="W30" s="709" t="n"/>
      <c r="X30" s="709" t="n"/>
      <c r="Y30" s="709" t="n"/>
      <c r="Z30" s="709" t="n"/>
      <c r="AA30" s="724" t="n"/>
      <c r="AB30" s="743" t="inlineStr">
        <is>
          <t>생보사</t>
        </is>
      </c>
      <c r="AC30" s="709" t="n"/>
      <c r="AD30" s="709" t="n"/>
      <c r="AE30" s="709" t="n"/>
      <c r="AF30" s="709" t="n"/>
    </row>
    <row r="31" ht="17.25" customHeight="1" s="759" thickBot="1">
      <c r="A31" s="168" t="n"/>
      <c r="B31" s="168" t="n"/>
      <c r="C31" s="169" t="n"/>
      <c r="D31" s="747" t="n"/>
      <c r="E31" s="34" t="inlineStr">
        <is>
          <t>삼성</t>
        </is>
      </c>
      <c r="F31" s="164" t="inlineStr">
        <is>
          <t>교보</t>
        </is>
      </c>
      <c r="G31" s="164" t="inlineStr">
        <is>
          <t>한화</t>
        </is>
      </c>
      <c r="H31" s="164" t="inlineStr">
        <is>
          <t>신한</t>
        </is>
      </c>
      <c r="I31" s="164" t="inlineStr">
        <is>
          <t>동양</t>
        </is>
      </c>
      <c r="J31" s="165" t="inlineStr">
        <is>
          <t>KB</t>
        </is>
      </c>
      <c r="K31" s="34" t="inlineStr">
        <is>
          <t>삼성</t>
        </is>
      </c>
      <c r="L31" s="34" t="inlineStr">
        <is>
          <t>현대</t>
        </is>
      </c>
      <c r="M31" s="34" t="inlineStr">
        <is>
          <t>메리츠</t>
        </is>
      </c>
      <c r="N31" s="34" t="inlineStr">
        <is>
          <t>KB</t>
        </is>
      </c>
      <c r="O31" s="216" t="inlineStr">
        <is>
          <t>DB</t>
        </is>
      </c>
      <c r="R31" s="168" t="n"/>
      <c r="S31" s="168" t="n"/>
      <c r="T31" s="169" t="n"/>
      <c r="U31" s="747" t="n"/>
      <c r="V31" s="34" t="inlineStr">
        <is>
          <t>삼성</t>
        </is>
      </c>
      <c r="W31" s="164" t="inlineStr">
        <is>
          <t>교보</t>
        </is>
      </c>
      <c r="X31" s="164" t="inlineStr">
        <is>
          <t>한화</t>
        </is>
      </c>
      <c r="Y31" s="164" t="inlineStr">
        <is>
          <t>신한</t>
        </is>
      </c>
      <c r="Z31" s="164" t="inlineStr">
        <is>
          <t>동양</t>
        </is>
      </c>
      <c r="AA31" s="165" t="inlineStr">
        <is>
          <t>KB</t>
        </is>
      </c>
      <c r="AB31" s="34" t="inlineStr">
        <is>
          <t>삼성</t>
        </is>
      </c>
      <c r="AC31" s="34" t="inlineStr">
        <is>
          <t>현대</t>
        </is>
      </c>
      <c r="AD31" s="34" t="inlineStr">
        <is>
          <t>메리츠</t>
        </is>
      </c>
      <c r="AE31" s="34" t="inlineStr">
        <is>
          <t>KB</t>
        </is>
      </c>
      <c r="AF31" s="216" t="inlineStr">
        <is>
          <t>DB</t>
        </is>
      </c>
    </row>
    <row r="32">
      <c r="A32" s="698" t="inlineStr">
        <is>
          <t>기타포괄손익</t>
        </is>
      </c>
      <c r="B32" s="699" t="n"/>
      <c r="C32" s="700" t="n"/>
      <c r="D32" s="1046" t="n">
        <v>0</v>
      </c>
      <c r="E32" s="1047" t="n">
        <v>0</v>
      </c>
      <c r="F32" s="1047" t="n">
        <v>0</v>
      </c>
      <c r="G32" s="1047" t="n">
        <v>0</v>
      </c>
      <c r="H32" s="1047" t="n">
        <v>0</v>
      </c>
      <c r="I32" s="1047" t="n">
        <v>0</v>
      </c>
      <c r="J32" s="1046" t="n">
        <v>0</v>
      </c>
      <c r="K32" s="1047" t="n">
        <v>0</v>
      </c>
      <c r="L32" s="1047" t="n">
        <v>0</v>
      </c>
      <c r="M32" s="1047" t="n">
        <v>0</v>
      </c>
      <c r="N32" s="1047" t="n">
        <v>0</v>
      </c>
      <c r="O32" s="1048" t="n">
        <v>0</v>
      </c>
      <c r="R32" s="698" t="inlineStr">
        <is>
          <t>기타포괄손익</t>
        </is>
      </c>
      <c r="S32" s="699" t="n"/>
      <c r="T32" s="700" t="n"/>
      <c r="U32" s="1001" t="n">
        <v>0</v>
      </c>
      <c r="V32" s="1002" t="n">
        <v>0</v>
      </c>
      <c r="W32" s="1002" t="n">
        <v>0</v>
      </c>
      <c r="X32" s="1002" t="n">
        <v>0</v>
      </c>
      <c r="Y32" s="1002" t="n">
        <v>0</v>
      </c>
      <c r="Z32" s="1002" t="n">
        <v>0</v>
      </c>
      <c r="AA32" s="1001" t="n">
        <v>0</v>
      </c>
      <c r="AB32" s="1002" t="n">
        <v>0</v>
      </c>
      <c r="AC32" s="1002" t="n">
        <v>0</v>
      </c>
      <c r="AD32" s="1002" t="n">
        <v>0</v>
      </c>
      <c r="AE32" s="1002" t="n">
        <v>0</v>
      </c>
      <c r="AF32" s="1003" t="n">
        <v>0</v>
      </c>
    </row>
    <row r="33">
      <c r="A33" s="47" t="n"/>
      <c r="B33" s="48" t="n"/>
      <c r="C33" s="150" t="inlineStr">
        <is>
          <t>2024년 대비(%)</t>
        </is>
      </c>
      <c r="D33" s="1049" t="e">
        <v>#DIV/0!</v>
      </c>
      <c r="E33" s="1050" t="e">
        <v>#DIV/0!</v>
      </c>
      <c r="F33" s="1050" t="e">
        <v>#DIV/0!</v>
      </c>
      <c r="G33" s="1050" t="e">
        <v>#DIV/0!</v>
      </c>
      <c r="H33" s="1050" t="e">
        <v>#DIV/0!</v>
      </c>
      <c r="I33" s="1050" t="e">
        <v>#DIV/0!</v>
      </c>
      <c r="J33" s="1049" t="e">
        <v>#DIV/0!</v>
      </c>
      <c r="K33" s="1050" t="e">
        <v>#DIV/0!</v>
      </c>
      <c r="L33" s="1050" t="e">
        <v>#DIV/0!</v>
      </c>
      <c r="M33" s="1050" t="e">
        <v>#DIV/0!</v>
      </c>
      <c r="N33" s="1050" t="e">
        <v>#DIV/0!</v>
      </c>
      <c r="O33" s="1051" t="e">
        <v>#DIV/0!</v>
      </c>
      <c r="P33" s="1052" t="n"/>
      <c r="R33" s="47" t="n"/>
      <c r="S33" s="48" t="n"/>
      <c r="T33" s="150" t="n">
        <v>2024</v>
      </c>
      <c r="U33" s="1007" t="n">
        <v>0</v>
      </c>
      <c r="V33" s="1008" t="n">
        <v>0</v>
      </c>
      <c r="W33" s="1008" t="n">
        <v>0</v>
      </c>
      <c r="X33" s="1008" t="n">
        <v>0</v>
      </c>
      <c r="Y33" s="1008" t="n">
        <v>0</v>
      </c>
      <c r="Z33" s="1008" t="n">
        <v>0</v>
      </c>
      <c r="AA33" s="1007" t="n">
        <v>0</v>
      </c>
      <c r="AB33" s="1008" t="n">
        <v>0</v>
      </c>
      <c r="AC33" s="1008" t="n">
        <v>0</v>
      </c>
      <c r="AD33" s="1008" t="n">
        <v>0</v>
      </c>
      <c r="AE33" s="1008" t="n">
        <v>0</v>
      </c>
      <c r="AF33" s="1009" t="n">
        <v>0</v>
      </c>
    </row>
    <row r="34" ht="17.25" customHeight="1" s="759" thickBot="1">
      <c r="A34" s="80" t="n"/>
      <c r="B34" s="151" t="n"/>
      <c r="C34" s="152" t="inlineStr">
        <is>
          <t>2023년 대비(%)</t>
        </is>
      </c>
      <c r="D34" s="1053" t="e">
        <v>#DIV/0!</v>
      </c>
      <c r="E34" s="1054" t="e">
        <v>#DIV/0!</v>
      </c>
      <c r="F34" s="1054" t="e">
        <v>#DIV/0!</v>
      </c>
      <c r="G34" s="1054" t="e">
        <v>#DIV/0!</v>
      </c>
      <c r="H34" s="1054" t="e">
        <v>#DIV/0!</v>
      </c>
      <c r="I34" s="1054" t="e">
        <v>#DIV/0!</v>
      </c>
      <c r="J34" s="1053" t="e">
        <v>#DIV/0!</v>
      </c>
      <c r="K34" s="1054" t="e">
        <v>#DIV/0!</v>
      </c>
      <c r="L34" s="1054" t="e">
        <v>#DIV/0!</v>
      </c>
      <c r="M34" s="1054" t="e">
        <v>#DIV/0!</v>
      </c>
      <c r="N34" s="1054" t="e">
        <v>#DIV/0!</v>
      </c>
      <c r="O34" s="1055" t="e">
        <v>#DIV/0!</v>
      </c>
      <c r="P34" s="1052" t="n"/>
      <c r="R34" s="80" t="n"/>
      <c r="S34" s="151" t="n"/>
      <c r="T34" s="152" t="n">
        <v>2023</v>
      </c>
      <c r="U34" s="1013" t="n">
        <v>0</v>
      </c>
      <c r="V34" s="1014" t="n">
        <v>0</v>
      </c>
      <c r="W34" s="1014" t="n">
        <v>0</v>
      </c>
      <c r="X34" s="1014" t="n">
        <v>0</v>
      </c>
      <c r="Y34" s="1014" t="n">
        <v>0</v>
      </c>
      <c r="Z34" s="1014" t="n">
        <v>0</v>
      </c>
      <c r="AA34" s="1013" t="n">
        <v>0</v>
      </c>
      <c r="AB34" s="1014" t="n">
        <v>0</v>
      </c>
      <c r="AC34" s="1014" t="n">
        <v>0</v>
      </c>
      <c r="AD34" s="1014" t="n">
        <v>0</v>
      </c>
      <c r="AE34" s="1014" t="n">
        <v>0</v>
      </c>
      <c r="AF34" s="1015" t="n">
        <v>0</v>
      </c>
    </row>
    <row r="35">
      <c r="A35" s="749" t="inlineStr">
        <is>
          <t>FVOCI평가손익</t>
        </is>
      </c>
      <c r="B35" s="699" t="n"/>
      <c r="C35" s="700" t="n"/>
      <c r="D35" s="1056" t="n">
        <v>0</v>
      </c>
      <c r="E35" s="1057" t="n">
        <v>0</v>
      </c>
      <c r="F35" s="1057" t="n">
        <v>0</v>
      </c>
      <c r="G35" s="1057" t="n">
        <v>0</v>
      </c>
      <c r="H35" s="1057" t="n">
        <v>0</v>
      </c>
      <c r="I35" s="1057" t="n">
        <v>0</v>
      </c>
      <c r="J35" s="1056" t="n">
        <v>0</v>
      </c>
      <c r="K35" s="1057" t="n">
        <v>0</v>
      </c>
      <c r="L35" s="1057" t="n">
        <v>0</v>
      </c>
      <c r="M35" s="1057" t="n">
        <v>0</v>
      </c>
      <c r="N35" s="1057" t="n">
        <v>0</v>
      </c>
      <c r="O35" s="1058" t="n">
        <v>0</v>
      </c>
      <c r="R35" s="749" t="inlineStr">
        <is>
          <t>FVOCI평가손익</t>
        </is>
      </c>
      <c r="S35" s="699" t="n"/>
      <c r="T35" s="700" t="n"/>
      <c r="U35" s="1059" t="n">
        <v>0</v>
      </c>
      <c r="V35" s="1060" t="n">
        <v>0</v>
      </c>
      <c r="W35" s="1060" t="n">
        <v>0</v>
      </c>
      <c r="X35" s="1060" t="n">
        <v>0</v>
      </c>
      <c r="Y35" s="1060" t="n">
        <v>0</v>
      </c>
      <c r="Z35" s="1060" t="n">
        <v>0</v>
      </c>
      <c r="AA35" s="1059" t="n">
        <v>0</v>
      </c>
      <c r="AB35" s="1060" t="n">
        <v>0</v>
      </c>
      <c r="AC35" s="1060" t="n">
        <v>0</v>
      </c>
      <c r="AD35" s="1060" t="n">
        <v>0</v>
      </c>
      <c r="AE35" s="1060" t="n">
        <v>0</v>
      </c>
      <c r="AF35" s="1061" t="n">
        <v>0</v>
      </c>
    </row>
    <row r="36">
      <c r="A36" s="41" t="n"/>
      <c r="B36" s="41" t="n"/>
      <c r="C36" s="150" t="inlineStr">
        <is>
          <t>운용자산 대비 2024년</t>
        </is>
      </c>
      <c r="D36" s="1062" t="e">
        <v>#DIV/0!</v>
      </c>
      <c r="E36" s="1063" t="e">
        <v>#DIV/0!</v>
      </c>
      <c r="F36" s="1063" t="e">
        <v>#DIV/0!</v>
      </c>
      <c r="G36" s="1063" t="e">
        <v>#DIV/0!</v>
      </c>
      <c r="H36" s="1063" t="e">
        <v>#DIV/0!</v>
      </c>
      <c r="I36" s="1063" t="e">
        <v>#DIV/0!</v>
      </c>
      <c r="J36" s="1062" t="e">
        <v>#DIV/0!</v>
      </c>
      <c r="K36" s="1063" t="e">
        <v>#DIV/0!</v>
      </c>
      <c r="L36" s="1063" t="e">
        <v>#DIV/0!</v>
      </c>
      <c r="M36" s="1063" t="e">
        <v>#DIV/0!</v>
      </c>
      <c r="N36" s="1063" t="e">
        <v>#DIV/0!</v>
      </c>
      <c r="O36" s="1064" t="e">
        <v>#DIV/0!</v>
      </c>
      <c r="P36" s="925" t="n"/>
      <c r="R36" s="41" t="n"/>
      <c r="S36" s="41" t="n"/>
      <c r="T36" s="150" t="n">
        <v>2024</v>
      </c>
      <c r="U36" s="1007" t="n">
        <v>0</v>
      </c>
      <c r="V36" s="1008" t="n">
        <v>0</v>
      </c>
      <c r="W36" s="1008" t="n">
        <v>0</v>
      </c>
      <c r="X36" s="1008" t="n">
        <v>0</v>
      </c>
      <c r="Y36" s="1008" t="n">
        <v>0</v>
      </c>
      <c r="Z36" s="1008" t="n">
        <v>0</v>
      </c>
      <c r="AA36" s="1007" t="n">
        <v>0</v>
      </c>
      <c r="AB36" s="1008" t="n">
        <v>0</v>
      </c>
      <c r="AC36" s="1008" t="n">
        <v>0</v>
      </c>
      <c r="AD36" s="1008" t="n">
        <v>0</v>
      </c>
      <c r="AE36" s="1008" t="n">
        <v>0</v>
      </c>
      <c r="AF36" s="1009" t="n">
        <v>0</v>
      </c>
    </row>
    <row r="37" ht="17.25" customHeight="1" s="759" thickBot="1">
      <c r="A37" s="80" t="n"/>
      <c r="B37" s="151" t="n"/>
      <c r="C37" s="152" t="inlineStr">
        <is>
          <t>운용자산 대비 2023년</t>
        </is>
      </c>
      <c r="D37" s="1065" t="e">
        <v>#DIV/0!</v>
      </c>
      <c r="E37" s="1066" t="e">
        <v>#DIV/0!</v>
      </c>
      <c r="F37" s="1066" t="e">
        <v>#DIV/0!</v>
      </c>
      <c r="G37" s="1066" t="e">
        <v>#DIV/0!</v>
      </c>
      <c r="H37" s="1066" t="e">
        <v>#DIV/0!</v>
      </c>
      <c r="I37" s="1066" t="e">
        <v>#DIV/0!</v>
      </c>
      <c r="J37" s="1065" t="e">
        <v>#DIV/0!</v>
      </c>
      <c r="K37" s="1066" t="e">
        <v>#DIV/0!</v>
      </c>
      <c r="L37" s="1066" t="e">
        <v>#DIV/0!</v>
      </c>
      <c r="M37" s="1066" t="e">
        <v>#DIV/0!</v>
      </c>
      <c r="N37" s="1066" t="e">
        <v>#DIV/0!</v>
      </c>
      <c r="O37" s="1067" t="e">
        <v>#DIV/0!</v>
      </c>
      <c r="P37" s="925" t="n"/>
      <c r="R37" s="80" t="n"/>
      <c r="S37" s="151" t="n"/>
      <c r="T37" s="152" t="n">
        <v>2023</v>
      </c>
      <c r="U37" s="1013" t="n">
        <v>0</v>
      </c>
      <c r="V37" s="1014" t="n">
        <v>0</v>
      </c>
      <c r="W37" s="1014" t="n">
        <v>0</v>
      </c>
      <c r="X37" s="1014" t="n">
        <v>0</v>
      </c>
      <c r="Y37" s="1014" t="n">
        <v>0</v>
      </c>
      <c r="Z37" s="1014" t="n">
        <v>0</v>
      </c>
      <c r="AA37" s="1013" t="n">
        <v>0</v>
      </c>
      <c r="AB37" s="1014" t="n">
        <v>0</v>
      </c>
      <c r="AC37" s="1014" t="n">
        <v>0</v>
      </c>
      <c r="AD37" s="1014" t="n">
        <v>0</v>
      </c>
      <c r="AE37" s="1014" t="n">
        <v>0</v>
      </c>
      <c r="AF37" s="1015" t="n">
        <v>0</v>
      </c>
    </row>
    <row r="38">
      <c r="A38" s="749" t="inlineStr">
        <is>
          <t>보험부채순금융손익</t>
        </is>
      </c>
      <c r="B38" s="699" t="n"/>
      <c r="C38" s="700" t="n"/>
      <c r="D38" s="1056" t="n">
        <v>0</v>
      </c>
      <c r="E38" s="1057" t="n">
        <v>0</v>
      </c>
      <c r="F38" s="1057" t="n">
        <v>0</v>
      </c>
      <c r="G38" s="1057" t="n">
        <v>0</v>
      </c>
      <c r="H38" s="1057" t="n">
        <v>0</v>
      </c>
      <c r="I38" s="1057" t="n">
        <v>0</v>
      </c>
      <c r="J38" s="1056" t="n">
        <v>0</v>
      </c>
      <c r="K38" s="1057" t="n">
        <v>0</v>
      </c>
      <c r="L38" s="1057" t="n">
        <v>0</v>
      </c>
      <c r="M38" s="1057" t="n">
        <v>0</v>
      </c>
      <c r="N38" s="1057" t="n">
        <v>0</v>
      </c>
      <c r="O38" s="1058" t="n">
        <v>0</v>
      </c>
      <c r="R38" s="749" t="inlineStr">
        <is>
          <t>보험부채순금융손익</t>
        </is>
      </c>
      <c r="S38" s="699" t="n"/>
      <c r="T38" s="700" t="n"/>
      <c r="U38" s="1059" t="n">
        <v>0</v>
      </c>
      <c r="V38" s="1060" t="n">
        <v>0</v>
      </c>
      <c r="W38" s="1060" t="n">
        <v>0</v>
      </c>
      <c r="X38" s="1060" t="n">
        <v>0</v>
      </c>
      <c r="Y38" s="1060" t="n">
        <v>0</v>
      </c>
      <c r="Z38" s="1060" t="n">
        <v>0</v>
      </c>
      <c r="AA38" s="1059" t="n">
        <v>0</v>
      </c>
      <c r="AB38" s="1060" t="n">
        <v>0</v>
      </c>
      <c r="AC38" s="1060" t="n">
        <v>0</v>
      </c>
      <c r="AD38" s="1060" t="n">
        <v>0</v>
      </c>
      <c r="AE38" s="1060" t="n">
        <v>0</v>
      </c>
      <c r="AF38" s="1061" t="n">
        <v>0</v>
      </c>
    </row>
    <row r="39">
      <c r="A39" s="47" t="n"/>
      <c r="B39" s="48" t="n"/>
      <c r="C39" s="150" t="inlineStr">
        <is>
          <t>부채 대비 2024년</t>
        </is>
      </c>
      <c r="D39" s="1062" t="e">
        <v>#DIV/0!</v>
      </c>
      <c r="E39" s="1063" t="e">
        <v>#DIV/0!</v>
      </c>
      <c r="F39" s="1063" t="e">
        <v>#DIV/0!</v>
      </c>
      <c r="G39" s="1063" t="e">
        <v>#DIV/0!</v>
      </c>
      <c r="H39" s="1063" t="e">
        <v>#DIV/0!</v>
      </c>
      <c r="I39" s="1063" t="e">
        <v>#DIV/0!</v>
      </c>
      <c r="J39" s="1062" t="e">
        <v>#DIV/0!</v>
      </c>
      <c r="K39" s="1063" t="e">
        <v>#DIV/0!</v>
      </c>
      <c r="L39" s="1063" t="e">
        <v>#DIV/0!</v>
      </c>
      <c r="M39" s="1063" t="e">
        <v>#DIV/0!</v>
      </c>
      <c r="N39" s="1063" t="e">
        <v>#DIV/0!</v>
      </c>
      <c r="O39" s="1064" t="e">
        <v>#DIV/0!</v>
      </c>
      <c r="R39" s="47" t="n"/>
      <c r="S39" s="48" t="n"/>
      <c r="T39" s="150" t="n">
        <v>2024</v>
      </c>
      <c r="U39" s="1007" t="n">
        <v>0</v>
      </c>
      <c r="V39" s="1008" t="n">
        <v>0</v>
      </c>
      <c r="W39" s="1008" t="n">
        <v>0</v>
      </c>
      <c r="X39" s="1008" t="n">
        <v>0</v>
      </c>
      <c r="Y39" s="1008" t="n">
        <v>0</v>
      </c>
      <c r="Z39" s="1008" t="n">
        <v>0</v>
      </c>
      <c r="AA39" s="1007" t="n">
        <v>0</v>
      </c>
      <c r="AB39" s="1008" t="n">
        <v>0</v>
      </c>
      <c r="AC39" s="1008" t="n">
        <v>0</v>
      </c>
      <c r="AD39" s="1008" t="n">
        <v>0</v>
      </c>
      <c r="AE39" s="1008" t="n">
        <v>0</v>
      </c>
      <c r="AF39" s="1009" t="n">
        <v>0</v>
      </c>
    </row>
    <row r="40" ht="17.25" customHeight="1" s="759" thickBot="1">
      <c r="A40" s="80" t="n"/>
      <c r="B40" s="151" t="n"/>
      <c r="C40" s="152" t="inlineStr">
        <is>
          <t>부채 대비 23년</t>
        </is>
      </c>
      <c r="D40" s="1065" t="e">
        <v>#DIV/0!</v>
      </c>
      <c r="E40" s="1066" t="e">
        <v>#DIV/0!</v>
      </c>
      <c r="F40" s="1066" t="e">
        <v>#DIV/0!</v>
      </c>
      <c r="G40" s="1066" t="e">
        <v>#DIV/0!</v>
      </c>
      <c r="H40" s="1066" t="e">
        <v>#DIV/0!</v>
      </c>
      <c r="I40" s="1066" t="e">
        <v>#DIV/0!</v>
      </c>
      <c r="J40" s="1065" t="e">
        <v>#DIV/0!</v>
      </c>
      <c r="K40" s="1066" t="e">
        <v>#DIV/0!</v>
      </c>
      <c r="L40" s="1066" t="e">
        <v>#DIV/0!</v>
      </c>
      <c r="M40" s="1066" t="e">
        <v>#DIV/0!</v>
      </c>
      <c r="N40" s="1066" t="e">
        <v>#DIV/0!</v>
      </c>
      <c r="O40" s="1067" t="e">
        <v>#DIV/0!</v>
      </c>
      <c r="R40" s="80" t="n"/>
      <c r="S40" s="151" t="n"/>
      <c r="T40" s="152" t="n">
        <v>2023</v>
      </c>
      <c r="U40" s="1013" t="n">
        <v>0</v>
      </c>
      <c r="V40" s="1014" t="n">
        <v>0</v>
      </c>
      <c r="W40" s="1014" t="n">
        <v>0</v>
      </c>
      <c r="X40" s="1014" t="n">
        <v>0</v>
      </c>
      <c r="Y40" s="1014" t="n">
        <v>0</v>
      </c>
      <c r="Z40" s="1014" t="n">
        <v>0</v>
      </c>
      <c r="AA40" s="1013" t="n">
        <v>0</v>
      </c>
      <c r="AB40" s="1014" t="n">
        <v>0</v>
      </c>
      <c r="AC40" s="1014" t="n">
        <v>0</v>
      </c>
      <c r="AD40" s="1014" t="n">
        <v>0</v>
      </c>
      <c r="AE40" s="1014" t="n">
        <v>0</v>
      </c>
      <c r="AF40" s="1015" t="n">
        <v>0</v>
      </c>
    </row>
    <row r="41">
      <c r="D41" s="849" t="n"/>
      <c r="E41" s="849" t="n"/>
      <c r="F41" s="849" t="n"/>
      <c r="G41" s="849" t="n"/>
      <c r="H41" s="849" t="n"/>
      <c r="I41" s="849" t="n"/>
      <c r="J41" s="849" t="n"/>
      <c r="K41" s="849" t="n"/>
      <c r="L41" s="849" t="n"/>
      <c r="M41" s="849" t="n"/>
      <c r="N41" s="849" t="n"/>
      <c r="O41" s="849" t="n"/>
      <c r="S41" s="697" t="inlineStr">
        <is>
          <t>*  운용자산</t>
        </is>
      </c>
      <c r="T41" s="172" t="n">
        <v>2024</v>
      </c>
      <c r="U41" s="849" t="n">
        <v>0</v>
      </c>
      <c r="V41" s="849" t="n">
        <v>0</v>
      </c>
      <c r="W41" s="849" t="n">
        <v>0</v>
      </c>
      <c r="X41" s="849" t="n">
        <v>0</v>
      </c>
      <c r="Y41" s="849" t="n">
        <v>0</v>
      </c>
      <c r="Z41" s="849" t="n">
        <v>0</v>
      </c>
      <c r="AA41" s="849" t="n">
        <v>0</v>
      </c>
      <c r="AB41" s="849" t="n">
        <v>0</v>
      </c>
      <c r="AC41" s="849" t="n">
        <v>0</v>
      </c>
      <c r="AD41" s="849" t="n">
        <v>0</v>
      </c>
      <c r="AE41" s="849" t="n">
        <v>0</v>
      </c>
      <c r="AF41" s="849" t="n">
        <v>0</v>
      </c>
    </row>
    <row r="42">
      <c r="D42" s="1056" t="n">
        <v>0</v>
      </c>
      <c r="E42" s="1057" t="n">
        <v>0</v>
      </c>
      <c r="F42" s="1057" t="n">
        <v>0</v>
      </c>
      <c r="G42" s="1057" t="n">
        <v>0</v>
      </c>
      <c r="H42" s="1057" t="n">
        <v>0</v>
      </c>
      <c r="I42" s="1057" t="n">
        <v>0</v>
      </c>
      <c r="J42" s="1056" t="n">
        <v>0</v>
      </c>
      <c r="K42" s="1057" t="n">
        <v>0</v>
      </c>
      <c r="L42" s="1057" t="n">
        <v>0</v>
      </c>
      <c r="M42" s="1057" t="n">
        <v>0</v>
      </c>
      <c r="N42" s="1057" t="n">
        <v>0</v>
      </c>
      <c r="O42" s="1058" t="n">
        <v>0</v>
      </c>
      <c r="T42" s="172" t="n">
        <v>2023</v>
      </c>
      <c r="U42" s="849" t="n">
        <v>0</v>
      </c>
      <c r="V42" s="849" t="n">
        <v>0</v>
      </c>
      <c r="W42" s="849" t="n">
        <v>0</v>
      </c>
      <c r="X42" s="849" t="n">
        <v>0</v>
      </c>
      <c r="Y42" s="849" t="n">
        <v>0</v>
      </c>
      <c r="Z42" s="849" t="n">
        <v>0</v>
      </c>
      <c r="AA42" s="849" t="n">
        <v>0</v>
      </c>
      <c r="AB42" s="849" t="n">
        <v>0</v>
      </c>
      <c r="AC42" s="849" t="n">
        <v>0</v>
      </c>
      <c r="AD42" s="849" t="n">
        <v>0</v>
      </c>
      <c r="AE42" s="849" t="n">
        <v>0</v>
      </c>
      <c r="AF42" s="849" t="n">
        <v>0</v>
      </c>
    </row>
    <row r="43">
      <c r="D43" s="1056" t="n">
        <v>0</v>
      </c>
      <c r="E43" s="1057" t="n">
        <v>0</v>
      </c>
      <c r="F43" s="1057" t="n">
        <v>0</v>
      </c>
      <c r="G43" s="1057" t="n">
        <v>0</v>
      </c>
      <c r="H43" s="1057" t="n">
        <v>0</v>
      </c>
      <c r="I43" s="1057" t="n">
        <v>0</v>
      </c>
      <c r="J43" s="1056" t="n">
        <v>0</v>
      </c>
      <c r="K43" s="1057" t="n">
        <v>0</v>
      </c>
      <c r="L43" s="1057" t="n">
        <v>0</v>
      </c>
      <c r="M43" s="1057" t="n">
        <v>0</v>
      </c>
      <c r="N43" s="1057" t="n">
        <v>0</v>
      </c>
      <c r="O43" s="1058" t="n">
        <v>0</v>
      </c>
      <c r="S43" s="697" t="inlineStr">
        <is>
          <t>* 보험부채</t>
        </is>
      </c>
      <c r="T43" s="172" t="n">
        <v>2024</v>
      </c>
      <c r="U43" s="849" t="n">
        <v>0</v>
      </c>
      <c r="V43" s="849" t="n">
        <v>0</v>
      </c>
      <c r="W43" s="849" t="n">
        <v>0</v>
      </c>
      <c r="X43" s="849" t="n">
        <v>0</v>
      </c>
      <c r="Y43" s="849" t="n">
        <v>0</v>
      </c>
      <c r="Z43" s="849" t="n">
        <v>0</v>
      </c>
      <c r="AA43" s="849" t="n">
        <v>0</v>
      </c>
      <c r="AB43" s="849" t="n">
        <v>0</v>
      </c>
      <c r="AC43" s="849" t="n">
        <v>0</v>
      </c>
      <c r="AD43" s="849" t="n">
        <v>0</v>
      </c>
      <c r="AE43" s="849" t="n">
        <v>0</v>
      </c>
      <c r="AF43" s="849" t="n">
        <v>0</v>
      </c>
    </row>
    <row r="44">
      <c r="D44" s="1056" t="n">
        <v>0</v>
      </c>
      <c r="E44" s="1057" t="n">
        <v>0</v>
      </c>
      <c r="F44" s="1057" t="n">
        <v>0</v>
      </c>
      <c r="G44" s="1057" t="n">
        <v>0</v>
      </c>
      <c r="H44" s="1057" t="n">
        <v>0</v>
      </c>
      <c r="I44" s="1057" t="n">
        <v>0</v>
      </c>
      <c r="J44" s="1056" t="n">
        <v>0</v>
      </c>
      <c r="K44" s="1057" t="n">
        <v>0</v>
      </c>
      <c r="L44" s="1057" t="n">
        <v>0</v>
      </c>
      <c r="M44" s="1057" t="n">
        <v>0</v>
      </c>
      <c r="N44" s="1057" t="n">
        <v>0</v>
      </c>
      <c r="O44" s="1058" t="n">
        <v>0</v>
      </c>
      <c r="T44" s="172" t="n">
        <v>2023</v>
      </c>
      <c r="U44" s="849" t="n">
        <v>0</v>
      </c>
      <c r="V44" s="849" t="n">
        <v>0</v>
      </c>
      <c r="W44" s="849" t="n">
        <v>0</v>
      </c>
      <c r="X44" s="849" t="n">
        <v>0</v>
      </c>
      <c r="Y44" s="849" t="n">
        <v>0</v>
      </c>
      <c r="Z44" s="849" t="n">
        <v>0</v>
      </c>
      <c r="AA44" s="849" t="n">
        <v>0</v>
      </c>
      <c r="AB44" s="849" t="n">
        <v>0</v>
      </c>
      <c r="AC44" s="849" t="n">
        <v>0</v>
      </c>
      <c r="AD44" s="849" t="n">
        <v>0</v>
      </c>
      <c r="AE44" s="849" t="n">
        <v>0</v>
      </c>
      <c r="AF44" s="849" t="n">
        <v>0</v>
      </c>
    </row>
    <row r="45">
      <c r="R45" s="697" t="inlineStr">
        <is>
          <t>* 증감</t>
        </is>
      </c>
      <c r="S45" s="697" t="inlineStr">
        <is>
          <t>2024년말 vfa</t>
        </is>
      </c>
      <c r="U45" s="868" t="n">
        <v>105276.23545504</v>
      </c>
    </row>
    <row r="46" ht="17.25" customHeight="1" s="759" thickBot="1">
      <c r="D46" s="869" t="n">
        <v>0</v>
      </c>
      <c r="S46" s="697" t="inlineStr">
        <is>
          <t>2023년말 vfa</t>
        </is>
      </c>
      <c r="U46" s="868" t="n">
        <v>106895.66969382</v>
      </c>
    </row>
    <row r="47">
      <c r="D47" s="869" t="n">
        <v>0</v>
      </c>
      <c r="R47" s="166" t="inlineStr">
        <is>
          <t>구분</t>
        </is>
      </c>
      <c r="S47" s="166" t="n"/>
      <c r="T47" s="167" t="n"/>
      <c r="U47" s="746" t="inlineStr">
        <is>
          <t>당사</t>
        </is>
      </c>
      <c r="V47" s="751" t="inlineStr">
        <is>
          <t>생보사</t>
        </is>
      </c>
      <c r="W47" s="709" t="n"/>
      <c r="X47" s="709" t="n"/>
      <c r="Y47" s="709" t="n"/>
      <c r="Z47" s="709" t="n"/>
      <c r="AA47" s="724" t="n"/>
      <c r="AB47" s="743" t="inlineStr">
        <is>
          <t>생보사</t>
        </is>
      </c>
      <c r="AC47" s="709" t="n"/>
      <c r="AD47" s="709" t="n"/>
      <c r="AE47" s="709" t="n"/>
      <c r="AF47" s="709" t="n"/>
    </row>
    <row r="48" ht="17.25" customHeight="1" s="759" thickBot="1">
      <c r="R48" s="168" t="n"/>
      <c r="S48" s="168" t="n"/>
      <c r="T48" s="169" t="n"/>
      <c r="U48" s="747" t="n"/>
      <c r="V48" s="34" t="inlineStr">
        <is>
          <t>삼성</t>
        </is>
      </c>
      <c r="W48" s="164" t="inlineStr">
        <is>
          <t>교보</t>
        </is>
      </c>
      <c r="X48" s="164" t="inlineStr">
        <is>
          <t>한화</t>
        </is>
      </c>
      <c r="Y48" s="164" t="inlineStr">
        <is>
          <t>신한</t>
        </is>
      </c>
      <c r="Z48" s="164" t="inlineStr">
        <is>
          <t>동양</t>
        </is>
      </c>
      <c r="AA48" s="165" t="inlineStr">
        <is>
          <t>KB</t>
        </is>
      </c>
      <c r="AB48" s="34" t="inlineStr">
        <is>
          <t>삼성</t>
        </is>
      </c>
      <c r="AC48" s="34" t="inlineStr">
        <is>
          <t>현대</t>
        </is>
      </c>
      <c r="AD48" s="34" t="inlineStr">
        <is>
          <t>메리츠</t>
        </is>
      </c>
      <c r="AE48" s="34" t="inlineStr">
        <is>
          <t>KB</t>
        </is>
      </c>
      <c r="AF48" s="216" t="inlineStr">
        <is>
          <t>DB</t>
        </is>
      </c>
    </row>
    <row r="49">
      <c r="P49" s="643" t="n"/>
      <c r="Q49" s="643" t="n"/>
      <c r="R49" s="698" t="inlineStr">
        <is>
          <t>기타포괄손익</t>
        </is>
      </c>
      <c r="S49" s="699" t="n"/>
      <c r="T49" s="700" t="n"/>
      <c r="U49" s="1001" t="n"/>
      <c r="V49" s="1002" t="n"/>
      <c r="W49" s="1002" t="n"/>
      <c r="X49" s="1002" t="n"/>
      <c r="Y49" s="1002" t="n"/>
      <c r="Z49" s="1002" t="n"/>
      <c r="AA49" s="1001" t="n"/>
      <c r="AB49" s="1002" t="n"/>
      <c r="AC49" s="1002" t="n"/>
      <c r="AD49" s="1002" t="n"/>
      <c r="AE49" s="1002" t="n"/>
      <c r="AF49" s="1003" t="n"/>
    </row>
    <row r="50">
      <c r="P50" s="643" t="n"/>
      <c r="Q50" s="643" t="n"/>
      <c r="R50" s="47" t="n"/>
      <c r="S50" s="170" t="inlineStr">
        <is>
          <t>변동분</t>
        </is>
      </c>
      <c r="T50" s="150" t="n">
        <v>2025</v>
      </c>
      <c r="U50" s="1007" t="n">
        <v>0</v>
      </c>
      <c r="V50" s="1008" t="n">
        <v>0</v>
      </c>
      <c r="W50" s="1008" t="n">
        <v>0</v>
      </c>
      <c r="X50" s="1008" t="n">
        <v>0</v>
      </c>
      <c r="Y50" s="1008" t="n">
        <v>0</v>
      </c>
      <c r="Z50" s="1008" t="n">
        <v>0</v>
      </c>
      <c r="AA50" s="1007" t="n">
        <v>0</v>
      </c>
      <c r="AB50" s="1008" t="n">
        <v>0</v>
      </c>
      <c r="AC50" s="1008" t="n">
        <v>0</v>
      </c>
      <c r="AD50" s="1008" t="n">
        <v>0</v>
      </c>
      <c r="AE50" s="1008" t="n">
        <v>0</v>
      </c>
      <c r="AF50" s="1009" t="n">
        <v>0</v>
      </c>
    </row>
    <row r="51" ht="17.25" customHeight="1" s="759" thickBot="1">
      <c r="P51" s="643" t="n"/>
      <c r="Q51" s="643" t="n"/>
      <c r="R51" s="80" t="n"/>
      <c r="S51" s="171" t="n"/>
      <c r="T51" s="152" t="inlineStr">
        <is>
          <t>24~25</t>
        </is>
      </c>
      <c r="U51" s="1013" t="n">
        <v>0</v>
      </c>
      <c r="V51" s="1014" t="n">
        <v>0</v>
      </c>
      <c r="W51" s="1014" t="n">
        <v>0</v>
      </c>
      <c r="X51" s="1014" t="n">
        <v>0</v>
      </c>
      <c r="Y51" s="1014" t="n">
        <v>0</v>
      </c>
      <c r="Z51" s="1014" t="n">
        <v>0</v>
      </c>
      <c r="AA51" s="1013" t="n">
        <v>0</v>
      </c>
      <c r="AB51" s="1014" t="n">
        <v>0</v>
      </c>
      <c r="AC51" s="1014" t="n">
        <v>0</v>
      </c>
      <c r="AD51" s="1014" t="n">
        <v>0</v>
      </c>
      <c r="AE51" s="1014" t="n">
        <v>0</v>
      </c>
      <c r="AF51" s="1015" t="n">
        <v>0</v>
      </c>
    </row>
    <row r="52">
      <c r="P52" s="643" t="n"/>
      <c r="Q52" s="643" t="n"/>
      <c r="R52" s="749" t="inlineStr">
        <is>
          <t>FVOCI평가손익</t>
        </is>
      </c>
      <c r="S52" s="699" t="n"/>
      <c r="T52" s="700" t="n"/>
      <c r="U52" s="1059" t="n"/>
      <c r="V52" s="1060" t="n"/>
      <c r="W52" s="1060" t="n"/>
      <c r="X52" s="1060" t="n"/>
      <c r="Y52" s="1060" t="n"/>
      <c r="Z52" s="1060" t="n"/>
      <c r="AA52" s="1059" t="n"/>
      <c r="AB52" s="1060" t="n"/>
      <c r="AC52" s="1060" t="n"/>
      <c r="AD52" s="1060" t="n"/>
      <c r="AE52" s="1060" t="n"/>
      <c r="AF52" s="1061" t="n"/>
    </row>
    <row r="53">
      <c r="P53" s="643" t="n"/>
      <c r="Q53" s="643" t="n"/>
      <c r="R53" s="170" t="n"/>
      <c r="S53" s="170" t="inlineStr">
        <is>
          <t>변동분</t>
        </is>
      </c>
      <c r="T53" s="150" t="n">
        <v>2025</v>
      </c>
      <c r="U53" s="1007" t="n">
        <v>0</v>
      </c>
      <c r="V53" s="1008" t="n">
        <v>0</v>
      </c>
      <c r="W53" s="1008" t="n">
        <v>0</v>
      </c>
      <c r="X53" s="1008" t="n">
        <v>0</v>
      </c>
      <c r="Y53" s="1008" t="n">
        <v>0</v>
      </c>
      <c r="Z53" s="1008" t="n">
        <v>0</v>
      </c>
      <c r="AA53" s="1007" t="n">
        <v>0</v>
      </c>
      <c r="AB53" s="1008" t="n">
        <v>0</v>
      </c>
      <c r="AC53" s="1008" t="n">
        <v>0</v>
      </c>
      <c r="AD53" s="1008" t="n">
        <v>0</v>
      </c>
      <c r="AE53" s="1008" t="n">
        <v>0</v>
      </c>
      <c r="AF53" s="1009" t="n">
        <v>0</v>
      </c>
    </row>
    <row r="54" ht="17.25" customHeight="1" s="759" thickBot="1">
      <c r="P54" s="643" t="n"/>
      <c r="Q54" s="643" t="n"/>
      <c r="R54" s="80" t="n"/>
      <c r="S54" s="171" t="n"/>
      <c r="T54" s="152" t="inlineStr">
        <is>
          <t>24~25</t>
        </is>
      </c>
      <c r="U54" s="1013" t="n">
        <v>0</v>
      </c>
      <c r="V54" s="1014" t="n">
        <v>0</v>
      </c>
      <c r="W54" s="1014" t="n">
        <v>0</v>
      </c>
      <c r="X54" s="1014" t="n">
        <v>0</v>
      </c>
      <c r="Y54" s="1014" t="n">
        <v>0</v>
      </c>
      <c r="Z54" s="1014" t="n">
        <v>0</v>
      </c>
      <c r="AA54" s="1013" t="n">
        <v>0</v>
      </c>
      <c r="AB54" s="1014" t="n">
        <v>0</v>
      </c>
      <c r="AC54" s="1014" t="n">
        <v>0</v>
      </c>
      <c r="AD54" s="1014" t="n">
        <v>0</v>
      </c>
      <c r="AE54" s="1014" t="n">
        <v>0</v>
      </c>
      <c r="AF54" s="1015" t="n">
        <v>0</v>
      </c>
    </row>
    <row r="55">
      <c r="P55" s="643" t="n"/>
      <c r="Q55" s="643" t="n"/>
      <c r="R55" s="749" t="inlineStr">
        <is>
          <t>보험부채순금융손익</t>
        </is>
      </c>
      <c r="S55" s="699" t="n"/>
      <c r="T55" s="700" t="n"/>
      <c r="U55" s="1059" t="n"/>
      <c r="V55" s="1060" t="n"/>
      <c r="W55" s="1060" t="n"/>
      <c r="X55" s="1060" t="n"/>
      <c r="Y55" s="1060" t="n"/>
      <c r="Z55" s="1060" t="n"/>
      <c r="AA55" s="1059" t="n"/>
      <c r="AB55" s="1060" t="n"/>
      <c r="AC55" s="1060" t="n"/>
      <c r="AD55" s="1060" t="n"/>
      <c r="AE55" s="1060" t="n"/>
      <c r="AF55" s="1061" t="n"/>
    </row>
    <row r="56">
      <c r="P56" s="643" t="n"/>
      <c r="Q56" s="643" t="n"/>
      <c r="R56" s="47" t="n"/>
      <c r="S56" s="170" t="inlineStr">
        <is>
          <t>변동분</t>
        </is>
      </c>
      <c r="T56" s="150" t="n">
        <v>2025</v>
      </c>
      <c r="U56" s="1007" t="n">
        <v>0</v>
      </c>
      <c r="V56" s="1008" t="n">
        <v>0</v>
      </c>
      <c r="W56" s="1008" t="n">
        <v>0</v>
      </c>
      <c r="X56" s="1008" t="n">
        <v>0</v>
      </c>
      <c r="Y56" s="1008" t="n">
        <v>0</v>
      </c>
      <c r="Z56" s="1008" t="n">
        <v>0</v>
      </c>
      <c r="AA56" s="1007" t="n">
        <v>0</v>
      </c>
      <c r="AB56" s="1008" t="n">
        <v>0</v>
      </c>
      <c r="AC56" s="1008" t="n">
        <v>0</v>
      </c>
      <c r="AD56" s="1008" t="n">
        <v>0</v>
      </c>
      <c r="AE56" s="1008" t="n">
        <v>0</v>
      </c>
      <c r="AF56" s="1009" t="n">
        <v>0</v>
      </c>
    </row>
    <row r="57" ht="17.25" customHeight="1" s="759" thickBot="1">
      <c r="P57" s="643" t="n"/>
      <c r="Q57" s="643" t="n"/>
      <c r="R57" s="80" t="n"/>
      <c r="S57" s="171" t="n"/>
      <c r="T57" s="152" t="inlineStr">
        <is>
          <t>24~25</t>
        </is>
      </c>
      <c r="U57" s="1013" t="n">
        <v>0</v>
      </c>
      <c r="V57" s="1014" t="n">
        <v>0</v>
      </c>
      <c r="W57" s="1014" t="n">
        <v>0</v>
      </c>
      <c r="X57" s="1014" t="n">
        <v>0</v>
      </c>
      <c r="Y57" s="1014" t="n">
        <v>0</v>
      </c>
      <c r="Z57" s="1014" t="n">
        <v>0</v>
      </c>
      <c r="AA57" s="1013" t="n">
        <v>0</v>
      </c>
      <c r="AB57" s="1014" t="n">
        <v>0</v>
      </c>
      <c r="AC57" s="1014" t="n">
        <v>0</v>
      </c>
      <c r="AD57" s="1014" t="n">
        <v>0</v>
      </c>
      <c r="AE57" s="1014" t="n">
        <v>0</v>
      </c>
      <c r="AF57" s="1015" t="n">
        <v>0</v>
      </c>
    </row>
    <row r="58">
      <c r="P58" s="643" t="n"/>
      <c r="Q58" s="643" t="n"/>
      <c r="R58" s="643" t="n"/>
      <c r="S58" s="643" t="n"/>
      <c r="T58" s="643" t="n"/>
      <c r="U58" s="643" t="n"/>
      <c r="V58" s="643" t="n"/>
      <c r="W58" s="643" t="n"/>
      <c r="X58" s="643" t="n"/>
      <c r="Y58" s="643" t="n"/>
      <c r="Z58" s="643" t="n"/>
      <c r="AA58" s="643" t="n"/>
      <c r="AB58" s="643" t="n"/>
      <c r="AC58" s="643" t="n"/>
      <c r="AD58" s="643" t="n"/>
      <c r="AE58" s="643" t="n"/>
      <c r="AF58" s="643" t="n"/>
    </row>
    <row r="59">
      <c r="P59" s="643" t="n"/>
      <c r="Q59" s="643" t="n"/>
      <c r="R59" s="643" t="n"/>
      <c r="S59" s="643" t="n"/>
      <c r="T59" s="643" t="n"/>
      <c r="U59" s="643" t="n"/>
      <c r="V59" s="643" t="n"/>
      <c r="W59" s="643" t="n"/>
      <c r="X59" s="643" t="n"/>
      <c r="Y59" s="643" t="n"/>
      <c r="Z59" s="643" t="n"/>
      <c r="AA59" s="643" t="n"/>
      <c r="AB59" s="643" t="n"/>
      <c r="AC59" s="643" t="n"/>
      <c r="AD59" s="643" t="n"/>
      <c r="AE59" s="643" t="n"/>
      <c r="AF59" s="643" t="n"/>
    </row>
    <row r="63" ht="17.25" customHeight="1" s="759" thickBot="1"/>
    <row r="64">
      <c r="A64" s="752" t="inlineStr">
        <is>
          <t>구분</t>
        </is>
      </c>
      <c r="B64" s="699" t="n"/>
      <c r="C64" s="700" t="n"/>
      <c r="D64" s="746" t="inlineStr">
        <is>
          <t>당사</t>
        </is>
      </c>
      <c r="E64" s="751" t="inlineStr">
        <is>
          <t>생보사</t>
        </is>
      </c>
      <c r="F64" s="709" t="n"/>
      <c r="G64" s="709" t="n"/>
      <c r="H64" s="709" t="n"/>
      <c r="I64" s="709" t="n"/>
      <c r="J64" s="724" t="n"/>
      <c r="K64" s="744" t="inlineStr">
        <is>
          <t>손보사</t>
        </is>
      </c>
      <c r="L64" s="709" t="n"/>
      <c r="M64" s="709" t="n"/>
      <c r="N64" s="709" t="n"/>
      <c r="O64" s="745" t="n"/>
      <c r="R64" s="752" t="inlineStr">
        <is>
          <t>구분</t>
        </is>
      </c>
      <c r="S64" s="699" t="n"/>
      <c r="T64" s="700" t="n"/>
      <c r="U64" s="746" t="inlineStr">
        <is>
          <t>당사</t>
        </is>
      </c>
      <c r="V64" s="751" t="inlineStr">
        <is>
          <t>생보사</t>
        </is>
      </c>
      <c r="W64" s="709" t="n"/>
      <c r="X64" s="709" t="n"/>
      <c r="Y64" s="709" t="n"/>
      <c r="Z64" s="709" t="n"/>
      <c r="AA64" s="724" t="n"/>
      <c r="AB64" s="744" t="inlineStr">
        <is>
          <t>손보사</t>
        </is>
      </c>
      <c r="AC64" s="709" t="n"/>
      <c r="AD64" s="709" t="n"/>
      <c r="AE64" s="709" t="n"/>
      <c r="AF64" s="745" t="n"/>
    </row>
    <row r="65" ht="17.25" customHeight="1" s="759" thickBot="1">
      <c r="A65" s="728" t="n"/>
      <c r="B65" s="728" t="n"/>
      <c r="C65" s="753" t="n"/>
      <c r="D65" s="747" t="n"/>
      <c r="E65" s="34" t="inlineStr">
        <is>
          <t>삼성</t>
        </is>
      </c>
      <c r="F65" s="164" t="inlineStr">
        <is>
          <t>교보</t>
        </is>
      </c>
      <c r="G65" s="164" t="inlineStr">
        <is>
          <t>한화</t>
        </is>
      </c>
      <c r="H65" s="164" t="inlineStr">
        <is>
          <t>신한</t>
        </is>
      </c>
      <c r="I65" s="164" t="inlineStr">
        <is>
          <t>동양</t>
        </is>
      </c>
      <c r="J65" s="165" t="inlineStr">
        <is>
          <t>KB</t>
        </is>
      </c>
      <c r="K65" s="34" t="inlineStr">
        <is>
          <t>삼성</t>
        </is>
      </c>
      <c r="L65" s="34" t="inlineStr">
        <is>
          <t>현대</t>
        </is>
      </c>
      <c r="M65" s="34" t="inlineStr">
        <is>
          <t>메리츠</t>
        </is>
      </c>
      <c r="N65" s="34" t="inlineStr">
        <is>
          <t>KB</t>
        </is>
      </c>
      <c r="O65" s="216" t="inlineStr">
        <is>
          <t>DB</t>
        </is>
      </c>
      <c r="R65" s="728" t="n"/>
      <c r="S65" s="728" t="n"/>
      <c r="T65" s="753" t="n"/>
      <c r="U65" s="747" t="n"/>
      <c r="V65" s="34" t="inlineStr">
        <is>
          <t>삼성</t>
        </is>
      </c>
      <c r="W65" s="164" t="inlineStr">
        <is>
          <t>교보</t>
        </is>
      </c>
      <c r="X65" s="164" t="inlineStr">
        <is>
          <t>한화</t>
        </is>
      </c>
      <c r="Y65" s="164" t="inlineStr">
        <is>
          <t>신한</t>
        </is>
      </c>
      <c r="Z65" s="164" t="inlineStr">
        <is>
          <t>동양</t>
        </is>
      </c>
      <c r="AA65" s="165" t="inlineStr">
        <is>
          <t>KB</t>
        </is>
      </c>
      <c r="AB65" s="34" t="inlineStr">
        <is>
          <t>삼성</t>
        </is>
      </c>
      <c r="AC65" s="34" t="inlineStr">
        <is>
          <t>현대</t>
        </is>
      </c>
      <c r="AD65" s="34" t="inlineStr">
        <is>
          <t>메리츠</t>
        </is>
      </c>
      <c r="AE65" s="34" t="inlineStr">
        <is>
          <t>KB</t>
        </is>
      </c>
      <c r="AF65" s="216" t="inlineStr">
        <is>
          <t>DB</t>
        </is>
      </c>
    </row>
    <row r="66">
      <c r="A66" s="698" t="inlineStr">
        <is>
          <t>세전손익</t>
        </is>
      </c>
      <c r="B66" s="699" t="n"/>
      <c r="C66" s="700" t="n"/>
      <c r="D66" s="1068" t="n">
        <v>0</v>
      </c>
      <c r="E66" s="1069" t="n">
        <v>0</v>
      </c>
      <c r="F66" s="1069" t="n">
        <v>0</v>
      </c>
      <c r="G66" s="1069" t="n">
        <v>0</v>
      </c>
      <c r="H66" s="1069" t="n">
        <v>0</v>
      </c>
      <c r="I66" s="1069" t="n">
        <v>0</v>
      </c>
      <c r="J66" s="1070" t="n">
        <v>0</v>
      </c>
      <c r="K66" s="1069" t="n">
        <v>0</v>
      </c>
      <c r="L66" s="1069" t="n">
        <v>0</v>
      </c>
      <c r="M66" s="1069" t="n">
        <v>0</v>
      </c>
      <c r="N66" s="1069" t="n">
        <v>0</v>
      </c>
      <c r="O66" s="1071" t="n">
        <v>0</v>
      </c>
      <c r="P66" s="1072" t="n"/>
      <c r="R66" s="698" t="inlineStr">
        <is>
          <t>세전손익</t>
        </is>
      </c>
      <c r="S66" s="699" t="n"/>
      <c r="T66" s="700" t="n"/>
      <c r="U66" s="1073" t="n">
        <v>0</v>
      </c>
      <c r="V66" s="1002" t="n">
        <v>0</v>
      </c>
      <c r="W66" s="1002" t="n">
        <v>0</v>
      </c>
      <c r="X66" s="1002" t="n">
        <v>0</v>
      </c>
      <c r="Y66" s="1002" t="n">
        <v>0</v>
      </c>
      <c r="Z66" s="1002" t="n">
        <v>0</v>
      </c>
      <c r="AA66" s="1001" t="n">
        <v>0</v>
      </c>
      <c r="AB66" s="1002" t="n">
        <v>0</v>
      </c>
      <c r="AC66" s="1002" t="n">
        <v>0</v>
      </c>
      <c r="AD66" s="1002" t="n">
        <v>0</v>
      </c>
      <c r="AE66" s="1002" t="n">
        <v>0</v>
      </c>
      <c r="AF66" s="1003" t="n">
        <v>0</v>
      </c>
    </row>
    <row r="67">
      <c r="A67" s="758" t="inlineStr">
        <is>
          <t>(2024년 대비)</t>
        </is>
      </c>
      <c r="C67" s="732" t="n"/>
      <c r="D67" s="1074" t="n">
        <v>0</v>
      </c>
      <c r="E67" s="1075" t="n">
        <v>0</v>
      </c>
      <c r="F67" s="1075" t="n">
        <v>0</v>
      </c>
      <c r="G67" s="1075" t="n">
        <v>0</v>
      </c>
      <c r="H67" s="1075" t="n">
        <v>0</v>
      </c>
      <c r="I67" s="1075" t="n">
        <v>0</v>
      </c>
      <c r="J67" s="1076" t="n">
        <v>0</v>
      </c>
      <c r="K67" s="1075" t="n">
        <v>0</v>
      </c>
      <c r="L67" s="1075" t="n">
        <v>0</v>
      </c>
      <c r="M67" s="1075" t="n">
        <v>0</v>
      </c>
      <c r="N67" s="1075" t="n">
        <v>0</v>
      </c>
      <c r="O67" s="1077" t="n">
        <v>0</v>
      </c>
      <c r="R67" s="758" t="n">
        <v>2024</v>
      </c>
      <c r="T67" s="732" t="n"/>
      <c r="U67" s="1078" t="n">
        <v>0</v>
      </c>
      <c r="V67" s="1079" t="n">
        <v>0</v>
      </c>
      <c r="W67" s="1079" t="n">
        <v>0</v>
      </c>
      <c r="X67" s="1079" t="n">
        <v>0</v>
      </c>
      <c r="Y67" s="1079" t="n">
        <v>0</v>
      </c>
      <c r="Z67" s="1079" t="n">
        <v>0</v>
      </c>
      <c r="AA67" s="1080" t="n">
        <v>0</v>
      </c>
      <c r="AB67" s="1079" t="n">
        <v>0</v>
      </c>
      <c r="AC67" s="1079" t="n">
        <v>0</v>
      </c>
      <c r="AD67" s="1079" t="n">
        <v>0</v>
      </c>
      <c r="AE67" s="1079" t="n">
        <v>0</v>
      </c>
      <c r="AF67" s="1081" t="n">
        <v>0</v>
      </c>
    </row>
    <row r="68">
      <c r="A68" s="758" t="inlineStr">
        <is>
          <t>(2023년 대비)</t>
        </is>
      </c>
      <c r="C68" s="732" t="n"/>
      <c r="D68" s="1074" t="n">
        <v>0</v>
      </c>
      <c r="E68" s="1075" t="n">
        <v>0</v>
      </c>
      <c r="F68" s="1075" t="n">
        <v>0</v>
      </c>
      <c r="G68" s="1075" t="n">
        <v>0</v>
      </c>
      <c r="H68" s="1075" t="n">
        <v>0</v>
      </c>
      <c r="I68" s="1075" t="n">
        <v>0</v>
      </c>
      <c r="J68" s="1076" t="n">
        <v>0</v>
      </c>
      <c r="K68" s="1075" t="n">
        <v>0</v>
      </c>
      <c r="L68" s="1075" t="n">
        <v>0</v>
      </c>
      <c r="M68" s="1075" t="n">
        <v>0</v>
      </c>
      <c r="N68" s="1075" t="n">
        <v>0</v>
      </c>
      <c r="O68" s="1077" t="n">
        <v>0</v>
      </c>
      <c r="R68" s="758" t="n">
        <v>2023</v>
      </c>
      <c r="T68" s="732" t="n"/>
      <c r="U68" s="1078" t="n">
        <v>0</v>
      </c>
      <c r="V68" s="1079" t="n">
        <v>0</v>
      </c>
      <c r="W68" s="1079" t="n">
        <v>0</v>
      </c>
      <c r="X68" s="1079" t="n">
        <v>0</v>
      </c>
      <c r="Y68" s="1079" t="n">
        <v>0</v>
      </c>
      <c r="Z68" s="1079" t="n">
        <v>0</v>
      </c>
      <c r="AA68" s="1080" t="n">
        <v>0</v>
      </c>
      <c r="AB68" s="1079" t="n">
        <v>0</v>
      </c>
      <c r="AC68" s="1079" t="n">
        <v>0</v>
      </c>
      <c r="AD68" s="1079" t="n">
        <v>0</v>
      </c>
      <c r="AE68" s="1079" t="n">
        <v>0</v>
      </c>
      <c r="AF68" s="1081" t="n">
        <v>0</v>
      </c>
    </row>
    <row r="69">
      <c r="A69" s="41" t="n"/>
      <c r="B69" s="757" t="inlineStr">
        <is>
          <t>① 보험손익</t>
        </is>
      </c>
      <c r="C69" s="726" t="n"/>
      <c r="D69" s="1082" t="n">
        <v>0</v>
      </c>
      <c r="E69" s="1083" t="n">
        <v>0</v>
      </c>
      <c r="F69" s="1083" t="n">
        <v>0</v>
      </c>
      <c r="G69" s="1083" t="n">
        <v>0</v>
      </c>
      <c r="H69" s="1083" t="n">
        <v>0</v>
      </c>
      <c r="I69" s="1083" t="n">
        <v>0</v>
      </c>
      <c r="J69" s="1084" t="n">
        <v>0</v>
      </c>
      <c r="K69" s="1083" t="n">
        <v>0</v>
      </c>
      <c r="L69" s="1083" t="n">
        <v>0</v>
      </c>
      <c r="M69" s="1083" t="n">
        <v>0</v>
      </c>
      <c r="N69" s="1083" t="n">
        <v>0</v>
      </c>
      <c r="O69" s="1085" t="n">
        <v>0</v>
      </c>
      <c r="R69" s="41" t="n"/>
      <c r="S69" s="757" t="inlineStr">
        <is>
          <t>① 보험손익</t>
        </is>
      </c>
      <c r="T69" s="726" t="n"/>
      <c r="U69" s="1086" t="n">
        <v>0</v>
      </c>
      <c r="V69" s="1087" t="n">
        <v>0</v>
      </c>
      <c r="W69" s="1087" t="n">
        <v>0</v>
      </c>
      <c r="X69" s="1087" t="n">
        <v>0</v>
      </c>
      <c r="Y69" s="1087" t="n">
        <v>0</v>
      </c>
      <c r="Z69" s="1087" t="n">
        <v>0</v>
      </c>
      <c r="AA69" s="1088" t="n">
        <v>0</v>
      </c>
      <c r="AB69" s="1087" t="n">
        <v>0</v>
      </c>
      <c r="AC69" s="1087" t="n">
        <v>0</v>
      </c>
      <c r="AD69" s="1087" t="n">
        <v>0</v>
      </c>
      <c r="AE69" s="1087" t="n">
        <v>0</v>
      </c>
      <c r="AF69" s="1089" t="n">
        <v>0</v>
      </c>
    </row>
    <row r="70">
      <c r="A70" s="47" t="n"/>
      <c r="B70" s="755" t="inlineStr">
        <is>
          <t>비중</t>
        </is>
      </c>
      <c r="C70" s="732" t="n"/>
      <c r="D70" s="1090" t="e">
        <v>#DIV/0!</v>
      </c>
      <c r="E70" s="1091" t="e">
        <v>#DIV/0!</v>
      </c>
      <c r="F70" s="1091" t="e">
        <v>#DIV/0!</v>
      </c>
      <c r="G70" s="1091" t="e">
        <v>#DIV/0!</v>
      </c>
      <c r="H70" s="1091" t="e">
        <v>#DIV/0!</v>
      </c>
      <c r="I70" s="1091" t="e">
        <v>#DIV/0!</v>
      </c>
      <c r="J70" s="1092" t="e">
        <v>#DIV/0!</v>
      </c>
      <c r="K70" s="1091" t="e">
        <v>#DIV/0!</v>
      </c>
      <c r="L70" s="1091" t="e">
        <v>#DIV/0!</v>
      </c>
      <c r="M70" s="1091" t="e">
        <v>#DIV/0!</v>
      </c>
      <c r="N70" s="1091" t="e">
        <v>#DIV/0!</v>
      </c>
      <c r="O70" s="1093" t="e">
        <v>#DIV/0!</v>
      </c>
      <c r="P70" s="925" t="n"/>
      <c r="Q70" s="925" t="n"/>
      <c r="R70" s="47" t="n"/>
      <c r="S70" s="755" t="inlineStr">
        <is>
          <t>비중</t>
        </is>
      </c>
      <c r="T70" s="732" t="n"/>
      <c r="U70" s="1078" t="n"/>
      <c r="V70" s="1079" t="n"/>
      <c r="W70" s="1079" t="n"/>
      <c r="X70" s="1079" t="n"/>
      <c r="Y70" s="1079" t="n"/>
      <c r="Z70" s="1079" t="n"/>
      <c r="AA70" s="1080" t="n"/>
      <c r="AB70" s="1079" t="n"/>
      <c r="AC70" s="1079" t="n"/>
      <c r="AD70" s="1079" t="n"/>
      <c r="AE70" s="1079" t="n"/>
      <c r="AF70" s="1081" t="n"/>
    </row>
    <row r="71">
      <c r="A71" s="41" t="n"/>
      <c r="B71" s="215" t="n"/>
      <c r="C71" s="173" t="inlineStr">
        <is>
          <t>2024년 대비</t>
        </is>
      </c>
      <c r="D71" s="1094" t="n">
        <v>0</v>
      </c>
      <c r="E71" s="1095" t="n">
        <v>0</v>
      </c>
      <c r="F71" s="1095" t="n">
        <v>0</v>
      </c>
      <c r="G71" s="1095" t="n">
        <v>0</v>
      </c>
      <c r="H71" s="1095" t="n">
        <v>0</v>
      </c>
      <c r="I71" s="1095" t="n">
        <v>0</v>
      </c>
      <c r="J71" s="1096" t="n">
        <v>0</v>
      </c>
      <c r="K71" s="1095" t="n">
        <v>0</v>
      </c>
      <c r="L71" s="1095" t="n">
        <v>0</v>
      </c>
      <c r="M71" s="1095" t="n">
        <v>0</v>
      </c>
      <c r="N71" s="1095" t="n">
        <v>0</v>
      </c>
      <c r="O71" s="1097" t="n">
        <v>0</v>
      </c>
      <c r="R71" s="41" t="n"/>
      <c r="S71" s="215" t="n"/>
      <c r="T71" s="173" t="n">
        <v>2024</v>
      </c>
      <c r="U71" s="1098" t="n">
        <v>0</v>
      </c>
      <c r="V71" s="1099" t="n">
        <v>0</v>
      </c>
      <c r="W71" s="1099" t="n">
        <v>0</v>
      </c>
      <c r="X71" s="1099" t="n">
        <v>0</v>
      </c>
      <c r="Y71" s="1099" t="n">
        <v>0</v>
      </c>
      <c r="Z71" s="1099" t="n">
        <v>0</v>
      </c>
      <c r="AA71" s="1100" t="n">
        <v>0</v>
      </c>
      <c r="AB71" s="1099" t="n">
        <v>0</v>
      </c>
      <c r="AC71" s="1099" t="n">
        <v>0</v>
      </c>
      <c r="AD71" s="1099" t="n">
        <v>0</v>
      </c>
      <c r="AE71" s="1099" t="n">
        <v>0</v>
      </c>
      <c r="AF71" s="1101" t="n">
        <v>0</v>
      </c>
    </row>
    <row r="72">
      <c r="A72" s="47" t="n"/>
      <c r="B72" s="215" t="n"/>
      <c r="C72" s="174" t="inlineStr">
        <is>
          <t>2023년 대비</t>
        </is>
      </c>
      <c r="D72" s="1102" t="n">
        <v>0</v>
      </c>
      <c r="E72" s="1103" t="n">
        <v>0</v>
      </c>
      <c r="F72" s="1103" t="n">
        <v>0</v>
      </c>
      <c r="G72" s="1103" t="n">
        <v>0</v>
      </c>
      <c r="H72" s="1103" t="n">
        <v>0</v>
      </c>
      <c r="I72" s="1103" t="n">
        <v>0</v>
      </c>
      <c r="J72" s="1104" t="n">
        <v>0</v>
      </c>
      <c r="K72" s="1103" t="n">
        <v>0</v>
      </c>
      <c r="L72" s="1103" t="n">
        <v>0</v>
      </c>
      <c r="M72" s="1103" t="n">
        <v>0</v>
      </c>
      <c r="N72" s="1103" t="n">
        <v>0</v>
      </c>
      <c r="O72" s="1105" t="n">
        <v>0</v>
      </c>
      <c r="R72" s="47" t="n"/>
      <c r="S72" s="215" t="n"/>
      <c r="T72" s="174" t="n">
        <v>2023</v>
      </c>
      <c r="U72" s="1106" t="n">
        <v>0</v>
      </c>
      <c r="V72" s="1107" t="n">
        <v>0</v>
      </c>
      <c r="W72" s="1107" t="n">
        <v>0</v>
      </c>
      <c r="X72" s="1107" t="n">
        <v>0</v>
      </c>
      <c r="Y72" s="1107" t="n">
        <v>0</v>
      </c>
      <c r="Z72" s="1107" t="n">
        <v>0</v>
      </c>
      <c r="AA72" s="1108" t="n">
        <v>0</v>
      </c>
      <c r="AB72" s="1107" t="n">
        <v>0</v>
      </c>
      <c r="AC72" s="1107" t="n">
        <v>0</v>
      </c>
      <c r="AD72" s="1107" t="n">
        <v>0</v>
      </c>
      <c r="AE72" s="1107" t="n">
        <v>0</v>
      </c>
      <c r="AF72" s="1109" t="n">
        <v>0</v>
      </c>
    </row>
    <row r="73" ht="27" customHeight="1" s="759">
      <c r="A73" s="41" t="n"/>
      <c r="B73" s="175" t="n"/>
      <c r="C73" s="176" t="inlineStr">
        <is>
          <t>② CSM상각액</t>
        </is>
      </c>
      <c r="D73" s="1068" t="n">
        <v>0</v>
      </c>
      <c r="E73" s="1069" t="n">
        <v>0</v>
      </c>
      <c r="F73" s="1069" t="n">
        <v>0</v>
      </c>
      <c r="G73" s="1069" t="n">
        <v>0</v>
      </c>
      <c r="H73" s="1069" t="n">
        <v>0</v>
      </c>
      <c r="I73" s="1069" t="n">
        <v>0</v>
      </c>
      <c r="J73" s="1070" t="n">
        <v>0</v>
      </c>
      <c r="K73" s="1069" t="n">
        <v>0</v>
      </c>
      <c r="L73" s="1069" t="n">
        <v>0</v>
      </c>
      <c r="M73" s="1069" t="n">
        <v>0</v>
      </c>
      <c r="N73" s="1069" t="n">
        <v>0</v>
      </c>
      <c r="O73" s="1071" t="n">
        <v>0</v>
      </c>
      <c r="P73" s="1072" t="n"/>
      <c r="R73" s="41" t="n"/>
      <c r="S73" s="175" t="n"/>
      <c r="T73" s="176" t="inlineStr">
        <is>
          <t>② CSM상각액</t>
        </is>
      </c>
      <c r="U73" s="1073" t="n">
        <v>0</v>
      </c>
      <c r="V73" s="1002" t="n">
        <v>0</v>
      </c>
      <c r="W73" s="1002" t="n">
        <v>0</v>
      </c>
      <c r="X73" s="1002" t="n">
        <v>0</v>
      </c>
      <c r="Y73" s="1002" t="n">
        <v>0</v>
      </c>
      <c r="Z73" s="1002" t="n">
        <v>0</v>
      </c>
      <c r="AA73" s="1001" t="n">
        <v>0</v>
      </c>
      <c r="AB73" s="1002" t="n">
        <v>0</v>
      </c>
      <c r="AC73" s="1002" t="n">
        <v>0</v>
      </c>
      <c r="AD73" s="1002" t="n">
        <v>0</v>
      </c>
      <c r="AE73" s="1002" t="n">
        <v>0</v>
      </c>
      <c r="AF73" s="1003" t="n">
        <v>0</v>
      </c>
    </row>
    <row r="74">
      <c r="A74" s="41" t="n"/>
      <c r="B74" s="175" t="n"/>
      <c r="C74" s="177" t="inlineStr">
        <is>
          <t>②/①</t>
        </is>
      </c>
      <c r="D74" s="1110" t="e">
        <v>#DIV/0!</v>
      </c>
      <c r="E74" s="1111" t="e">
        <v>#DIV/0!</v>
      </c>
      <c r="F74" s="1111" t="e">
        <v>#DIV/0!</v>
      </c>
      <c r="G74" s="1111" t="e">
        <v>#DIV/0!</v>
      </c>
      <c r="H74" s="1111" t="e">
        <v>#DIV/0!</v>
      </c>
      <c r="I74" s="1111" t="e">
        <v>#DIV/0!</v>
      </c>
      <c r="J74" s="1112" t="e">
        <v>#DIV/0!</v>
      </c>
      <c r="K74" s="1111" t="e">
        <v>#DIV/0!</v>
      </c>
      <c r="L74" s="1111" t="e">
        <v>#DIV/0!</v>
      </c>
      <c r="M74" s="1111" t="e">
        <v>#DIV/0!</v>
      </c>
      <c r="N74" s="1111" t="e">
        <v>#DIV/0!</v>
      </c>
      <c r="O74" s="1113" t="e">
        <v>#DIV/0!</v>
      </c>
      <c r="R74" s="41" t="n"/>
      <c r="S74" s="175" t="n"/>
      <c r="T74" s="177" t="inlineStr">
        <is>
          <t>②/①</t>
        </is>
      </c>
      <c r="U74" s="1106" t="n"/>
      <c r="V74" s="1107" t="n"/>
      <c r="W74" s="1107" t="n"/>
      <c r="X74" s="1107" t="n"/>
      <c r="Y74" s="1107" t="n"/>
      <c r="Z74" s="1107" t="n"/>
      <c r="AA74" s="1108" t="n"/>
      <c r="AB74" s="1107" t="n"/>
      <c r="AC74" s="1107" t="n"/>
      <c r="AD74" s="1107" t="n"/>
      <c r="AE74" s="1107" t="n"/>
      <c r="AF74" s="1109" t="n"/>
    </row>
    <row r="75">
      <c r="A75" s="41" t="n"/>
      <c r="B75" s="760" t="inlineStr">
        <is>
          <t>투자손익</t>
        </is>
      </c>
      <c r="C75" s="726" t="n"/>
      <c r="D75" s="1068" t="n">
        <v>0</v>
      </c>
      <c r="E75" s="1069" t="n">
        <v>0</v>
      </c>
      <c r="F75" s="1069" t="n">
        <v>0</v>
      </c>
      <c r="G75" s="1069" t="n">
        <v>0</v>
      </c>
      <c r="H75" s="1069" t="n">
        <v>0</v>
      </c>
      <c r="I75" s="1069" t="n">
        <v>0</v>
      </c>
      <c r="J75" s="1070" t="n">
        <v>0</v>
      </c>
      <c r="K75" s="1069" t="n">
        <v>0</v>
      </c>
      <c r="L75" s="1069" t="n">
        <v>0</v>
      </c>
      <c r="M75" s="1069" t="n">
        <v>0</v>
      </c>
      <c r="N75" s="1069" t="n">
        <v>0</v>
      </c>
      <c r="O75" s="1071" t="n">
        <v>0</v>
      </c>
      <c r="P75" s="1072" t="n"/>
      <c r="R75" s="41" t="n"/>
      <c r="S75" s="760" t="inlineStr">
        <is>
          <t>투자손익</t>
        </is>
      </c>
      <c r="T75" s="726" t="n"/>
      <c r="U75" s="1073" t="n">
        <v>0</v>
      </c>
      <c r="V75" s="1002" t="n">
        <v>0</v>
      </c>
      <c r="W75" s="1002" t="n">
        <v>0</v>
      </c>
      <c r="X75" s="1002" t="n">
        <v>0</v>
      </c>
      <c r="Y75" s="1002" t="n">
        <v>0</v>
      </c>
      <c r="Z75" s="1002" t="n">
        <v>0</v>
      </c>
      <c r="AA75" s="1001" t="n">
        <v>0</v>
      </c>
      <c r="AB75" s="1002" t="n">
        <v>0</v>
      </c>
      <c r="AC75" s="1002" t="n">
        <v>0</v>
      </c>
      <c r="AD75" s="1002" t="n">
        <v>0</v>
      </c>
      <c r="AE75" s="1002" t="n">
        <v>0</v>
      </c>
      <c r="AF75" s="1003" t="n">
        <v>0</v>
      </c>
    </row>
    <row r="76">
      <c r="A76" s="47" t="n"/>
      <c r="B76" s="755" t="inlineStr">
        <is>
          <t>비중</t>
        </is>
      </c>
      <c r="C76" s="732" t="n"/>
      <c r="D76" s="1110" t="e">
        <v>#DIV/0!</v>
      </c>
      <c r="E76" s="1111" t="e">
        <v>#DIV/0!</v>
      </c>
      <c r="F76" s="1111" t="e">
        <v>#DIV/0!</v>
      </c>
      <c r="G76" s="1111" t="e">
        <v>#DIV/0!</v>
      </c>
      <c r="H76" s="1111" t="e">
        <v>#DIV/0!</v>
      </c>
      <c r="I76" s="1111" t="e">
        <v>#DIV/0!</v>
      </c>
      <c r="J76" s="1112" t="e">
        <v>#DIV/0!</v>
      </c>
      <c r="K76" s="1111" t="e">
        <v>#DIV/0!</v>
      </c>
      <c r="L76" s="1111" t="e">
        <v>#DIV/0!</v>
      </c>
      <c r="M76" s="1111" t="e">
        <v>#DIV/0!</v>
      </c>
      <c r="N76" s="1111" t="e">
        <v>#DIV/0!</v>
      </c>
      <c r="O76" s="1113" t="e">
        <v>#DIV/0!</v>
      </c>
      <c r="P76" s="1072" t="n"/>
      <c r="R76" s="47" t="n"/>
      <c r="S76" s="755" t="inlineStr">
        <is>
          <t>비중</t>
        </is>
      </c>
      <c r="T76" s="732" t="n"/>
      <c r="U76" s="1106" t="n"/>
      <c r="V76" s="1107" t="n"/>
      <c r="W76" s="1107" t="n"/>
      <c r="X76" s="1107" t="n"/>
      <c r="Y76" s="1107" t="n"/>
      <c r="Z76" s="1107" t="n"/>
      <c r="AA76" s="1108" t="n"/>
      <c r="AB76" s="1107" t="n"/>
      <c r="AC76" s="1107" t="n"/>
      <c r="AD76" s="1107" t="n"/>
      <c r="AE76" s="1107" t="n"/>
      <c r="AF76" s="1109" t="n"/>
    </row>
    <row r="77">
      <c r="A77" s="47" t="n"/>
      <c r="B77" s="215" t="n"/>
      <c r="C77" s="173" t="inlineStr">
        <is>
          <t>2024년 대비</t>
        </is>
      </c>
      <c r="D77" s="1074" t="n">
        <v>0</v>
      </c>
      <c r="E77" s="1075" t="n">
        <v>0</v>
      </c>
      <c r="F77" s="1075" t="n">
        <v>0</v>
      </c>
      <c r="G77" s="1075" t="n">
        <v>0</v>
      </c>
      <c r="H77" s="1075" t="n">
        <v>0</v>
      </c>
      <c r="I77" s="1075" t="n">
        <v>0</v>
      </c>
      <c r="J77" s="1076" t="n">
        <v>0</v>
      </c>
      <c r="K77" s="1075" t="n">
        <v>0</v>
      </c>
      <c r="L77" s="1075" t="n">
        <v>0</v>
      </c>
      <c r="M77" s="1075" t="n">
        <v>0</v>
      </c>
      <c r="N77" s="1075" t="n">
        <v>0</v>
      </c>
      <c r="O77" s="1077" t="n">
        <v>0</v>
      </c>
      <c r="P77" s="1072" t="n"/>
      <c r="R77" s="47" t="n"/>
      <c r="S77" s="215" t="n"/>
      <c r="T77" s="173" t="n">
        <v>2024</v>
      </c>
      <c r="U77" s="1078" t="n">
        <v>0</v>
      </c>
      <c r="V77" s="1079" t="n">
        <v>0</v>
      </c>
      <c r="W77" s="1079" t="n">
        <v>0</v>
      </c>
      <c r="X77" s="1079" t="n">
        <v>0</v>
      </c>
      <c r="Y77" s="1079" t="n">
        <v>0</v>
      </c>
      <c r="Z77" s="1079" t="n">
        <v>0</v>
      </c>
      <c r="AA77" s="1080" t="n">
        <v>0</v>
      </c>
      <c r="AB77" s="1079" t="n">
        <v>0</v>
      </c>
      <c r="AC77" s="1079" t="n">
        <v>0</v>
      </c>
      <c r="AD77" s="1079" t="n">
        <v>0</v>
      </c>
      <c r="AE77" s="1079" t="n">
        <v>0</v>
      </c>
      <c r="AF77" s="1081" t="n">
        <v>0</v>
      </c>
    </row>
    <row r="78" ht="17.25" customHeight="1" s="759" thickBot="1">
      <c r="A78" s="178" t="n"/>
      <c r="B78" s="179" t="n"/>
      <c r="C78" s="179" t="inlineStr">
        <is>
          <t>2023년 대비</t>
        </is>
      </c>
      <c r="D78" s="1114" t="n">
        <v>0</v>
      </c>
      <c r="E78" s="1115" t="n">
        <v>0</v>
      </c>
      <c r="F78" s="1115" t="n">
        <v>0</v>
      </c>
      <c r="G78" s="1115" t="n">
        <v>0</v>
      </c>
      <c r="H78" s="1115" t="n">
        <v>0</v>
      </c>
      <c r="I78" s="1115" t="n">
        <v>0</v>
      </c>
      <c r="J78" s="1116" t="n">
        <v>0</v>
      </c>
      <c r="K78" s="1115" t="n">
        <v>0</v>
      </c>
      <c r="L78" s="1115" t="n">
        <v>0</v>
      </c>
      <c r="M78" s="1115" t="n">
        <v>0</v>
      </c>
      <c r="N78" s="1115" t="n">
        <v>0</v>
      </c>
      <c r="O78" s="1117" t="n">
        <v>0</v>
      </c>
      <c r="P78" s="1072" t="n"/>
      <c r="R78" s="178" t="n"/>
      <c r="S78" s="179" t="n"/>
      <c r="T78" s="179" t="n">
        <v>2023</v>
      </c>
      <c r="U78" s="1118" t="n">
        <v>0</v>
      </c>
      <c r="V78" s="1119" t="n">
        <v>0</v>
      </c>
      <c r="W78" s="1119" t="n">
        <v>0</v>
      </c>
      <c r="X78" s="1119" t="n">
        <v>0</v>
      </c>
      <c r="Y78" s="1119" t="n">
        <v>0</v>
      </c>
      <c r="Z78" s="1119" t="n">
        <v>0</v>
      </c>
      <c r="AA78" s="1120" t="n">
        <v>0</v>
      </c>
      <c r="AB78" s="1119" t="n">
        <v>0</v>
      </c>
      <c r="AC78" s="1119" t="n">
        <v>0</v>
      </c>
      <c r="AD78" s="1119" t="n">
        <v>0</v>
      </c>
      <c r="AE78" s="1119" t="n">
        <v>0</v>
      </c>
      <c r="AF78" s="1121" t="n">
        <v>0</v>
      </c>
    </row>
    <row r="79">
      <c r="A79" s="763" t="inlineStr">
        <is>
          <t>ROE</t>
        </is>
      </c>
      <c r="B79" s="699" t="n"/>
      <c r="C79" s="700" t="n"/>
      <c r="D79" s="1122" t="e">
        <v>#DIV/0!</v>
      </c>
      <c r="E79" s="1123" t="e">
        <v>#DIV/0!</v>
      </c>
      <c r="F79" s="1123" t="e">
        <v>#DIV/0!</v>
      </c>
      <c r="G79" s="1123" t="e">
        <v>#DIV/0!</v>
      </c>
      <c r="H79" s="1123" t="e">
        <v>#DIV/0!</v>
      </c>
      <c r="I79" s="1123" t="e">
        <v>#DIV/0!</v>
      </c>
      <c r="J79" s="1124" t="e">
        <v>#DIV/0!</v>
      </c>
      <c r="K79" s="1123" t="e">
        <v>#DIV/0!</v>
      </c>
      <c r="L79" s="1123" t="e">
        <v>#DIV/0!</v>
      </c>
      <c r="M79" s="1123" t="e">
        <v>#DIV/0!</v>
      </c>
      <c r="N79" s="1123" t="e">
        <v>#DIV/0!</v>
      </c>
      <c r="O79" s="1125" t="e">
        <v>#DIV/0!</v>
      </c>
      <c r="R79" s="763" t="inlineStr">
        <is>
          <t>ROE</t>
        </is>
      </c>
      <c r="S79" s="699" t="n"/>
      <c r="T79" s="700" t="n"/>
      <c r="U79" s="1126" t="e">
        <v>#DIV/0!</v>
      </c>
      <c r="V79" s="1038" t="e">
        <v>#DIV/0!</v>
      </c>
      <c r="W79" s="1038" t="e">
        <v>#DIV/0!</v>
      </c>
      <c r="X79" s="1038" t="e">
        <v>#DIV/0!</v>
      </c>
      <c r="Y79" s="1038" t="e">
        <v>#DIV/0!</v>
      </c>
      <c r="Z79" s="1038" t="e">
        <v>#DIV/0!</v>
      </c>
      <c r="AA79" s="1037" t="e">
        <v>#DIV/0!</v>
      </c>
      <c r="AB79" s="1038" t="e">
        <v>#DIV/0!</v>
      </c>
      <c r="AC79" s="1038" t="e">
        <v>#DIV/0!</v>
      </c>
      <c r="AD79" s="1038" t="e">
        <v>#DIV/0!</v>
      </c>
      <c r="AE79" s="1038" t="e">
        <v>#DIV/0!</v>
      </c>
      <c r="AF79" s="1039" t="e">
        <v>#DIV/0!</v>
      </c>
    </row>
    <row r="80">
      <c r="A80" s="47" t="n"/>
      <c r="B80" s="180" t="n"/>
      <c r="C80" s="173" t="inlineStr">
        <is>
          <t>2024년 대비 (%p)</t>
        </is>
      </c>
      <c r="D80" s="1127" t="e">
        <v>#DIV/0!</v>
      </c>
      <c r="E80" s="1128" t="e">
        <v>#DIV/0!</v>
      </c>
      <c r="F80" s="1128" t="e">
        <v>#DIV/0!</v>
      </c>
      <c r="G80" s="1128" t="e">
        <v>#DIV/0!</v>
      </c>
      <c r="H80" s="1128" t="e">
        <v>#DIV/0!</v>
      </c>
      <c r="I80" s="1128" t="e">
        <v>#DIV/0!</v>
      </c>
      <c r="J80" s="1129" t="e">
        <v>#DIV/0!</v>
      </c>
      <c r="K80" s="1128" t="e">
        <v>#DIV/0!</v>
      </c>
      <c r="L80" s="1128" t="e">
        <v>#DIV/0!</v>
      </c>
      <c r="M80" s="1128" t="e">
        <v>#DIV/0!</v>
      </c>
      <c r="N80" s="1128" t="e">
        <v>#DIV/0!</v>
      </c>
      <c r="O80" s="1130" t="e">
        <v>#DIV/0!</v>
      </c>
      <c r="R80" s="47" t="n"/>
      <c r="S80" s="180" t="n"/>
      <c r="T80" s="173" t="inlineStr">
        <is>
          <t>2024년 대비 (%p)</t>
        </is>
      </c>
      <c r="U80" s="1131" t="e">
        <v>#DIV/0!</v>
      </c>
      <c r="V80" s="1132" t="e">
        <v>#DIV/0!</v>
      </c>
      <c r="W80" s="1132" t="e">
        <v>#DIV/0!</v>
      </c>
      <c r="X80" s="1132" t="e">
        <v>#DIV/0!</v>
      </c>
      <c r="Y80" s="1132" t="e">
        <v>#DIV/0!</v>
      </c>
      <c r="Z80" s="1132" t="e">
        <v>#DIV/0!</v>
      </c>
      <c r="AA80" s="1133" t="e">
        <v>#DIV/0!</v>
      </c>
      <c r="AB80" s="1132" t="e">
        <v>#DIV/0!</v>
      </c>
      <c r="AC80" s="1132" t="e">
        <v>#DIV/0!</v>
      </c>
      <c r="AD80" s="1132" t="e">
        <v>#DIV/0!</v>
      </c>
      <c r="AE80" s="1132" t="e">
        <v>#DIV/0!</v>
      </c>
      <c r="AF80" s="1134" t="e">
        <v>#DIV/0!</v>
      </c>
    </row>
    <row r="81" ht="17.25" customHeight="1" s="759" thickBot="1">
      <c r="A81" s="80" t="n"/>
      <c r="B81" s="181" t="n"/>
      <c r="C81" s="179" t="inlineStr">
        <is>
          <t>2023년 대비 (%p)</t>
        </is>
      </c>
      <c r="D81" s="1135" t="e">
        <v>#DIV/0!</v>
      </c>
      <c r="E81" s="1136" t="e">
        <v>#DIV/0!</v>
      </c>
      <c r="F81" s="1136" t="e">
        <v>#DIV/0!</v>
      </c>
      <c r="G81" s="1136" t="e">
        <v>#DIV/0!</v>
      </c>
      <c r="H81" s="1136" t="e">
        <v>#DIV/0!</v>
      </c>
      <c r="I81" s="1136" t="e">
        <v>#DIV/0!</v>
      </c>
      <c r="J81" s="1137" t="e">
        <v>#DIV/0!</v>
      </c>
      <c r="K81" s="1136" t="e">
        <v>#DIV/0!</v>
      </c>
      <c r="L81" s="1136" t="e">
        <v>#DIV/0!</v>
      </c>
      <c r="M81" s="1136" t="e">
        <v>#DIV/0!</v>
      </c>
      <c r="N81" s="1136" t="e">
        <v>#DIV/0!</v>
      </c>
      <c r="O81" s="1138" t="e">
        <v>#DIV/0!</v>
      </c>
      <c r="R81" s="80" t="n"/>
      <c r="S81" s="181" t="n"/>
      <c r="T81" s="179" t="inlineStr">
        <is>
          <t>2023년 대비 (%p)</t>
        </is>
      </c>
      <c r="U81" s="1139" t="e">
        <v>#DIV/0!</v>
      </c>
      <c r="V81" s="1140" t="e">
        <v>#DIV/0!</v>
      </c>
      <c r="W81" s="1140" t="e">
        <v>#DIV/0!</v>
      </c>
      <c r="X81" s="1140" t="e">
        <v>#DIV/0!</v>
      </c>
      <c r="Y81" s="1140" t="e">
        <v>#DIV/0!</v>
      </c>
      <c r="Z81" s="1140" t="e">
        <v>#DIV/0!</v>
      </c>
      <c r="AA81" s="1141" t="e">
        <v>#DIV/0!</v>
      </c>
      <c r="AB81" s="1140" t="e">
        <v>#DIV/0!</v>
      </c>
      <c r="AC81" s="1140" t="e">
        <v>#DIV/0!</v>
      </c>
      <c r="AD81" s="1140" t="e">
        <v>#DIV/0!</v>
      </c>
      <c r="AE81" s="1140" t="e">
        <v>#DIV/0!</v>
      </c>
      <c r="AF81" s="1142" t="e">
        <v>#DIV/0!</v>
      </c>
    </row>
    <row r="82">
      <c r="D82" s="849" t="n"/>
      <c r="E82" s="849" t="n"/>
      <c r="F82" s="849" t="n"/>
      <c r="G82" s="849" t="n"/>
      <c r="H82" s="849" t="n"/>
      <c r="I82" s="849" t="n"/>
      <c r="J82" s="849" t="n"/>
      <c r="K82" s="849" t="n"/>
      <c r="L82" s="849" t="n"/>
      <c r="M82" s="849" t="n"/>
      <c r="N82" s="849" t="n"/>
      <c r="O82" s="849" t="n"/>
    </row>
    <row r="83">
      <c r="D83" s="849" t="n"/>
      <c r="E83" s="849" t="n"/>
      <c r="F83" s="849" t="n"/>
      <c r="G83" s="849" t="n"/>
      <c r="H83" s="849" t="n"/>
      <c r="I83" s="849" t="n"/>
      <c r="J83" s="849" t="n"/>
      <c r="K83" s="849" t="n"/>
      <c r="L83" s="849" t="n"/>
      <c r="M83" s="849" t="n"/>
      <c r="N83" s="849" t="n"/>
      <c r="O83" s="849" t="n"/>
    </row>
    <row r="87" ht="17.25" customHeight="1" s="759" thickBot="1"/>
    <row r="88">
      <c r="B88" s="195" t="inlineStr">
        <is>
          <t>구분</t>
        </is>
      </c>
      <c r="C88" s="195" t="n"/>
      <c r="D88" s="762" t="inlineStr">
        <is>
          <t>당사</t>
        </is>
      </c>
      <c r="E88" s="764" t="inlineStr">
        <is>
          <t>생보사</t>
        </is>
      </c>
      <c r="F88" s="709" t="n"/>
      <c r="G88" s="709" t="n"/>
      <c r="H88" s="709" t="n"/>
      <c r="I88" s="709" t="n"/>
      <c r="J88" s="724" t="n"/>
      <c r="K88" s="754" t="inlineStr">
        <is>
          <t>손보사</t>
        </is>
      </c>
      <c r="L88" s="709" t="n"/>
      <c r="M88" s="709" t="n"/>
      <c r="N88" s="709" t="n"/>
      <c r="O88" s="745" t="n"/>
      <c r="S88" s="195" t="inlineStr">
        <is>
          <t>구분</t>
        </is>
      </c>
      <c r="T88" s="195" t="n"/>
      <c r="U88" s="762" t="inlineStr">
        <is>
          <t>당사</t>
        </is>
      </c>
      <c r="V88" s="764" t="inlineStr">
        <is>
          <t>생보사</t>
        </is>
      </c>
      <c r="W88" s="709" t="n"/>
      <c r="X88" s="709" t="n"/>
      <c r="Y88" s="709" t="n"/>
      <c r="Z88" s="709" t="n"/>
      <c r="AA88" s="724" t="n"/>
      <c r="AB88" s="754" t="inlineStr">
        <is>
          <t>손보사</t>
        </is>
      </c>
      <c r="AC88" s="709" t="n"/>
      <c r="AD88" s="709" t="n"/>
      <c r="AE88" s="709" t="n"/>
      <c r="AF88" s="745" t="n"/>
    </row>
    <row r="89" ht="17.25" customHeight="1" s="759" thickBot="1">
      <c r="B89" s="196" t="n"/>
      <c r="C89" s="196" t="n"/>
      <c r="D89" s="747" t="n"/>
      <c r="E89" s="89" t="inlineStr">
        <is>
          <t>삼성</t>
        </is>
      </c>
      <c r="F89" s="89" t="inlineStr">
        <is>
          <t>교보</t>
        </is>
      </c>
      <c r="G89" s="89" t="inlineStr">
        <is>
          <t>한화</t>
        </is>
      </c>
      <c r="H89" s="89" t="inlineStr">
        <is>
          <t>신한</t>
        </is>
      </c>
      <c r="I89" s="89" t="inlineStr">
        <is>
          <t>동양</t>
        </is>
      </c>
      <c r="J89" s="182" t="inlineStr">
        <is>
          <t>KB</t>
        </is>
      </c>
      <c r="K89" s="89" t="inlineStr">
        <is>
          <t>삼성</t>
        </is>
      </c>
      <c r="L89" s="89" t="inlineStr">
        <is>
          <t>현대</t>
        </is>
      </c>
      <c r="M89" s="89" t="inlineStr">
        <is>
          <t>메리츠</t>
        </is>
      </c>
      <c r="N89" s="89" t="inlineStr">
        <is>
          <t>KB</t>
        </is>
      </c>
      <c r="O89" s="212" t="inlineStr">
        <is>
          <t>DB</t>
        </is>
      </c>
      <c r="S89" s="196" t="n"/>
      <c r="T89" s="196" t="n"/>
      <c r="U89" s="747" t="n"/>
      <c r="V89" s="89" t="inlineStr">
        <is>
          <t>삼성</t>
        </is>
      </c>
      <c r="W89" s="89" t="inlineStr">
        <is>
          <t>교보</t>
        </is>
      </c>
      <c r="X89" s="89" t="inlineStr">
        <is>
          <t>한화</t>
        </is>
      </c>
      <c r="Y89" s="89" t="inlineStr">
        <is>
          <t>신한</t>
        </is>
      </c>
      <c r="Z89" s="89" t="inlineStr">
        <is>
          <t>동양</t>
        </is>
      </c>
      <c r="AA89" s="182" t="inlineStr">
        <is>
          <t>KB</t>
        </is>
      </c>
      <c r="AB89" s="89" t="inlineStr">
        <is>
          <t>삼성</t>
        </is>
      </c>
      <c r="AC89" s="89" t="inlineStr">
        <is>
          <t>현대</t>
        </is>
      </c>
      <c r="AD89" s="89" t="inlineStr">
        <is>
          <t>메리츠</t>
        </is>
      </c>
      <c r="AE89" s="89" t="inlineStr">
        <is>
          <t>KB</t>
        </is>
      </c>
      <c r="AF89" s="212" t="inlineStr">
        <is>
          <t>DB</t>
        </is>
      </c>
    </row>
    <row r="90">
      <c r="B90" s="192" t="inlineStr">
        <is>
          <t xml:space="preserve">①      CSM잔액 </t>
        </is>
      </c>
      <c r="C90" s="192" t="n"/>
      <c r="D90" s="1143" t="n">
        <v>0</v>
      </c>
      <c r="E90" s="1144" t="n">
        <v>0</v>
      </c>
      <c r="F90" s="1144" t="n">
        <v>0</v>
      </c>
      <c r="G90" s="1144" t="n">
        <v>0</v>
      </c>
      <c r="H90" s="1144" t="n">
        <v>0</v>
      </c>
      <c r="I90" s="1144" t="n">
        <v>0</v>
      </c>
      <c r="J90" s="1143" t="n">
        <v>0</v>
      </c>
      <c r="K90" s="1144" t="n">
        <v>0</v>
      </c>
      <c r="L90" s="1144" t="n">
        <v>0</v>
      </c>
      <c r="M90" s="1144" t="n">
        <v>0</v>
      </c>
      <c r="N90" s="1144" t="n">
        <v>0</v>
      </c>
      <c r="O90" s="1145" t="n">
        <v>0</v>
      </c>
      <c r="S90" s="192" t="inlineStr">
        <is>
          <t xml:space="preserve">①      CSM잔액 </t>
        </is>
      </c>
      <c r="T90" s="192" t="n"/>
      <c r="U90" s="944" t="n">
        <v>0</v>
      </c>
      <c r="V90" s="943" t="n">
        <v>0</v>
      </c>
      <c r="W90" s="943" t="n">
        <v>0</v>
      </c>
      <c r="X90" s="943" t="n">
        <v>0</v>
      </c>
      <c r="Y90" s="943" t="n">
        <v>0</v>
      </c>
      <c r="Z90" s="943" t="n">
        <v>0</v>
      </c>
      <c r="AA90" s="944" t="n">
        <v>0</v>
      </c>
      <c r="AB90" s="943" t="n">
        <v>0</v>
      </c>
      <c r="AC90" s="943" t="n">
        <v>0</v>
      </c>
      <c r="AD90" s="943" t="n">
        <v>0</v>
      </c>
      <c r="AE90" s="943" t="n">
        <v>0</v>
      </c>
      <c r="AF90" s="945" t="n">
        <v>0</v>
      </c>
    </row>
    <row r="91">
      <c r="B91" s="96" t="n"/>
      <c r="C91" s="189" t="inlineStr">
        <is>
          <t>2024년 대비(%)</t>
        </is>
      </c>
      <c r="D91" s="1110" t="e">
        <v>#DIV/0!</v>
      </c>
      <c r="E91" s="1146" t="e">
        <v>#DIV/0!</v>
      </c>
      <c r="F91" s="1146" t="e">
        <v>#DIV/0!</v>
      </c>
      <c r="G91" s="1146" t="e">
        <v>#DIV/0!</v>
      </c>
      <c r="H91" s="1146" t="e">
        <v>#DIV/0!</v>
      </c>
      <c r="I91" s="1146" t="e">
        <v>#DIV/0!</v>
      </c>
      <c r="J91" s="1147" t="e">
        <v>#DIV/0!</v>
      </c>
      <c r="K91" s="1146" t="e">
        <v>#DIV/0!</v>
      </c>
      <c r="L91" s="1146" t="e">
        <v>#DIV/0!</v>
      </c>
      <c r="M91" s="1146" t="e">
        <v>#DIV/0!</v>
      </c>
      <c r="N91" s="1146" t="e">
        <v>#DIV/0!</v>
      </c>
      <c r="O91" s="1148" t="e">
        <v>#DIV/0!</v>
      </c>
      <c r="S91" s="96" t="n"/>
      <c r="T91" s="189" t="n">
        <v>2024</v>
      </c>
      <c r="U91" s="1149" t="n">
        <v>0</v>
      </c>
      <c r="V91" s="1150" t="n">
        <v>0</v>
      </c>
      <c r="W91" s="1150" t="n">
        <v>0</v>
      </c>
      <c r="X91" s="1150" t="n">
        <v>0</v>
      </c>
      <c r="Y91" s="1150" t="n">
        <v>0</v>
      </c>
      <c r="Z91" s="1150" t="n">
        <v>0</v>
      </c>
      <c r="AA91" s="1149" t="n">
        <v>0</v>
      </c>
      <c r="AB91" s="1150" t="n">
        <v>0</v>
      </c>
      <c r="AC91" s="1150" t="n">
        <v>0</v>
      </c>
      <c r="AD91" s="1150" t="n">
        <v>0</v>
      </c>
      <c r="AE91" s="1150" t="n">
        <v>0</v>
      </c>
      <c r="AF91" s="1151" t="n">
        <v>0</v>
      </c>
    </row>
    <row r="92" ht="17.25" customHeight="1" s="759" thickBot="1">
      <c r="B92" s="96" t="n"/>
      <c r="C92" s="188" t="inlineStr">
        <is>
          <t>2023년 대비(%)</t>
        </is>
      </c>
      <c r="D92" s="1110" t="e">
        <v>#DIV/0!</v>
      </c>
      <c r="E92" s="1152" t="e">
        <v>#DIV/0!</v>
      </c>
      <c r="F92" s="1152" t="e">
        <v>#DIV/0!</v>
      </c>
      <c r="G92" s="1152" t="e">
        <v>#DIV/0!</v>
      </c>
      <c r="H92" s="1152" t="e">
        <v>#DIV/0!</v>
      </c>
      <c r="I92" s="1152" t="e">
        <v>#DIV/0!</v>
      </c>
      <c r="J92" s="1153" t="e">
        <v>#DIV/0!</v>
      </c>
      <c r="K92" s="1152" t="e">
        <v>#DIV/0!</v>
      </c>
      <c r="L92" s="1152" t="e">
        <v>#DIV/0!</v>
      </c>
      <c r="M92" s="1152" t="e">
        <v>#DIV/0!</v>
      </c>
      <c r="N92" s="1152" t="e">
        <v>#DIV/0!</v>
      </c>
      <c r="O92" s="1154" t="e">
        <v>#DIV/0!</v>
      </c>
      <c r="S92" s="96" t="n"/>
      <c r="T92" s="188" t="n">
        <v>2023</v>
      </c>
      <c r="U92" s="1155" t="n">
        <v>0</v>
      </c>
      <c r="V92" s="1156" t="n">
        <v>0</v>
      </c>
      <c r="W92" s="1156" t="n">
        <v>0</v>
      </c>
      <c r="X92" s="1156" t="n">
        <v>0</v>
      </c>
      <c r="Y92" s="1156" t="n">
        <v>0</v>
      </c>
      <c r="Z92" s="1156" t="n">
        <v>0</v>
      </c>
      <c r="AA92" s="1155" t="n">
        <v>0</v>
      </c>
      <c r="AB92" s="1156" t="n">
        <v>0</v>
      </c>
      <c r="AC92" s="1156" t="n">
        <v>0</v>
      </c>
      <c r="AD92" s="1156" t="n">
        <v>0</v>
      </c>
      <c r="AE92" s="1156" t="n">
        <v>0</v>
      </c>
      <c r="AF92" s="1157" t="n">
        <v>0</v>
      </c>
    </row>
    <row r="93">
      <c r="B93" s="192" t="inlineStr">
        <is>
          <t>②      신계약CSM</t>
        </is>
      </c>
      <c r="C93" s="192" t="n"/>
      <c r="D93" s="1158" t="n">
        <v>0</v>
      </c>
      <c r="E93" s="1159" t="n">
        <v>0</v>
      </c>
      <c r="F93" s="1159" t="n">
        <v>0</v>
      </c>
      <c r="G93" s="1159" t="n">
        <v>0</v>
      </c>
      <c r="H93" s="1159" t="n">
        <v>0</v>
      </c>
      <c r="I93" s="1159" t="n">
        <v>0</v>
      </c>
      <c r="J93" s="1158" t="n">
        <v>0</v>
      </c>
      <c r="K93" s="1159" t="n">
        <v>0</v>
      </c>
      <c r="L93" s="1159" t="n">
        <v>0</v>
      </c>
      <c r="M93" s="1159" t="n">
        <v>0</v>
      </c>
      <c r="N93" s="1159" t="n">
        <v>0</v>
      </c>
      <c r="O93" s="1160" t="n">
        <v>0</v>
      </c>
      <c r="S93" s="192" t="inlineStr">
        <is>
          <t>②      신계약CSM</t>
        </is>
      </c>
      <c r="T93" s="192" t="n"/>
      <c r="U93" s="1161" t="n">
        <v>0</v>
      </c>
      <c r="V93" s="1162" t="n">
        <v>0</v>
      </c>
      <c r="W93" s="1162" t="n">
        <v>0</v>
      </c>
      <c r="X93" s="1162" t="n">
        <v>0</v>
      </c>
      <c r="Y93" s="1162" t="n">
        <v>0</v>
      </c>
      <c r="Z93" s="1162" t="n">
        <v>0</v>
      </c>
      <c r="AA93" s="1161" t="n">
        <v>0</v>
      </c>
      <c r="AB93" s="1162" t="n">
        <v>0</v>
      </c>
      <c r="AC93" s="1162" t="n">
        <v>0</v>
      </c>
      <c r="AD93" s="1162" t="n">
        <v>0</v>
      </c>
      <c r="AE93" s="1162" t="n">
        <v>0</v>
      </c>
      <c r="AF93" s="1163" t="n">
        <v>0</v>
      </c>
    </row>
    <row r="94" ht="16.5" customHeight="1" s="759">
      <c r="B94" s="190" t="n"/>
      <c r="C94" s="189" t="inlineStr">
        <is>
          <t>전기대비 증가율</t>
        </is>
      </c>
      <c r="D94" s="1147" t="e">
        <v>#DIV/0!</v>
      </c>
      <c r="E94" s="1146" t="e">
        <v>#DIV/0!</v>
      </c>
      <c r="F94" s="1146" t="e">
        <v>#DIV/0!</v>
      </c>
      <c r="G94" s="1146" t="e">
        <v>#DIV/0!</v>
      </c>
      <c r="H94" s="1146" t="e">
        <v>#DIV/0!</v>
      </c>
      <c r="I94" s="1146" t="e">
        <v>#DIV/0!</v>
      </c>
      <c r="J94" s="1147" t="e">
        <v>#DIV/0!</v>
      </c>
      <c r="K94" s="1146" t="e">
        <v>#DIV/0!</v>
      </c>
      <c r="L94" s="1146" t="e">
        <v>#DIV/0!</v>
      </c>
      <c r="M94" s="1146" t="e">
        <v>#DIV/0!</v>
      </c>
      <c r="N94" s="1146" t="e">
        <v>#DIV/0!</v>
      </c>
      <c r="O94" s="1148" t="e">
        <v>#DIV/0!</v>
      </c>
      <c r="S94" s="190" t="n"/>
      <c r="T94" s="189" t="n">
        <v>2024</v>
      </c>
      <c r="U94" s="1149" t="n">
        <v>0</v>
      </c>
      <c r="V94" s="1150" t="n">
        <v>0</v>
      </c>
      <c r="W94" s="1150" t="n">
        <v>0</v>
      </c>
      <c r="X94" s="1150" t="n">
        <v>0</v>
      </c>
      <c r="Y94" s="1150" t="n">
        <v>0</v>
      </c>
      <c r="Z94" s="1150" t="n">
        <v>0</v>
      </c>
      <c r="AA94" s="1149" t="n">
        <v>0</v>
      </c>
      <c r="AB94" s="1150" t="n">
        <v>0</v>
      </c>
      <c r="AC94" s="1150" t="n">
        <v>0</v>
      </c>
      <c r="AD94" s="1150" t="n">
        <v>0</v>
      </c>
      <c r="AE94" s="1150" t="n">
        <v>0</v>
      </c>
      <c r="AF94" s="1151" t="n">
        <v>0</v>
      </c>
    </row>
    <row r="95" ht="17.25" customHeight="1" s="759" thickBot="1">
      <c r="B95" s="191" t="n"/>
      <c r="C95" s="188" t="inlineStr">
        <is>
          <t>②/①</t>
        </is>
      </c>
      <c r="D95" s="1164" t="e">
        <v>#DIV/0!</v>
      </c>
      <c r="E95" s="1165" t="e">
        <v>#DIV/0!</v>
      </c>
      <c r="F95" s="1165" t="e">
        <v>#DIV/0!</v>
      </c>
      <c r="G95" s="1165" t="e">
        <v>#DIV/0!</v>
      </c>
      <c r="H95" s="1165" t="e">
        <v>#DIV/0!</v>
      </c>
      <c r="I95" s="1165" t="e">
        <v>#DIV/0!</v>
      </c>
      <c r="J95" s="1164" t="e">
        <v>#DIV/0!</v>
      </c>
      <c r="K95" s="1165" t="e">
        <v>#DIV/0!</v>
      </c>
      <c r="L95" s="1165" t="e">
        <v>#DIV/0!</v>
      </c>
      <c r="M95" s="1165" t="e">
        <v>#DIV/0!</v>
      </c>
      <c r="N95" s="1165" t="e">
        <v>#DIV/0!</v>
      </c>
      <c r="O95" s="1166" t="e">
        <v>#DIV/0!</v>
      </c>
      <c r="S95" s="191" t="n"/>
      <c r="T95" s="188" t="n"/>
      <c r="U95" s="183" t="n"/>
      <c r="V95" s="184" t="n"/>
      <c r="W95" s="184" t="n"/>
      <c r="X95" s="184" t="n"/>
      <c r="Y95" s="184" t="n"/>
      <c r="Z95" s="184" t="n"/>
      <c r="AA95" s="183" t="n"/>
      <c r="AB95" s="184" t="n"/>
      <c r="AC95" s="184" t="n"/>
      <c r="AD95" s="184" t="n"/>
      <c r="AE95" s="184" t="n"/>
      <c r="AF95" s="185" t="n"/>
    </row>
    <row r="96" ht="16.5" customHeight="1" s="759">
      <c r="B96" s="750" t="inlineStr">
        <is>
          <t>③ CSM상각액</t>
        </is>
      </c>
      <c r="C96" s="699" t="n"/>
      <c r="D96" s="1167" t="n">
        <v>0</v>
      </c>
      <c r="E96" s="1168" t="n">
        <v>0</v>
      </c>
      <c r="F96" s="1168" t="n">
        <v>0</v>
      </c>
      <c r="G96" s="1168" t="n">
        <v>0</v>
      </c>
      <c r="H96" s="1168" t="n">
        <v>0</v>
      </c>
      <c r="I96" s="1168" t="n">
        <v>0</v>
      </c>
      <c r="J96" s="1167" t="n">
        <v>0</v>
      </c>
      <c r="K96" s="1168" t="n">
        <v>0</v>
      </c>
      <c r="L96" s="1168" t="n">
        <v>0</v>
      </c>
      <c r="M96" s="1168" t="n">
        <v>0</v>
      </c>
      <c r="N96" s="1168" t="n">
        <v>0</v>
      </c>
      <c r="O96" s="1169" t="n">
        <v>0</v>
      </c>
      <c r="S96" s="750" t="inlineStr">
        <is>
          <t>③ CSM상각액</t>
        </is>
      </c>
      <c r="T96" s="699" t="n"/>
      <c r="U96" s="1170" t="n">
        <v>0</v>
      </c>
      <c r="V96" s="1171" t="n">
        <v>0</v>
      </c>
      <c r="W96" s="1171" t="n">
        <v>0</v>
      </c>
      <c r="X96" s="1171" t="n">
        <v>0</v>
      </c>
      <c r="Y96" s="1171" t="n">
        <v>0</v>
      </c>
      <c r="Z96" s="1171" t="n">
        <v>0</v>
      </c>
      <c r="AA96" s="1170" t="n">
        <v>0</v>
      </c>
      <c r="AB96" s="1171" t="n">
        <v>0</v>
      </c>
      <c r="AC96" s="1171" t="n">
        <v>0</v>
      </c>
      <c r="AD96" s="1171" t="n">
        <v>0</v>
      </c>
      <c r="AE96" s="1171" t="n">
        <v>0</v>
      </c>
      <c r="AF96" s="1172" t="n">
        <v>0</v>
      </c>
    </row>
    <row r="97">
      <c r="B97" s="193" t="n"/>
      <c r="C97" s="186" t="inlineStr">
        <is>
          <t>전기대비 증가율</t>
        </is>
      </c>
      <c r="D97" s="1147" t="e">
        <v>#DIV/0!</v>
      </c>
      <c r="E97" s="1146" t="e">
        <v>#DIV/0!</v>
      </c>
      <c r="F97" s="1146" t="e">
        <v>#DIV/0!</v>
      </c>
      <c r="G97" s="1146" t="e">
        <v>#DIV/0!</v>
      </c>
      <c r="H97" s="1146" t="e">
        <v>#DIV/0!</v>
      </c>
      <c r="I97" s="1146" t="e">
        <v>#DIV/0!</v>
      </c>
      <c r="J97" s="1147" t="e">
        <v>#DIV/0!</v>
      </c>
      <c r="K97" s="1146" t="e">
        <v>#DIV/0!</v>
      </c>
      <c r="L97" s="1146" t="e">
        <v>#DIV/0!</v>
      </c>
      <c r="M97" s="1146" t="e">
        <v>#DIV/0!</v>
      </c>
      <c r="N97" s="1146" t="e">
        <v>#DIV/0!</v>
      </c>
      <c r="O97" s="1148" t="e">
        <v>#DIV/0!</v>
      </c>
      <c r="S97" s="193" t="n"/>
      <c r="T97" s="186" t="n">
        <v>2024</v>
      </c>
      <c r="U97" s="1155" t="n">
        <v>0</v>
      </c>
      <c r="V97" s="1156" t="n">
        <v>0</v>
      </c>
      <c r="W97" s="1156" t="n">
        <v>0</v>
      </c>
      <c r="X97" s="1156" t="n">
        <v>0</v>
      </c>
      <c r="Y97" s="1156" t="n">
        <v>0</v>
      </c>
      <c r="Z97" s="1156" t="n">
        <v>0</v>
      </c>
      <c r="AA97" s="1155" t="n">
        <v>0</v>
      </c>
      <c r="AB97" s="1156" t="n">
        <v>0</v>
      </c>
      <c r="AC97" s="1156" t="n">
        <v>0</v>
      </c>
      <c r="AD97" s="1156" t="n">
        <v>0</v>
      </c>
      <c r="AE97" s="1156" t="n">
        <v>0</v>
      </c>
      <c r="AF97" s="1157" t="n">
        <v>0</v>
      </c>
    </row>
    <row r="98" ht="17.25" customHeight="1" s="759" thickBot="1">
      <c r="B98" s="194" t="n"/>
      <c r="C98" s="187" t="inlineStr">
        <is>
          <t>②/③</t>
        </is>
      </c>
      <c r="D98" s="1164" t="e">
        <v>#DIV/0!</v>
      </c>
      <c r="E98" s="1165" t="e">
        <v>#DIV/0!</v>
      </c>
      <c r="F98" s="1165" t="e">
        <v>#DIV/0!</v>
      </c>
      <c r="G98" s="1165" t="e">
        <v>#DIV/0!</v>
      </c>
      <c r="H98" s="1165" t="e">
        <v>#DIV/0!</v>
      </c>
      <c r="I98" s="1165" t="e">
        <v>#DIV/0!</v>
      </c>
      <c r="J98" s="1164" t="e">
        <v>#DIV/0!</v>
      </c>
      <c r="K98" s="1165" t="e">
        <v>#DIV/0!</v>
      </c>
      <c r="L98" s="1165" t="e">
        <v>#DIV/0!</v>
      </c>
      <c r="M98" s="1165" t="e">
        <v>#DIV/0!</v>
      </c>
      <c r="N98" s="1165" t="e">
        <v>#DIV/0!</v>
      </c>
      <c r="O98" s="1166" t="e">
        <v>#DIV/0!</v>
      </c>
      <c r="S98" s="194" t="n"/>
      <c r="T98" s="187" t="n"/>
      <c r="U98" s="183" t="n"/>
      <c r="V98" s="184" t="n"/>
      <c r="W98" s="184" t="n"/>
      <c r="X98" s="184" t="n"/>
      <c r="Y98" s="184" t="n"/>
      <c r="Z98" s="184" t="n"/>
      <c r="AA98" s="183" t="n"/>
      <c r="AB98" s="184" t="n"/>
      <c r="AC98" s="184" t="n"/>
      <c r="AD98" s="184" t="n"/>
      <c r="AE98" s="184" t="n"/>
      <c r="AF98" s="185" t="n"/>
    </row>
    <row r="99" ht="16.5" customHeight="1" s="759">
      <c r="B99" s="761" t="inlineStr">
        <is>
          <t>④ CSM조정액</t>
        </is>
      </c>
      <c r="C99" s="699" t="n"/>
      <c r="D99" s="1143" t="n">
        <v>0</v>
      </c>
      <c r="E99" s="1144" t="n">
        <v>0</v>
      </c>
      <c r="F99" s="1144" t="n">
        <v>0</v>
      </c>
      <c r="G99" s="1144" t="n">
        <v>0</v>
      </c>
      <c r="H99" s="1144" t="n">
        <v>0</v>
      </c>
      <c r="I99" s="1144" t="n">
        <v>0</v>
      </c>
      <c r="J99" s="1143" t="n">
        <v>0</v>
      </c>
      <c r="K99" s="1144" t="n">
        <v>0</v>
      </c>
      <c r="L99" s="1144" t="n">
        <v>0</v>
      </c>
      <c r="M99" s="1144" t="n">
        <v>0</v>
      </c>
      <c r="N99" s="1144" t="n">
        <v>0</v>
      </c>
      <c r="O99" s="1145" t="n">
        <v>0</v>
      </c>
      <c r="P99" s="1173" t="n"/>
      <c r="S99" s="761" t="inlineStr">
        <is>
          <t>④ CSM조정액</t>
        </is>
      </c>
      <c r="T99" s="699" t="n"/>
      <c r="U99" s="1143" t="n">
        <v>0</v>
      </c>
      <c r="V99" s="1144" t="n">
        <v>0</v>
      </c>
      <c r="W99" s="1144" t="n">
        <v>0</v>
      </c>
      <c r="X99" s="1144" t="n">
        <v>0</v>
      </c>
      <c r="Y99" s="1144" t="n">
        <v>0</v>
      </c>
      <c r="Z99" s="1144" t="n">
        <v>0</v>
      </c>
      <c r="AA99" s="1143" t="n">
        <v>0</v>
      </c>
      <c r="AB99" s="1144" t="n">
        <v>0</v>
      </c>
      <c r="AC99" s="1144" t="n">
        <v>0</v>
      </c>
      <c r="AD99" s="1144" t="n">
        <v>0</v>
      </c>
      <c r="AE99" s="1144" t="n">
        <v>0</v>
      </c>
      <c r="AF99" s="1145" t="n">
        <v>0</v>
      </c>
    </row>
    <row r="100">
      <c r="B100" s="193" t="n"/>
      <c r="C100" s="193" t="inlineStr">
        <is>
          <t>④/①</t>
        </is>
      </c>
      <c r="D100" s="1174" t="e">
        <v>#DIV/0!</v>
      </c>
      <c r="E100" s="1175" t="e">
        <v>#DIV/0!</v>
      </c>
      <c r="F100" s="1175" t="e">
        <v>#DIV/0!</v>
      </c>
      <c r="G100" s="1175" t="e">
        <v>#DIV/0!</v>
      </c>
      <c r="H100" s="1175" t="e">
        <v>#DIV/0!</v>
      </c>
      <c r="I100" s="1175" t="e">
        <v>#DIV/0!</v>
      </c>
      <c r="J100" s="1174" t="e">
        <v>#DIV/0!</v>
      </c>
      <c r="K100" s="1175" t="e">
        <v>#DIV/0!</v>
      </c>
      <c r="L100" s="1175" t="e">
        <v>#DIV/0!</v>
      </c>
      <c r="M100" s="1175" t="e">
        <v>#DIV/0!</v>
      </c>
      <c r="N100" s="1175" t="e">
        <v>#DIV/0!</v>
      </c>
      <c r="O100" s="1176" t="e">
        <v>#DIV/0!</v>
      </c>
      <c r="P100" s="1177" t="n"/>
      <c r="S100" s="193" t="n"/>
      <c r="T100" s="193" t="inlineStr">
        <is>
          <t>④/①</t>
        </is>
      </c>
      <c r="U100" s="1174" t="n"/>
      <c r="V100" s="1175" t="n"/>
      <c r="W100" s="1175" t="n"/>
      <c r="X100" s="1175" t="n"/>
      <c r="Y100" s="1175" t="n"/>
      <c r="Z100" s="1175" t="n"/>
      <c r="AA100" s="1174" t="n"/>
      <c r="AB100" s="1175" t="n"/>
      <c r="AC100" s="1175" t="n"/>
      <c r="AD100" s="1175" t="n"/>
      <c r="AE100" s="1175" t="n"/>
      <c r="AF100" s="1176" t="n"/>
    </row>
    <row r="101">
      <c r="B101" s="193" t="n"/>
      <c r="C101" s="193" t="inlineStr">
        <is>
          <t>해지율</t>
        </is>
      </c>
      <c r="D101" s="1174" t="e">
        <v>#DIV/0!</v>
      </c>
      <c r="E101" s="1178" t="e">
        <v>#DIV/0!</v>
      </c>
      <c r="F101" s="1178" t="e">
        <v>#DIV/0!</v>
      </c>
      <c r="G101" s="1178" t="e">
        <v>#DIV/0!</v>
      </c>
      <c r="H101" s="1178" t="e">
        <v>#DIV/0!</v>
      </c>
      <c r="I101" s="1178" t="e">
        <v>#DIV/0!</v>
      </c>
      <c r="J101" s="1179" t="e">
        <v>#DIV/0!</v>
      </c>
      <c r="K101" s="1178" t="e">
        <v>#DIV/0!</v>
      </c>
      <c r="L101" s="1178" t="e">
        <v>#DIV/0!</v>
      </c>
      <c r="M101" s="1178" t="e">
        <v>#DIV/0!</v>
      </c>
      <c r="N101" s="1178" t="e">
        <v>#DIV/0!</v>
      </c>
      <c r="O101" s="1180" t="e">
        <v>#DIV/0!</v>
      </c>
      <c r="P101" s="1181" t="n"/>
      <c r="Q101" s="1181" t="n"/>
      <c r="S101" s="193" t="n"/>
      <c r="T101" s="193" t="inlineStr">
        <is>
          <t>해지율</t>
        </is>
      </c>
      <c r="U101" s="1182" t="n">
        <v>0</v>
      </c>
      <c r="V101" s="1183" t="n">
        <v>0</v>
      </c>
      <c r="W101" s="1183" t="n">
        <v>0</v>
      </c>
      <c r="X101" s="1183" t="n">
        <v>0</v>
      </c>
      <c r="Y101" s="1183" t="n">
        <v>0</v>
      </c>
      <c r="Z101" s="1183" t="n">
        <v>0</v>
      </c>
      <c r="AA101" s="1182" t="n">
        <v>0</v>
      </c>
      <c r="AB101" s="1183" t="n">
        <v>0</v>
      </c>
      <c r="AC101" s="1183" t="n">
        <v>0</v>
      </c>
      <c r="AD101" s="1183" t="n">
        <v>0</v>
      </c>
      <c r="AE101" s="1183" t="n">
        <v>0</v>
      </c>
      <c r="AF101" s="1184" t="n">
        <v>0</v>
      </c>
      <c r="AG101" s="697" t="n">
        <v>0</v>
      </c>
    </row>
    <row r="102">
      <c r="B102" s="193" t="n"/>
      <c r="C102" s="193" t="inlineStr">
        <is>
          <t>위험율</t>
        </is>
      </c>
      <c r="D102" s="1174" t="e">
        <v>#DIV/0!</v>
      </c>
      <c r="E102" s="1178" t="e">
        <v>#DIV/0!</v>
      </c>
      <c r="F102" s="1178" t="e">
        <v>#DIV/0!</v>
      </c>
      <c r="G102" s="1178" t="e">
        <v>#DIV/0!</v>
      </c>
      <c r="H102" s="1178" t="e">
        <v>#DIV/0!</v>
      </c>
      <c r="I102" s="1178" t="e">
        <v>#DIV/0!</v>
      </c>
      <c r="J102" s="1179" t="e">
        <v>#DIV/0!</v>
      </c>
      <c r="K102" s="1178" t="e">
        <v>#DIV/0!</v>
      </c>
      <c r="L102" s="1178" t="e">
        <v>#DIV/0!</v>
      </c>
      <c r="M102" s="1178" t="e">
        <v>#DIV/0!</v>
      </c>
      <c r="N102" s="1178" t="e">
        <v>#DIV/0!</v>
      </c>
      <c r="O102" s="1180" t="e">
        <v>#DIV/0!</v>
      </c>
      <c r="P102" s="1181" t="n"/>
      <c r="Q102" s="1181" t="n"/>
      <c r="S102" s="193" t="n"/>
      <c r="T102" s="193" t="inlineStr">
        <is>
          <t>위험율</t>
        </is>
      </c>
      <c r="U102" s="1182" t="n">
        <v>0</v>
      </c>
      <c r="V102" s="1183" t="n">
        <v>0</v>
      </c>
      <c r="W102" s="1183" t="n">
        <v>0</v>
      </c>
      <c r="X102" s="1183" t="n">
        <v>0</v>
      </c>
      <c r="Y102" s="1183" t="n">
        <v>0</v>
      </c>
      <c r="Z102" s="1183" t="n">
        <v>0</v>
      </c>
      <c r="AA102" s="1182" t="n">
        <v>0</v>
      </c>
      <c r="AB102" s="1183" t="n">
        <v>0</v>
      </c>
      <c r="AC102" s="1183" t="n">
        <v>0</v>
      </c>
      <c r="AD102" s="1183" t="n">
        <v>0</v>
      </c>
      <c r="AE102" s="1183" t="n">
        <v>0</v>
      </c>
      <c r="AF102" s="1184" t="n">
        <v>0</v>
      </c>
      <c r="AG102" s="697" t="n">
        <v>0</v>
      </c>
    </row>
    <row r="103">
      <c r="B103" s="193" t="n"/>
      <c r="C103" s="193" t="inlineStr">
        <is>
          <t>사업비율</t>
        </is>
      </c>
      <c r="D103" s="1174" t="e">
        <v>#DIV/0!</v>
      </c>
      <c r="E103" s="1178" t="e">
        <v>#DIV/0!</v>
      </c>
      <c r="F103" s="1178" t="e">
        <v>#DIV/0!</v>
      </c>
      <c r="G103" s="1178" t="e">
        <v>#DIV/0!</v>
      </c>
      <c r="H103" s="1178" t="e">
        <v>#DIV/0!</v>
      </c>
      <c r="I103" s="1178" t="e">
        <v>#DIV/0!</v>
      </c>
      <c r="J103" s="1179" t="e">
        <v>#DIV/0!</v>
      </c>
      <c r="K103" s="1178" t="e">
        <v>#DIV/0!</v>
      </c>
      <c r="L103" s="1178" t="e">
        <v>#DIV/0!</v>
      </c>
      <c r="M103" s="1178" t="e">
        <v>#DIV/0!</v>
      </c>
      <c r="N103" s="1178" t="e">
        <v>#DIV/0!</v>
      </c>
      <c r="O103" s="1180" t="e">
        <v>#DIV/0!</v>
      </c>
      <c r="P103" s="1181" t="n"/>
      <c r="Q103" s="1181" t="n"/>
      <c r="S103" s="193" t="n"/>
      <c r="T103" s="193" t="inlineStr">
        <is>
          <t>사업비율</t>
        </is>
      </c>
      <c r="U103" s="1182" t="n">
        <v>0</v>
      </c>
      <c r="V103" s="1183" t="n">
        <v>0</v>
      </c>
      <c r="W103" s="1183" t="n">
        <v>0</v>
      </c>
      <c r="X103" s="1183" t="n">
        <v>0</v>
      </c>
      <c r="Y103" s="1183" t="n">
        <v>0</v>
      </c>
      <c r="Z103" s="1183" t="n">
        <v>0</v>
      </c>
      <c r="AA103" s="1182" t="n">
        <v>0</v>
      </c>
      <c r="AB103" s="1183" t="n">
        <v>0</v>
      </c>
      <c r="AC103" s="1183" t="n">
        <v>0</v>
      </c>
      <c r="AD103" s="1183" t="n">
        <v>0</v>
      </c>
      <c r="AE103" s="1183" t="n">
        <v>0</v>
      </c>
      <c r="AF103" s="1184" t="n">
        <v>0</v>
      </c>
      <c r="AG103" s="697" t="n">
        <v>0</v>
      </c>
    </row>
    <row r="104">
      <c r="B104" s="193" t="n"/>
      <c r="C104" s="193" t="inlineStr">
        <is>
          <t>기타가정</t>
        </is>
      </c>
      <c r="D104" s="1174" t="e">
        <v>#DIV/0!</v>
      </c>
      <c r="E104" s="1178" t="e">
        <v>#DIV/0!</v>
      </c>
      <c r="F104" s="1178" t="e">
        <v>#DIV/0!</v>
      </c>
      <c r="G104" s="1178" t="e">
        <v>#DIV/0!</v>
      </c>
      <c r="H104" s="1178" t="e">
        <v>#DIV/0!</v>
      </c>
      <c r="I104" s="1178" t="e">
        <v>#DIV/0!</v>
      </c>
      <c r="J104" s="1179" t="e">
        <v>#DIV/0!</v>
      </c>
      <c r="K104" s="1178" t="e">
        <v>#DIV/0!</v>
      </c>
      <c r="L104" s="1178" t="e">
        <v>#DIV/0!</v>
      </c>
      <c r="M104" s="1178" t="e">
        <v>#DIV/0!</v>
      </c>
      <c r="N104" s="1178" t="e">
        <v>#DIV/0!</v>
      </c>
      <c r="O104" s="1180" t="e">
        <v>#DIV/0!</v>
      </c>
      <c r="P104" s="1181" t="n"/>
      <c r="Q104" s="1181" t="n"/>
      <c r="S104" s="193" t="n"/>
      <c r="T104" s="193" t="inlineStr">
        <is>
          <t>기타가정</t>
        </is>
      </c>
      <c r="U104" s="1182" t="n">
        <v>0</v>
      </c>
      <c r="V104" s="1183" t="n">
        <v>0</v>
      </c>
      <c r="W104" s="1183" t="n">
        <v>0</v>
      </c>
      <c r="X104" s="1183" t="n">
        <v>0</v>
      </c>
      <c r="Y104" s="1183" t="n">
        <v>0</v>
      </c>
      <c r="Z104" s="1183" t="n">
        <v>0</v>
      </c>
      <c r="AA104" s="1182" t="n">
        <v>0</v>
      </c>
      <c r="AB104" s="1183" t="n">
        <v>0</v>
      </c>
      <c r="AC104" s="1183" t="n">
        <v>0</v>
      </c>
      <c r="AD104" s="1183" t="n">
        <v>0</v>
      </c>
      <c r="AE104" s="1183" t="n">
        <v>0</v>
      </c>
      <c r="AF104" s="1184" t="n">
        <v>0</v>
      </c>
      <c r="AG104" s="697" t="n">
        <v>0</v>
      </c>
    </row>
    <row r="105" ht="27" customHeight="1" s="759">
      <c r="B105" s="193" t="n"/>
      <c r="C105" s="193" t="inlineStr">
        <is>
          <t>물량, 예실차 등</t>
        </is>
      </c>
      <c r="D105" s="1174" t="e">
        <v>#DIV/0!</v>
      </c>
      <c r="E105" s="1178" t="e">
        <v>#DIV/0!</v>
      </c>
      <c r="F105" s="1178" t="e">
        <v>#DIV/0!</v>
      </c>
      <c r="G105" s="1178" t="e">
        <v>#DIV/0!</v>
      </c>
      <c r="H105" s="1178" t="e">
        <v>#DIV/0!</v>
      </c>
      <c r="I105" s="1178" t="e">
        <v>#DIV/0!</v>
      </c>
      <c r="J105" s="1179" t="e">
        <v>#DIV/0!</v>
      </c>
      <c r="K105" s="1178" t="e">
        <v>#DIV/0!</v>
      </c>
      <c r="L105" s="1178" t="e">
        <v>#DIV/0!</v>
      </c>
      <c r="M105" s="1178" t="e">
        <v>#DIV/0!</v>
      </c>
      <c r="N105" s="1178" t="e">
        <v>#DIV/0!</v>
      </c>
      <c r="O105" s="1180" t="e">
        <v>#DIV/0!</v>
      </c>
      <c r="P105" s="1181" t="n"/>
      <c r="Q105" s="1181" t="n"/>
      <c r="S105" s="193" t="n"/>
      <c r="T105" s="193" t="inlineStr">
        <is>
          <t>물량, 예실차 등</t>
        </is>
      </c>
      <c r="U105" s="1182" t="n">
        <v>0</v>
      </c>
      <c r="V105" s="1183" t="n">
        <v>0</v>
      </c>
      <c r="W105" s="1183" t="n">
        <v>0</v>
      </c>
      <c r="X105" s="1183" t="n">
        <v>0</v>
      </c>
      <c r="Y105" s="1183" t="n">
        <v>0</v>
      </c>
      <c r="Z105" s="1183" t="n">
        <v>0</v>
      </c>
      <c r="AA105" s="1182" t="n">
        <v>0</v>
      </c>
      <c r="AB105" s="1183" t="n">
        <v>0</v>
      </c>
      <c r="AC105" s="1183" t="n">
        <v>0</v>
      </c>
      <c r="AD105" s="1183" t="n">
        <v>0</v>
      </c>
      <c r="AE105" s="1183" t="n">
        <v>0</v>
      </c>
      <c r="AF105" s="1184" t="n">
        <v>0</v>
      </c>
      <c r="AG105" s="697" t="n">
        <v>0</v>
      </c>
    </row>
    <row r="106" ht="17.25" customHeight="1" s="759" thickBot="1">
      <c r="B106" s="194" t="n"/>
      <c r="C106" s="194" t="inlineStr">
        <is>
          <t>손실요소</t>
        </is>
      </c>
      <c r="D106" s="1174" t="e">
        <v>#DIV/0!</v>
      </c>
      <c r="E106" s="1185" t="e">
        <v>#DIV/0!</v>
      </c>
      <c r="F106" s="1185" t="e">
        <v>#DIV/0!</v>
      </c>
      <c r="G106" s="1185" t="e">
        <v>#DIV/0!</v>
      </c>
      <c r="H106" s="1185" t="e">
        <v>#DIV/0!</v>
      </c>
      <c r="I106" s="1185" t="e">
        <v>#DIV/0!</v>
      </c>
      <c r="J106" s="1186" t="e">
        <v>#DIV/0!</v>
      </c>
      <c r="K106" s="1185" t="e">
        <v>#DIV/0!</v>
      </c>
      <c r="L106" s="1185" t="e">
        <v>#DIV/0!</v>
      </c>
      <c r="M106" s="1185" t="e">
        <v>#DIV/0!</v>
      </c>
      <c r="N106" s="1185" t="e">
        <v>#DIV/0!</v>
      </c>
      <c r="O106" s="1187" t="e">
        <v>#DIV/0!</v>
      </c>
      <c r="P106" s="1181" t="n"/>
      <c r="Q106" s="1181" t="n"/>
      <c r="S106" s="194" t="n"/>
      <c r="T106" s="194" t="inlineStr">
        <is>
          <t>손실요소</t>
        </is>
      </c>
      <c r="U106" s="1188" t="n">
        <v>0</v>
      </c>
      <c r="V106" s="1189" t="n">
        <v>0</v>
      </c>
      <c r="W106" s="1189" t="n">
        <v>0</v>
      </c>
      <c r="X106" s="1189" t="n">
        <v>0</v>
      </c>
      <c r="Y106" s="1189" t="n">
        <v>0</v>
      </c>
      <c r="Z106" s="1189" t="n">
        <v>0</v>
      </c>
      <c r="AA106" s="1188" t="n">
        <v>0</v>
      </c>
      <c r="AB106" s="1189" t="n">
        <v>0</v>
      </c>
      <c r="AC106" s="1189" t="n">
        <v>0</v>
      </c>
      <c r="AD106" s="1189" t="n">
        <v>0</v>
      </c>
      <c r="AE106" s="1189" t="n">
        <v>0</v>
      </c>
      <c r="AF106" s="1190" t="n">
        <v>0</v>
      </c>
      <c r="AG106" s="697" t="n">
        <v>0</v>
      </c>
    </row>
    <row r="107">
      <c r="D107" s="1173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U107" s="1173" t="n"/>
      <c r="V107" s="1173" t="n"/>
      <c r="W107" s="1173" t="n"/>
      <c r="X107" s="1173" t="n"/>
      <c r="Y107" s="1173" t="n"/>
      <c r="Z107" s="1173" t="n"/>
      <c r="AA107" s="1173" t="n"/>
      <c r="AB107" s="1173" t="n"/>
      <c r="AC107" s="1173" t="n"/>
      <c r="AD107" s="1173" t="n"/>
      <c r="AE107" s="1173" t="n"/>
      <c r="AF107" s="1173" t="n"/>
    </row>
    <row r="108">
      <c r="D108" s="1173" t="n"/>
      <c r="E108" s="1173" t="n"/>
      <c r="F108" s="1173" t="n"/>
      <c r="G108" s="1173" t="n"/>
      <c r="H108" s="1173" t="n"/>
      <c r="I108" s="1173" t="n"/>
      <c r="J108" s="1173" t="n"/>
      <c r="K108" s="1173" t="n"/>
      <c r="L108" s="1173" t="n"/>
      <c r="M108" s="1173" t="n"/>
      <c r="N108" s="1173" t="n"/>
      <c r="O108" s="1173" t="n"/>
      <c r="P108" s="1173" t="n"/>
    </row>
  </sheetData>
  <mergeCells count="67">
    <mergeCell ref="A66:C66"/>
    <mergeCell ref="K30:O30"/>
    <mergeCell ref="AB30:AF30"/>
    <mergeCell ref="AB64:AF64"/>
    <mergeCell ref="U30:U31"/>
    <mergeCell ref="B22:C22"/>
    <mergeCell ref="E4:J4"/>
    <mergeCell ref="R55:T55"/>
    <mergeCell ref="R35:T35"/>
    <mergeCell ref="B96:C96"/>
    <mergeCell ref="S96:T96"/>
    <mergeCell ref="R64:T65"/>
    <mergeCell ref="V30:AA30"/>
    <mergeCell ref="E30:J30"/>
    <mergeCell ref="AB88:AF88"/>
    <mergeCell ref="K88:O88"/>
    <mergeCell ref="K64:O64"/>
    <mergeCell ref="S70:T70"/>
    <mergeCell ref="B70:C70"/>
    <mergeCell ref="A64:C65"/>
    <mergeCell ref="AB4:AF4"/>
    <mergeCell ref="S4:T5"/>
    <mergeCell ref="R32:T32"/>
    <mergeCell ref="U47:U48"/>
    <mergeCell ref="A32:C32"/>
    <mergeCell ref="D4:D5"/>
    <mergeCell ref="AB47:AF47"/>
    <mergeCell ref="E88:J88"/>
    <mergeCell ref="R66:T66"/>
    <mergeCell ref="B75:C75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6:T6"/>
    <mergeCell ref="B99:C99"/>
    <mergeCell ref="A67:C67"/>
    <mergeCell ref="D64:D65"/>
    <mergeCell ref="S99:T99"/>
    <mergeCell ref="R52:T52"/>
    <mergeCell ref="V47:AA47"/>
    <mergeCell ref="U64:U65"/>
    <mergeCell ref="S9:T9"/>
    <mergeCell ref="B9:C9"/>
    <mergeCell ref="U88:U89"/>
    <mergeCell ref="U4:U5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V88:AA88"/>
    <mergeCell ref="V64:AA64"/>
    <mergeCell ref="V4:AA4"/>
    <mergeCell ref="E64:J64"/>
    <mergeCell ref="K4:O4"/>
    <mergeCell ref="S75:T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2026-08-10T00:27:16Z</dcterms:modified>
  <cp:lastModifiedBy>Windows 사용자</cp:lastModifiedBy>
</cp:coreProperties>
</file>