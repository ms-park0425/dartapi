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8C00"/>
        <bgColor rgb="FFFF8C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9" fontId="3" fillId="15" borderId="0" applyAlignment="1" pivotButton="0" quotePrefix="0" xfId="1">
      <alignment vertical="center"/>
    </xf>
    <xf numFmtId="164" fontId="35" fillId="15" borderId="0" applyAlignment="1" pivotButton="0" quotePrefix="0" xfId="1">
      <alignment vertical="center"/>
    </xf>
    <xf numFmtId="0" fontId="0" fillId="15" borderId="0" applyAlignment="1" pivotButton="0" quotePrefix="0" xfId="0">
      <alignment vertical="center"/>
    </xf>
    <xf numFmtId="164" fontId="11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  <xf numFmtId="168" fontId="11" fillId="15" borderId="0" applyAlignment="1" pivotButton="0" quotePrefix="0" xfId="2">
      <alignment vertical="center"/>
    </xf>
    <xf numFmtId="168" fontId="4" fillId="15" borderId="0" applyAlignment="1" pivotButton="0" quotePrefix="0" xfId="2">
      <alignment vertical="center"/>
    </xf>
    <xf numFmtId="168" fontId="3" fillId="15" borderId="0" applyAlignment="1" pivotButton="0" quotePrefix="0" xfId="2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9" fontId="3" fillId="15" borderId="0" applyAlignment="1" pivotButton="0" quotePrefix="0" xfId="2">
      <alignment vertical="center"/>
    </xf>
    <xf numFmtId="0" fontId="0" fillId="15" borderId="0" pivotButton="0" quotePrefix="0" xfId="0"/>
    <xf numFmtId="10" fontId="3" fillId="15" borderId="0" applyAlignment="1" pivotButton="0" quotePrefix="0" xfId="1">
      <alignment vertical="center"/>
    </xf>
    <xf numFmtId="168" fontId="3" fillId="15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20:H20"/>
    <mergeCell ref="C19:H19"/>
    <mergeCell ref="C16:H16"/>
    <mergeCell ref="C5:H5"/>
    <mergeCell ref="C18:H18"/>
    <mergeCell ref="C17:H17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1192" t="n"/>
      <c r="P6" s="979" t="n"/>
      <c r="Q6" s="1192" t="n"/>
      <c r="R6" s="1192" t="n"/>
      <c r="S6" s="979" t="n"/>
      <c r="T6" s="979" t="n"/>
      <c r="U6" s="980" t="n"/>
      <c r="V6" s="980" t="n"/>
      <c r="W6" s="980" t="n"/>
      <c r="X6" s="979" t="n"/>
      <c r="Y6" s="1192" t="n"/>
      <c r="Z6" s="1192" t="n"/>
      <c r="AA6" s="1192" t="n"/>
      <c r="AB6" s="1192" t="n"/>
      <c r="AC6" s="1192" t="n"/>
      <c r="AD6" s="1192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1201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1192" t="n"/>
      <c r="BU6" s="1192" t="n"/>
      <c r="BV6" s="1192" t="n"/>
      <c r="BW6" s="1192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33046193.024997</v>
      </c>
      <c r="E7" s="977" t="n">
        <v>15850238.18747</v>
      </c>
      <c r="F7" s="977" t="n">
        <v>11226454.380747</v>
      </c>
      <c r="G7" s="977" t="n">
        <v>4193467.376169</v>
      </c>
      <c r="H7" s="977" t="n">
        <v>142042.965503</v>
      </c>
      <c r="I7" s="978">
        <f>E7/D7</f>
        <v/>
      </c>
      <c r="J7" s="978">
        <f>F7/D7</f>
        <v/>
      </c>
      <c r="K7" s="978">
        <f>G7/D7</f>
        <v/>
      </c>
      <c r="L7" s="1191" t="n">
        <v>30131929.468494</v>
      </c>
      <c r="M7" s="1191" t="n">
        <v>25782954.737248</v>
      </c>
      <c r="N7" s="979">
        <f>O7-P7</f>
        <v/>
      </c>
      <c r="O7" s="1192" t="n">
        <v>2914263.556503</v>
      </c>
      <c r="P7" s="979" t="n"/>
      <c r="Q7" s="979" t="n">
        <v>400103.553823</v>
      </c>
      <c r="R7" s="1192" t="n">
        <v>1713236.222735</v>
      </c>
      <c r="S7" s="1192" t="n">
        <v>4088525.345261</v>
      </c>
      <c r="T7" s="1192" t="n">
        <v>4088525.345261</v>
      </c>
      <c r="U7" s="1196" t="n"/>
      <c r="V7" s="1196" t="n"/>
      <c r="W7" s="1202" t="n"/>
      <c r="X7" s="979">
        <f>Q7</f>
        <v/>
      </c>
      <c r="Y7" s="1192" t="n"/>
      <c r="Z7" s="1192" t="n"/>
      <c r="AA7" s="1192" t="n"/>
      <c r="AB7" s="1192" t="n">
        <v>-1505051</v>
      </c>
      <c r="AC7" s="1192" t="n"/>
      <c r="AD7" s="1192" t="n"/>
      <c r="AE7" s="979" t="n"/>
      <c r="AF7" s="1191" t="n">
        <v>252341.229704</v>
      </c>
      <c r="AG7" s="977" t="n">
        <v>918978.651356</v>
      </c>
      <c r="AH7" s="981" t="n">
        <v>749977.884748</v>
      </c>
      <c r="AI7" s="1191" t="n">
        <v>-2228.957191</v>
      </c>
      <c r="AJ7" s="1191" t="n">
        <v>-2321762.310757</v>
      </c>
      <c r="AK7" s="977" t="n">
        <v>542.984642</v>
      </c>
      <c r="AL7" s="977">
        <f>AI7-AJ7-AK7+AM7-AN7</f>
        <v/>
      </c>
      <c r="AM7" s="977" t="n">
        <v>20518.1339</v>
      </c>
      <c r="AN7" s="977" t="n">
        <v>-28167.8732</v>
      </c>
      <c r="AO7" s="1191" t="n">
        <v>166771.809417</v>
      </c>
      <c r="AP7" s="977" t="n">
        <v>-4017.126837</v>
      </c>
      <c r="AQ7" s="1192" t="n">
        <v>162754.68258</v>
      </c>
      <c r="AR7" s="1192" t="n">
        <v>125000.222534</v>
      </c>
      <c r="AS7" s="979">
        <f>AO7+AP7-AQ7</f>
        <v/>
      </c>
      <c r="AT7" s="979">
        <f>AJ7+AK7+AL7-AM7+AN7-AI7</f>
        <v/>
      </c>
      <c r="AU7" s="979">
        <f>AF7+AI7-AO7</f>
        <v/>
      </c>
      <c r="AV7" s="979">
        <f>AF7</f>
        <v/>
      </c>
      <c r="AW7" s="979">
        <f>AI7</f>
        <v/>
      </c>
      <c r="AX7" s="979">
        <f>AP7</f>
        <v/>
      </c>
      <c r="AY7" s="979">
        <f>AV7+AW7+AX7</f>
        <v/>
      </c>
      <c r="AZ7" s="977" t="n"/>
      <c r="BA7" s="977" t="n"/>
      <c r="BB7" s="1201" t="n"/>
      <c r="BC7" s="1191" t="n">
        <v>1684656.761128</v>
      </c>
      <c r="BD7" s="977" t="n">
        <v>653391.347447</v>
      </c>
      <c r="BE7" s="977" t="n">
        <v>-59.389117</v>
      </c>
      <c r="BF7" s="1191" t="n">
        <v>-793351.181847</v>
      </c>
      <c r="BG7" s="977" t="n">
        <v>141688.02544</v>
      </c>
      <c r="BH7" s="977" t="n">
        <v>0.002835</v>
      </c>
      <c r="BI7" s="977" t="n">
        <v>-3282.093264</v>
      </c>
      <c r="BJ7" s="1191" t="n"/>
      <c r="BK7" s="977">
        <f>Q7</f>
        <v/>
      </c>
      <c r="BL7" s="979">
        <f>BK7-BC7-SUM(BD7:BJ7)</f>
        <v/>
      </c>
      <c r="BM7" s="1191" t="n">
        <v>1602944.804188</v>
      </c>
      <c r="BN7" s="977" t="n"/>
      <c r="BO7" s="977" t="n"/>
      <c r="BP7" s="977">
        <f>AR7</f>
        <v/>
      </c>
      <c r="BQ7" s="1191" t="n"/>
      <c r="BR7" s="977" t="n"/>
      <c r="BS7" s="977">
        <f>R7</f>
        <v/>
      </c>
      <c r="BT7" s="979" t="n">
        <v>0</v>
      </c>
      <c r="BU7" s="1192" t="n"/>
      <c r="BV7" s="1192" t="n"/>
      <c r="BW7" s="1192" t="n"/>
      <c r="BX7" s="1192" t="n"/>
      <c r="BY7" s="1192" t="n"/>
      <c r="BZ7" s="1203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977" t="n"/>
      <c r="CK7" s="977" t="n"/>
      <c r="CL7" s="977" t="n"/>
      <c r="CM7" s="977" t="n"/>
      <c r="CN7" s="978" t="n"/>
      <c r="CO7" s="977" t="n"/>
      <c r="CP7" s="977" t="n"/>
      <c r="CQ7" s="1201" t="n"/>
      <c r="CR7" s="1191" t="n"/>
      <c r="CS7" s="1191" t="n"/>
      <c r="CT7" s="977" t="n"/>
      <c r="CU7" s="977" t="n">
        <v>900203.422735</v>
      </c>
      <c r="CV7" s="977" t="n"/>
      <c r="CW7" s="977" t="n"/>
      <c r="CX7" s="977" t="n"/>
      <c r="CY7" s="977" t="n"/>
      <c r="CZ7" s="977" t="n"/>
      <c r="DA7" s="977" t="n"/>
      <c r="DB7" s="977" t="n"/>
      <c r="DC7" s="1201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32404438.804746</v>
      </c>
      <c r="E8" s="977" t="n">
        <v>15392284.369489</v>
      </c>
      <c r="F8" s="977" t="n">
        <v>11969183.336759</v>
      </c>
      <c r="G8" s="977" t="n">
        <v>3499463.44569</v>
      </c>
      <c r="H8" s="977" t="n">
        <v>142042.965503</v>
      </c>
      <c r="I8" s="978">
        <f>E8/D8</f>
        <v/>
      </c>
      <c r="J8" s="978">
        <f>F8/D8</f>
        <v/>
      </c>
      <c r="K8" s="978">
        <f>G8/D8</f>
        <v/>
      </c>
      <c r="L8" s="977" t="n">
        <v>29851200.854978</v>
      </c>
      <c r="M8" s="977" t="n">
        <v>26248411.835353</v>
      </c>
      <c r="N8" s="979">
        <f>O8-P8</f>
        <v/>
      </c>
      <c r="O8" s="979" t="n">
        <v>2553237.949768</v>
      </c>
      <c r="P8" s="979" t="n"/>
      <c r="Q8" s="979" t="n">
        <v>-190609.909176</v>
      </c>
      <c r="R8" s="979" t="n">
        <v>1942924.078999</v>
      </c>
      <c r="S8" s="979" t="n">
        <v>3019027.063545</v>
      </c>
      <c r="T8" s="979" t="n">
        <v>3019027.063545</v>
      </c>
      <c r="U8" s="1196" t="n"/>
      <c r="V8" s="1196" t="n"/>
      <c r="W8" s="1202" t="n"/>
      <c r="X8" s="979">
        <f>Q8</f>
        <v/>
      </c>
      <c r="Y8" s="1192" t="n"/>
      <c r="Z8" s="1192" t="n"/>
      <c r="AA8" s="1192" t="n"/>
      <c r="AB8" s="1192" t="n"/>
      <c r="AC8" s="1192" t="n"/>
      <c r="AD8" s="1192" t="n"/>
      <c r="AE8" s="979">
        <f>X8-(Y8+Z8+AA8+AB8+AC8+AD8)</f>
        <v/>
      </c>
      <c r="AF8" s="977" t="n">
        <v>119275.544347</v>
      </c>
      <c r="AG8" s="977" t="n">
        <v>983399.644285</v>
      </c>
      <c r="AH8" s="977" t="n">
        <v>864124.099938</v>
      </c>
      <c r="AI8" s="977" t="n">
        <v>-4336.640029</v>
      </c>
      <c r="AJ8" s="977" t="n">
        <v>-2073905.147373</v>
      </c>
      <c r="AK8" s="977" t="n">
        <v>805.881624</v>
      </c>
      <c r="AL8" s="977">
        <f>AI8-AJ8-AK8+AM8-AN8</f>
        <v/>
      </c>
      <c r="AM8" s="977" t="n">
        <v>20023.981185</v>
      </c>
      <c r="AN8" s="977" t="n">
        <v>23553.670503</v>
      </c>
      <c r="AO8" s="977" t="n">
        <v>114938.904318</v>
      </c>
      <c r="AP8" s="977" t="n">
        <v>883.982452</v>
      </c>
      <c r="AQ8" s="979" t="n">
        <v>115822.88677</v>
      </c>
      <c r="AR8" s="979" t="n">
        <v>125038.95284</v>
      </c>
      <c r="AS8" s="979">
        <f>AO8+AP8-AQ8</f>
        <v/>
      </c>
      <c r="AT8" s="979">
        <f>AJ8+AK8+AL8-AM8+AN8-AI8</f>
        <v/>
      </c>
      <c r="AU8" s="979">
        <f>AF8+AI8-AO8</f>
        <v/>
      </c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1201" t="n"/>
      <c r="BC8" s="977" t="n">
        <v>400218.841246</v>
      </c>
      <c r="BD8" s="977" t="n">
        <v>187559.891758</v>
      </c>
      <c r="BE8" s="977" t="n"/>
      <c r="BF8" s="977" t="n">
        <v>-887196.893983</v>
      </c>
      <c r="BG8" s="977" t="n">
        <v>108707.310233</v>
      </c>
      <c r="BH8" s="977" t="n">
        <v>0.209707</v>
      </c>
      <c r="BI8" s="977" t="n">
        <v>101.415668</v>
      </c>
      <c r="BJ8" s="1191" t="n"/>
      <c r="BK8" s="977">
        <f>Q8</f>
        <v/>
      </c>
      <c r="BL8" s="982">
        <f>BK8-BC8-SUM(BD8:BJ8)</f>
        <v/>
      </c>
      <c r="BM8" s="977" t="n">
        <v>1817884.442354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>
        <v>0</v>
      </c>
      <c r="BU8" s="1192" t="n"/>
      <c r="BV8" s="1192" t="n"/>
      <c r="BW8" s="1192" t="n"/>
      <c r="BX8" s="1192" t="n"/>
      <c r="BY8" s="1192" t="n"/>
      <c r="BZ8" s="1192" t="n"/>
      <c r="CA8" s="1192" t="n"/>
      <c r="CB8" s="1192" t="n"/>
      <c r="CC8" s="1204" t="n"/>
      <c r="CD8" s="977" t="n"/>
      <c r="CE8" s="1191" t="n"/>
      <c r="CF8" s="1191" t="n"/>
      <c r="CG8" s="1191" t="n"/>
      <c r="CH8" s="1191" t="n"/>
      <c r="CI8" s="1191" t="n"/>
      <c r="CJ8" s="977" t="n"/>
      <c r="CK8" s="977" t="n"/>
      <c r="CL8" s="977" t="n"/>
      <c r="CM8" s="977" t="n"/>
      <c r="CN8" s="978" t="n"/>
      <c r="CO8" s="977" t="n"/>
      <c r="CP8" s="977" t="n"/>
      <c r="CQ8" s="1201" t="n"/>
      <c r="CR8" s="1191" t="n"/>
      <c r="CS8" s="1191" t="n"/>
      <c r="CT8" s="977" t="n"/>
      <c r="CU8" s="1191" t="n"/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201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  <c r="FC8" s="697" t="n">
        <v>0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32214588.505664</v>
      </c>
      <c r="E9" s="977" t="n">
        <v>15112991.502851</v>
      </c>
      <c r="F9" s="977" t="n">
        <v>12442117.804534</v>
      </c>
      <c r="G9" s="977" t="n">
        <v>3110827.729214</v>
      </c>
      <c r="H9" s="977" t="n">
        <v>142042.965503</v>
      </c>
      <c r="I9" s="978">
        <f>E9/D9</f>
        <v/>
      </c>
      <c r="J9" s="978">
        <f>F9/D9</f>
        <v/>
      </c>
      <c r="K9" s="978">
        <f>G9/D9</f>
        <v/>
      </c>
      <c r="L9" s="977" t="n">
        <v>29747791.285061</v>
      </c>
      <c r="M9" s="977" t="n">
        <v>26550413.233904</v>
      </c>
      <c r="N9" s="979">
        <f>O9-P9</f>
        <v/>
      </c>
      <c r="O9" s="979" t="n">
        <v>2466797.220603</v>
      </c>
      <c r="P9" s="979" t="n"/>
      <c r="Q9" s="979" t="n">
        <v>-301370.406516</v>
      </c>
      <c r="R9" s="979" t="n">
        <v>1967243.847174</v>
      </c>
      <c r="S9" s="979" t="n">
        <v>2553237.949768</v>
      </c>
      <c r="T9" s="979" t="n">
        <v>2553237.949768</v>
      </c>
      <c r="U9" s="1196" t="n"/>
      <c r="V9" s="1196" t="n"/>
      <c r="W9" s="1202" t="n"/>
      <c r="X9" s="979">
        <f>Q9</f>
        <v/>
      </c>
      <c r="Y9" s="1192" t="n"/>
      <c r="Z9" s="1192" t="n"/>
      <c r="AA9" s="1192" t="n"/>
      <c r="AB9" s="1192" t="n"/>
      <c r="AC9" s="1192" t="n"/>
      <c r="AD9" s="1192" t="n"/>
      <c r="AE9" s="979">
        <f>X9-(Y9+Z9+AA9+AB9+AC9+AD9)</f>
        <v/>
      </c>
      <c r="AF9" s="977" t="n">
        <v>38885.306583</v>
      </c>
      <c r="AG9" s="977" t="n">
        <v>265006.263782</v>
      </c>
      <c r="AH9" s="977" t="n">
        <v>226120.957199</v>
      </c>
      <c r="AI9" s="977" t="n">
        <v>352.608881</v>
      </c>
      <c r="AJ9" s="977" t="n">
        <v>-16143.160979</v>
      </c>
      <c r="AK9" s="1191" t="n">
        <v>249.762431</v>
      </c>
      <c r="AL9" s="977">
        <f>AI9-AJ9-AK9+AM9-AN9</f>
        <v/>
      </c>
      <c r="AM9" s="977" t="n">
        <v>5082.588551</v>
      </c>
      <c r="AN9" s="977" t="n">
        <v>28134.391367</v>
      </c>
      <c r="AO9" s="977" t="n">
        <v>39237.915464</v>
      </c>
      <c r="AP9" s="977" t="n">
        <v>-973.4016</v>
      </c>
      <c r="AQ9" s="979" t="n">
        <v>38264.513864</v>
      </c>
      <c r="AR9" s="979" t="n">
        <v>24319.768175</v>
      </c>
      <c r="AS9" s="979">
        <f>AO9+AP9-AQ9</f>
        <v/>
      </c>
      <c r="AT9" s="979">
        <f>AJ9+AK9+AL9-AM9+AN9-AI9</f>
        <v/>
      </c>
      <c r="AU9" s="979">
        <f>AF9+AI9-AO9</f>
        <v/>
      </c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-190609.909176</v>
      </c>
      <c r="BD9" s="977" t="n">
        <v>294887.487859</v>
      </c>
      <c r="BE9" s="977" t="n"/>
      <c r="BF9" s="977" t="n">
        <v>-468292.981578</v>
      </c>
      <c r="BG9" s="977" t="n">
        <v>62495.836189</v>
      </c>
      <c r="BH9" s="977" t="n">
        <v>-0.003762</v>
      </c>
      <c r="BI9" s="977" t="n">
        <v>149.163952</v>
      </c>
      <c r="BJ9" s="977" t="n"/>
      <c r="BK9" s="977">
        <f>Q9</f>
        <v/>
      </c>
      <c r="BL9" s="979">
        <f>BK9-BC9-SUM(BD9:BJ9)</f>
        <v/>
      </c>
      <c r="BM9" s="977" t="n">
        <v>1942924.078999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>
        <v>0</v>
      </c>
      <c r="BU9" s="1192" t="n"/>
      <c r="BV9" s="1192" t="n"/>
      <c r="BW9" s="1192" t="n"/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977" t="n"/>
      <c r="CK9" s="977" t="n"/>
      <c r="CL9" s="977" t="n"/>
      <c r="CM9" s="977" t="n"/>
      <c r="CN9" s="978" t="n"/>
      <c r="CO9" s="977" t="n"/>
      <c r="CP9" s="977" t="n"/>
      <c r="CQ9" s="1201" t="n"/>
      <c r="CR9" s="1191" t="n"/>
      <c r="CS9" s="1191" t="n"/>
      <c r="CT9" s="977" t="n"/>
      <c r="CU9" s="1191" t="n"/>
      <c r="CV9" s="977" t="n"/>
      <c r="CW9" s="102" t="n"/>
      <c r="CX9" s="102" t="n"/>
      <c r="CY9" s="102" t="n"/>
      <c r="CZ9" s="197" t="n"/>
      <c r="DA9" s="977" t="n"/>
      <c r="DB9" s="977" t="n"/>
      <c r="DC9" s="1201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32215468.491141</v>
      </c>
      <c r="E10" s="977" t="n">
        <v>15656028.855631</v>
      </c>
      <c r="F10" s="977" t="n">
        <v>12053808.702816</v>
      </c>
      <c r="G10" s="977" t="n">
        <v>3067006.105679</v>
      </c>
      <c r="H10" s="977" t="n">
        <v>142042.965503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29744745.599781</v>
      </c>
      <c r="M10" s="977" t="n">
        <v>26726920.177778</v>
      </c>
      <c r="N10" s="979">
        <f>O10-P10</f>
        <v/>
      </c>
      <c r="O10" s="979" t="n">
        <v>2470722.89136</v>
      </c>
      <c r="P10" s="979" t="n"/>
      <c r="Q10" s="979" t="n">
        <v>-347798.366721</v>
      </c>
      <c r="R10" s="979" t="n">
        <v>2017597.478136</v>
      </c>
      <c r="S10" s="979" t="n">
        <v>2553237.949768</v>
      </c>
      <c r="T10" s="979" t="n">
        <v>2553237.949768</v>
      </c>
      <c r="U10" s="1196" t="n"/>
      <c r="V10" s="1196" t="n"/>
      <c r="W10" s="1202" t="n"/>
      <c r="X10" s="979">
        <f>Q10</f>
        <v/>
      </c>
      <c r="Y10" s="979" t="n">
        <v>-514563.224048</v>
      </c>
      <c r="Z10" s="979" t="n">
        <v>-28949.164986</v>
      </c>
      <c r="AA10" s="979" t="n">
        <v>-2208.532674</v>
      </c>
      <c r="AB10" s="979" t="n">
        <v>198983.62318</v>
      </c>
      <c r="AC10" s="1192" t="n">
        <v>0.724592</v>
      </c>
      <c r="AD10" s="979" t="n">
        <v>-1061.789737</v>
      </c>
      <c r="AE10" s="979">
        <f>X10-(Y10+Z10+AA10+AB10+AC10+AD10)</f>
        <v/>
      </c>
      <c r="AF10" s="977" t="n">
        <v>83561.57513899999</v>
      </c>
      <c r="AG10" s="977" t="n">
        <v>532293.41955</v>
      </c>
      <c r="AH10" s="977" t="n">
        <v>448731.844411</v>
      </c>
      <c r="AI10" s="977" t="n">
        <v>20415.610316</v>
      </c>
      <c r="AJ10" s="977" t="n">
        <v>-594740.187898</v>
      </c>
      <c r="AK10" s="977" t="n">
        <v>483.380778</v>
      </c>
      <c r="AL10" s="977">
        <f>AI10-AJ10-AK10+AM10-AN10</f>
        <v/>
      </c>
      <c r="AM10" s="977" t="n">
        <v>10167.640203</v>
      </c>
      <c r="AN10" s="977" t="n">
        <v>41737.11187</v>
      </c>
      <c r="AO10" s="977" t="n">
        <v>103977.185455</v>
      </c>
      <c r="AP10" s="977" t="n">
        <v>-2377.131308</v>
      </c>
      <c r="AQ10" s="979" t="n">
        <v>101600.054147</v>
      </c>
      <c r="AR10" s="979" t="n">
        <v>74673.399137</v>
      </c>
      <c r="AS10" s="979">
        <f>AO10+AP10-AQ10</f>
        <v/>
      </c>
      <c r="AT10" s="979">
        <f>AJ10+AK10+AL10-AM10+AN10-AI10</f>
        <v/>
      </c>
      <c r="AU10" s="979">
        <f>AF10+AI10-AO10</f>
        <v/>
      </c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-190609.909176</v>
      </c>
      <c r="BD10" s="979" t="n">
        <v>149007.451646</v>
      </c>
      <c r="BE10" s="979" t="n"/>
      <c r="BF10" s="979" t="n">
        <v>-290284.574693</v>
      </c>
      <c r="BG10" s="979" t="n">
        <v>-16444.27315</v>
      </c>
      <c r="BH10" s="979" t="n">
        <v>-0.003048</v>
      </c>
      <c r="BI10" s="979" t="n">
        <v>532.9417</v>
      </c>
      <c r="BJ10" s="979" t="n"/>
      <c r="BK10" s="977">
        <f>Q10</f>
        <v/>
      </c>
      <c r="BL10" s="979">
        <f>BK10-BC10-SUM(BD10:BJ10)</f>
        <v/>
      </c>
      <c r="BM10" s="977" t="n">
        <v>1942924.078999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>
        <v>0</v>
      </c>
      <c r="BU10" s="979" t="n">
        <v>24139969.938636</v>
      </c>
      <c r="BV10" s="979" t="n">
        <v>401723.316677</v>
      </c>
      <c r="BW10" s="979" t="n">
        <v>2185226.92247</v>
      </c>
      <c r="BX10" s="1192" t="n">
        <v>245194.972691</v>
      </c>
      <c r="BY10" s="1192" t="n">
        <v>99207.397518</v>
      </c>
      <c r="BZ10" s="1192" t="n">
        <v>-68549.585918</v>
      </c>
      <c r="CA10" s="1192" t="n">
        <v>29576.864236</v>
      </c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>
        <v>0</v>
      </c>
      <c r="CM10" s="977" t="n"/>
      <c r="CN10" s="978" t="n"/>
      <c r="CO10" s="977" t="n"/>
      <c r="CP10" s="977" t="n"/>
      <c r="CQ10" s="1201" t="n"/>
      <c r="CR10" s="1191" t="n"/>
      <c r="CS10" s="1191" t="n"/>
      <c r="CT10" s="977" t="n"/>
      <c r="CU10" s="977" t="n">
        <v>1075511.159716</v>
      </c>
      <c r="CV10" s="977" t="n"/>
      <c r="CW10" s="102" t="n"/>
      <c r="CX10" s="102" t="n"/>
      <c r="CY10" s="102" t="n"/>
      <c r="CZ10" s="197" t="n"/>
      <c r="DA10" s="977" t="n"/>
      <c r="DB10" s="977" t="n"/>
      <c r="DC10" s="1201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33165463.238684</v>
      </c>
      <c r="E11" s="977" t="n">
        <v>16558856.627634</v>
      </c>
      <c r="F11" s="977" t="n">
        <v>12326566.814335</v>
      </c>
      <c r="G11" s="977" t="n">
        <v>2883514.038402</v>
      </c>
      <c r="H11" s="977" t="n">
        <v>142042.965503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30683351.810687</v>
      </c>
      <c r="M11" s="977" t="n">
        <v>27342067.893353</v>
      </c>
      <c r="N11" s="979">
        <f>O11-P11</f>
        <v/>
      </c>
      <c r="O11" s="979" t="n">
        <v>2482111.427997</v>
      </c>
      <c r="P11" s="979" t="n"/>
      <c r="Q11" s="979" t="n">
        <v>-382933.654079</v>
      </c>
      <c r="R11" s="979" t="n">
        <v>2064121.302131</v>
      </c>
      <c r="S11" s="979" t="n">
        <v>2553237.949768</v>
      </c>
      <c r="T11" s="979" t="n">
        <v>2553237.949768</v>
      </c>
      <c r="U11" s="1196" t="n"/>
      <c r="V11" s="1196" t="n"/>
      <c r="W11" s="1202" t="n"/>
      <c r="X11" s="979">
        <f>Q11</f>
        <v/>
      </c>
      <c r="Y11" s="979" t="n">
        <v>-563472.233294</v>
      </c>
      <c r="Z11" s="979" t="n">
        <v>69595.550106</v>
      </c>
      <c r="AA11" s="979" t="n">
        <v>-1981.914014</v>
      </c>
      <c r="AB11" s="979" t="n">
        <v>113268.772136</v>
      </c>
      <c r="AC11" s="1192" t="n">
        <v>0.724592</v>
      </c>
      <c r="AD11" s="979" t="n">
        <v>-344.550824</v>
      </c>
      <c r="AE11" s="979">
        <f>X11-(Y11+Z11+AA11+AB11+AC11+AD11)</f>
        <v/>
      </c>
      <c r="AF11" s="977" t="n">
        <v>117870.78557</v>
      </c>
      <c r="AG11" s="977" t="n">
        <v>814383.521239</v>
      </c>
      <c r="AH11" s="977" t="n">
        <v>696512.735669</v>
      </c>
      <c r="AI11" s="977" t="n">
        <v>44958.711119</v>
      </c>
      <c r="AJ11" s="977" t="n">
        <v>-1632522.389875</v>
      </c>
      <c r="AK11" s="977" t="n">
        <v>736.40515</v>
      </c>
      <c r="AL11" s="977">
        <f>AI11-AJ11-AK11+AM11-AN11</f>
        <v/>
      </c>
      <c r="AM11" s="977" t="n">
        <v>15483.933791</v>
      </c>
      <c r="AN11" s="977" t="n">
        <v>47816.916994</v>
      </c>
      <c r="AO11" s="977" t="n">
        <v>162829.496689</v>
      </c>
      <c r="AP11" s="977" t="n">
        <v>-2693.664055</v>
      </c>
      <c r="AQ11" s="979" t="n">
        <v>160135.832634</v>
      </c>
      <c r="AR11" s="979" t="n">
        <v>121197.223132</v>
      </c>
      <c r="AS11" s="979">
        <f>AO11+AP11-AQ11</f>
        <v/>
      </c>
      <c r="AT11" s="979">
        <f>AJ11+AK11+AL11-AM11+AN11-AI11</f>
        <v/>
      </c>
      <c r="AU11" s="979">
        <f>AF11+AI11-AO11</f>
        <v/>
      </c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-190609.909176</v>
      </c>
      <c r="BD11" s="977" t="n">
        <v>100098.4424</v>
      </c>
      <c r="BE11" s="977" t="n"/>
      <c r="BF11" s="977" t="n">
        <v>-191513.240941</v>
      </c>
      <c r="BG11" s="977" t="n">
        <v>-102159.124194</v>
      </c>
      <c r="BH11" s="1191" t="n">
        <v>-0.002781</v>
      </c>
      <c r="BI11" s="977" t="n">
        <v>1250.180613</v>
      </c>
      <c r="BJ11" s="977" t="n"/>
      <c r="BK11" s="977">
        <f>Q11</f>
        <v/>
      </c>
      <c r="BL11" s="979">
        <f>BK11-BC11-SUM(BD11:BJ11)</f>
        <v/>
      </c>
      <c r="BM11" s="977" t="n">
        <v>1942924.078999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>
        <v>0</v>
      </c>
      <c r="BU11" s="979" t="n">
        <v>24594265.991564</v>
      </c>
      <c r="BV11" s="979" t="n">
        <v>414869.508507</v>
      </c>
      <c r="BW11" s="977" t="n">
        <v>2332932.393282</v>
      </c>
      <c r="BX11" s="1192" t="n">
        <v>396289.298547</v>
      </c>
      <c r="BY11" s="1191" t="n">
        <v>153120.516457</v>
      </c>
      <c r="BZ11" s="1192" t="n">
        <v>-33316.996406</v>
      </c>
      <c r="CA11" s="1192" t="n">
        <v>44868.538619</v>
      </c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>
        <v>0</v>
      </c>
      <c r="CM11" s="977" t="n"/>
      <c r="CN11" s="978" t="n"/>
      <c r="CO11" s="977" t="n"/>
      <c r="CP11" s="977" t="n"/>
      <c r="CQ11" s="1201" t="n"/>
      <c r="CR11" s="1191" t="n"/>
      <c r="CS11" s="1191" t="n"/>
      <c r="CT11" s="977" t="n"/>
      <c r="CU11" s="977" t="n">
        <v>1147657.428006</v>
      </c>
      <c r="CV11" s="977" t="n"/>
      <c r="CW11" s="102" t="n"/>
      <c r="CX11" s="102" t="n"/>
      <c r="CY11" s="102" t="n"/>
      <c r="CZ11" s="197" t="n"/>
      <c r="DA11" s="977" t="n"/>
      <c r="DB11" s="977" t="n"/>
      <c r="DC11" s="1201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198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32855181.935106</v>
      </c>
      <c r="E12" s="977" t="n">
        <v>16944446.771969</v>
      </c>
      <c r="F12" s="977" t="n">
        <v>11663557.366015</v>
      </c>
      <c r="G12" s="977" t="n">
        <v>2801450.399792</v>
      </c>
      <c r="H12" s="977" t="n">
        <v>142042.965503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30418680.379437</v>
      </c>
      <c r="M12" s="977" t="n">
        <v>26996698.255523</v>
      </c>
      <c r="N12" s="979">
        <f>O12-P12</f>
        <v/>
      </c>
      <c r="O12" s="979" t="n">
        <v>2436501.555669</v>
      </c>
      <c r="P12" s="979" t="n"/>
      <c r="Q12" s="979" t="n">
        <v>-432246.692496</v>
      </c>
      <c r="R12" s="979" t="n">
        <v>2067824.46822</v>
      </c>
      <c r="S12" s="979" t="n">
        <v>2553237.949768</v>
      </c>
      <c r="T12" s="979" t="n">
        <v>2553237.949768</v>
      </c>
      <c r="U12" s="980" t="n">
        <v>19367952</v>
      </c>
      <c r="V12" s="980" t="n">
        <v>18541089</v>
      </c>
      <c r="W12" s="107" t="n">
        <v>0.9573</v>
      </c>
      <c r="X12" s="979">
        <f>Q12</f>
        <v/>
      </c>
      <c r="Y12" s="979" t="n">
        <v>-1046247.890303</v>
      </c>
      <c r="Z12" s="979" t="n">
        <v>632811.513596</v>
      </c>
      <c r="AA12" s="979" t="n">
        <v>-2748.773194</v>
      </c>
      <c r="AB12" s="979" t="n">
        <v>-20537.736696</v>
      </c>
      <c r="AC12" s="979" t="n">
        <v>0.724592</v>
      </c>
      <c r="AD12" s="979" t="n">
        <v>4475.435459</v>
      </c>
      <c r="AE12" s="979">
        <f>X12-(Y12+Z12+AA12+AB12+AC12+AD12)</f>
        <v/>
      </c>
      <c r="AF12" s="977" t="n">
        <v>111990.109584</v>
      </c>
      <c r="AG12" s="977" t="n">
        <v>1104076.687337</v>
      </c>
      <c r="AH12" s="977" t="n">
        <v>992086.577753</v>
      </c>
      <c r="AI12" s="977" t="n">
        <v>73866.15652400001</v>
      </c>
      <c r="AJ12" s="977" t="n">
        <v>-2272778.94919</v>
      </c>
      <c r="AK12" s="977" t="n">
        <v>1023.809514</v>
      </c>
      <c r="AL12" s="977">
        <f>AI12-AJ12-AK12+AM12-AN12</f>
        <v/>
      </c>
      <c r="AM12" s="977" t="n">
        <v>20658.569665</v>
      </c>
      <c r="AN12" s="977" t="n">
        <v>59223.758914</v>
      </c>
      <c r="AO12" s="977" t="n">
        <v>185856.266108</v>
      </c>
      <c r="AP12" s="977" t="n">
        <v>3400.510773</v>
      </c>
      <c r="AQ12" s="979" t="n">
        <v>189256.776881</v>
      </c>
      <c r="AR12" s="979" t="n">
        <v>124900.389221</v>
      </c>
      <c r="AS12" s="979">
        <f>AO12+AP12-AQ12</f>
        <v/>
      </c>
      <c r="AT12" s="979">
        <f>AJ12+AK12+AL12-AM12+AN12-AI12</f>
        <v/>
      </c>
      <c r="AU12" s="979">
        <f>AF12+AI12-AO12</f>
        <v/>
      </c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-190609.909176</v>
      </c>
      <c r="BD12" s="977" t="n">
        <v>-382677.214609</v>
      </c>
      <c r="BE12" s="977" t="n"/>
      <c r="BF12" s="977" t="n">
        <v>370935.863369</v>
      </c>
      <c r="BG12" s="977" t="n">
        <v>-235965.633026</v>
      </c>
      <c r="BH12" s="977" t="n">
        <v>0.03405</v>
      </c>
      <c r="BI12" s="977" t="n">
        <v>6070.166896</v>
      </c>
      <c r="BJ12" s="977" t="n"/>
      <c r="BK12" s="977">
        <f>Q12</f>
        <v/>
      </c>
      <c r="BL12" s="982">
        <f>BK12-BC12-SUM(BD12:BJ12)</f>
        <v/>
      </c>
      <c r="BM12" s="977" t="n">
        <v>1942924.078999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>
        <v>0</v>
      </c>
      <c r="BU12" s="979" t="n">
        <v>24532228.634432</v>
      </c>
      <c r="BV12" s="979" t="n">
        <v>406046.501044</v>
      </c>
      <c r="BW12" s="979" t="n">
        <v>2058423.120047</v>
      </c>
      <c r="BX12" s="979" t="n">
        <v>539878.115343</v>
      </c>
      <c r="BY12" s="979" t="n">
        <v>205831.483765</v>
      </c>
      <c r="BZ12" s="979" t="n">
        <v>-414493.503843</v>
      </c>
      <c r="CA12" s="979" t="n">
        <v>60657.923333</v>
      </c>
      <c r="CB12" s="979" t="n">
        <v>2078212.068979</v>
      </c>
      <c r="CC12" s="977" t="n"/>
      <c r="CD12" s="977">
        <f>CB12+BX12-BY12+BZ12+CA12-BW12</f>
        <v/>
      </c>
      <c r="CE12" s="1191" t="n"/>
      <c r="CF12" s="1191" t="n"/>
      <c r="CG12" s="1191" t="n"/>
      <c r="CH12" s="1191" t="n"/>
      <c r="CI12" s="1191" t="n"/>
      <c r="CJ12" s="977">
        <f>BW12</f>
        <v/>
      </c>
      <c r="CK12" s="983" t="n"/>
      <c r="CL12" s="977" t="n">
        <v>0</v>
      </c>
      <c r="CM12" s="977" t="n"/>
      <c r="CN12" s="978" t="n">
        <v>1.767</v>
      </c>
      <c r="CO12" s="977" t="n">
        <v>3702239</v>
      </c>
      <c r="CP12" s="977" t="n">
        <v>2095393</v>
      </c>
      <c r="CQ12" s="978" t="n">
        <v>1.767</v>
      </c>
      <c r="CR12" s="977" t="n">
        <v>3702239</v>
      </c>
      <c r="CS12" s="977" t="n">
        <v>2095393</v>
      </c>
      <c r="CT12" s="977" t="n"/>
      <c r="CU12" s="977" t="n">
        <v>1219968.190692</v>
      </c>
      <c r="CV12" s="977" t="n"/>
      <c r="CW12" s="102" t="n">
        <v>0.96</v>
      </c>
      <c r="CX12" s="105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201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254778.168699</v>
      </c>
      <c r="EQ12" s="977" t="n">
        <v>231654.272224</v>
      </c>
      <c r="ER12" s="977" t="n">
        <v>45015.046446</v>
      </c>
      <c r="ES12" s="977" t="n">
        <v>290961.332148</v>
      </c>
      <c r="ET12" s="977" t="n">
        <v>-349592.252486</v>
      </c>
      <c r="EU12" s="977" t="n"/>
      <c r="EV12" s="977" t="n"/>
      <c r="EW12" s="977" t="n">
        <v>-254778.168699</v>
      </c>
      <c r="EX12" s="977" t="n">
        <v>-231654.272224</v>
      </c>
      <c r="EY12" s="977" t="n">
        <v>-45015.046446</v>
      </c>
      <c r="EZ12" s="977" t="n">
        <v>-290961.332148</v>
      </c>
      <c r="FA12" s="977" t="n">
        <v>349592.252486</v>
      </c>
      <c r="FB12" s="977" t="n">
        <v>58323.063188</v>
      </c>
      <c r="FC12" s="697" t="n">
        <v>0</v>
      </c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1192" t="n"/>
      <c r="P14" s="987" t="n"/>
      <c r="Q14" s="1192" t="n"/>
      <c r="R14" s="1192" t="n"/>
      <c r="S14" s="987" t="n"/>
      <c r="T14" s="987" t="n"/>
      <c r="U14" s="988" t="n"/>
      <c r="V14" s="988" t="n"/>
      <c r="W14" s="988" t="n"/>
      <c r="X14" s="987" t="n"/>
      <c r="Y14" s="1192" t="n"/>
      <c r="Z14" s="1192" t="n"/>
      <c r="AA14" s="1192" t="n"/>
      <c r="AB14" s="1192" t="n"/>
      <c r="AC14" s="987" t="n"/>
      <c r="AD14" s="1192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1192" t="n"/>
      <c r="BU14" s="1192" t="n"/>
      <c r="BV14" s="1192" t="n"/>
      <c r="BW14" s="1192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6" t="n"/>
      <c r="V15" s="1196" t="n"/>
      <c r="W15" s="1202" t="n"/>
      <c r="X15" s="987">
        <f>Q15</f>
        <v/>
      </c>
      <c r="Y15" s="1192" t="n"/>
      <c r="Z15" s="1192" t="n"/>
      <c r="AA15" s="1192" t="n"/>
      <c r="AB15" s="1192" t="n"/>
      <c r="AC15" s="987" t="n"/>
      <c r="AD15" s="1192" t="n"/>
      <c r="AE15" s="987">
        <f>X15-(Y15+Z15+AA15+AB15+AC15+AD15)</f>
        <v/>
      </c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985">
        <f>AI15-AJ15-AK15+AM15-AN15</f>
        <v/>
      </c>
      <c r="AM15" s="985" t="n">
        <v>304503</v>
      </c>
      <c r="AN15" s="1191" t="n">
        <v>9684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>
        <f>AO15+AP15-AQ15</f>
        <v/>
      </c>
      <c r="AT15" s="987">
        <f>AJ15+AK15+AL15-AM15+AN15-AI15</f>
        <v/>
      </c>
      <c r="AU15" s="987">
        <f>AF15+AI15-AO15</f>
        <v/>
      </c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1201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>
        <v>0</v>
      </c>
      <c r="BU15" s="1192" t="n"/>
      <c r="BV15" s="1192" t="n"/>
      <c r="BW15" s="1192" t="n"/>
      <c r="BX15" s="1192" t="n"/>
      <c r="BY15" s="1192" t="n"/>
      <c r="BZ15" s="1192" t="n"/>
      <c r="CA15" s="1192" t="n"/>
      <c r="CB15" s="1192" t="n"/>
      <c r="CC15" s="985" t="n"/>
      <c r="CD15" s="985" t="n"/>
      <c r="CE15" s="1191" t="n"/>
      <c r="CF15" s="1191" t="n"/>
      <c r="CG15" s="1191" t="n"/>
      <c r="CH15" s="1191" t="n"/>
      <c r="CI15" s="985" t="n"/>
      <c r="CJ15" s="985" t="n"/>
      <c r="CK15" s="985" t="n"/>
      <c r="CL15" s="1191" t="n"/>
      <c r="CM15" s="985" t="n"/>
      <c r="CN15" s="986" t="n"/>
      <c r="CO15" s="985" t="n"/>
      <c r="CP15" s="985" t="n"/>
      <c r="CQ15" s="1201" t="n"/>
      <c r="CR15" s="1191" t="n"/>
      <c r="CS15" s="1191" t="n"/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201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194" t="n">
        <v>250223698</v>
      </c>
      <c r="M16" s="975" t="n">
        <v>202156297</v>
      </c>
      <c r="N16" s="990">
        <f>O16-P16</f>
        <v/>
      </c>
      <c r="O16" s="1194" t="n">
        <v>25097358</v>
      </c>
      <c r="P16" s="990" t="n"/>
      <c r="Q16" s="1194" t="n">
        <v>13101010</v>
      </c>
      <c r="R16" s="990" t="n">
        <v>14000586</v>
      </c>
      <c r="S16" s="990" t="n">
        <v>37527725</v>
      </c>
      <c r="T16" s="990" t="n">
        <v>37527725</v>
      </c>
      <c r="U16" s="1196" t="n"/>
      <c r="V16" s="1196" t="n"/>
      <c r="W16" s="1202" t="n"/>
      <c r="X16" s="989">
        <f>Q16</f>
        <v/>
      </c>
      <c r="Y16" s="1194" t="n"/>
      <c r="Z16" s="1192" t="n"/>
      <c r="AA16" s="1192" t="n"/>
      <c r="AB16" s="1192" t="n"/>
      <c r="AC16" s="990" t="n"/>
      <c r="AD16" s="1192" t="n"/>
      <c r="AE16" s="990">
        <f>X16-(Y16+Z16+AA16+AB16+AC16+AD16)</f>
        <v/>
      </c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975">
        <f>AI16-AJ16-AK16+AM16-AN16</f>
        <v/>
      </c>
      <c r="AM16" s="975" t="n">
        <v>334101</v>
      </c>
      <c r="AN16" s="1191" t="n">
        <v>-74481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>
        <f>AO16+AP16-AQ16</f>
        <v/>
      </c>
      <c r="AT16" s="990">
        <f>AJ16+AK16+AL16-AM16+AN16-AI16</f>
        <v/>
      </c>
      <c r="AU16" s="990">
        <f>AF16+AI16-AO16</f>
        <v/>
      </c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1201" t="n"/>
      <c r="BC16" s="1194" t="n">
        <v>26354009</v>
      </c>
      <c r="BD16" s="1194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989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>
        <v>0</v>
      </c>
      <c r="BU16" s="1192" t="n"/>
      <c r="BV16" s="1192" t="n"/>
      <c r="BW16" s="1192" t="n"/>
      <c r="BX16" s="1192" t="n"/>
      <c r="BY16" s="1192" t="n"/>
      <c r="BZ16" s="1192" t="n"/>
      <c r="CA16" s="1192" t="n"/>
      <c r="CB16" s="1192" t="n"/>
      <c r="CC16" s="1204" t="n"/>
      <c r="CD16" s="975" t="n"/>
      <c r="CE16" s="1191" t="n"/>
      <c r="CF16" s="1191" t="n"/>
      <c r="CG16" s="1191" t="n"/>
      <c r="CH16" s="1191" t="n"/>
      <c r="CI16" s="975" t="n"/>
      <c r="CJ16" s="975" t="n"/>
      <c r="CK16" s="975" t="n"/>
      <c r="CL16" s="1191" t="n"/>
      <c r="CM16" s="975" t="n"/>
      <c r="CN16" s="843" t="n"/>
      <c r="CO16" s="975" t="n"/>
      <c r="CP16" s="975" t="n"/>
      <c r="CQ16" s="1201" t="n"/>
      <c r="CR16" s="1191" t="n"/>
      <c r="CS16" s="1191" t="n"/>
      <c r="CT16" s="975" t="n"/>
      <c r="CU16" s="975" t="n"/>
      <c r="CV16" s="975" t="n"/>
      <c r="CW16" s="138" t="n">
        <v>0.9079999999999999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201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1198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205" t="n"/>
      <c r="V17" s="1205" t="n"/>
      <c r="W17" s="1202" t="n"/>
      <c r="X17" s="697">
        <f>Q17</f>
        <v/>
      </c>
      <c r="Y17" s="1205" t="n"/>
      <c r="Z17" s="1205" t="n"/>
      <c r="AA17" s="1205" t="n"/>
      <c r="AB17" s="1205" t="n"/>
      <c r="AD17" s="1205" t="n"/>
      <c r="AE17" s="990">
        <f>X17-(Y17+Z17+AA17+AB17+AC17+AD17)</f>
        <v/>
      </c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697">
        <f>AI17-AJ17-AK17+AM17-AN17</f>
        <v/>
      </c>
      <c r="AM17" s="697" t="n">
        <v>76584</v>
      </c>
      <c r="AN17" s="1195" t="n">
        <v>-18056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>
        <f>AO17+AP17-AQ17</f>
        <v/>
      </c>
      <c r="AT17" s="966">
        <f>AJ17+AK17+AL17-AM17+AN17-AI17</f>
        <v/>
      </c>
      <c r="AU17" s="966">
        <f>AF17+AI17-AO17</f>
        <v/>
      </c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205" t="n"/>
      <c r="BP17" s="697">
        <f>AR17</f>
        <v/>
      </c>
      <c r="BQ17" s="697" t="n">
        <v>228798</v>
      </c>
      <c r="BS17" s="697">
        <f>R17</f>
        <v/>
      </c>
      <c r="BT17" s="966" t="n">
        <v>0</v>
      </c>
      <c r="BU17" s="1205" t="n"/>
      <c r="BV17" s="1205" t="n"/>
      <c r="BW17" s="1205" t="n"/>
      <c r="BX17" s="1205" t="n"/>
      <c r="BY17" s="1205" t="n"/>
      <c r="BZ17" s="1205" t="n"/>
      <c r="CA17" s="1205" t="n"/>
      <c r="CB17" s="1205" t="n"/>
      <c r="CE17" s="1205" t="n"/>
      <c r="CF17" s="1205" t="n"/>
      <c r="CG17" s="1205" t="n"/>
      <c r="CH17" s="1205" t="n"/>
      <c r="CL17" s="1205" t="n"/>
      <c r="CN17" s="786" t="n"/>
      <c r="CQ17" s="1201" t="n"/>
      <c r="CR17" s="1205" t="n"/>
      <c r="CS17" s="1205" t="n"/>
      <c r="CW17" s="103" t="n"/>
      <c r="CX17" s="103" t="n"/>
      <c r="CY17" s="103" t="n"/>
      <c r="CZ17" s="104" t="n"/>
      <c r="DC17" s="1205" t="n"/>
      <c r="DD17" s="1205" t="n"/>
      <c r="DE17" s="1205" t="n"/>
      <c r="DG17" s="1205" t="n"/>
      <c r="DH17" s="1205" t="n"/>
      <c r="DI17" s="1205" t="n"/>
      <c r="DJ17" s="1205" t="n"/>
      <c r="DK17" s="1205" t="n"/>
      <c r="DL17" s="1205" t="n"/>
      <c r="DM17" s="1205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205" t="n"/>
      <c r="V18" s="1205" t="n"/>
      <c r="W18" s="1202" t="n"/>
      <c r="X18" s="697">
        <f>Q18</f>
        <v/>
      </c>
      <c r="Y18" s="1195" t="n">
        <v>12295118</v>
      </c>
      <c r="Z18" s="1195" t="n">
        <v>-599004</v>
      </c>
      <c r="AA18" s="1205" t="n"/>
      <c r="AB18" s="697" t="n">
        <v>296614</v>
      </c>
      <c r="AD18" s="1195" t="n">
        <v>169381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697">
        <f>AI18-AJ18-AK18+AM18-AN18</f>
        <v/>
      </c>
      <c r="AM18" s="1195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>
        <f>AO18+AP18-AQ18</f>
        <v/>
      </c>
      <c r="AT18" s="966">
        <f>AJ18+AK18+AL18-AM18+AN18-AI18</f>
        <v/>
      </c>
      <c r="AU18" s="966">
        <f>AF18+AI18-AO18</f>
        <v/>
      </c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>
        <v>0</v>
      </c>
      <c r="BU18" s="697" t="n">
        <v>190529574</v>
      </c>
      <c r="BV18" s="697" t="n">
        <v>3019268</v>
      </c>
      <c r="BW18" s="697" t="n">
        <v>13746066</v>
      </c>
      <c r="BX18" s="1205" t="n">
        <v>1426337</v>
      </c>
      <c r="BY18" s="1205" t="n">
        <v>743661</v>
      </c>
      <c r="BZ18" s="1205" t="n">
        <v>72271</v>
      </c>
      <c r="CA18" s="1205" t="n">
        <v>233638</v>
      </c>
      <c r="CB18" s="1205" t="n">
        <v>12902023</v>
      </c>
      <c r="CD18" s="697">
        <f>CB18+BX18-BY18+BZ18+CA18-BW18</f>
        <v/>
      </c>
      <c r="CE18" s="1205" t="n"/>
      <c r="CF18" s="1205" t="n"/>
      <c r="CG18" s="1205" t="n"/>
      <c r="CH18" s="1205" t="n"/>
      <c r="CJ18" s="697">
        <f>BW18</f>
        <v/>
      </c>
      <c r="CL18" s="697" t="n">
        <v>0</v>
      </c>
      <c r="CN18" s="786" t="n"/>
      <c r="CQ18" s="1201" t="n"/>
      <c r="CR18" s="1205" t="n"/>
      <c r="CS18" s="1205" t="n"/>
      <c r="CW18" s="103" t="n"/>
      <c r="CX18" s="103" t="n"/>
      <c r="CY18" s="103" t="n"/>
      <c r="CZ18" s="104" t="n"/>
      <c r="DC18" s="1205" t="n"/>
      <c r="DD18" s="1205" t="n"/>
      <c r="DE18" s="1205" t="n"/>
      <c r="DG18" s="1205" t="n"/>
      <c r="DH18" s="1205" t="n"/>
      <c r="DI18" s="1205" t="n"/>
      <c r="DJ18" s="1205" t="n"/>
      <c r="DK18" s="1205" t="n"/>
      <c r="DL18" s="1205" t="n"/>
      <c r="DM18" s="1205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205" t="n"/>
      <c r="V19" s="1205" t="n"/>
      <c r="W19" s="1202" t="n"/>
      <c r="X19" s="697">
        <f>Q19</f>
        <v/>
      </c>
      <c r="Y19" s="697" t="n">
        <v>17831442</v>
      </c>
      <c r="Z19" s="697" t="n">
        <v>1716945</v>
      </c>
      <c r="AA19" s="1205" t="n"/>
      <c r="AB19" s="697" t="n">
        <v>30598</v>
      </c>
      <c r="AD19" s="697" t="n">
        <v>-170160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697">
        <f>AI19-AJ19-AK19+AM19-AN19</f>
        <v/>
      </c>
      <c r="AM19" s="697" t="n">
        <v>233758</v>
      </c>
      <c r="AN19" s="697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>
        <f>AO19+AP19-AQ19</f>
        <v/>
      </c>
      <c r="AT19" s="966">
        <f>AJ19+AK19+AL19-AM19+AN19-AI19</f>
        <v/>
      </c>
      <c r="AU19" s="966">
        <f>AF19+AI19-AO19</f>
        <v/>
      </c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>
        <v>0</v>
      </c>
      <c r="BU19" s="697" t="n">
        <v>190521472</v>
      </c>
      <c r="BV19" s="697" t="n">
        <v>3063428</v>
      </c>
      <c r="BW19" s="697" t="n">
        <v>14047021</v>
      </c>
      <c r="BX19" s="1205" t="n">
        <v>2297751</v>
      </c>
      <c r="BY19" s="1205" t="n">
        <v>1122023</v>
      </c>
      <c r="BZ19" s="1205" t="n">
        <v>393576</v>
      </c>
      <c r="CA19" s="1205" t="n">
        <v>362846</v>
      </c>
      <c r="CB19" s="1205" t="n">
        <v>12902023</v>
      </c>
      <c r="CD19" s="697">
        <f>CB19+BX19-BY19+BZ19+CA19-BW19</f>
        <v/>
      </c>
      <c r="CE19" s="1205" t="n"/>
      <c r="CF19" s="1205" t="n"/>
      <c r="CG19" s="1205" t="n"/>
      <c r="CH19" s="1205" t="n"/>
      <c r="CJ19" s="697">
        <f>BW19</f>
        <v/>
      </c>
      <c r="CL19" s="697" t="n">
        <v>0</v>
      </c>
      <c r="CN19" s="786" t="n"/>
      <c r="CQ19" s="1201" t="n"/>
      <c r="CR19" s="1205" t="n"/>
      <c r="CS19" s="1205" t="n"/>
      <c r="CW19" s="103" t="n"/>
      <c r="CX19" s="103" t="n"/>
      <c r="CY19" s="103" t="n"/>
      <c r="CZ19" s="104" t="n"/>
      <c r="DC19" s="1205" t="n"/>
      <c r="DD19" s="1205" t="n"/>
      <c r="DE19" s="1205" t="n"/>
      <c r="DG19" s="1205" t="n"/>
      <c r="DH19" s="1205" t="n"/>
      <c r="DI19" s="1205" t="n"/>
      <c r="DJ19" s="1205" t="n"/>
      <c r="DK19" s="1205" t="n"/>
      <c r="DL19" s="1205" t="n"/>
      <c r="DM19" s="1205" t="n"/>
      <c r="EF19" s="787" t="n"/>
      <c r="EI19" s="1205" t="n"/>
      <c r="EJ19" s="1205" t="n"/>
      <c r="EK19" s="1205" t="n"/>
      <c r="EN19" s="1205" t="n"/>
      <c r="EO19" s="1205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205" t="n"/>
      <c r="V20" s="1205" t="n"/>
      <c r="W20" s="1202" t="n"/>
      <c r="X20" s="697">
        <f>Q20</f>
        <v/>
      </c>
      <c r="Y20" s="697" t="n">
        <v>36260495</v>
      </c>
      <c r="Z20" s="697" t="n">
        <v>7891090</v>
      </c>
      <c r="AA20" s="1205" t="n"/>
      <c r="AB20" s="697" t="n">
        <v>-874000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697">
        <f>AI20-AJ20-AK20+AM20-AN20</f>
        <v/>
      </c>
      <c r="AM20" s="697" t="n">
        <v>342173</v>
      </c>
      <c r="AN20" s="697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>
        <f>AO20+AP20-AQ20</f>
        <v/>
      </c>
      <c r="AT20" s="966">
        <f>AJ20+AK20+AL20-AM20+AN20-AI20</f>
        <v/>
      </c>
      <c r="AU20" s="966">
        <f>AF20+AI20-AO20</f>
        <v/>
      </c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>
        <v>0</v>
      </c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>
        <f>CB20+BX20-BY20+BZ20+CA20-BW20</f>
        <v/>
      </c>
      <c r="CE20" s="1205" t="n"/>
      <c r="CF20" s="1205" t="n"/>
      <c r="CG20" s="1205" t="n"/>
      <c r="CH20" s="1205" t="n"/>
      <c r="CJ20" s="697">
        <f>BW20</f>
        <v/>
      </c>
      <c r="CL20" s="697" t="n">
        <v>0</v>
      </c>
      <c r="CN20" s="1201" t="n"/>
      <c r="CO20" s="1205" t="n"/>
      <c r="CP20" s="1205" t="n"/>
      <c r="CQ20" s="1200" t="n"/>
      <c r="CR20" s="1192" t="n"/>
      <c r="CS20" s="1192" t="n"/>
      <c r="CU20" s="697" t="n">
        <v>832412</v>
      </c>
      <c r="CW20" s="103" t="n">
        <v>0.9209999999999999</v>
      </c>
      <c r="CX20" s="103" t="n">
        <v>0.991</v>
      </c>
      <c r="CY20" s="103">
        <f>CW20-CX20</f>
        <v/>
      </c>
      <c r="CZ20" s="104">
        <f>CX20/CW20</f>
        <v/>
      </c>
      <c r="DC20" s="1205" t="n"/>
      <c r="DD20" s="1205" t="n"/>
      <c r="DE20" s="1205" t="n"/>
      <c r="DG20" s="1205" t="n"/>
      <c r="DH20" s="1205" t="n"/>
      <c r="DI20" s="1205" t="n"/>
      <c r="DJ20" s="1205" t="n"/>
      <c r="DK20" s="1205" t="n"/>
      <c r="DL20" s="1205" t="n"/>
      <c r="DM20" s="1205" t="n"/>
      <c r="EF20" s="787" t="n"/>
      <c r="EP20" s="697" t="n">
        <v>258004</v>
      </c>
      <c r="EQ20" s="697" t="n">
        <v>421543</v>
      </c>
      <c r="ER20" s="697" t="n">
        <v>487958</v>
      </c>
      <c r="ES20" s="1205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205" t="n"/>
      <c r="FA20" s="697" t="n">
        <v>-906405</v>
      </c>
      <c r="FB20" s="697" t="n">
        <v>282088</v>
      </c>
      <c r="FC20" s="767" t="n">
        <v>0</v>
      </c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1192" t="n"/>
      <c r="P22" s="1192" t="n"/>
      <c r="Q22" s="1192" t="n"/>
      <c r="R22" s="1192" t="n"/>
      <c r="S22" s="979" t="n"/>
      <c r="T22" s="979" t="n"/>
      <c r="U22" s="980" t="n"/>
      <c r="V22" s="980" t="n"/>
      <c r="W22" s="980" t="n"/>
      <c r="X22" s="979" t="n"/>
      <c r="Y22" s="1192" t="n"/>
      <c r="Z22" s="1192" t="n"/>
      <c r="AA22" s="1192" t="n"/>
      <c r="AB22" s="1192" t="n"/>
      <c r="AC22" s="1192" t="n"/>
      <c r="AD22" s="1192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1196" t="n"/>
      <c r="BU22" s="1192" t="n"/>
      <c r="BV22" s="1192" t="n"/>
      <c r="BW22" s="1192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115079638.554295</v>
      </c>
      <c r="E23" s="980" t="n">
        <v>34153491.484438</v>
      </c>
      <c r="F23" s="980" t="n">
        <v>49724360.239462</v>
      </c>
      <c r="G23" s="980" t="n">
        <v>21463504.771095</v>
      </c>
      <c r="H23" s="980" t="n">
        <v>2048122.40218</v>
      </c>
      <c r="I23" s="992">
        <f>E23/D23</f>
        <v/>
      </c>
      <c r="J23" s="992">
        <f>F23/D23</f>
        <v/>
      </c>
      <c r="K23" s="992">
        <f>G23/D23</f>
        <v/>
      </c>
      <c r="L23" s="1196" t="n">
        <v>105317246.584092</v>
      </c>
      <c r="M23" s="1196" t="n">
        <v>87533336.48834801</v>
      </c>
      <c r="N23" s="979">
        <f>O23-P23</f>
        <v/>
      </c>
      <c r="O23" s="1192" t="n">
        <v>9762391.970202999</v>
      </c>
      <c r="P23" s="979" t="n">
        <v>1607440.428213</v>
      </c>
      <c r="Q23" s="979" t="n">
        <v>1670167.445676</v>
      </c>
      <c r="R23" s="1192" t="n">
        <v>6213762.493004</v>
      </c>
      <c r="S23" s="1192" t="n">
        <v>12715631.482359</v>
      </c>
      <c r="T23" s="1192" t="n">
        <v>11606732.534146</v>
      </c>
      <c r="U23" s="980" t="n">
        <v>99476394</v>
      </c>
      <c r="V23" s="980" t="n">
        <v>97258910</v>
      </c>
      <c r="W23" s="107" t="n">
        <v>0.9777</v>
      </c>
      <c r="X23" s="979">
        <f>Q23</f>
        <v/>
      </c>
      <c r="Y23" s="1192" t="n">
        <v>-3519061</v>
      </c>
      <c r="Z23" s="1192" t="n">
        <v>4371761</v>
      </c>
      <c r="AA23" s="1192" t="n">
        <v>12855</v>
      </c>
      <c r="AB23" s="979" t="n">
        <v>265018</v>
      </c>
      <c r="AC23" s="1192" t="n"/>
      <c r="AD23" s="1192" t="n">
        <v>29480</v>
      </c>
      <c r="AE23" s="979" t="n"/>
      <c r="AF23" s="1196" t="n">
        <v>42073.679167</v>
      </c>
      <c r="AG23" s="1196" t="n">
        <v>3693666.189701</v>
      </c>
      <c r="AH23" s="1196" t="n">
        <v>3651592.510534</v>
      </c>
      <c r="AI23" s="1196" t="n">
        <v>600006.228335</v>
      </c>
      <c r="AJ23" s="980" t="n">
        <v>-4287191.01458</v>
      </c>
      <c r="AK23" s="980" t="n">
        <v>-4505.277842</v>
      </c>
      <c r="AL23" s="980">
        <f>AI23-AJ23-AK23+AM23-AN23</f>
        <v/>
      </c>
      <c r="AM23" s="980" t="n">
        <v>84976.538414</v>
      </c>
      <c r="AN23" s="1196" t="n">
        <v>809028.711775</v>
      </c>
      <c r="AO23" s="1196" t="n">
        <v>642079.907502</v>
      </c>
      <c r="AP23" s="980" t="n">
        <v>3018.609483</v>
      </c>
      <c r="AQ23" s="1192" t="n">
        <v>645098.516985</v>
      </c>
      <c r="AR23" s="1192" t="n">
        <v>489081.577795</v>
      </c>
      <c r="AS23" s="980">
        <f>AO23+AP23-AQ23</f>
        <v/>
      </c>
      <c r="AT23" s="980">
        <f>AJ23+AK23+AL23-AM23+AN23-AI23</f>
        <v/>
      </c>
      <c r="AU23" s="980">
        <f>AF23+AI23-AO23</f>
        <v/>
      </c>
      <c r="AV23" s="980">
        <f>AF23</f>
        <v/>
      </c>
      <c r="AW23" s="980">
        <f>AI23</f>
        <v/>
      </c>
      <c r="AX23" s="980">
        <f>AP23</f>
        <v/>
      </c>
      <c r="AY23" s="980">
        <f>AV23+AW23+AX23</f>
        <v/>
      </c>
      <c r="AZ23" s="980" t="n"/>
      <c r="BA23" s="980" t="n"/>
      <c r="BB23" s="1199" t="n"/>
      <c r="BC23" s="1196" t="n">
        <v>4534291.588534</v>
      </c>
      <c r="BD23" s="980" t="n">
        <v>2306391.530503</v>
      </c>
      <c r="BE23" s="788" t="n">
        <v>2095.38389</v>
      </c>
      <c r="BF23" s="980" t="n">
        <v>-3579905.098156</v>
      </c>
      <c r="BG23" s="980" t="n">
        <v>357360.796277</v>
      </c>
      <c r="BH23" s="980" t="n">
        <v>-3640.898588</v>
      </c>
      <c r="BI23" s="980" t="n">
        <v>-3946.2729</v>
      </c>
      <c r="BJ23" s="1196" t="n"/>
      <c r="BK23" s="980">
        <f>Q23</f>
        <v/>
      </c>
      <c r="BL23" s="980">
        <f>BK23-BC23-SUM(BD23:BJ23)</f>
        <v/>
      </c>
      <c r="BM23" s="1196" t="n">
        <v>6717411.466702</v>
      </c>
      <c r="BN23" s="980" t="n">
        <v>-51250</v>
      </c>
      <c r="BO23" s="980" t="n"/>
      <c r="BP23" s="980">
        <f>AR23</f>
        <v/>
      </c>
      <c r="BQ23" s="980" t="n"/>
      <c r="BR23" s="980" t="n">
        <v>-74244.91667000001</v>
      </c>
      <c r="BS23" s="980">
        <f>R23</f>
        <v/>
      </c>
      <c r="BT23" s="980" t="n">
        <v>0</v>
      </c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6" t="n"/>
      <c r="CF23" s="1196" t="n"/>
      <c r="CG23" s="1196" t="n"/>
      <c r="CH23" s="1196" t="n"/>
      <c r="CI23" s="1196" t="n"/>
      <c r="CJ23" s="980">
        <f>BW23</f>
        <v/>
      </c>
      <c r="CK23" s="980" t="n"/>
      <c r="CL23" s="980" t="n">
        <v>0</v>
      </c>
      <c r="CM23" s="980" t="n"/>
      <c r="CN23" s="992" t="n"/>
      <c r="CO23" s="980" t="n"/>
      <c r="CP23" s="980" t="n"/>
      <c r="CQ23" s="1199" t="n"/>
      <c r="CR23" s="1196" t="n"/>
      <c r="CS23" s="1196" t="n"/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122408983.045999</v>
      </c>
      <c r="E24" s="980" t="n">
        <v>32211658.924788</v>
      </c>
      <c r="F24" s="980" t="n">
        <v>58025921.849151</v>
      </c>
      <c r="G24" s="993" t="n">
        <v>21294759.61627</v>
      </c>
      <c r="H24" s="980" t="n">
        <v>2910745.314498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115103965.327422</v>
      </c>
      <c r="M24" s="980" t="n">
        <v>94441284.045036</v>
      </c>
      <c r="N24" s="979">
        <f>O24-P24</f>
        <v/>
      </c>
      <c r="O24" s="994" t="n">
        <v>7305017.718577</v>
      </c>
      <c r="P24" s="979" t="n">
        <v>2205726.208213</v>
      </c>
      <c r="Q24" s="994" t="n">
        <v>-2205732.209538</v>
      </c>
      <c r="R24" s="979" t="n">
        <v>7034002.116592</v>
      </c>
      <c r="S24" s="979" t="n">
        <v>9975755.359695001</v>
      </c>
      <c r="T24" s="979" t="n">
        <v>8368314.931482</v>
      </c>
      <c r="U24" s="1196" t="n"/>
      <c r="V24" s="1196" t="n"/>
      <c r="W24" s="1202" t="n"/>
      <c r="X24" s="994">
        <f>Q24</f>
        <v/>
      </c>
      <c r="Y24" s="1197" t="n">
        <v>-3305617</v>
      </c>
      <c r="Z24" s="994" t="n">
        <v>230655</v>
      </c>
      <c r="AA24" s="994" t="n">
        <v>3809</v>
      </c>
      <c r="AB24" s="1197" t="n"/>
      <c r="AC24" s="1197" t="n"/>
      <c r="AD24" s="994" t="n">
        <v>43453</v>
      </c>
      <c r="AE24" s="979" t="n"/>
      <c r="AF24" s="980" t="n">
        <v>473623.864404</v>
      </c>
      <c r="AG24" s="980" t="n">
        <v>4010999.811204</v>
      </c>
      <c r="AH24" s="980" t="n">
        <v>3537375.9468</v>
      </c>
      <c r="AI24" s="980" t="n">
        <v>671399.6277299999</v>
      </c>
      <c r="AJ24" s="980" t="n">
        <v>-2923905.728455</v>
      </c>
      <c r="AK24" s="980" t="n">
        <v>-3376.843818</v>
      </c>
      <c r="AL24" s="980">
        <f>AI24-AJ24-AK24+AM24-AN24</f>
        <v/>
      </c>
      <c r="AM24" s="980" t="n">
        <v>87499.136193</v>
      </c>
      <c r="AN24" s="1196" t="n">
        <v>845967.306542</v>
      </c>
      <c r="AO24" s="980" t="n">
        <v>1145023.492134</v>
      </c>
      <c r="AP24" s="980" t="n">
        <v>-264233.609378</v>
      </c>
      <c r="AQ24" s="979" t="n">
        <v>880789.882756</v>
      </c>
      <c r="AR24" s="979" t="n">
        <v>698736.0893399999</v>
      </c>
      <c r="AS24" s="980">
        <f>AO24+AP24-AQ24</f>
        <v/>
      </c>
      <c r="AT24" s="980">
        <f>AJ24+AK24+AL24-AM24+AN24-AI24</f>
        <v/>
      </c>
      <c r="AU24" s="980">
        <f>AF24+AI24-AO24</f>
        <v/>
      </c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1199" t="n"/>
      <c r="BC24" s="1197" t="n">
        <v>1670167.445676</v>
      </c>
      <c r="BD24" s="1197" t="n">
        <v>254014.466024</v>
      </c>
      <c r="BE24" s="788" t="n">
        <v>-3355.361292</v>
      </c>
      <c r="BF24" s="980" t="n">
        <v>-4161073.809181</v>
      </c>
      <c r="BG24" s="980" t="n">
        <v>36349.57474</v>
      </c>
      <c r="BH24" s="980" t="n">
        <v>-9037.39532</v>
      </c>
      <c r="BI24" s="980" t="n">
        <v>7202.869815</v>
      </c>
      <c r="BJ24" s="980" t="n"/>
      <c r="BK24" s="994">
        <f>Q24</f>
        <v/>
      </c>
      <c r="BL24" s="980">
        <f>BK24-BC24-SUM(BD24:BJ24)</f>
        <v/>
      </c>
      <c r="BM24" s="980" t="n">
        <v>6427125.882496</v>
      </c>
      <c r="BN24" s="1196" t="n"/>
      <c r="BO24" s="980" t="n"/>
      <c r="BP24" s="980">
        <f>AR24</f>
        <v/>
      </c>
      <c r="BQ24" s="1196" t="n"/>
      <c r="BR24" s="980" t="n">
        <v>-91708.112504</v>
      </c>
      <c r="BS24" s="980">
        <f>R24</f>
        <v/>
      </c>
      <c r="BT24" s="980" t="n">
        <v>0</v>
      </c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4" t="n"/>
      <c r="CD24" s="980">
        <f>CB24+BX24-BY24+BZ24+CA24-BW24</f>
        <v/>
      </c>
      <c r="CE24" s="980" t="n">
        <v>572479</v>
      </c>
      <c r="CF24" s="980" t="n">
        <v>948672</v>
      </c>
      <c r="CG24" s="980" t="n">
        <v>775664</v>
      </c>
      <c r="CH24" s="980" t="n">
        <v>1421174</v>
      </c>
      <c r="CI24" s="980" t="n">
        <v>2720068</v>
      </c>
      <c r="CJ24" s="980">
        <f>BW24</f>
        <v/>
      </c>
      <c r="CK24" s="980">
        <f>CJ24-SUM(CE24:CI24)</f>
        <v/>
      </c>
      <c r="CL24" s="980" t="n">
        <v>0</v>
      </c>
      <c r="CM24" s="980" t="n"/>
      <c r="CN24" s="992" t="n"/>
      <c r="CO24" s="980" t="n"/>
      <c r="CP24" s="980" t="n"/>
      <c r="CQ24" s="1199" t="n"/>
      <c r="CR24" s="1196" t="n"/>
      <c r="CS24" s="1196" t="n"/>
      <c r="CT24" s="980" t="n"/>
      <c r="CU24" s="980" t="n"/>
      <c r="CV24" s="980" t="n"/>
      <c r="CW24" s="107" t="n">
        <v>0.764</v>
      </c>
      <c r="CX24" s="107" t="n">
        <v>0.759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  <c r="FC24" s="697" t="n">
        <v>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126859785.228232</v>
      </c>
      <c r="E25" s="980" t="n">
        <v>33157762.128662</v>
      </c>
      <c r="F25" s="980" t="n">
        <v>61122832.921236</v>
      </c>
      <c r="G25" s="980" t="n">
        <v>21902515.984605</v>
      </c>
      <c r="H25" s="980" t="n">
        <v>2962428.410329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120327285.76426</v>
      </c>
      <c r="M25" s="980" t="n">
        <v>98627700.36550801</v>
      </c>
      <c r="N25" s="979">
        <f>O25-P25</f>
        <v/>
      </c>
      <c r="O25" s="979" t="n">
        <v>6532499.463972</v>
      </c>
      <c r="P25" s="979" t="n">
        <v>2205726.208213</v>
      </c>
      <c r="Q25" s="979" t="n">
        <v>-3143991.714419</v>
      </c>
      <c r="R25" s="979" t="n">
        <v>7199743.366868</v>
      </c>
      <c r="S25" s="979" t="n">
        <v>7305017.718577</v>
      </c>
      <c r="T25" s="979" t="n">
        <v>5099291.510364</v>
      </c>
      <c r="U25" s="1196" t="n"/>
      <c r="V25" s="1196" t="n"/>
      <c r="W25" s="1202" t="n"/>
      <c r="X25" s="979">
        <f>Q25</f>
        <v/>
      </c>
      <c r="Y25" s="1192" t="n"/>
      <c r="Z25" s="1192" t="n"/>
      <c r="AA25" s="1192" t="n"/>
      <c r="AB25" s="1192" t="n"/>
      <c r="AC25" s="1192" t="n"/>
      <c r="AD25" s="1192" t="n"/>
      <c r="AE25" s="979">
        <f>X25-(Y25+Z25+AA25+AB25+AC25+AD25)</f>
        <v/>
      </c>
      <c r="AF25" s="980" t="n">
        <v>163110.340125</v>
      </c>
      <c r="AG25" s="980" t="n">
        <v>970191.269151</v>
      </c>
      <c r="AH25" s="980" t="n">
        <v>807080.929026</v>
      </c>
      <c r="AI25" s="980" t="n">
        <v>242344.822745</v>
      </c>
      <c r="AJ25" s="980" t="n">
        <v>-1128993.921725</v>
      </c>
      <c r="AK25" s="980" t="n">
        <v>-546.077459</v>
      </c>
      <c r="AL25" s="980">
        <f>AI25-AJ25-AK25+AM25-AN25</f>
        <v/>
      </c>
      <c r="AM25" s="980" t="n">
        <v>15848.336368</v>
      </c>
      <c r="AN25" s="980" t="n">
        <v>261203.485966</v>
      </c>
      <c r="AO25" s="980" t="n">
        <v>405455.16287</v>
      </c>
      <c r="AP25" s="980" t="n">
        <v>4911.592125</v>
      </c>
      <c r="AQ25" s="979" t="n">
        <v>410366.754995</v>
      </c>
      <c r="AR25" s="979" t="n">
        <v>315282.486839</v>
      </c>
      <c r="AS25" s="980">
        <f>AO25+AP25-AQ25</f>
        <v/>
      </c>
      <c r="AT25" s="980">
        <f>AJ25+AK25+AL25-AM25+AN25-AI25</f>
        <v/>
      </c>
      <c r="AU25" s="980">
        <f>AF25+AI25-AO25</f>
        <v/>
      </c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-2205732.209538</v>
      </c>
      <c r="BD25" s="980" t="n">
        <v>893186.898872</v>
      </c>
      <c r="BE25" s="788" t="n">
        <v>338.356994</v>
      </c>
      <c r="BF25" s="980" t="n">
        <v>-1874117.708752</v>
      </c>
      <c r="BG25" s="1196" t="n"/>
      <c r="BH25" s="1196" t="n"/>
      <c r="BI25" s="980" t="n">
        <v>-216.375094</v>
      </c>
      <c r="BJ25" s="980" t="n"/>
      <c r="BK25" s="980">
        <f>Q25</f>
        <v/>
      </c>
      <c r="BL25" s="980" t="n"/>
      <c r="BM25" s="980" t="n">
        <v>7034002.116592</v>
      </c>
      <c r="BN25" s="1196" t="n"/>
      <c r="BO25" s="980" t="n"/>
      <c r="BP25" s="980">
        <f>AR25</f>
        <v/>
      </c>
      <c r="BQ25" s="980" t="n"/>
      <c r="BR25" s="1196" t="n"/>
      <c r="BS25" s="980">
        <f>R25</f>
        <v/>
      </c>
      <c r="BT25" s="980" t="n">
        <v>0</v>
      </c>
      <c r="BU25" s="1192" t="n"/>
      <c r="BV25" s="1192" t="n"/>
      <c r="BW25" s="1192" t="n"/>
      <c r="BX25" s="1192" t="n"/>
      <c r="BY25" s="1192" t="n"/>
      <c r="BZ25" s="1192" t="n"/>
      <c r="CA25" s="1192" t="n"/>
      <c r="CB25" s="1192" t="n"/>
      <c r="CC25" s="980" t="n"/>
      <c r="CD25" s="980" t="n"/>
      <c r="CE25" s="1196" t="n"/>
      <c r="CF25" s="1196" t="n"/>
      <c r="CG25" s="1196" t="n"/>
      <c r="CH25" s="1196" t="n"/>
      <c r="CI25" s="1196" t="n"/>
      <c r="CJ25" s="980" t="n"/>
      <c r="CK25" s="980" t="n"/>
      <c r="CL25" s="1196" t="n"/>
      <c r="CM25" s="980" t="n"/>
      <c r="CN25" s="992" t="n"/>
      <c r="CO25" s="980" t="n"/>
      <c r="CP25" s="980" t="n"/>
      <c r="CQ25" s="1199" t="n"/>
      <c r="CR25" s="1196" t="n"/>
      <c r="CS25" s="1196" t="n"/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127213347.303222</v>
      </c>
      <c r="E26" s="980" t="n">
        <v>33587374.99602</v>
      </c>
      <c r="F26" s="980" t="n">
        <v>61044087.170703</v>
      </c>
      <c r="G26" s="980" t="n">
        <v>21428384.401341</v>
      </c>
      <c r="H26" s="980" t="n">
        <v>3302882.833591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120412433.540692</v>
      </c>
      <c r="M26" s="980" t="n">
        <v>99364709.846058</v>
      </c>
      <c r="N26" s="979">
        <f>O26-P26</f>
        <v/>
      </c>
      <c r="O26" s="979" t="n">
        <v>6800913.76253</v>
      </c>
      <c r="P26" s="979" t="n">
        <v>2205726.208213</v>
      </c>
      <c r="Q26" s="979" t="n">
        <v>-3117696.479842</v>
      </c>
      <c r="R26" s="979" t="n">
        <v>7441652.486049</v>
      </c>
      <c r="S26" s="979" t="n">
        <v>7305017.718577</v>
      </c>
      <c r="T26" s="979" t="n">
        <v>5099291.510364</v>
      </c>
      <c r="U26" s="1196" t="n"/>
      <c r="V26" s="1196" t="n"/>
      <c r="W26" s="1202" t="n"/>
      <c r="X26" s="979">
        <f>Q26</f>
        <v/>
      </c>
      <c r="Y26" s="1192" t="n"/>
      <c r="Z26" s="1192" t="n"/>
      <c r="AA26" s="1192" t="n"/>
      <c r="AB26" s="1192" t="n"/>
      <c r="AC26" s="1192" t="n"/>
      <c r="AD26" s="1192" t="n"/>
      <c r="AE26" s="979">
        <f>X26-(Y26+Z26+AA26+AB26+AC26+AD26)</f>
        <v/>
      </c>
      <c r="AF26" s="980" t="n">
        <v>253601.557184</v>
      </c>
      <c r="AG26" s="980" t="n">
        <v>2150383.316392</v>
      </c>
      <c r="AH26" s="980" t="n">
        <v>1896781.759208</v>
      </c>
      <c r="AI26" s="980" t="n">
        <v>496917.777961</v>
      </c>
      <c r="AJ26" s="980" t="n">
        <v>-2588369.498665</v>
      </c>
      <c r="AK26" s="980" t="n">
        <v>-1527.403432</v>
      </c>
      <c r="AL26" s="980">
        <f>AI26-AJ26-AK26+AM26-AN26</f>
        <v/>
      </c>
      <c r="AM26" s="980" t="n">
        <v>33009.466964</v>
      </c>
      <c r="AN26" s="980" t="n">
        <v>470524.096537</v>
      </c>
      <c r="AO26" s="980" t="n">
        <v>750519.335145</v>
      </c>
      <c r="AP26" s="980" t="n">
        <v>15386.836193</v>
      </c>
      <c r="AQ26" s="979" t="n">
        <v>765906.171338</v>
      </c>
      <c r="AR26" s="979" t="n">
        <v>585307.486474</v>
      </c>
      <c r="AS26" s="980">
        <f>AO26+AP26-AQ26</f>
        <v/>
      </c>
      <c r="AT26" s="980">
        <f>AJ26+AK26+AL26-AM26+AN26-AI26</f>
        <v/>
      </c>
      <c r="AU26" s="980">
        <f>AF26+AI26-AO26</f>
        <v/>
      </c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-2205732.209538</v>
      </c>
      <c r="BD26" s="980" t="n">
        <v>315068.637157</v>
      </c>
      <c r="BE26" s="788" t="n">
        <v>344.045666</v>
      </c>
      <c r="BF26" s="980" t="n">
        <v>-1131008.319808</v>
      </c>
      <c r="BG26" s="1196" t="n"/>
      <c r="BH26" s="1196" t="n"/>
      <c r="BI26" s="980" t="n">
        <v>-316.424137</v>
      </c>
      <c r="BJ26" s="980" t="n"/>
      <c r="BK26" s="980">
        <f>Q26</f>
        <v/>
      </c>
      <c r="BL26" s="980" t="n"/>
      <c r="BM26" s="980" t="n">
        <v>7034002.116592</v>
      </c>
      <c r="BN26" s="980" t="n">
        <v>-120487.3068</v>
      </c>
      <c r="BO26" s="980" t="n"/>
      <c r="BP26" s="980">
        <f>AR26</f>
        <v/>
      </c>
      <c r="BQ26" s="980" t="n"/>
      <c r="BR26" s="980" t="n">
        <v>-57169.810217</v>
      </c>
      <c r="BS26" s="980">
        <f>R26</f>
        <v/>
      </c>
      <c r="BT26" s="980" t="n">
        <v>0</v>
      </c>
      <c r="BU26" s="1192" t="n"/>
      <c r="BV26" s="1192" t="n"/>
      <c r="BW26" s="1192" t="n"/>
      <c r="BX26" s="1192" t="n"/>
      <c r="BY26" s="1192" t="n"/>
      <c r="BZ26" s="1192" t="n"/>
      <c r="CA26" s="1192" t="n"/>
      <c r="CB26" s="1192" t="n"/>
      <c r="CC26" s="980" t="n"/>
      <c r="CD26" s="980" t="n"/>
      <c r="CE26" s="1196" t="n"/>
      <c r="CF26" s="1196" t="n"/>
      <c r="CG26" s="1196" t="n"/>
      <c r="CH26" s="1196" t="n"/>
      <c r="CI26" s="1196" t="n"/>
      <c r="CJ26" s="980" t="n"/>
      <c r="CK26" s="980" t="n"/>
      <c r="CL26" s="1196" t="n"/>
      <c r="CM26" s="980" t="n"/>
      <c r="CN26" s="992" t="n"/>
      <c r="CO26" s="980" t="n"/>
      <c r="CP26" s="980" t="n"/>
      <c r="CQ26" s="1199" t="n"/>
      <c r="CR26" s="1196" t="n"/>
      <c r="CS26" s="1196" t="n"/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128834955.558457</v>
      </c>
      <c r="E27" s="980" t="n">
        <v>34613499.508074</v>
      </c>
      <c r="F27" s="980" t="n">
        <v>62288665.739015</v>
      </c>
      <c r="G27" s="980" t="n">
        <v>21073764.32719</v>
      </c>
      <c r="H27" s="980" t="n">
        <v>3500217.621002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121671773.914205</v>
      </c>
      <c r="M27" s="980" t="n">
        <v>100053052.334892</v>
      </c>
      <c r="N27" s="979">
        <f>O27-P27</f>
        <v/>
      </c>
      <c r="O27" s="979" t="n">
        <v>7163181.644252</v>
      </c>
      <c r="P27" s="979" t="n">
        <v>2205726.208213</v>
      </c>
      <c r="Q27" s="979" t="n">
        <v>-2988311.663637</v>
      </c>
      <c r="R27" s="979" t="n">
        <v>7674535.551566</v>
      </c>
      <c r="S27" s="979" t="n">
        <v>7305017.718577</v>
      </c>
      <c r="T27" s="979" t="n">
        <v>5099291.510364</v>
      </c>
      <c r="U27" s="1196" t="n"/>
      <c r="V27" s="1196" t="n"/>
      <c r="W27" s="1202" t="n"/>
      <c r="X27" s="979">
        <f>Q27</f>
        <v/>
      </c>
      <c r="Y27" s="1192" t="n"/>
      <c r="Z27" s="1192" t="n"/>
      <c r="AA27" s="1192" t="n"/>
      <c r="AB27" s="1192" t="n"/>
      <c r="AC27" s="1192" t="n"/>
      <c r="AD27" s="1192" t="n"/>
      <c r="AE27" s="979">
        <f>X27-(Y27+Z27+AA27+AB27+AC27+AD27)</f>
        <v/>
      </c>
      <c r="AF27" s="980" t="n">
        <v>421527.868588</v>
      </c>
      <c r="AG27" s="980" t="n">
        <v>3261117.785471</v>
      </c>
      <c r="AH27" s="980" t="n">
        <v>2839589.916883</v>
      </c>
      <c r="AI27" s="980" t="n">
        <v>670619.9822729999</v>
      </c>
      <c r="AJ27" s="980" t="n">
        <v>-3806466.568396</v>
      </c>
      <c r="AK27" s="980" t="n">
        <v>-2118.495443</v>
      </c>
      <c r="AL27" s="980">
        <f>AI27-AJ27-AK27+AM27-AN27</f>
        <v/>
      </c>
      <c r="AM27" s="980" t="n">
        <v>58810.998163</v>
      </c>
      <c r="AN27" s="980" t="n">
        <v>693145.770629</v>
      </c>
      <c r="AO27" s="980" t="n">
        <v>1092147.850861</v>
      </c>
      <c r="AP27" s="980" t="n">
        <v>17799.643272</v>
      </c>
      <c r="AQ27" s="979" t="n">
        <v>1109947.494133</v>
      </c>
      <c r="AR27" s="979" t="n">
        <v>846971.897826</v>
      </c>
      <c r="AS27" s="980">
        <f>AO27+AP27-AQ27</f>
        <v/>
      </c>
      <c r="AT27" s="980">
        <f>AJ27+AK27+AL27-AM27+AN27-AI27</f>
        <v/>
      </c>
      <c r="AU27" s="980">
        <f>AF27+AI27-AO27</f>
        <v/>
      </c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-2205732.209538</v>
      </c>
      <c r="BD27" s="980" t="n">
        <v>8289.769442999999</v>
      </c>
      <c r="BE27" s="788" t="n">
        <v>197.173577</v>
      </c>
      <c r="BF27" s="980" t="n">
        <v>-619722.662101</v>
      </c>
      <c r="BG27" s="1196" t="n"/>
      <c r="BH27" s="1196" t="n"/>
      <c r="BI27" s="980" t="n">
        <v>-477.073849</v>
      </c>
      <c r="BJ27" s="980" t="n"/>
      <c r="BK27" s="980">
        <f>Q27</f>
        <v/>
      </c>
      <c r="BL27" s="980" t="n"/>
      <c r="BM27" s="980" t="n">
        <v>7034002.116592</v>
      </c>
      <c r="BN27" s="980" t="n">
        <v>-120487.3068</v>
      </c>
      <c r="BO27" s="980" t="n"/>
      <c r="BP27" s="980">
        <f>AR27</f>
        <v/>
      </c>
      <c r="BQ27" s="980" t="n"/>
      <c r="BR27" s="980" t="n">
        <v>-85951.15605200001</v>
      </c>
      <c r="BS27" s="980">
        <f>R27</f>
        <v/>
      </c>
      <c r="BT27" s="980" t="n">
        <v>0</v>
      </c>
      <c r="BU27" s="1192" t="n"/>
      <c r="BV27" s="1192" t="n"/>
      <c r="BW27" s="1192" t="n"/>
      <c r="BX27" s="1192" t="n"/>
      <c r="BY27" s="1192" t="n"/>
      <c r="BZ27" s="1192" t="n"/>
      <c r="CA27" s="1192" t="n"/>
      <c r="CB27" s="1192" t="n"/>
      <c r="CC27" s="980" t="n"/>
      <c r="CD27" s="980" t="n"/>
      <c r="CE27" s="1196" t="n"/>
      <c r="CF27" s="1196" t="n"/>
      <c r="CG27" s="1196" t="n"/>
      <c r="CH27" s="1196" t="n"/>
      <c r="CI27" s="1196" t="n"/>
      <c r="CJ27" s="980" t="n"/>
      <c r="CK27" s="980" t="n"/>
      <c r="CL27" s="1196" t="n"/>
      <c r="CM27" s="980" t="n"/>
      <c r="CN27" s="992" t="n"/>
      <c r="CO27" s="980" t="n"/>
      <c r="CP27" s="980" t="n"/>
      <c r="CQ27" s="1199" t="n"/>
      <c r="CR27" s="1196" t="n"/>
      <c r="CS27" s="1196" t="n"/>
      <c r="CT27" s="980" t="n"/>
      <c r="CU27" s="980" t="n"/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128165794.274358</v>
      </c>
      <c r="E28" s="980" t="n">
        <v>34182822.710133</v>
      </c>
      <c r="F28" s="980" t="n">
        <v>60829887.653638</v>
      </c>
      <c r="G28" s="980" t="n">
        <v>21546474.040616</v>
      </c>
      <c r="H28" s="980" t="n">
        <v>3520210.613189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120511035.106442</v>
      </c>
      <c r="M28" s="980" t="n">
        <v>96832758.625991</v>
      </c>
      <c r="N28" s="979">
        <f>O28-P28</f>
        <v/>
      </c>
      <c r="O28" s="979" t="n">
        <v>7654759.167916</v>
      </c>
      <c r="P28" s="979" t="n">
        <v>2205726.208213</v>
      </c>
      <c r="Q28" s="979" t="n">
        <v>-2397981.022366</v>
      </c>
      <c r="R28" s="979" t="n">
        <v>7575782.433959</v>
      </c>
      <c r="S28" s="979" t="n">
        <v>7306220.723432</v>
      </c>
      <c r="T28" s="979" t="n">
        <v>5100494.515218999</v>
      </c>
      <c r="U28" s="980" t="n">
        <v>110514710</v>
      </c>
      <c r="V28" s="980" t="n">
        <v>107254263</v>
      </c>
      <c r="W28" s="107" t="n">
        <v>0.9704999999999999</v>
      </c>
      <c r="X28" s="979">
        <f>Q28</f>
        <v/>
      </c>
      <c r="Y28" s="1192" t="n">
        <v>-5242451</v>
      </c>
      <c r="Z28" s="979" t="n">
        <v>2411261</v>
      </c>
      <c r="AA28" s="1192" t="n">
        <v>2758</v>
      </c>
      <c r="AB28" s="1192" t="n"/>
      <c r="AC28" s="1192" t="n"/>
      <c r="AD28" s="1192" t="n">
        <v>42545</v>
      </c>
      <c r="AE28" s="979" t="n"/>
      <c r="AF28" s="980" t="n">
        <v>391590.329838</v>
      </c>
      <c r="AG28" s="980" t="n">
        <v>4347131.326651</v>
      </c>
      <c r="AH28" s="980" t="n">
        <v>3955540.996813</v>
      </c>
      <c r="AI28" s="980" t="n">
        <v>670035.101553</v>
      </c>
      <c r="AJ28" s="980" t="n">
        <v>-5267918.037097</v>
      </c>
      <c r="AK28" s="1196" t="n">
        <v>-2312.147387</v>
      </c>
      <c r="AL28" s="980">
        <f>AI28-AJ28-AK28+AM28-AN28</f>
        <v/>
      </c>
      <c r="AM28" s="980" t="n">
        <v>88848.51794000001</v>
      </c>
      <c r="AN28" s="980" t="n">
        <v>956209.40778</v>
      </c>
      <c r="AO28" s="980" t="n">
        <v>1061625.431391</v>
      </c>
      <c r="AP28" s="980" t="n">
        <v>-99527.29597599999</v>
      </c>
      <c r="AQ28" s="979" t="n">
        <v>962098.135415</v>
      </c>
      <c r="AR28" s="979" t="n">
        <v>763210.477599</v>
      </c>
      <c r="AS28" s="980">
        <f>AO28+AP28-AQ28</f>
        <v/>
      </c>
      <c r="AT28" s="980">
        <f>AJ28+AK28+AL28-AM28+AN28-AI28</f>
        <v/>
      </c>
      <c r="AU28" s="980">
        <f>AF28+AI28-AO28</f>
        <v/>
      </c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-2204529.204683</v>
      </c>
      <c r="BD28" s="980" t="n">
        <v>-1872222.666443</v>
      </c>
      <c r="BE28" s="788" t="n">
        <v>-501.579554</v>
      </c>
      <c r="BF28" s="980" t="n">
        <v>2180244.138452</v>
      </c>
      <c r="BG28" s="1196" t="n">
        <v>-505106.201496</v>
      </c>
      <c r="BH28" s="980" t="n">
        <v>-9164.194315999999</v>
      </c>
      <c r="BI28" s="980" t="n">
        <v>8640.577895</v>
      </c>
      <c r="BJ28" s="980" t="n"/>
      <c r="BK28" s="980">
        <f>Q28</f>
        <v/>
      </c>
      <c r="BL28" s="980">
        <f>BK28-BC28-SUM(BD28:BJ28)</f>
        <v/>
      </c>
      <c r="BM28" s="980" t="n">
        <v>7034002.116592</v>
      </c>
      <c r="BN28" s="980" t="n">
        <v>-120487.3068</v>
      </c>
      <c r="BO28" s="980" t="n"/>
      <c r="BP28" s="980">
        <f>AR28</f>
        <v/>
      </c>
      <c r="BQ28" s="1196" t="n"/>
      <c r="BR28" s="980" t="n">
        <v>-115916.106255</v>
      </c>
      <c r="BS28" s="980">
        <f>R28</f>
        <v/>
      </c>
      <c r="BT28" s="980" t="n">
        <v>0</v>
      </c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>
        <f>CB28+BX28-BY28+BZ28+CA28-BW28</f>
        <v/>
      </c>
      <c r="CE28" s="980" t="n">
        <v>570766</v>
      </c>
      <c r="CF28" s="980" t="n">
        <v>938201</v>
      </c>
      <c r="CG28" s="980" t="n">
        <v>755866</v>
      </c>
      <c r="CH28" s="980" t="n">
        <v>1411319</v>
      </c>
      <c r="CI28" s="980" t="n">
        <v>2834809</v>
      </c>
      <c r="CJ28" s="980">
        <f>BW28</f>
        <v/>
      </c>
      <c r="CK28" s="980">
        <f>CJ28-SUM(CE28:CI28)</f>
        <v/>
      </c>
      <c r="CL28" s="980" t="n">
        <v>0</v>
      </c>
      <c r="CM28" s="980" t="n"/>
      <c r="CN28" s="992" t="n">
        <v>1.6566</v>
      </c>
      <c r="CO28" s="980" t="n">
        <v>14218131</v>
      </c>
      <c r="CP28" s="980" t="n">
        <v>8582488</v>
      </c>
      <c r="CQ28" s="992" t="n">
        <v>1.6566</v>
      </c>
      <c r="CR28" s="980" t="n">
        <v>14218131</v>
      </c>
      <c r="CS28" s="980" t="n">
        <v>8582488</v>
      </c>
      <c r="CT28" s="980" t="n"/>
      <c r="CU28" s="980" t="n"/>
      <c r="CV28" s="980" t="n"/>
      <c r="CW28" s="107" t="n">
        <v>0.8120000000000001</v>
      </c>
      <c r="CX28" s="107" t="n">
        <v>0.785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1198" t="n">
        <v>0</v>
      </c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O30" s="1205" t="n"/>
      <c r="P30" s="1205" t="n"/>
      <c r="Q30" s="1205" t="n"/>
      <c r="R30" s="1205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1192" t="n"/>
      <c r="BU30" s="1205" t="n"/>
      <c r="BV30" s="1205" t="n"/>
      <c r="BW30" s="1205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114793101.717269</v>
      </c>
      <c r="E31" s="697" t="n">
        <v>27980558.639955</v>
      </c>
      <c r="F31" s="697" t="n">
        <v>39461601.5549</v>
      </c>
      <c r="G31" s="697" t="n">
        <v>29363251.169466</v>
      </c>
      <c r="H31" s="697" t="n">
        <v>11644470.545863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103405983.844648</v>
      </c>
      <c r="M31" s="697" t="n">
        <v>89138938.063814</v>
      </c>
      <c r="N31" s="697">
        <f>O31-P31</f>
        <v/>
      </c>
      <c r="O31" s="697" t="n">
        <v>11387117.872621</v>
      </c>
      <c r="P31" s="697" t="n">
        <v>498343.80155</v>
      </c>
      <c r="Q31" s="1205" t="n"/>
      <c r="R31" s="697" t="n">
        <v>6306958.210225</v>
      </c>
      <c r="S31" s="1195" t="n">
        <v>15760751.162316</v>
      </c>
      <c r="T31" s="1192" t="n">
        <v>14202381.083178</v>
      </c>
      <c r="U31" s="697" t="n">
        <v>114793101.717269</v>
      </c>
      <c r="V31" s="1205" t="n"/>
      <c r="W31" s="1202" t="n"/>
      <c r="Y31" s="1195" t="n">
        <v>-979815</v>
      </c>
      <c r="Z31" s="1195" t="n">
        <v>1161896</v>
      </c>
      <c r="AA31" s="1195" t="n">
        <v>3952</v>
      </c>
      <c r="AB31" s="1205" t="n"/>
      <c r="AC31" s="1205" t="n"/>
      <c r="AD31" s="1195" t="n">
        <v>57874</v>
      </c>
      <c r="AF31" s="697" t="n">
        <v>650941.140139</v>
      </c>
      <c r="AG31" s="697" t="n">
        <v>4855904.819848</v>
      </c>
      <c r="AH31" s="697" t="n">
        <v>4204963.679709</v>
      </c>
      <c r="AI31" s="697" t="n">
        <v>15143.933153</v>
      </c>
      <c r="AJ31" s="697" t="n">
        <v>-4327359.276337</v>
      </c>
      <c r="AK31" s="697" t="n">
        <v>1276.015438</v>
      </c>
      <c r="AL31" s="697">
        <f>AI31-AJ31-AK31+AM31-AN31</f>
        <v/>
      </c>
      <c r="AM31" s="697" t="n">
        <v>125163.8471</v>
      </c>
      <c r="AN31" s="697" t="n">
        <v>-300687.187351</v>
      </c>
      <c r="AO31" s="697" t="n">
        <v>666085.073292</v>
      </c>
      <c r="AP31" s="697" t="n">
        <v>87352.291101</v>
      </c>
      <c r="AQ31" s="697" t="n">
        <v>753437.364393</v>
      </c>
      <c r="AR31" s="697" t="n">
        <v>616261.567974</v>
      </c>
      <c r="AS31" s="966">
        <f>AO31+AP31-AQ31</f>
        <v/>
      </c>
      <c r="AT31" s="966">
        <f>AJ31+AK31+AL31-AM31+AN31-AI31</f>
        <v/>
      </c>
      <c r="AU31" s="966">
        <f>AF31+AI31-AO31</f>
        <v/>
      </c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1201" t="n"/>
      <c r="BC31" s="1205" t="n"/>
      <c r="BD31" s="697" t="n">
        <v>2384359.83423</v>
      </c>
      <c r="BF31" s="697" t="n">
        <v>-3019378.416277</v>
      </c>
      <c r="BG31" s="697" t="n">
        <v>328770.384804</v>
      </c>
      <c r="BH31" s="697" t="n">
        <v>4423.320713</v>
      </c>
      <c r="BI31" s="697" t="n">
        <v>-9954.496716</v>
      </c>
      <c r="BJ31" s="1205" t="n"/>
      <c r="BL31" s="966" t="n"/>
      <c r="BM31" s="1195" t="n">
        <v>6255572.384371</v>
      </c>
      <c r="BN31" s="1205" t="n"/>
      <c r="BP31" s="697">
        <f>AR31</f>
        <v/>
      </c>
      <c r="BQ31" s="1205" t="n"/>
      <c r="BR31" s="697" t="n">
        <v>-37765.606457</v>
      </c>
      <c r="BS31" s="697">
        <f>R31</f>
        <v/>
      </c>
      <c r="BT31" s="966" t="n">
        <v>0</v>
      </c>
      <c r="BU31" s="1205" t="n"/>
      <c r="BV31" s="1205" t="n"/>
      <c r="BW31" s="1205" t="n"/>
      <c r="BX31" s="1205" t="n"/>
      <c r="BY31" s="1205" t="n"/>
      <c r="BZ31" s="1205" t="n"/>
      <c r="CA31" s="1205" t="n"/>
      <c r="CB31" s="1205" t="n"/>
      <c r="CE31" s="1205" t="n"/>
      <c r="CF31" s="1205" t="n"/>
      <c r="CG31" s="1205" t="n"/>
      <c r="CH31" s="1205" t="n"/>
      <c r="CI31" s="1205" t="n"/>
      <c r="CN31" s="1201" t="n"/>
      <c r="CO31" s="1205" t="n"/>
      <c r="CP31" s="1205" t="n"/>
      <c r="CQ31" s="1201" t="n"/>
      <c r="CR31" s="1205" t="n"/>
      <c r="CS31" s="1205" t="n"/>
      <c r="CU31" s="1205" t="n"/>
      <c r="CW31" s="1193" t="n"/>
      <c r="CX31" s="1193" t="n"/>
      <c r="CY31" s="105" t="n"/>
      <c r="CZ31" s="786" t="n"/>
      <c r="DC31" s="1205" t="n"/>
      <c r="DD31" s="1205" t="n"/>
      <c r="DE31" s="1205" t="n"/>
      <c r="DG31" s="1205" t="n"/>
      <c r="DH31" s="1205" t="n"/>
      <c r="DI31" s="1205" t="n"/>
      <c r="DJ31" s="1205" t="n"/>
      <c r="DK31" s="1205" t="n"/>
      <c r="DL31" s="1205" t="n"/>
      <c r="DM31" s="1205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122135032.514289</v>
      </c>
      <c r="E32" s="697" t="n">
        <v>31134350.891287</v>
      </c>
      <c r="F32" s="697" t="n">
        <v>45320455.403193</v>
      </c>
      <c r="G32" s="993" t="n">
        <v>29034490.458028</v>
      </c>
      <c r="H32" s="697" t="n">
        <v>11749528.774494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111800028.744522</v>
      </c>
      <c r="M32" s="697" t="n">
        <v>97152188.029019</v>
      </c>
      <c r="N32" s="697">
        <f>O32-P32</f>
        <v/>
      </c>
      <c r="O32" s="1194" t="n">
        <v>10335003.769767</v>
      </c>
      <c r="P32" s="993" t="n">
        <v>1096826.56</v>
      </c>
      <c r="Q32" s="1194" t="n"/>
      <c r="R32" s="993" t="n">
        <v>6886476.536712</v>
      </c>
      <c r="S32" s="697" t="n">
        <v>11387117.872621</v>
      </c>
      <c r="T32" s="979" t="n">
        <v>10888774.071071</v>
      </c>
      <c r="U32" s="697" t="n">
        <v>122135032.514289</v>
      </c>
      <c r="V32" s="1205" t="n"/>
      <c r="W32" s="1202" t="n"/>
      <c r="X32" s="993" t="n"/>
      <c r="Y32" s="1194" t="n">
        <v>-494347</v>
      </c>
      <c r="Z32" s="1195" t="n">
        <v>1364792</v>
      </c>
      <c r="AA32" s="1195" t="n">
        <v>-601</v>
      </c>
      <c r="AB32" s="1205" t="n"/>
      <c r="AC32" s="1194" t="n"/>
      <c r="AD32" s="1195" t="n">
        <v>87084</v>
      </c>
      <c r="AF32" s="697" t="n">
        <v>506304.846307</v>
      </c>
      <c r="AG32" s="697" t="n">
        <v>4921893.223166</v>
      </c>
      <c r="AH32" s="697" t="n">
        <v>4415588.376859</v>
      </c>
      <c r="AI32" s="697" t="n">
        <v>76154.032935</v>
      </c>
      <c r="AJ32" s="697" t="n">
        <v>-3043794.483377</v>
      </c>
      <c r="AK32" s="993" t="n">
        <v>3335.059585</v>
      </c>
      <c r="AL32" s="697">
        <f>AI32-AJ32-AK32+AM32-AN32</f>
        <v/>
      </c>
      <c r="AM32" s="697" t="n">
        <v>125312.567078</v>
      </c>
      <c r="AN32" s="697" t="n">
        <v>-340042.676155</v>
      </c>
      <c r="AO32" s="697" t="n">
        <v>582458.8792420001</v>
      </c>
      <c r="AP32" s="697" t="n">
        <v>322462.496064</v>
      </c>
      <c r="AQ32" s="697" t="n">
        <v>904921.375306</v>
      </c>
      <c r="AR32" s="697" t="n">
        <v>720569.7291690001</v>
      </c>
      <c r="AS32" s="966">
        <f>AO32+AP32-AQ32</f>
        <v/>
      </c>
      <c r="AT32" s="966">
        <f>AJ32+AK32+AL32-AM32+AN32-AI32</f>
        <v/>
      </c>
      <c r="AU32" s="966">
        <f>AF32+AI32-AO32</f>
        <v/>
      </c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1201" t="n"/>
      <c r="BC32" s="1194" t="n"/>
      <c r="BD32" s="1194" t="n">
        <v>1187895.853671</v>
      </c>
      <c r="BF32" s="697" t="n">
        <v>-3617111.004631</v>
      </c>
      <c r="BG32" s="697" t="n">
        <v>201106.887433</v>
      </c>
      <c r="BH32" s="1194" t="n">
        <v>1682.091422</v>
      </c>
      <c r="BI32" s="697" t="n">
        <v>-9730.741657</v>
      </c>
      <c r="BK32" s="993" t="n"/>
      <c r="BL32" s="966" t="n"/>
      <c r="BM32" s="697" t="n">
        <v>6306958.210225</v>
      </c>
      <c r="BN32" s="1205" t="n"/>
      <c r="BP32" s="697">
        <f>AR32</f>
        <v/>
      </c>
      <c r="BR32" s="697" t="n">
        <v>-28342.865182</v>
      </c>
      <c r="BS32" s="697">
        <f>R32</f>
        <v/>
      </c>
      <c r="BT32" s="966" t="n">
        <v>0</v>
      </c>
      <c r="BU32" s="1205" t="n"/>
      <c r="BV32" s="1205" t="n"/>
      <c r="BW32" s="1205" t="n"/>
      <c r="BX32" s="1205" t="n"/>
      <c r="BY32" s="1205" t="n"/>
      <c r="BZ32" s="1205" t="n"/>
      <c r="CA32" s="1205" t="n"/>
      <c r="CB32" s="1205" t="n"/>
      <c r="CC32" s="1204" t="n"/>
      <c r="CD32" s="966" t="n"/>
      <c r="CE32" s="1205" t="n"/>
      <c r="CF32" s="1205" t="n"/>
      <c r="CG32" s="1205" t="n"/>
      <c r="CH32" s="1205" t="n"/>
      <c r="CI32" s="1205" t="n"/>
      <c r="CL32" s="1205" t="n"/>
      <c r="CN32" s="786" t="n"/>
      <c r="CQ32" s="1201" t="n"/>
      <c r="CR32" s="1205" t="n"/>
      <c r="CS32" s="1205" t="n"/>
      <c r="CU32" s="1205" t="n"/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205" t="n"/>
      <c r="DD32" s="1205" t="n"/>
      <c r="DE32" s="1205" t="n"/>
      <c r="DG32" s="1205" t="n"/>
      <c r="DH32" s="1205" t="n"/>
      <c r="DI32" s="1205" t="n"/>
      <c r="DJ32" s="1205" t="n"/>
      <c r="DK32" s="1205" t="n"/>
      <c r="DL32" s="1205" t="n"/>
      <c r="DM32" s="1205" t="n"/>
      <c r="EP32" s="697" t="n">
        <v>747574</v>
      </c>
      <c r="EQ32" s="697" t="n">
        <v>-519818</v>
      </c>
      <c r="ER32" s="697" t="n">
        <v>95637</v>
      </c>
      <c r="ES32" s="1195" t="n">
        <v>-433845</v>
      </c>
      <c r="ET32" s="1195" t="n">
        <v>1868663</v>
      </c>
      <c r="EW32" s="697" t="n">
        <v>-747574</v>
      </c>
      <c r="EX32" s="697" t="n">
        <v>519818</v>
      </c>
      <c r="EY32" s="697" t="n">
        <v>-95637</v>
      </c>
      <c r="EZ32" s="1195" t="n">
        <v>433845</v>
      </c>
      <c r="FA32" s="1195" t="n">
        <v>-1868663</v>
      </c>
      <c r="FB32" s="697" t="n">
        <v>7611</v>
      </c>
      <c r="FC32" s="767" t="n">
        <v>0</v>
      </c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205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205" t="n"/>
      <c r="W33" s="1202" t="n"/>
      <c r="Y33" s="1205" t="n"/>
      <c r="Z33" s="1205" t="n"/>
      <c r="AA33" s="1205" t="n"/>
      <c r="AB33" s="1205" t="n"/>
      <c r="AC33" s="1205" t="n"/>
      <c r="AD33" s="1205" t="n"/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>
        <f>AO33+AP33-AQ33</f>
        <v/>
      </c>
      <c r="AT33" s="966">
        <f>AJ33+AK33+AL33-AM33+AN33-AI33</f>
        <v/>
      </c>
      <c r="AU33" s="966">
        <f>AF33+AI33-AO33</f>
        <v/>
      </c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205" t="n"/>
      <c r="BD33" s="1195" t="n">
        <v>990494</v>
      </c>
      <c r="BF33" s="697" t="n">
        <v>-2079808</v>
      </c>
      <c r="BG33" s="697" t="n">
        <v>220069</v>
      </c>
      <c r="BH33" s="697" t="n">
        <v>2435</v>
      </c>
      <c r="BL33" s="966" t="n"/>
      <c r="BM33" s="697" t="n">
        <v>6886477</v>
      </c>
      <c r="BN33" s="1205" t="n"/>
      <c r="BP33" s="697">
        <f>AR33</f>
        <v/>
      </c>
      <c r="BR33" s="1205" t="n"/>
      <c r="BS33" s="697">
        <f>R33</f>
        <v/>
      </c>
      <c r="BT33" s="966" t="n">
        <v>0</v>
      </c>
      <c r="BU33" s="1205" t="n"/>
      <c r="BV33" s="1205" t="n"/>
      <c r="BW33" s="1205" t="n"/>
      <c r="BX33" s="1205" t="n"/>
      <c r="BY33" s="1205" t="n"/>
      <c r="BZ33" s="1205" t="n"/>
      <c r="CA33" s="1205" t="n"/>
      <c r="CB33" s="1205" t="n"/>
      <c r="CD33" s="966" t="n"/>
      <c r="CE33" s="1205" t="n"/>
      <c r="CF33" s="1205" t="n"/>
      <c r="CG33" s="1205" t="n"/>
      <c r="CH33" s="1205" t="n"/>
      <c r="CI33" s="1205" t="n"/>
      <c r="CL33" s="1205" t="n"/>
      <c r="CN33" s="786" t="n"/>
      <c r="CQ33" s="1201" t="n"/>
      <c r="CR33" s="1205" t="n"/>
      <c r="CS33" s="1205" t="n"/>
      <c r="CU33" s="1205" t="n"/>
      <c r="CW33" s="105" t="n"/>
      <c r="CX33" s="105" t="n"/>
      <c r="CY33" s="105" t="n"/>
      <c r="CZ33" s="786" t="n"/>
      <c r="DC33" s="1205" t="n"/>
      <c r="DD33" s="1205" t="n"/>
      <c r="DE33" s="1205" t="n"/>
      <c r="DG33" s="1205" t="n"/>
      <c r="DH33" s="1205" t="n"/>
      <c r="DI33" s="1205" t="n"/>
      <c r="DJ33" s="1205" t="n"/>
      <c r="DK33" s="1205" t="n"/>
      <c r="DL33" s="1205" t="n"/>
      <c r="DM33" s="1205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205" t="n"/>
      <c r="W34" s="1202" t="n"/>
      <c r="X34" s="697">
        <f>Q34</f>
        <v/>
      </c>
      <c r="Y34" s="697" t="n">
        <v>-1526317</v>
      </c>
      <c r="Z34" s="697" t="n">
        <v>-540612</v>
      </c>
      <c r="AA34" s="1205" t="n"/>
      <c r="AB34" s="697" t="n">
        <v>-287100</v>
      </c>
      <c r="AC34" s="1195" t="n">
        <v>322578</v>
      </c>
      <c r="AD34" s="697" t="n">
        <v>-126780</v>
      </c>
      <c r="AF34" s="697" t="n">
        <v>175999</v>
      </c>
      <c r="AG34" s="697" t="n">
        <v>2563295</v>
      </c>
      <c r="AH34" s="697" t="n">
        <v>2387296</v>
      </c>
      <c r="AI34" s="1195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5" t="n">
        <v>190892</v>
      </c>
      <c r="AP34" s="1195" t="n">
        <v>32549</v>
      </c>
      <c r="AQ34" s="697" t="n">
        <v>223441</v>
      </c>
      <c r="AR34" s="697" t="n">
        <v>179701</v>
      </c>
      <c r="AS34" s="966">
        <f>AO34+AP34-AQ34</f>
        <v/>
      </c>
      <c r="AT34" s="966">
        <f>AJ34+AK34+AL34-AM34+AN34-AI34</f>
        <v/>
      </c>
      <c r="AU34" s="966">
        <f>AF34+AI34-AO34</f>
        <v/>
      </c>
      <c r="AV34" s="966">
        <f>AF34</f>
        <v/>
      </c>
      <c r="AW34" s="966">
        <f>AI34</f>
        <v/>
      </c>
      <c r="AX34" s="966">
        <f>AP34</f>
        <v/>
      </c>
      <c r="AY34" s="966">
        <f>AV34+AW34+AX34</f>
        <v/>
      </c>
      <c r="BB34" s="786" t="n"/>
      <c r="BC34" s="697" t="n">
        <v>-1362643</v>
      </c>
      <c r="BD34" s="697" t="n">
        <v>287662</v>
      </c>
      <c r="BE34" s="1205" t="n"/>
      <c r="BF34" s="697" t="n">
        <v>-1077815</v>
      </c>
      <c r="BG34" s="697" t="n">
        <v>-3133</v>
      </c>
      <c r="BH34" s="697" t="n">
        <v>3000</v>
      </c>
      <c r="BI34" s="1205" t="n"/>
      <c r="BJ34" s="1205" t="n"/>
      <c r="BK34" s="697">
        <f>Q34</f>
        <v/>
      </c>
      <c r="BL34" s="966" t="n"/>
      <c r="BM34" s="697" t="n">
        <v>6886477</v>
      </c>
      <c r="BN34" s="1205" t="n"/>
      <c r="BO34" s="1205" t="n"/>
      <c r="BP34" s="697">
        <f>AR34</f>
        <v/>
      </c>
      <c r="BQ34" s="1205" t="n"/>
      <c r="BR34" s="697" t="n">
        <v>-27646</v>
      </c>
      <c r="BS34" s="697">
        <f>R34</f>
        <v/>
      </c>
      <c r="BT34" s="966" t="n">
        <v>0</v>
      </c>
      <c r="BU34" s="1205" t="n"/>
      <c r="BV34" s="1205" t="n"/>
      <c r="BW34" s="697" t="n">
        <v>8833097</v>
      </c>
      <c r="BX34" s="1205" t="n">
        <v>925519</v>
      </c>
      <c r="BY34" s="1205" t="n">
        <v>394479</v>
      </c>
      <c r="BZ34" s="1205" t="n">
        <v>-489874</v>
      </c>
      <c r="CA34" s="1205" t="n">
        <v>176969</v>
      </c>
      <c r="CB34" s="1205" t="n">
        <v>9109141</v>
      </c>
      <c r="CD34" s="966">
        <f>CB34+BX34-BY34+BZ34+CA34-BW34</f>
        <v/>
      </c>
      <c r="CE34" s="1205" t="n"/>
      <c r="CF34" s="1205" t="n"/>
      <c r="CG34" s="1205" t="n"/>
      <c r="CH34" s="1205" t="n"/>
      <c r="CI34" s="1205" t="n"/>
      <c r="CJ34" s="697">
        <f>BW34</f>
        <v/>
      </c>
      <c r="CL34" s="697" t="n">
        <v>0</v>
      </c>
      <c r="CN34" s="786" t="n"/>
      <c r="CQ34" s="1201" t="n"/>
      <c r="CR34" s="1205" t="n"/>
      <c r="CS34" s="1205" t="n"/>
      <c r="CU34" s="697" t="n">
        <v>3631205</v>
      </c>
      <c r="CW34" s="105" t="n"/>
      <c r="CX34" s="105" t="n"/>
      <c r="CY34" s="105" t="n"/>
      <c r="CZ34" s="786" t="n"/>
      <c r="DC34" s="1205" t="n"/>
      <c r="DD34" s="1205" t="n"/>
      <c r="DE34" s="1205" t="n"/>
      <c r="DG34" s="1205" t="n"/>
      <c r="DH34" s="1205" t="n"/>
      <c r="DI34" s="1205" t="n"/>
      <c r="DJ34" s="1205" t="n"/>
      <c r="DK34" s="1205" t="n"/>
      <c r="DL34" s="1205" t="n"/>
      <c r="DM34" s="1205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205" t="n"/>
      <c r="W35" s="1202" t="n"/>
      <c r="X35" s="697">
        <f>Q35</f>
        <v/>
      </c>
      <c r="Y35" s="697" t="n">
        <v>-2034299</v>
      </c>
      <c r="Z35" s="697" t="n">
        <v>16625</v>
      </c>
      <c r="AA35" s="1205" t="n"/>
      <c r="AB35" s="697" t="n">
        <v>-413047</v>
      </c>
      <c r="AC35" s="1195" t="n">
        <v>322578</v>
      </c>
      <c r="AD35" s="697" t="n">
        <v>-126780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>
        <f>AO35+AP35-AQ35</f>
        <v/>
      </c>
      <c r="AT35" s="966">
        <f>AJ35+AK35+AL35-AM35+AN35-AI35</f>
        <v/>
      </c>
      <c r="AU35" s="966">
        <f>AF35+AI35-AO35</f>
        <v/>
      </c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1195" t="n">
        <v>-219760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>
        <v>0</v>
      </c>
      <c r="BU35" s="1205" t="n"/>
      <c r="BV35" s="1205" t="n"/>
      <c r="BW35" s="697" t="n">
        <v>9059401</v>
      </c>
      <c r="BX35" s="1205" t="n">
        <v>1489814</v>
      </c>
      <c r="BY35" s="1205" t="n">
        <v>590479</v>
      </c>
      <c r="BZ35" s="1205" t="n">
        <v>-1215330</v>
      </c>
      <c r="CA35" s="1205" t="n">
        <v>266254</v>
      </c>
      <c r="CB35" s="1205" t="n">
        <v>9109141</v>
      </c>
      <c r="CD35" s="966">
        <f>CB35+BX35-BY35+BZ35+CA35-BW35</f>
        <v/>
      </c>
      <c r="CE35" s="1205" t="n"/>
      <c r="CF35" s="1205" t="n"/>
      <c r="CG35" s="1205" t="n"/>
      <c r="CH35" s="1205" t="n"/>
      <c r="CI35" s="1205" t="n"/>
      <c r="CJ35" s="697">
        <f>BW35</f>
        <v/>
      </c>
      <c r="CL35" s="697" t="n">
        <v>0</v>
      </c>
      <c r="CN35" s="786" t="n"/>
      <c r="CQ35" s="1201" t="n"/>
      <c r="CR35" s="1205" t="n"/>
      <c r="CS35" s="1205" t="n"/>
      <c r="CU35" s="697" t="n">
        <v>3631206</v>
      </c>
      <c r="CW35" s="105" t="n"/>
      <c r="CX35" s="105" t="n"/>
      <c r="CY35" s="105" t="n"/>
      <c r="CZ35" s="786" t="n"/>
      <c r="DC35" s="1205" t="n"/>
      <c r="DD35" s="1205" t="n"/>
      <c r="DE35" s="1205" t="n"/>
      <c r="DG35" s="1205" t="n"/>
      <c r="DH35" s="1205" t="n"/>
      <c r="DI35" s="1205" t="n"/>
      <c r="DJ35" s="1205" t="n"/>
      <c r="DK35" s="1205" t="n"/>
      <c r="DL35" s="1205" t="n"/>
      <c r="DM35" s="1205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122982197</v>
      </c>
      <c r="W36" s="142" t="n">
        <v>0.9778</v>
      </c>
      <c r="X36" s="697">
        <f>Q36</f>
        <v/>
      </c>
      <c r="Y36" s="697" t="n">
        <v>-4000815</v>
      </c>
      <c r="Z36" s="697" t="n">
        <v>3221381</v>
      </c>
      <c r="AA36" s="1205" t="n"/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>
        <f>AO36+AP36-AQ36</f>
        <v/>
      </c>
      <c r="AT36" s="966">
        <f>AJ36+AK36+AL36-AM36+AN36-AI36</f>
        <v/>
      </c>
      <c r="AU36" s="966">
        <f>AF36+AI36-AO36</f>
        <v/>
      </c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697" t="n">
        <v>-2146099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>
        <v>0</v>
      </c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>
        <f>CB36+BX36-BY36+BZ36+CA36-BW36</f>
        <v/>
      </c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>
        <f>CJ36-SUM(CE36:CI36)</f>
        <v/>
      </c>
      <c r="CL36" s="697" t="n">
        <v>0</v>
      </c>
      <c r="CN36" s="786" t="n"/>
      <c r="CO36" s="697" t="n"/>
      <c r="CP36" s="697" t="n"/>
      <c r="CQ36" s="1200" t="n"/>
      <c r="CR36" s="1192" t="n"/>
      <c r="CS36" s="1192" t="n"/>
      <c r="CU36" s="697" t="n">
        <v>6507790</v>
      </c>
      <c r="CW36" s="1193" t="n">
        <v>0.865</v>
      </c>
      <c r="CX36" s="1193" t="n">
        <v>0.997</v>
      </c>
      <c r="CY36" s="105">
        <f>CW36-CX36</f>
        <v/>
      </c>
      <c r="CZ36" s="786">
        <f>CX36/CW36</f>
        <v/>
      </c>
      <c r="DC36" s="1205" t="n"/>
      <c r="DD36" s="1205" t="n"/>
      <c r="DE36" s="1205" t="n"/>
      <c r="DG36" s="1205" t="n"/>
      <c r="DH36" s="1205" t="n"/>
      <c r="DI36" s="1205" t="n"/>
      <c r="DJ36" s="1205" t="n"/>
      <c r="DK36" s="1205" t="n"/>
      <c r="DL36" s="1205" t="n"/>
      <c r="DM36" s="1205" t="n"/>
      <c r="EP36" s="697" t="n">
        <v>605152</v>
      </c>
      <c r="EQ36" s="697" t="n">
        <v>74021</v>
      </c>
      <c r="ER36" s="697" t="n">
        <v>-137201</v>
      </c>
      <c r="ES36" s="1195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>
        <v>0</v>
      </c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1192" t="n"/>
      <c r="P38" s="1192" t="n"/>
      <c r="Q38" s="1192" t="n"/>
      <c r="R38" s="1192" t="n"/>
      <c r="S38" s="979" t="n"/>
      <c r="T38" s="979" t="n"/>
      <c r="U38" s="980" t="n"/>
      <c r="V38" s="980" t="n"/>
      <c r="W38" s="980" t="n"/>
      <c r="X38" s="979" t="n"/>
      <c r="Y38" s="1192" t="n"/>
      <c r="Z38" s="1192" t="n"/>
      <c r="AA38" s="1192" t="n"/>
      <c r="AB38" s="1192" t="n"/>
      <c r="AC38" s="979" t="n"/>
      <c r="AD38" s="1192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1196" t="n"/>
      <c r="BU38" s="1192" t="n"/>
      <c r="BV38" s="1192" t="n"/>
      <c r="BW38" s="1192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1196" t="n">
        <v>4348023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50931900</v>
      </c>
      <c r="W39" s="107" t="n">
        <v>0.9690000000000001</v>
      </c>
      <c r="X39" s="979">
        <f>Q39</f>
        <v/>
      </c>
      <c r="Y39" s="1192" t="n"/>
      <c r="Z39" s="1192" t="n"/>
      <c r="AA39" s="1192" t="n"/>
      <c r="AB39" s="1192" t="n"/>
      <c r="AC39" s="979" t="n"/>
      <c r="AD39" s="1192" t="n"/>
      <c r="AE39" s="979">
        <f>X39-(Y39+Z39+AA39+AB39+AC39+AD39)</f>
        <v/>
      </c>
      <c r="AF39" s="980" t="n">
        <v>663624</v>
      </c>
      <c r="AG39" s="980" t="n">
        <v>2669499</v>
      </c>
      <c r="AH39" s="1196" t="n">
        <v>1881746</v>
      </c>
      <c r="AI39" s="980" t="n">
        <v>2693</v>
      </c>
      <c r="AJ39" s="980" t="n">
        <v>-2136190</v>
      </c>
      <c r="AK39" s="1196" t="n">
        <v>-864</v>
      </c>
      <c r="AL39" s="980">
        <f>AI39-AJ39-AK39+AM39-AN39</f>
        <v/>
      </c>
      <c r="AM39" s="980" t="n">
        <v>16925</v>
      </c>
      <c r="AN39" s="1196" t="n">
        <v>-69849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>
        <f>AO39+AP39-AQ39</f>
        <v/>
      </c>
      <c r="AT39" s="980">
        <f>AJ39+AK39+AL39-AM39+AN39-AI39</f>
        <v/>
      </c>
      <c r="AU39" s="980">
        <f>AF39+AI39-AO39</f>
        <v/>
      </c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1199" t="n"/>
      <c r="BC39" s="980" t="n">
        <v>113667</v>
      </c>
      <c r="BD39" s="980" t="n">
        <v>2091114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6" t="n"/>
      <c r="BR39" s="980" t="n">
        <v>-10801</v>
      </c>
      <c r="BS39" s="980">
        <f>R39</f>
        <v/>
      </c>
      <c r="BT39" s="980" t="n">
        <v>0</v>
      </c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>
        <f>CB39+BX39-BY39+BZ39+CA39-BW39</f>
        <v/>
      </c>
      <c r="CE39" s="1196" t="n"/>
      <c r="CF39" s="1196" t="n"/>
      <c r="CG39" s="1196" t="n"/>
      <c r="CH39" s="1196" t="n"/>
      <c r="CI39" s="1196" t="n"/>
      <c r="CJ39" s="980">
        <f>BW39</f>
        <v/>
      </c>
      <c r="CK39" s="980" t="n"/>
      <c r="CL39" s="980" t="n">
        <v>0</v>
      </c>
      <c r="CM39" s="980" t="n"/>
      <c r="CN39" s="992" t="n">
        <v>2.532</v>
      </c>
      <c r="CO39" s="1196" t="n">
        <v>109737</v>
      </c>
      <c r="CP39" s="980" t="n">
        <v>4333800</v>
      </c>
      <c r="CQ39" s="1199" t="n">
        <v>2.532</v>
      </c>
      <c r="CR39" s="1196" t="n">
        <v>109737</v>
      </c>
      <c r="CS39" s="1196" t="n">
        <v>4333800</v>
      </c>
      <c r="CT39" s="980" t="n"/>
      <c r="CU39" s="1196" t="n"/>
      <c r="CV39" s="980" t="n"/>
      <c r="CW39" s="1202" t="n"/>
      <c r="CX39" s="1202" t="n"/>
      <c r="CY39" s="107" t="n"/>
      <c r="CZ39" s="992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1196" t="n">
        <v>3931915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52418100</v>
      </c>
      <c r="W40" s="107" t="n">
        <v>0.9690000000000001</v>
      </c>
      <c r="X40" s="979">
        <f>Q40</f>
        <v/>
      </c>
      <c r="Y40" s="1192" t="n"/>
      <c r="Z40" s="1192" t="n"/>
      <c r="AA40" s="1192" t="n"/>
      <c r="AB40" s="1192" t="n"/>
      <c r="AC40" s="979" t="n"/>
      <c r="AD40" s="1192" t="n"/>
      <c r="AE40" s="979">
        <f>X40-(Y40+Z40+AA40+AB40+AC40+AD40)</f>
        <v/>
      </c>
      <c r="AF40" s="980" t="n">
        <v>658381</v>
      </c>
      <c r="AG40" s="980" t="n">
        <v>2900268</v>
      </c>
      <c r="AH40" s="1196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6" t="n">
        <v>-72428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>
        <f>AO40+AP40-AQ40</f>
        <v/>
      </c>
      <c r="AT40" s="980">
        <f>AJ40+AK40+AL40-AM40+AN40-AI40</f>
        <v/>
      </c>
      <c r="AU40" s="980">
        <f>AF40+AI40-AO40</f>
        <v/>
      </c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1199" t="n"/>
      <c r="BC40" s="1194" t="n">
        <v>117417</v>
      </c>
      <c r="BD40" s="1194" t="n">
        <v>729954</v>
      </c>
      <c r="BE40" s="980" t="n"/>
      <c r="BF40" s="980" t="n">
        <v>-2354947</v>
      </c>
      <c r="BG40" s="980" t="n">
        <v>45219</v>
      </c>
      <c r="BH40" s="1196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6" t="n"/>
      <c r="BR40" s="980" t="n">
        <v>-10800</v>
      </c>
      <c r="BS40" s="980">
        <f>R40</f>
        <v/>
      </c>
      <c r="BT40" s="980" t="n">
        <v>0</v>
      </c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4" t="n"/>
      <c r="CD40" s="980">
        <f>CB40+BX40-BY40+BZ40+CA40-BW40</f>
        <v/>
      </c>
      <c r="CE40" s="1196" t="n"/>
      <c r="CF40" s="1196" t="n"/>
      <c r="CG40" s="1196" t="n"/>
      <c r="CH40" s="1196" t="n"/>
      <c r="CI40" s="1196" t="n"/>
      <c r="CJ40" s="980">
        <f>BW40</f>
        <v/>
      </c>
      <c r="CK40" s="977" t="n"/>
      <c r="CL40" s="980" t="n">
        <v>0</v>
      </c>
      <c r="CM40" s="980" t="n"/>
      <c r="CN40" s="992" t="n">
        <v>2.057</v>
      </c>
      <c r="CO40" s="980" t="n">
        <v>9625400</v>
      </c>
      <c r="CP40" s="980" t="n">
        <v>4680000</v>
      </c>
      <c r="CQ40" s="992" t="n">
        <v>2.057</v>
      </c>
      <c r="CR40" s="980" t="n">
        <v>9625400</v>
      </c>
      <c r="CS40" s="980" t="n">
        <v>4680000</v>
      </c>
      <c r="CT40" s="980" t="n"/>
      <c r="CU40" s="1196" t="n"/>
      <c r="CV40" s="980" t="n"/>
      <c r="CW40" s="107" t="n">
        <v>0.9311</v>
      </c>
      <c r="CX40" s="107" t="n">
        <v>0.9626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>
        <v>0</v>
      </c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1196" t="n">
        <v>3936399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6" t="n"/>
      <c r="V41" s="1196" t="n"/>
      <c r="W41" s="1202" t="n"/>
      <c r="X41" s="979">
        <f>Q41</f>
        <v/>
      </c>
      <c r="Y41" s="1192" t="n"/>
      <c r="Z41" s="1192" t="n"/>
      <c r="AA41" s="1192" t="n"/>
      <c r="AB41" s="1192" t="n"/>
      <c r="AC41" s="979" t="n"/>
      <c r="AD41" s="1192" t="n"/>
      <c r="AE41" s="979">
        <f>X41-(Y41+Z41+AA41+AB41+AC41+AD41)</f>
        <v/>
      </c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6" t="n">
        <v>-19537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>
        <f>AO41+AP41-AQ41</f>
        <v/>
      </c>
      <c r="AT41" s="980">
        <f>AJ41+AK41+AL41-AM41+AN41-AI41</f>
        <v/>
      </c>
      <c r="AU41" s="980">
        <f>AF41+AI41-AO41</f>
        <v/>
      </c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6" t="n"/>
      <c r="BO41" s="980" t="n"/>
      <c r="BP41" s="980">
        <f>AR41</f>
        <v/>
      </c>
      <c r="BQ41" s="980" t="n"/>
      <c r="BR41" s="1196" t="n"/>
      <c r="BS41" s="980">
        <f>R41</f>
        <v/>
      </c>
      <c r="BT41" s="980" t="n">
        <v>0</v>
      </c>
      <c r="BU41" s="1192" t="n"/>
      <c r="BV41" s="1192" t="n"/>
      <c r="BW41" s="1192" t="n"/>
      <c r="BX41" s="1192" t="n"/>
      <c r="BY41" s="1192" t="n"/>
      <c r="BZ41" s="1192" t="n"/>
      <c r="CA41" s="1192" t="n"/>
      <c r="CB41" s="1192" t="n"/>
      <c r="CC41" s="980" t="n"/>
      <c r="CD41" s="980" t="n"/>
      <c r="CE41" s="1196" t="n"/>
      <c r="CF41" s="1196" t="n"/>
      <c r="CG41" s="1196" t="n"/>
      <c r="CH41" s="1196" t="n"/>
      <c r="CI41" s="1196" t="n"/>
      <c r="CJ41" s="980" t="n"/>
      <c r="CK41" s="977" t="n"/>
      <c r="CL41" s="980" t="n"/>
      <c r="CM41" s="980" t="n"/>
      <c r="CN41" s="992" t="n"/>
      <c r="CO41" s="980" t="n"/>
      <c r="CP41" s="980" t="n"/>
      <c r="CQ41" s="1199" t="n"/>
      <c r="CR41" s="1196" t="n"/>
      <c r="CS41" s="1196" t="n"/>
      <c r="CT41" s="980" t="n"/>
      <c r="CU41" s="1196" t="n"/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1196" t="n">
        <v>3941080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6" t="n"/>
      <c r="V42" s="1196" t="n"/>
      <c r="W42" s="1202" t="n"/>
      <c r="X42" s="979">
        <f>Q42</f>
        <v/>
      </c>
      <c r="Y42" s="1192" t="n"/>
      <c r="Z42" s="1192" t="n"/>
      <c r="AA42" s="1192" t="n"/>
      <c r="AB42" s="1192" t="n"/>
      <c r="AC42" s="979" t="n"/>
      <c r="AD42" s="1192" t="n"/>
      <c r="AE42" s="979">
        <f>X42-(Y42+Z42+AA42+AB42+AC42+AD42)</f>
        <v/>
      </c>
      <c r="AF42" s="980" t="n">
        <v>375476</v>
      </c>
      <c r="AG42" s="980" t="n">
        <v>1561218</v>
      </c>
      <c r="AH42" s="1196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6" t="n">
        <v>8195</v>
      </c>
      <c r="AN42" s="1196" t="n">
        <v>-39172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>
        <f>AO42+AP42-AQ42</f>
        <v/>
      </c>
      <c r="AT42" s="980">
        <f>AJ42+AK42+AL42-AM42+AN42-AI42</f>
        <v/>
      </c>
      <c r="AU42" s="980">
        <f>AF42+AI42-AO42</f>
        <v/>
      </c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6" t="n">
        <v>258621</v>
      </c>
      <c r="BE42" s="1196" t="n"/>
      <c r="BF42" s="980" t="n">
        <v>-820048</v>
      </c>
      <c r="BG42" s="980" t="n">
        <v>-27057</v>
      </c>
      <c r="BH42" s="1196" t="n"/>
      <c r="BI42" s="1196" t="n">
        <v>-3494</v>
      </c>
      <c r="BJ42" s="1196" t="n"/>
      <c r="BK42" s="980">
        <f>Q42</f>
        <v/>
      </c>
      <c r="BL42" s="980" t="n"/>
      <c r="BM42" s="980" t="n">
        <v>6837420</v>
      </c>
      <c r="BN42" s="980" t="n">
        <v>-378307</v>
      </c>
      <c r="BO42" s="1196" t="n"/>
      <c r="BP42" s="980">
        <f>AR42</f>
        <v/>
      </c>
      <c r="BQ42" s="1196" t="n"/>
      <c r="BR42" s="980" t="n">
        <v>-5400</v>
      </c>
      <c r="BS42" s="980">
        <f>R42</f>
        <v/>
      </c>
      <c r="BT42" s="980" t="n">
        <v>0</v>
      </c>
      <c r="BU42" s="1192" t="n"/>
      <c r="BV42" s="1192" t="n"/>
      <c r="BW42" s="1192" t="n"/>
      <c r="BX42" s="1192" t="n"/>
      <c r="BY42" s="1192" t="n"/>
      <c r="BZ42" s="1192" t="n"/>
      <c r="CA42" s="1192" t="n"/>
      <c r="CB42" s="1192" t="n"/>
      <c r="CC42" s="980" t="n"/>
      <c r="CD42" s="980" t="n"/>
      <c r="CE42" s="1196" t="n"/>
      <c r="CF42" s="1196" t="n"/>
      <c r="CG42" s="1196" t="n"/>
      <c r="CH42" s="1196" t="n"/>
      <c r="CI42" s="1196" t="n"/>
      <c r="CJ42" s="980" t="n"/>
      <c r="CK42" s="977" t="n"/>
      <c r="CL42" s="980" t="n"/>
      <c r="CM42" s="980" t="n"/>
      <c r="CN42" s="992" t="n"/>
      <c r="CO42" s="980" t="n"/>
      <c r="CP42" s="980" t="n"/>
      <c r="CQ42" s="1199" t="n"/>
      <c r="CR42" s="1196" t="n"/>
      <c r="CS42" s="1196" t="n"/>
      <c r="CT42" s="980" t="n"/>
      <c r="CU42" s="1196" t="n"/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6" t="n"/>
      <c r="V43" s="1196" t="n"/>
      <c r="W43" s="1202" t="n"/>
      <c r="X43" s="979">
        <f>Q43</f>
        <v/>
      </c>
      <c r="Y43" s="1192" t="n"/>
      <c r="Z43" s="1192" t="n"/>
      <c r="AA43" s="1192" t="n"/>
      <c r="AB43" s="1192" t="n"/>
      <c r="AC43" s="979" t="n"/>
      <c r="AD43" s="1192" t="n"/>
      <c r="AE43" s="979">
        <f>X43-(Y43+Z43+AA43+AB43+AC43+AD43)</f>
        <v/>
      </c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6" t="n">
        <v>-57021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>
        <f>AO43+AP43-AQ43</f>
        <v/>
      </c>
      <c r="AT43" s="980">
        <f>AJ43+AK43+AL43-AM43+AN43-AI43</f>
        <v/>
      </c>
      <c r="AU43" s="980">
        <f>AF43+AI43-AO43</f>
        <v/>
      </c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6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>
        <v>0</v>
      </c>
      <c r="BU43" s="1192" t="n"/>
      <c r="BV43" s="1192" t="n"/>
      <c r="BW43" s="1192" t="n"/>
      <c r="BX43" s="1192" t="n"/>
      <c r="BY43" s="1192" t="n"/>
      <c r="BZ43" s="1192" t="n"/>
      <c r="CA43" s="1192" t="n"/>
      <c r="CB43" s="1192" t="n"/>
      <c r="CC43" s="980" t="n"/>
      <c r="CD43" s="980" t="n"/>
      <c r="CE43" s="1196" t="n"/>
      <c r="CF43" s="1196" t="n"/>
      <c r="CG43" s="1196" t="n"/>
      <c r="CH43" s="1196" t="n"/>
      <c r="CI43" s="1196" t="n"/>
      <c r="CJ43" s="980" t="n"/>
      <c r="CK43" s="980" t="n"/>
      <c r="CL43" s="980" t="n"/>
      <c r="CM43" s="980" t="n"/>
      <c r="CN43" s="992" t="n"/>
      <c r="CO43" s="980" t="n"/>
      <c r="CP43" s="980" t="n"/>
      <c r="CQ43" s="1199" t="n"/>
      <c r="CR43" s="1196" t="n"/>
      <c r="CS43" s="1196" t="n"/>
      <c r="CT43" s="980" t="n"/>
      <c r="CU43" s="1196" t="n"/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51175100</v>
      </c>
      <c r="W44" s="107" t="n">
        <v>0.9640000000000001</v>
      </c>
      <c r="X44" s="979">
        <f>Q44</f>
        <v/>
      </c>
      <c r="Y44" s="1192" t="n"/>
      <c r="Z44" s="1192" t="n"/>
      <c r="AA44" s="1192" t="n"/>
      <c r="AB44" s="1192" t="n"/>
      <c r="AC44" s="979" t="n"/>
      <c r="AD44" s="1192" t="n"/>
      <c r="AE44" s="979">
        <f>X44-(Y44+Z44+AA44+AB44+AC44+AD44)</f>
        <v/>
      </c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980">
        <f>AI44-AJ44-AK44+AM44-AN44</f>
        <v/>
      </c>
      <c r="AM44" s="980" t="n">
        <v>18342</v>
      </c>
      <c r="AN44" s="980" t="n">
        <v>-103058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>
        <f>AO44+AP44-AQ44</f>
        <v/>
      </c>
      <c r="AT44" s="980">
        <f>AJ44+AK44+AL44-AM44+AN44-AI44</f>
        <v/>
      </c>
      <c r="AU44" s="980">
        <f>AF44+AI44-AO44</f>
        <v/>
      </c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>
        <v>0</v>
      </c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>
        <f>CB44+BX44-BY44+BZ44+CA44-BW44</f>
        <v/>
      </c>
      <c r="CE44" s="1196" t="n"/>
      <c r="CF44" s="1196" t="n"/>
      <c r="CG44" s="1196" t="n"/>
      <c r="CH44" s="1196" t="n"/>
      <c r="CI44" s="1196" t="n"/>
      <c r="CJ44" s="980">
        <f>BW44</f>
        <v/>
      </c>
      <c r="CK44" s="980" t="n"/>
      <c r="CL44" s="980" t="n">
        <v>0</v>
      </c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9876500</v>
      </c>
      <c r="CS44" s="979" t="n">
        <v>4793400</v>
      </c>
      <c r="CT44" s="980" t="n"/>
      <c r="CU44" s="1196" t="n"/>
      <c r="CV44" s="980" t="n"/>
      <c r="CW44" s="107" t="n">
        <v>0.9312</v>
      </c>
      <c r="CX44" s="107" t="n">
        <v>0.9939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6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>
        <v>0</v>
      </c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O46" s="1205" t="n"/>
      <c r="P46" s="1205" t="n"/>
      <c r="Q46" s="1205" t="n"/>
      <c r="R46" s="1205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1192" t="n"/>
      <c r="BU46" s="1205" t="n"/>
      <c r="BV46" s="1205" t="n"/>
      <c r="BW46" s="1205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32895665.240515</v>
      </c>
      <c r="E47" s="697" t="n">
        <v>5401652.920025</v>
      </c>
      <c r="F47" s="697" t="n">
        <v>18570667.309792</v>
      </c>
      <c r="G47" s="697" t="n">
        <v>7203997.089818</v>
      </c>
      <c r="H47" s="697" t="n">
        <v>161104.415388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29943905.139579</v>
      </c>
      <c r="M47" s="697" t="n">
        <v>26417000.323931</v>
      </c>
      <c r="N47" s="697">
        <f>O47-P47</f>
        <v/>
      </c>
      <c r="O47" s="697" t="n">
        <v>2951760.100936</v>
      </c>
      <c r="P47" s="697" t="n">
        <v>344567.360747</v>
      </c>
      <c r="Q47" s="1195" t="n">
        <v>35801.094648</v>
      </c>
      <c r="R47" s="1195" t="n">
        <v>1361584.988732</v>
      </c>
      <c r="S47" s="1195" t="n">
        <v>4882260.27527</v>
      </c>
      <c r="T47" s="1192" t="n">
        <v>4537688.216682</v>
      </c>
      <c r="U47" s="1205" t="n"/>
      <c r="V47" s="1205" t="n"/>
      <c r="W47" s="1202" t="n"/>
      <c r="X47" s="697">
        <f>Q47</f>
        <v/>
      </c>
      <c r="Y47" s="1195" t="n">
        <v>-1256539</v>
      </c>
      <c r="Z47" s="1195" t="n">
        <v>1288548</v>
      </c>
      <c r="AA47" s="697" t="n">
        <v>-22747</v>
      </c>
      <c r="AB47" s="697" t="n">
        <v>19317</v>
      </c>
      <c r="AC47" s="697" t="n">
        <v>15594</v>
      </c>
      <c r="AD47" s="1195" t="n">
        <v>-11225</v>
      </c>
      <c r="AE47" s="697">
        <f>X47-(Y47+Z47+AA47+AB47+AC47+AD47)</f>
        <v/>
      </c>
      <c r="AF47" s="697" t="n">
        <v>234128.262211</v>
      </c>
      <c r="AG47" s="697" t="n">
        <v>1131389.699633</v>
      </c>
      <c r="AH47" s="697" t="n">
        <v>897261.437422</v>
      </c>
      <c r="AI47" s="1195" t="n">
        <v>125030.941279</v>
      </c>
      <c r="AJ47" s="1195" t="n">
        <v>-1065190.770289</v>
      </c>
      <c r="AK47" s="697" t="n">
        <v>315.441843</v>
      </c>
      <c r="AL47" s="697">
        <f>AI47-AJ47-AK47+AM47-AN47</f>
        <v/>
      </c>
      <c r="AM47" s="697" t="n">
        <v>4496.061064</v>
      </c>
      <c r="AN47" s="1195" t="n">
        <v>147012.54651</v>
      </c>
      <c r="AO47" s="1195" t="n">
        <v>359159.20349</v>
      </c>
      <c r="AP47" s="697" t="n">
        <v>13674.69997300004</v>
      </c>
      <c r="AQ47" s="1195" t="n">
        <v>372833.903463</v>
      </c>
      <c r="AR47" s="1195" t="n">
        <v>295746.061113</v>
      </c>
      <c r="AS47" s="966">
        <f>AO47+AP47-AQ47</f>
        <v/>
      </c>
      <c r="AT47" s="966">
        <f>AJ47+AK47+AL47-AM47+AN47-AI47</f>
        <v/>
      </c>
      <c r="AU47" s="966">
        <f>AF47+AI47-AO47</f>
        <v/>
      </c>
      <c r="AV47" s="966">
        <f>AF47</f>
        <v/>
      </c>
      <c r="AW47" s="966">
        <f>AI47</f>
        <v/>
      </c>
      <c r="AX47" s="966">
        <f>AP47</f>
        <v/>
      </c>
      <c r="AY47" s="966">
        <f>AV47+AW47+AX47</f>
        <v/>
      </c>
      <c r="BB47" s="1201" t="n"/>
      <c r="BC47" s="1195" t="n">
        <v>1526397.829674</v>
      </c>
      <c r="BD47" s="1195" t="n">
        <v>769899.8348590001</v>
      </c>
      <c r="BF47" s="1195" t="n">
        <v>-1175052.772651</v>
      </c>
      <c r="BG47" s="697" t="n">
        <v>51027.058227</v>
      </c>
      <c r="BH47" s="697" t="n">
        <v>0.009225000000000001</v>
      </c>
      <c r="BI47" s="697" t="n">
        <v>-7163.675615</v>
      </c>
      <c r="BK47" s="697">
        <f>Q47</f>
        <v/>
      </c>
      <c r="BL47" s="966">
        <f>BK47-BC47-SUM(BD47:BJ47)</f>
        <v/>
      </c>
      <c r="BM47" s="1195" t="n">
        <v>1801623.073449</v>
      </c>
      <c r="BP47" s="697">
        <f>AR47</f>
        <v/>
      </c>
      <c r="BR47" s="697" t="n">
        <v>-20751.496177</v>
      </c>
      <c r="BS47" s="697">
        <f>R47</f>
        <v/>
      </c>
      <c r="BT47" s="966" t="n">
        <v>0</v>
      </c>
      <c r="BU47" s="1205" t="n"/>
      <c r="BV47" s="1205" t="n"/>
      <c r="BW47" s="1205" t="n"/>
      <c r="BX47" s="1205" t="n"/>
      <c r="BY47" s="1205" t="n"/>
      <c r="BZ47" s="1205" t="n"/>
      <c r="CA47" s="1205" t="n"/>
      <c r="CB47" s="1205" t="n"/>
      <c r="CE47" s="1205" t="n"/>
      <c r="CF47" s="1205" t="n"/>
      <c r="CG47" s="1205" t="n"/>
      <c r="CH47" s="1205" t="n"/>
      <c r="CI47" s="1205" t="n"/>
      <c r="CN47" s="1201" t="n"/>
      <c r="CO47" s="1205" t="n"/>
      <c r="CP47" s="1205" t="n"/>
      <c r="CQ47" s="1201" t="n"/>
      <c r="CR47" s="1205" t="n"/>
      <c r="CS47" s="1205" t="n"/>
      <c r="CU47" s="1205" t="n"/>
      <c r="DC47" s="1205" t="n"/>
      <c r="DD47" s="1205" t="n"/>
      <c r="DE47" s="1205" t="n"/>
      <c r="DG47" s="1205" t="n"/>
      <c r="DH47" s="1205" t="n"/>
      <c r="DI47" s="1205" t="n"/>
      <c r="DJ47" s="1205" t="n"/>
      <c r="DK47" s="1205" t="n"/>
      <c r="DL47" s="1205" t="n"/>
      <c r="DM47" s="1205" t="n"/>
      <c r="DQ47" s="1205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34577574.866215</v>
      </c>
      <c r="E48" s="697" t="n">
        <v>5857335.621093</v>
      </c>
      <c r="F48" s="697" t="n">
        <v>20037393.225611</v>
      </c>
      <c r="G48" s="697" t="n">
        <v>7063305.228962</v>
      </c>
      <c r="H48" s="697" t="n">
        <v>121642.754136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32567035.838663</v>
      </c>
      <c r="M48" s="697" t="n">
        <v>28221455.749061</v>
      </c>
      <c r="N48" s="697">
        <f>O48-P48</f>
        <v/>
      </c>
      <c r="O48" s="1194" t="n">
        <v>2010539.027552</v>
      </c>
      <c r="P48" s="697" t="n">
        <v>344567.360747</v>
      </c>
      <c r="Q48" s="1194" t="n">
        <v>-1105739.275686</v>
      </c>
      <c r="R48" s="697" t="n">
        <v>1561498.237695</v>
      </c>
      <c r="S48" s="697" t="n">
        <v>2951746.817761</v>
      </c>
      <c r="T48" s="979" t="n">
        <v>2607179.457014</v>
      </c>
      <c r="U48" s="1205" t="n"/>
      <c r="V48" s="1205" t="n"/>
      <c r="W48" s="1202" t="n"/>
      <c r="X48" s="697">
        <f>Q48</f>
        <v/>
      </c>
      <c r="Y48" s="1195" t="n">
        <v>-1064154</v>
      </c>
      <c r="Z48" s="697" t="n">
        <v>-133478</v>
      </c>
      <c r="AA48" s="697" t="n">
        <v>10550</v>
      </c>
      <c r="AB48" s="697" t="n">
        <v>82084</v>
      </c>
      <c r="AC48" s="697" t="n">
        <v>15602</v>
      </c>
      <c r="AD48" s="1195" t="n">
        <v>-20939</v>
      </c>
      <c r="AE48" s="697">
        <f>X48-(Y48+Z48+AA48+AB48+AC48+AD48)</f>
        <v/>
      </c>
      <c r="AF48" s="697" t="n">
        <v>274408.160826</v>
      </c>
      <c r="AG48" s="697" t="n">
        <v>1233613.962236</v>
      </c>
      <c r="AH48" s="697" t="n">
        <v>959205.80141</v>
      </c>
      <c r="AI48" s="697" t="n">
        <v>104644.860142</v>
      </c>
      <c r="AJ48" s="697" t="n">
        <v>-953707.739088</v>
      </c>
      <c r="AK48" s="697" t="n">
        <v>7142.640596</v>
      </c>
      <c r="AL48" s="697">
        <f>AI48-AJ48-AK48+AM48-AN48</f>
        <v/>
      </c>
      <c r="AM48" s="697" t="n">
        <v>4454.766395</v>
      </c>
      <c r="AN48" s="1195" t="n">
        <v>126150.405573</v>
      </c>
      <c r="AO48" s="697" t="n">
        <v>379053.020968</v>
      </c>
      <c r="AP48" s="697" t="n">
        <v>2919.941667000006</v>
      </c>
      <c r="AQ48" s="697" t="n">
        <v>381972.962635</v>
      </c>
      <c r="AR48" s="697" t="n">
        <v>310158.029898</v>
      </c>
      <c r="AS48" s="966">
        <f>AO48+AP48-AQ48</f>
        <v/>
      </c>
      <c r="AT48" s="966">
        <f>AJ48+AK48+AL48-AM48+AN48-AI48</f>
        <v/>
      </c>
      <c r="AU48" s="966">
        <f>AF48+AI48-AO48</f>
        <v/>
      </c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1201" t="n"/>
      <c r="BC48" s="1194" t="n">
        <v>56405.467597</v>
      </c>
      <c r="BD48" s="1194" t="n">
        <v>174620.280915</v>
      </c>
      <c r="BF48" s="697" t="n">
        <v>-1409333.19889</v>
      </c>
      <c r="BG48" s="697" t="n">
        <v>62766.693835</v>
      </c>
      <c r="BH48" s="1194" t="n">
        <v>7.626281</v>
      </c>
      <c r="BI48" s="993" t="n">
        <v>-9514.257482000001</v>
      </c>
      <c r="BJ48" s="1192" t="n"/>
      <c r="BK48" s="993">
        <f>Q48</f>
        <v/>
      </c>
      <c r="BL48" s="966">
        <f>BK48-BC48-SUM(BD48:BJ48)</f>
        <v/>
      </c>
      <c r="BM48" s="697" t="n">
        <v>1340967.332608</v>
      </c>
      <c r="BN48" s="697" t="n">
        <v>-62378.1052</v>
      </c>
      <c r="BP48" s="697">
        <f>AR48</f>
        <v/>
      </c>
      <c r="BQ48" s="1205" t="n"/>
      <c r="BR48" s="697" t="n">
        <v>-21026.018713</v>
      </c>
      <c r="BS48" s="697">
        <f>R48</f>
        <v/>
      </c>
      <c r="BT48" s="966" t="n">
        <v>0</v>
      </c>
      <c r="BU48" s="1205" t="n"/>
      <c r="BV48" s="1205" t="n"/>
      <c r="BW48" s="1205" t="n"/>
      <c r="BX48" s="1205" t="n"/>
      <c r="BY48" s="1205" t="n"/>
      <c r="BZ48" s="1205" t="n"/>
      <c r="CA48" s="1205" t="n"/>
      <c r="CB48" s="1205" t="n"/>
      <c r="CC48" s="1204" t="n"/>
      <c r="CE48" s="1205" t="n"/>
      <c r="CF48" s="1205" t="n"/>
      <c r="CG48" s="1205" t="n"/>
      <c r="CH48" s="1205" t="n"/>
      <c r="CI48" s="1205" t="n"/>
      <c r="CN48" s="786" t="n"/>
      <c r="CQ48" s="1201" t="n"/>
      <c r="CR48" s="1205" t="n"/>
      <c r="CS48" s="1205" t="n"/>
      <c r="CU48" s="1205" t="n"/>
      <c r="CW48" s="103" t="n">
        <v>0.853</v>
      </c>
      <c r="CX48" s="1206" t="n"/>
      <c r="CY48" s="103" t="n"/>
      <c r="CZ48" s="786" t="n"/>
      <c r="DC48" s="1205" t="n"/>
      <c r="DD48" s="1205" t="n"/>
      <c r="DE48" s="1205" t="n"/>
      <c r="DG48" s="1205" t="n"/>
      <c r="DH48" s="1205" t="n"/>
      <c r="DI48" s="1205" t="n"/>
      <c r="DJ48" s="1205" t="n"/>
      <c r="DK48" s="1205" t="n"/>
      <c r="DL48" s="1205" t="n"/>
      <c r="DM48" s="1205" t="n"/>
      <c r="EP48" s="1205" t="n"/>
      <c r="EQ48" s="1205" t="n"/>
      <c r="ER48" s="1205" t="n"/>
      <c r="ES48" s="1205" t="n"/>
      <c r="ET48" s="1205" t="n"/>
      <c r="EW48" s="1205" t="n"/>
      <c r="EX48" s="1205" t="n"/>
      <c r="EY48" s="1205" t="n"/>
      <c r="EZ48" s="1205" t="n"/>
      <c r="FA48" s="1205" t="n"/>
      <c r="FB48" s="1205" t="n"/>
      <c r="FC48" s="1198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35191700.895998</v>
      </c>
      <c r="E49" s="697" t="n">
        <v>5927777.722747</v>
      </c>
      <c r="F49" s="697" t="n">
        <v>20858794.351852</v>
      </c>
      <c r="G49" s="697" t="n">
        <v>6559862.106122</v>
      </c>
      <c r="H49" s="697" t="n">
        <v>115233.888909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33666177.100012</v>
      </c>
      <c r="M49" s="697" t="n">
        <v>29330677.006867</v>
      </c>
      <c r="N49" s="697">
        <f>O49-P49</f>
        <v/>
      </c>
      <c r="O49" s="697" t="n">
        <v>1525523.795986</v>
      </c>
      <c r="P49" s="697" t="n">
        <v>344567.360747</v>
      </c>
      <c r="Q49" s="697" t="n">
        <v>-1626743.836739</v>
      </c>
      <c r="R49" s="697" t="n">
        <v>1596767.530773</v>
      </c>
      <c r="S49" s="697" t="n">
        <v>2010539.027552</v>
      </c>
      <c r="T49" s="1192" t="n">
        <v>1665971.666805</v>
      </c>
      <c r="U49" s="1205" t="n"/>
      <c r="V49" s="1205" t="n"/>
      <c r="W49" s="1202" t="n"/>
      <c r="X49" s="697">
        <f>Q49</f>
        <v/>
      </c>
      <c r="Y49" s="1205" t="n"/>
      <c r="Z49" s="1205" t="n"/>
      <c r="AA49" s="1205" t="n"/>
      <c r="AB49" s="1205" t="n"/>
      <c r="AC49" s="1205" t="n"/>
      <c r="AD49" s="1205" t="n"/>
      <c r="AE49" s="697">
        <f>X49-(Y49+Z49+AA49+AB49+AC49+AD49)</f>
        <v/>
      </c>
      <c r="AF49" s="697" t="n">
        <v>4071.067425</v>
      </c>
      <c r="AG49" s="697" t="n">
        <v>319287.703901</v>
      </c>
      <c r="AH49" s="697" t="n">
        <v>315216.636476</v>
      </c>
      <c r="AI49" s="697" t="n">
        <v>55389.596159</v>
      </c>
      <c r="AJ49" s="1195" t="n">
        <v>-270554.634358</v>
      </c>
      <c r="AK49" s="697" t="n">
        <v>3628.655164</v>
      </c>
      <c r="AL49" s="697">
        <f>AI49-AJ49-AK49+AM49-AN49</f>
        <v/>
      </c>
      <c r="AM49" s="697" t="n">
        <v>869.929963</v>
      </c>
      <c r="AN49" s="697" t="n">
        <v>31699.954462</v>
      </c>
      <c r="AO49" s="697" t="n">
        <v>59460.663584</v>
      </c>
      <c r="AP49" s="697" t="n">
        <v>-5026.845763000005</v>
      </c>
      <c r="AQ49" s="697" t="n">
        <v>54433.817821</v>
      </c>
      <c r="AR49" s="697" t="n">
        <v>46739.82659</v>
      </c>
      <c r="AS49" s="966">
        <f>AO49+AP49-AQ49</f>
        <v/>
      </c>
      <c r="AT49" s="966">
        <f>AJ49+AK49+AL49-AM49+AN49-AI49</f>
        <v/>
      </c>
      <c r="AU49" s="966">
        <f>AF49+AI49-AO49</f>
        <v/>
      </c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-1105739.275686</v>
      </c>
      <c r="BD49" s="1195" t="n">
        <v>174740.859051</v>
      </c>
      <c r="BF49" s="697" t="n">
        <v>-737731.928037</v>
      </c>
      <c r="BG49" s="697" t="n">
        <v>41351.162062</v>
      </c>
      <c r="BH49" s="697" t="n">
        <v>9.573212</v>
      </c>
      <c r="BI49" s="697" t="n">
        <v>-2231.105228</v>
      </c>
      <c r="BK49" s="697">
        <f>Q49</f>
        <v/>
      </c>
      <c r="BL49" s="966">
        <f>BK49-BC49-SUM(BD49:BJ49)</f>
        <v/>
      </c>
      <c r="BM49" s="697" t="n">
        <v>1561498.237695</v>
      </c>
      <c r="BP49" s="697">
        <f>AR49</f>
        <v/>
      </c>
      <c r="BR49" s="1205" t="n"/>
      <c r="BS49" s="697">
        <f>R49</f>
        <v/>
      </c>
      <c r="BT49" s="966" t="n">
        <v>0</v>
      </c>
      <c r="BU49" s="1205" t="n"/>
      <c r="BV49" s="1205" t="n"/>
      <c r="BW49" s="1205" t="n"/>
      <c r="BX49" s="1205" t="n"/>
      <c r="BY49" s="1205" t="n"/>
      <c r="BZ49" s="1205" t="n"/>
      <c r="CA49" s="1205" t="n"/>
      <c r="CB49" s="1205" t="n"/>
      <c r="CN49" s="786" t="n"/>
      <c r="CQ49" s="1201" t="n"/>
      <c r="CR49" s="1205" t="n"/>
      <c r="CS49" s="1205" t="n"/>
      <c r="CU49" s="1205" t="n"/>
      <c r="CW49" s="103" t="n"/>
      <c r="CX49" s="103" t="n"/>
      <c r="CY49" s="103" t="n"/>
      <c r="CZ49" s="786" t="n"/>
      <c r="DC49" s="1205" t="n"/>
      <c r="DD49" s="1205" t="n"/>
      <c r="DE49" s="1205" t="n"/>
      <c r="DG49" s="1205" t="n"/>
      <c r="DH49" s="1205" t="n"/>
      <c r="DI49" s="1205" t="n"/>
      <c r="DJ49" s="1205" t="n"/>
      <c r="DK49" s="1205" t="n"/>
      <c r="DL49" s="1205" t="n"/>
      <c r="DM49" s="1205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35647471.326781</v>
      </c>
      <c r="E50" s="697" t="n">
        <v>5799448.636205</v>
      </c>
      <c r="F50" s="697" t="n">
        <v>21635551.140032</v>
      </c>
      <c r="G50" s="697" t="n">
        <v>6437918.571102</v>
      </c>
      <c r="H50" s="1205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33949684.811107</v>
      </c>
      <c r="M50" s="697" t="n">
        <v>29166616.193315</v>
      </c>
      <c r="N50" s="697">
        <f>O50-P50</f>
        <v/>
      </c>
      <c r="O50" s="697" t="n">
        <v>1697786.515674</v>
      </c>
      <c r="P50" s="697" t="n">
        <v>344567.360747</v>
      </c>
      <c r="Q50" s="697" t="n">
        <v>-1494513.592612</v>
      </c>
      <c r="R50" s="697" t="n">
        <v>1636800.006334</v>
      </c>
      <c r="S50" s="697" t="n">
        <v>2010539.027552</v>
      </c>
      <c r="T50" s="1192" t="n">
        <v>1665971.666805</v>
      </c>
      <c r="U50" s="1205" t="n"/>
      <c r="V50" s="1205" t="n"/>
      <c r="W50" s="1202" t="n"/>
      <c r="X50" s="697">
        <f>Q50</f>
        <v/>
      </c>
      <c r="Y50" s="697" t="n">
        <v>-996006</v>
      </c>
      <c r="Z50" s="1205" t="n"/>
      <c r="AA50" s="1205" t="n"/>
      <c r="AB50" s="1205" t="n"/>
      <c r="AC50" s="1205" t="n"/>
      <c r="AD50" s="1205" t="n"/>
      <c r="AF50" s="697" t="n">
        <v>70419.566477</v>
      </c>
      <c r="AG50" s="697" t="n">
        <v>629541.28645</v>
      </c>
      <c r="AH50" s="697" t="n">
        <v>559121.719973</v>
      </c>
      <c r="AI50" s="1195" t="n">
        <v>34568.13757</v>
      </c>
      <c r="AJ50" s="697" t="n">
        <v>-641822.340707</v>
      </c>
      <c r="AK50" s="697" t="n">
        <v>7670.767234</v>
      </c>
      <c r="AL50" s="697">
        <f>AI50-AJ50-AK50+AM50-AN50</f>
        <v/>
      </c>
      <c r="AM50" s="697" t="n">
        <v>1525.43315</v>
      </c>
      <c r="AN50" s="697" t="n">
        <v>60436.559856</v>
      </c>
      <c r="AO50" s="1195" t="n">
        <v>104987.704047</v>
      </c>
      <c r="AP50" s="1195" t="n">
        <v>-3945.728152000011</v>
      </c>
      <c r="AQ50" s="697" t="n">
        <v>101041.975895</v>
      </c>
      <c r="AR50" s="697" t="n">
        <v>86772.302151</v>
      </c>
      <c r="AS50" s="966">
        <f>AO50+AP50-AQ50</f>
        <v/>
      </c>
      <c r="AT50" s="966">
        <f>AJ50+AK50+AL50-AM50+AN50-AI50</f>
        <v/>
      </c>
      <c r="AU50" s="966">
        <f>AF50+AI50-AO50</f>
        <v/>
      </c>
      <c r="AV50" s="966">
        <f>AF50</f>
        <v/>
      </c>
      <c r="AW50" s="966">
        <f>AI50</f>
        <v/>
      </c>
      <c r="AX50" s="966">
        <f>AP50</f>
        <v/>
      </c>
      <c r="AY50" s="966">
        <f>AV50+AW50+AX50</f>
        <v/>
      </c>
      <c r="BB50" s="786" t="n"/>
      <c r="BC50" s="697" t="n">
        <v>-1105739.275686</v>
      </c>
      <c r="BD50" s="1195" t="n">
        <v>61379.546864</v>
      </c>
      <c r="BE50" s="1205" t="n"/>
      <c r="BF50" s="697" t="n">
        <v>-448522.263028</v>
      </c>
      <c r="BG50" s="697" t="n">
        <v>-2125.207227</v>
      </c>
      <c r="BH50" s="697" t="n">
        <v>11.079939</v>
      </c>
      <c r="BI50" s="697" t="n">
        <v>-1441.997256</v>
      </c>
      <c r="BJ50" s="1205" t="n"/>
      <c r="BK50" s="697">
        <f>Q50</f>
        <v/>
      </c>
      <c r="BL50" s="966">
        <f>BK50-BC50-SUM(BD50:BJ50)</f>
        <v/>
      </c>
      <c r="BM50" s="697" t="n">
        <v>1561498.237695</v>
      </c>
      <c r="BN50" s="1205" t="n"/>
      <c r="BO50" s="1205" t="n"/>
      <c r="BP50" s="697">
        <f>AR50</f>
        <v/>
      </c>
      <c r="BQ50" s="1205" t="n"/>
      <c r="BR50" s="697" t="n">
        <v>-11470.533512</v>
      </c>
      <c r="BS50" s="697">
        <f>R50</f>
        <v/>
      </c>
      <c r="BT50" s="966" t="n">
        <v>0</v>
      </c>
      <c r="BU50" s="1205" t="n"/>
      <c r="BV50" s="1205" t="n"/>
      <c r="BW50" s="1205" t="n"/>
      <c r="BX50" s="1205" t="n">
        <v>2397259</v>
      </c>
      <c r="BY50" s="1205" t="n"/>
      <c r="BZ50" s="1205" t="n">
        <v>-158670</v>
      </c>
      <c r="CA50" s="1205" t="n">
        <v>54994</v>
      </c>
      <c r="CB50" s="1205" t="n"/>
      <c r="CE50" s="1205" t="n"/>
      <c r="CF50" s="1205" t="n"/>
      <c r="CG50" s="1205" t="n"/>
      <c r="CH50" s="1205" t="n"/>
      <c r="CI50" s="1205" t="n"/>
      <c r="CL50" s="1205" t="n"/>
      <c r="CN50" s="786" t="n"/>
      <c r="CQ50" s="1201" t="n"/>
      <c r="CR50" s="1205" t="n"/>
      <c r="CS50" s="1205" t="n"/>
      <c r="CU50" s="697" t="n">
        <v>1146824</v>
      </c>
      <c r="CW50" s="103" t="n"/>
      <c r="CX50" s="103" t="n"/>
      <c r="CY50" s="103" t="n"/>
      <c r="CZ50" s="786" t="n"/>
      <c r="DC50" s="1205" t="n"/>
      <c r="DD50" s="1205" t="n"/>
      <c r="DE50" s="1205" t="n"/>
      <c r="DG50" s="1205" t="n"/>
      <c r="DH50" s="1205" t="n"/>
      <c r="DI50" s="1205" t="n"/>
      <c r="DJ50" s="1205" t="n"/>
      <c r="DK50" s="1205" t="n"/>
      <c r="DL50" s="1205" t="n"/>
      <c r="DM50" s="1205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205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205" t="n"/>
      <c r="V51" s="1205" t="n"/>
      <c r="W51" s="1202" t="n"/>
      <c r="X51" s="697">
        <f>Q51</f>
        <v/>
      </c>
      <c r="Y51" s="1205" t="n"/>
      <c r="Z51" s="1205" t="n"/>
      <c r="AA51" s="1205" t="n"/>
      <c r="AB51" s="1205" t="n"/>
      <c r="AC51" s="1205" t="n"/>
      <c r="AD51" s="1205" t="n"/>
      <c r="AE51" s="697">
        <f>X51-(Y51+Z51+AA51+AB51+AC51+AD51)</f>
        <v/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697">
        <f>AI51-AJ51-AK51+AM51-AN51</f>
        <v/>
      </c>
      <c r="AM51" s="697" t="n">
        <v>2594</v>
      </c>
      <c r="AN51" s="697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>
        <f>AO51+AP51-AQ51</f>
        <v/>
      </c>
      <c r="AT51" s="966">
        <f>AJ51+AK51+AL51-AM51+AN51-AI51</f>
        <v/>
      </c>
      <c r="AU51" s="966">
        <f>AF51+AI51-AO51</f>
        <v/>
      </c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1195" t="n">
        <v>3862</v>
      </c>
      <c r="BF51" s="697" t="n">
        <v>-282685</v>
      </c>
      <c r="BG51" s="697" t="n">
        <v>-28093</v>
      </c>
      <c r="BH51" s="1195" t="n">
        <v>13</v>
      </c>
      <c r="BI51" s="697" t="n">
        <v>-3726</v>
      </c>
      <c r="BK51" s="697">
        <f>Q51</f>
        <v/>
      </c>
      <c r="BL51" s="966">
        <f>BK51-BC51-SUM(BD51:BJ51)</f>
        <v/>
      </c>
      <c r="BM51" s="697" t="n">
        <v>1561498</v>
      </c>
      <c r="BP51" s="697">
        <f>AR51</f>
        <v/>
      </c>
      <c r="BQ51" s="1195" t="n">
        <v>-485</v>
      </c>
      <c r="BR51" s="697" t="n">
        <v>-22466</v>
      </c>
      <c r="BS51" s="697">
        <f>R51</f>
        <v/>
      </c>
      <c r="BT51" s="966" t="n">
        <v>0</v>
      </c>
      <c r="BU51" s="1205" t="n"/>
      <c r="BV51" s="1205" t="n"/>
      <c r="BW51" s="697" t="n">
        <v>2796980</v>
      </c>
      <c r="BX51" s="1205" t="n">
        <v>425848</v>
      </c>
      <c r="BY51" s="1205" t="n">
        <v>189861</v>
      </c>
      <c r="BZ51" s="1205" t="n">
        <v>-192787</v>
      </c>
      <c r="CA51" s="1205" t="n">
        <v>82691</v>
      </c>
      <c r="CB51" s="1205" t="n"/>
      <c r="CE51" s="1205" t="n"/>
      <c r="CF51" s="1205" t="n"/>
      <c r="CG51" s="1205" t="n"/>
      <c r="CH51" s="1205" t="n"/>
      <c r="CI51" s="1205" t="n"/>
      <c r="CJ51" s="697">
        <f>BW51</f>
        <v/>
      </c>
      <c r="CL51" s="697" t="n">
        <v>0</v>
      </c>
      <c r="CN51" s="786" t="n"/>
      <c r="CQ51" s="1201" t="n"/>
      <c r="CR51" s="1205" t="n"/>
      <c r="CS51" s="1205" t="n"/>
      <c r="CU51" s="697" t="n">
        <v>1026174</v>
      </c>
      <c r="CW51" s="103" t="n"/>
      <c r="CX51" s="103" t="n"/>
      <c r="CY51" s="103" t="n"/>
      <c r="CZ51" s="786" t="n"/>
      <c r="DC51" s="1205" t="n"/>
      <c r="DD51" s="1205" t="n"/>
      <c r="DE51" s="1205" t="n"/>
      <c r="DG51" s="1205" t="n"/>
      <c r="DH51" s="1205" t="n"/>
      <c r="DI51" s="1205" t="n"/>
      <c r="DJ51" s="1205" t="n"/>
      <c r="DK51" s="1205" t="n"/>
      <c r="DL51" s="1205" t="n"/>
      <c r="DM51" s="1205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</v>
      </c>
      <c r="W52" s="142" t="n">
        <v>0.963</v>
      </c>
      <c r="X52" s="697">
        <f>Q52</f>
        <v/>
      </c>
      <c r="Y52" s="1195" t="n">
        <v>-1704158</v>
      </c>
      <c r="Z52" s="697" t="n">
        <v>575901</v>
      </c>
      <c r="AA52" s="697" t="n">
        <v>-4705</v>
      </c>
      <c r="AB52" s="697" t="n">
        <v>-98248</v>
      </c>
      <c r="AC52" s="1195" t="n">
        <v>16224</v>
      </c>
      <c r="AD52" s="697" t="n">
        <v>-13311</v>
      </c>
      <c r="AE52" s="697">
        <f>X52-(Y52+Z52+AA52+AB52+AC52+AD52)</f>
        <v/>
      </c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697">
        <f>AI52-AJ52-AK52+AM52-AN52</f>
        <v/>
      </c>
      <c r="AM52" s="697" t="n">
        <v>3546</v>
      </c>
      <c r="AN52" s="697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>
        <f>AO52+AP52-AQ52</f>
        <v/>
      </c>
      <c r="AT52" s="966">
        <f>AJ52+AK52+AL52-AM52+AN52-AI52</f>
        <v/>
      </c>
      <c r="AU52" s="966">
        <f>AF52+AI52-AO52</f>
        <v/>
      </c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1195" t="n">
        <v>-633053</v>
      </c>
      <c r="BF52" s="697" t="n">
        <v>694124</v>
      </c>
      <c r="BG52" s="697" t="n">
        <v>-180332</v>
      </c>
      <c r="BH52" s="1195" t="n">
        <v>-231</v>
      </c>
      <c r="BI52" s="697" t="n">
        <v>7875</v>
      </c>
      <c r="BJ52" s="1192" t="n"/>
      <c r="BK52" s="697">
        <f>Q52</f>
        <v/>
      </c>
      <c r="BL52" s="966">
        <f>BK52-BC52-SUM(BD52:BJ52)</f>
        <v/>
      </c>
      <c r="BM52" s="697" t="n">
        <v>1561498</v>
      </c>
      <c r="BP52" s="697">
        <f>AR52</f>
        <v/>
      </c>
      <c r="BQ52" s="1195" t="n">
        <v>-486</v>
      </c>
      <c r="BR52" s="697" t="n">
        <v>-22466</v>
      </c>
      <c r="BS52" s="697">
        <f>R52</f>
        <v/>
      </c>
      <c r="BT52" s="966" t="n">
        <v>0</v>
      </c>
      <c r="BU52" s="697" t="n">
        <v>25211270</v>
      </c>
      <c r="BV52" s="697" t="n">
        <v>476714</v>
      </c>
      <c r="BW52" s="697" t="n">
        <v>2457095</v>
      </c>
      <c r="BX52" s="1205" t="n"/>
      <c r="BY52" s="1205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>
        <f>CJ52-SUM(CE52:CI52)</f>
        <v/>
      </c>
      <c r="CL52" s="697" t="n">
        <v>0</v>
      </c>
      <c r="CN52" s="843" t="n">
        <v>1.773</v>
      </c>
      <c r="CO52" s="975" t="n">
        <v>4015166</v>
      </c>
      <c r="CP52" s="975" t="n">
        <v>2264745</v>
      </c>
      <c r="CQ52" s="1200" t="n">
        <v>1.773</v>
      </c>
      <c r="CR52" s="1192" t="n">
        <v>4015166</v>
      </c>
      <c r="CS52" s="1192" t="n">
        <v>2264745</v>
      </c>
      <c r="CU52" s="975" t="n">
        <v>1106614</v>
      </c>
      <c r="CW52" s="138" t="n">
        <v>0.839</v>
      </c>
      <c r="CX52" s="138" t="n">
        <v>0.952</v>
      </c>
      <c r="CY52" s="138">
        <f>CW52-CX52</f>
        <v/>
      </c>
      <c r="CZ52" s="786">
        <f>CX52/CW52</f>
        <v/>
      </c>
      <c r="DC52" s="1205" t="n"/>
      <c r="DD52" s="1205" t="n"/>
      <c r="DE52" s="1205" t="n"/>
      <c r="DG52" s="1205" t="n"/>
      <c r="DH52" s="1205" t="n"/>
      <c r="DI52" s="1205" t="n"/>
      <c r="DJ52" s="1205" t="n"/>
      <c r="DK52" s="1205" t="n"/>
      <c r="DL52" s="1205" t="n"/>
      <c r="DM52" s="1205" t="n"/>
      <c r="EP52" s="1205" t="n"/>
      <c r="EQ52" s="1205" t="n"/>
      <c r="ER52" s="1205" t="n"/>
      <c r="ES52" s="1205" t="n"/>
      <c r="ET52" s="1205" t="n"/>
      <c r="EU52" s="1205" t="n"/>
      <c r="EW52" s="1205" t="n"/>
      <c r="EX52" s="1205" t="n"/>
      <c r="EY52" s="1205" t="n"/>
      <c r="EZ52" s="1205" t="n"/>
      <c r="FA52" s="1205" t="n"/>
      <c r="FB52" s="697" t="n">
        <v>108797</v>
      </c>
      <c r="FC52" s="767" t="n">
        <v>0</v>
      </c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1192" t="n"/>
      <c r="P54" s="1192" t="n"/>
      <c r="Q54" s="1192" t="n"/>
      <c r="R54" s="1192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1192" t="n"/>
      <c r="BU54" s="1192" t="n"/>
      <c r="BV54" s="1192" t="n"/>
      <c r="BW54" s="1192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979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6" t="n"/>
      <c r="V55" s="1196" t="n"/>
      <c r="W55" s="1199" t="n"/>
      <c r="X55" s="979">
        <f>Q55</f>
        <v/>
      </c>
      <c r="Y55" s="1192" t="n"/>
      <c r="Z55" s="1192" t="n"/>
      <c r="AA55" s="1192" t="n"/>
      <c r="AB55" s="1192" t="n"/>
      <c r="AC55" s="979" t="n"/>
      <c r="AD55" s="1192" t="n"/>
      <c r="AE55" s="979">
        <f>X55-(Y55+Z55+AA55+AB55+AC55+AD55)</f>
        <v/>
      </c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977" t="n"/>
      <c r="AM55" s="977" t="n"/>
      <c r="AN55" s="977" t="n">
        <v>93348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>
        <f>AO55+AP55-AQ55</f>
        <v/>
      </c>
      <c r="AT55" s="979" t="n"/>
      <c r="AU55" s="979">
        <f>AF55+AI55-AO55</f>
        <v/>
      </c>
      <c r="AV55" s="979">
        <f>AF55</f>
        <v/>
      </c>
      <c r="AW55" s="979">
        <f>AI55</f>
        <v/>
      </c>
      <c r="AX55" s="979">
        <f>AP55</f>
        <v/>
      </c>
      <c r="AY55" s="979">
        <f>AV55+AW55+AX55</f>
        <v/>
      </c>
      <c r="AZ55" s="977" t="n"/>
      <c r="BA55" s="977" t="n"/>
      <c r="BB55" s="1201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977">
        <f>Q55</f>
        <v/>
      </c>
      <c r="BL55" s="979" t="n"/>
      <c r="BM55" s="1191" t="n">
        <v>2815444</v>
      </c>
      <c r="BN55" s="977" t="n">
        <v>-100000</v>
      </c>
      <c r="BO55" s="977" t="n"/>
      <c r="BP55" s="977">
        <f>AR55</f>
        <v/>
      </c>
      <c r="BQ55" s="1191" t="n"/>
      <c r="BR55" s="977" t="n">
        <v>-2799</v>
      </c>
      <c r="BS55" s="977">
        <f>R55</f>
        <v/>
      </c>
      <c r="BT55" s="979" t="n">
        <v>0</v>
      </c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>
        <f>CB55+BX55-BY55+BZ55+CA55-BW55</f>
        <v/>
      </c>
      <c r="CE55" s="1191" t="n"/>
      <c r="CF55" s="1191" t="n"/>
      <c r="CG55" s="1191" t="n"/>
      <c r="CH55" s="1191" t="n"/>
      <c r="CI55" s="1191" t="n"/>
      <c r="CJ55" s="977">
        <f>BW55</f>
        <v/>
      </c>
      <c r="CK55" s="977" t="n"/>
      <c r="CL55" s="1191" t="n">
        <v>0</v>
      </c>
      <c r="CM55" s="977" t="n"/>
      <c r="CN55" s="1201" t="n"/>
      <c r="CO55" s="1191" t="n"/>
      <c r="CP55" s="1191" t="n"/>
      <c r="CQ55" s="1201" t="n"/>
      <c r="CR55" s="1191" t="n"/>
      <c r="CS55" s="1191" t="n"/>
      <c r="CT55" s="977" t="n"/>
      <c r="CU55" s="1191" t="n"/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6" t="n"/>
      <c r="V56" s="1196" t="n"/>
      <c r="W56" s="1199" t="n"/>
      <c r="X56" s="979">
        <f>Q56</f>
        <v/>
      </c>
      <c r="Y56" s="1192" t="n"/>
      <c r="Z56" s="1192" t="n"/>
      <c r="AA56" s="1192" t="n"/>
      <c r="AB56" s="1192" t="n"/>
      <c r="AC56" s="979" t="n"/>
      <c r="AD56" s="1192" t="n"/>
      <c r="AE56" s="979">
        <f>X56-(Y56+Z56+AA56+AB56+AC56+AD56)</f>
        <v/>
      </c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 t="n"/>
      <c r="AM56" s="977" t="n"/>
      <c r="AN56" s="977" t="n">
        <v>102498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>
        <f>AO56+AP56-AQ56</f>
        <v/>
      </c>
      <c r="AT56" s="979" t="n"/>
      <c r="AU56" s="979">
        <f>AF56+AI56-AO56</f>
        <v/>
      </c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1201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>
        <v>0</v>
      </c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4" t="n"/>
      <c r="CD56" s="977">
        <f>CB56+BX56-BY56+BZ56+CA56-BW56</f>
        <v/>
      </c>
      <c r="CE56" s="1191" t="n"/>
      <c r="CF56" s="1191" t="n"/>
      <c r="CG56" s="1191" t="n"/>
      <c r="CH56" s="1191" t="n"/>
      <c r="CI56" s="1191" t="n"/>
      <c r="CJ56" s="977">
        <f>BW56</f>
        <v/>
      </c>
      <c r="CK56" s="977" t="n"/>
      <c r="CL56" s="1191" t="n">
        <v>0</v>
      </c>
      <c r="CM56" s="977" t="n"/>
      <c r="CN56" s="978" t="n"/>
      <c r="CO56" s="977" t="n"/>
      <c r="CP56" s="977" t="n"/>
      <c r="CQ56" s="1201" t="n"/>
      <c r="CR56" s="1191" t="n"/>
      <c r="CS56" s="1191" t="n"/>
      <c r="CT56" s="977" t="n"/>
      <c r="CU56" s="1191" t="n"/>
      <c r="CV56" s="977" t="n"/>
      <c r="CW56" s="1206" t="n"/>
      <c r="CX56" s="1206" t="n"/>
      <c r="CY56" s="108" t="n"/>
      <c r="CZ56" s="78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>
        <v>0</v>
      </c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6" t="n"/>
      <c r="V57" s="1196" t="n"/>
      <c r="W57" s="1199" t="n"/>
      <c r="X57" s="979">
        <f>Q57</f>
        <v/>
      </c>
      <c r="Y57" s="1192" t="n"/>
      <c r="Z57" s="1192" t="n"/>
      <c r="AA57" s="1192" t="n"/>
      <c r="AB57" s="1192" t="n"/>
      <c r="AC57" s="979" t="n"/>
      <c r="AD57" s="1192" t="n"/>
      <c r="AE57" s="979">
        <f>X57-(Y57+Z57+AA57+AB57+AC57+AD57)</f>
        <v/>
      </c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 t="n"/>
      <c r="AM57" s="977" t="n"/>
      <c r="AN57" s="977" t="n">
        <v>20309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>
        <f>AO57+AP57-AQ57</f>
        <v/>
      </c>
      <c r="AT57" s="979" t="n"/>
      <c r="AU57" s="979">
        <f>AF57+AI57-AO57</f>
        <v/>
      </c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>
        <v>0</v>
      </c>
      <c r="BU57" s="1192" t="n"/>
      <c r="BV57" s="1192" t="n"/>
      <c r="BW57" s="1192" t="n"/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977" t="n"/>
      <c r="CK57" s="977" t="n"/>
      <c r="CL57" s="1191" t="n"/>
      <c r="CM57" s="977" t="n"/>
      <c r="CN57" s="978" t="n"/>
      <c r="CO57" s="977" t="n"/>
      <c r="CP57" s="977" t="n"/>
      <c r="CQ57" s="1201" t="n"/>
      <c r="CR57" s="1191" t="n"/>
      <c r="CS57" s="1191" t="n"/>
      <c r="CT57" s="977" t="n"/>
      <c r="CU57" s="1191" t="n"/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/>
      <c r="V58" s="1196" t="n"/>
      <c r="W58" s="1199" t="n"/>
      <c r="X58" s="979">
        <f>Q58</f>
        <v/>
      </c>
      <c r="Y58" s="1192" t="n"/>
      <c r="Z58" s="1192" t="n"/>
      <c r="AA58" s="1192" t="n"/>
      <c r="AB58" s="1192" t="n"/>
      <c r="AC58" s="979" t="n"/>
      <c r="AD58" s="1192" t="n"/>
      <c r="AE58" s="979">
        <f>X58-(Y58+Z58+AA58+AB58+AC58+AD58)</f>
        <v/>
      </c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 t="n"/>
      <c r="AM58" s="977" t="n"/>
      <c r="AN58" s="977" t="n">
        <v>59922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>
        <f>AO58+AP58-AQ58</f>
        <v/>
      </c>
      <c r="AT58" s="979" t="n"/>
      <c r="AU58" s="979">
        <f>AF58+AI58-AO58</f>
        <v/>
      </c>
      <c r="AV58" s="979">
        <f>AF58</f>
        <v/>
      </c>
      <c r="AW58" s="979">
        <f>AI58</f>
        <v/>
      </c>
      <c r="AX58" s="979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>
        <v>0</v>
      </c>
      <c r="BU58" s="1192" t="n"/>
      <c r="BV58" s="1192" t="n"/>
      <c r="BW58" s="1192" t="n"/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977" t="n"/>
      <c r="CK58" s="977" t="n"/>
      <c r="CL58" s="1191" t="n"/>
      <c r="CM58" s="977" t="n"/>
      <c r="CN58" s="978" t="n"/>
      <c r="CO58" s="977" t="n"/>
      <c r="CP58" s="977" t="n"/>
      <c r="CQ58" s="1201" t="n"/>
      <c r="CR58" s="1191" t="n"/>
      <c r="CS58" s="1191" t="n"/>
      <c r="CT58" s="977" t="n"/>
      <c r="CU58" s="1191" t="n"/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/>
      <c r="V59" s="1196" t="n"/>
      <c r="W59" s="992" t="n"/>
      <c r="X59" s="979">
        <f>Q59</f>
        <v/>
      </c>
      <c r="Y59" s="1192" t="n"/>
      <c r="Z59" s="1192" t="n"/>
      <c r="AA59" s="1192" t="n"/>
      <c r="AB59" s="1192" t="n"/>
      <c r="AC59" s="979" t="n"/>
      <c r="AD59" s="1192" t="n"/>
      <c r="AE59" s="979">
        <f>X59-(Y59+Z59+AA59+AB59+AC59+AD59)</f>
        <v/>
      </c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 t="n"/>
      <c r="AM59" s="977" t="n"/>
      <c r="AN59" s="977" t="n">
        <v>80701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>
        <f>AO59+AP59-AQ59</f>
        <v/>
      </c>
      <c r="AT59" s="979" t="n"/>
      <c r="AU59" s="979">
        <f>AF59+AI59-AO59</f>
        <v/>
      </c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>
        <v>0</v>
      </c>
      <c r="BU59" s="1192" t="n"/>
      <c r="BV59" s="1192" t="n"/>
      <c r="BW59" s="1192" t="n"/>
      <c r="BX59" s="1192" t="n"/>
      <c r="BY59" s="1192" t="n"/>
      <c r="BZ59" s="1192" t="n"/>
      <c r="CA59" s="1192" t="n"/>
      <c r="CB59" s="1192" t="n"/>
      <c r="CC59" s="977" t="n"/>
      <c r="CD59" s="977" t="n"/>
      <c r="CE59" s="1191" t="n"/>
      <c r="CF59" s="1191" t="n"/>
      <c r="CG59" s="1191" t="n"/>
      <c r="CH59" s="1191" t="n"/>
      <c r="CI59" s="1191" t="n"/>
      <c r="CJ59" s="977" t="n"/>
      <c r="CK59" s="977" t="n"/>
      <c r="CL59" s="1191" t="n"/>
      <c r="CM59" s="977" t="n"/>
      <c r="CN59" s="978" t="n"/>
      <c r="CO59" s="977" t="n"/>
      <c r="CP59" s="977" t="n"/>
      <c r="CQ59" s="1201" t="n"/>
      <c r="CR59" s="1191" t="n"/>
      <c r="CS59" s="1191" t="n"/>
      <c r="CT59" s="977" t="n"/>
      <c r="CU59" s="1191" t="n"/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/>
      <c r="V60" s="976" t="n"/>
      <c r="W60" s="999" t="n"/>
      <c r="X60" s="979">
        <f>Q60</f>
        <v/>
      </c>
      <c r="Y60" s="1192" t="n"/>
      <c r="Z60" s="1192" t="n"/>
      <c r="AA60" s="1192" t="n"/>
      <c r="AB60" s="1192" t="n"/>
      <c r="AC60" s="979" t="n"/>
      <c r="AD60" s="1192" t="n"/>
      <c r="AE60" s="979">
        <f>X60-(Y60+Z60+AA60+AB60+AC60+AD60)</f>
        <v/>
      </c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 t="n"/>
      <c r="AM60" s="977" t="n"/>
      <c r="AN60" s="977" t="n">
        <v>115586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>
        <f>AO60+AP60-AQ60</f>
        <v/>
      </c>
      <c r="AT60" s="979" t="n"/>
      <c r="AU60" s="979">
        <f>AF60+AI60-AO60</f>
        <v/>
      </c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>
        <v>0</v>
      </c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>
        <f>CB60+BX60-BY60+BZ60+CA60-BW60</f>
        <v/>
      </c>
      <c r="CE60" s="1191" t="n"/>
      <c r="CF60" s="1191" t="n"/>
      <c r="CG60" s="1191" t="n"/>
      <c r="CH60" s="1191" t="n"/>
      <c r="CI60" s="1191" t="n"/>
      <c r="CJ60" s="977">
        <f>BW60</f>
        <v/>
      </c>
      <c r="CK60" s="977" t="n"/>
      <c r="CL60" s="977" t="n">
        <v>0</v>
      </c>
      <c r="CM60" s="977" t="n"/>
      <c r="CN60" s="1201" t="n"/>
      <c r="CO60" s="1191" t="n"/>
      <c r="CP60" s="1191" t="n"/>
      <c r="CQ60" s="1200" t="n"/>
      <c r="CR60" s="1192" t="n"/>
      <c r="CS60" s="1192" t="n"/>
      <c r="CT60" s="977" t="n"/>
      <c r="CU60" s="977" t="n">
        <v>1361154</v>
      </c>
      <c r="CV60" s="977" t="n"/>
      <c r="CW60" s="108" t="n">
        <v>0.521</v>
      </c>
      <c r="CX60" s="108" t="n">
        <v>0.5720000000000001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>
        <v>0</v>
      </c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O62" s="1205" t="n"/>
      <c r="P62" s="1205" t="n"/>
      <c r="Q62" s="1205" t="n"/>
      <c r="R62" s="1205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1192" t="n"/>
      <c r="CL62" s="1205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83617400.31856699</v>
      </c>
      <c r="E63" s="697" t="n">
        <v>11482430.335878</v>
      </c>
      <c r="F63" s="697" t="n">
        <v>37719997.078624</v>
      </c>
      <c r="G63" s="697" t="n">
        <v>29696287.474872</v>
      </c>
      <c r="H63" s="697" t="n">
        <v>579396.890722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67712224.851601</v>
      </c>
      <c r="M63" s="697" t="n">
        <v>51620536.425094</v>
      </c>
      <c r="N63" s="697">
        <f>O63-P63</f>
        <v/>
      </c>
      <c r="O63" s="697" t="n">
        <v>15905175.466966</v>
      </c>
      <c r="P63" s="1205" t="n"/>
      <c r="Q63" s="697" t="n">
        <v>4343488.248398</v>
      </c>
      <c r="R63" s="697" t="n">
        <v>12079484.138017</v>
      </c>
      <c r="S63" s="1195" t="n">
        <v>12290260.4245</v>
      </c>
      <c r="T63" s="1192" t="n">
        <v>12290260.4245</v>
      </c>
      <c r="U63" s="697" t="n">
        <v>83617400.31856699</v>
      </c>
      <c r="V63" s="1205" t="n"/>
      <c r="W63" s="1202" t="n"/>
      <c r="X63" s="697">
        <f>Q63</f>
        <v/>
      </c>
      <c r="Y63" s="1205" t="n"/>
      <c r="Z63" s="1205" t="n"/>
      <c r="AA63" s="1205" t="n"/>
      <c r="AB63" s="1205" t="n"/>
      <c r="AD63" s="1205" t="n"/>
      <c r="AE63" s="697">
        <f>X63-(Y63+Z63+AA63+AB63+AC63+AD63)</f>
        <v/>
      </c>
      <c r="AF63" s="697" t="n">
        <v>1863078.75816</v>
      </c>
      <c r="AG63" s="697" t="n">
        <v>16794121.007131</v>
      </c>
      <c r="AH63" s="697" t="n">
        <v>14931042.248971</v>
      </c>
      <c r="AI63" s="697" t="n">
        <v>513146.179233</v>
      </c>
      <c r="AJ63" s="697" t="n">
        <v>-1418297.386041</v>
      </c>
      <c r="AK63" s="1195" t="n">
        <v>46244.466705</v>
      </c>
      <c r="AL63" s="697">
        <f>AI63-AJ63-AK63+AM63-AN63</f>
        <v/>
      </c>
      <c r="AM63" s="697" t="n">
        <v>29548.213026</v>
      </c>
      <c r="AN63" s="697" t="n">
        <v>202041.393404</v>
      </c>
      <c r="AO63" s="1205" t="n"/>
      <c r="AP63" s="1205" t="n"/>
      <c r="AQ63" s="697" t="n">
        <v>2361056.418474</v>
      </c>
      <c r="AR63" s="697" t="n">
        <v>1755374.286951</v>
      </c>
      <c r="AS63" s="966" t="n"/>
      <c r="AT63" s="966">
        <f>AJ63+AK63+AL63-AM63+AN63-AI63</f>
        <v/>
      </c>
      <c r="AU63" s="966" t="n"/>
      <c r="AV63" s="966">
        <f>AF63</f>
        <v/>
      </c>
      <c r="AW63" s="966">
        <f>AI63</f>
        <v/>
      </c>
      <c r="AX63" s="966" t="n"/>
      <c r="AY63" s="966">
        <f>AV63+AW63+AX63</f>
        <v/>
      </c>
      <c r="BB63" s="1201" t="n"/>
      <c r="BC63" s="1195" t="n">
        <v>2111193.570499</v>
      </c>
      <c r="BD63" s="697" t="n">
        <v>3240092.034186</v>
      </c>
      <c r="BF63" s="697" t="n">
        <v>-575223.497818</v>
      </c>
      <c r="BG63" s="1195" t="n">
        <v>32250.606365</v>
      </c>
      <c r="BI63" s="697" t="n">
        <v>-50142.546987</v>
      </c>
      <c r="BJ63" s="697" t="n">
        <v>2142.982758</v>
      </c>
      <c r="BK63" s="697">
        <f>Q63</f>
        <v/>
      </c>
      <c r="BL63" s="966" t="n"/>
      <c r="BM63" s="1195" t="n">
        <v>10696863.77345</v>
      </c>
      <c r="BN63" s="697" t="n">
        <v>-586644.7269</v>
      </c>
      <c r="BP63" s="697">
        <f>AR63</f>
        <v/>
      </c>
      <c r="BS63" s="697">
        <f>R63</f>
        <v/>
      </c>
      <c r="BT63" s="966" t="n">
        <v>0</v>
      </c>
      <c r="BU63" s="1205" t="n"/>
      <c r="BV63" s="1205" t="n"/>
      <c r="BW63" s="1205" t="n"/>
      <c r="BX63" s="1205" t="n"/>
      <c r="BY63" s="1205" t="n"/>
      <c r="BZ63" s="1205" t="n"/>
      <c r="CA63" s="1205" t="n"/>
      <c r="CB63" s="1205" t="n"/>
      <c r="CE63" s="1205" t="n"/>
      <c r="CF63" s="1205" t="n"/>
      <c r="CG63" s="1205" t="n"/>
      <c r="CH63" s="1205" t="n"/>
      <c r="CL63" s="1205" t="n"/>
      <c r="CN63" s="1201" t="n"/>
      <c r="CO63" s="1205" t="n"/>
      <c r="CP63" s="1205" t="n"/>
      <c r="CQ63" s="1201" t="n"/>
      <c r="CR63" s="1205" t="n"/>
      <c r="CS63" s="1205" t="n"/>
      <c r="CU63" s="697" t="n">
        <v>1180012.136359</v>
      </c>
      <c r="DC63" s="1205" t="n"/>
      <c r="DD63" s="1205" t="n"/>
      <c r="DE63" s="1205" t="n"/>
      <c r="DG63" s="1205" t="n"/>
      <c r="DH63" s="1205" t="n"/>
      <c r="DI63" s="1205" t="n"/>
      <c r="DJ63" s="1205" t="n"/>
      <c r="DK63" s="1205" t="n"/>
      <c r="DL63" s="1205" t="n"/>
      <c r="DM63" s="1205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85223562.94037899</v>
      </c>
      <c r="E64" s="697" t="n">
        <v>12871140.40956</v>
      </c>
      <c r="F64" s="697" t="n">
        <v>37005933.194439</v>
      </c>
      <c r="G64" s="1195" t="n">
        <v>29366104.823038</v>
      </c>
      <c r="H64" s="697" t="n">
        <v>750180.7303920001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69927725.392902</v>
      </c>
      <c r="M64" s="697" t="n">
        <v>51609548.606735</v>
      </c>
      <c r="N64" s="697">
        <f>O64-P64</f>
        <v/>
      </c>
      <c r="O64" s="697" t="n">
        <v>15295837.547477</v>
      </c>
      <c r="P64" s="1205" t="n"/>
      <c r="Q64" s="697" t="n">
        <v>2368463.818689</v>
      </c>
      <c r="R64" s="697" t="n">
        <v>13445170.648237</v>
      </c>
      <c r="S64" s="697" t="n">
        <v>15905175.466966</v>
      </c>
      <c r="T64" s="979" t="n">
        <v>15905175.466966</v>
      </c>
      <c r="U64" s="697" t="n">
        <v>85223562.94037899</v>
      </c>
      <c r="V64" s="1205" t="n"/>
      <c r="W64" s="1202" t="n"/>
      <c r="X64" s="697">
        <f>Q64</f>
        <v/>
      </c>
      <c r="Y64" s="1205" t="n"/>
      <c r="Z64" s="1205" t="n"/>
      <c r="AA64" s="1205" t="n"/>
      <c r="AB64" s="1205" t="n"/>
      <c r="AD64" s="1205" t="n"/>
      <c r="AE64" s="697">
        <f>X64-(Y64+Z64+AA64+AB64+AC64+AD64)</f>
        <v/>
      </c>
      <c r="AF64" s="697" t="n">
        <v>1780370.394335</v>
      </c>
      <c r="AG64" s="697" t="n">
        <v>17534798.454723</v>
      </c>
      <c r="AH64" s="697" t="n">
        <v>15754428.060388</v>
      </c>
      <c r="AI64" s="697" t="n">
        <v>919173.464104</v>
      </c>
      <c r="AJ64" s="1195" t="n">
        <v>-1413529.665601</v>
      </c>
      <c r="AK64" s="697" t="n">
        <v>73312.806111</v>
      </c>
      <c r="AL64" s="697">
        <f>AI64-AJ64-AK64+AM64-AN64</f>
        <v/>
      </c>
      <c r="AM64" s="697" t="n">
        <v>28248.237908</v>
      </c>
      <c r="AN64" s="697" t="n">
        <v>448590.572113</v>
      </c>
      <c r="AO64" s="697" t="n">
        <v>2699543.858439</v>
      </c>
      <c r="AP64" s="697" t="n">
        <v>4540.516556000337</v>
      </c>
      <c r="AQ64" s="697" t="n">
        <v>2704084.374995</v>
      </c>
      <c r="AR64" s="697" t="n">
        <v>2047781.248104</v>
      </c>
      <c r="AS64" s="966">
        <f>AO64+AP64-AQ64</f>
        <v/>
      </c>
      <c r="AT64" s="966">
        <f>AJ64+AK64+AL64-AM64+AN64-AI64</f>
        <v/>
      </c>
      <c r="AU64" s="966">
        <f>AF64+AI64-AO64</f>
        <v/>
      </c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1201" t="n"/>
      <c r="BC64" s="697" t="n">
        <v>4343488.248398</v>
      </c>
      <c r="BD64" s="697" t="n">
        <v>-1045820.858672</v>
      </c>
      <c r="BF64" s="697" t="n">
        <v>-933489.959903</v>
      </c>
      <c r="BG64" s="697" t="n">
        <v>17962.513165</v>
      </c>
      <c r="BI64" s="697" t="n">
        <v>-34495.269752</v>
      </c>
      <c r="BJ64" s="697" t="n">
        <v>20819.145453</v>
      </c>
      <c r="BK64" s="697">
        <f>Q64</f>
        <v/>
      </c>
      <c r="BL64" s="966" t="n"/>
      <c r="BM64" s="697" t="n">
        <v>12079484.138017</v>
      </c>
      <c r="BN64" s="697" t="n">
        <v>-680181.6229899999</v>
      </c>
      <c r="BP64" s="697">
        <f>AR64</f>
        <v/>
      </c>
      <c r="BQ64" s="697" t="n">
        <v>-1929.075784</v>
      </c>
      <c r="BS64" s="697">
        <f>R64</f>
        <v/>
      </c>
      <c r="BT64" s="966" t="n">
        <v>0</v>
      </c>
      <c r="BU64" s="1205" t="n"/>
      <c r="BV64" s="1205" t="n"/>
      <c r="BW64" s="1205" t="n"/>
      <c r="BX64" s="1205" t="n"/>
      <c r="BY64" s="1205" t="n"/>
      <c r="BZ64" s="1205" t="n"/>
      <c r="CA64" s="1205" t="n"/>
      <c r="CB64" s="1205" t="n"/>
      <c r="CC64" s="1204" t="n"/>
      <c r="CE64" s="1205" t="n"/>
      <c r="CF64" s="1205" t="n"/>
      <c r="CG64" s="1205" t="n"/>
      <c r="CH64" s="1205" t="n"/>
      <c r="CL64" s="1205" t="n"/>
      <c r="CN64" s="786" t="n"/>
      <c r="CQ64" s="1201" t="n"/>
      <c r="CR64" s="1205" t="n"/>
      <c r="CS64" s="1205" t="n"/>
      <c r="CU64" s="975" t="n">
        <v>2213099.295302</v>
      </c>
      <c r="CW64" s="103" t="n">
        <v>0.9024</v>
      </c>
      <c r="CX64" s="103" t="n">
        <v>0.8756</v>
      </c>
      <c r="CY64" s="103">
        <f>CW64-CX64</f>
        <v/>
      </c>
      <c r="CZ64" s="786">
        <f>CX64/CW64</f>
        <v/>
      </c>
      <c r="DC64" s="1205" t="n"/>
      <c r="DD64" s="1205" t="n"/>
      <c r="DE64" s="1205" t="n"/>
      <c r="DG64" s="1205" t="n"/>
      <c r="DH64" s="1205" t="n"/>
      <c r="DI64" s="1205" t="n"/>
      <c r="DJ64" s="1205" t="n"/>
      <c r="DK64" s="1205" t="n"/>
      <c r="DL64" s="1205" t="n"/>
      <c r="DM64" s="1205" t="n"/>
      <c r="EP64" s="1205" t="n"/>
      <c r="EQ64" s="1205" t="n"/>
      <c r="ER64" s="1205" t="n"/>
      <c r="ES64" s="1205" t="n"/>
      <c r="ET64" s="1205" t="n"/>
      <c r="EW64" s="1205" t="n"/>
      <c r="EX64" s="1205" t="n"/>
      <c r="EY64" s="1205" t="n"/>
      <c r="EZ64" s="1205" t="n"/>
      <c r="FA64" s="1205" t="n"/>
      <c r="FB64" s="1205" t="n"/>
      <c r="FC64" s="1198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86372190.309067</v>
      </c>
      <c r="E65" s="697" t="n">
        <v>12738820.165581</v>
      </c>
      <c r="F65" s="697" t="n">
        <v>38638753.217122</v>
      </c>
      <c r="G65" s="697" t="n">
        <v>29515217.688414</v>
      </c>
      <c r="H65" s="697" t="n">
        <v>750161.218737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71349476.57741299</v>
      </c>
      <c r="M65" s="697" t="n">
        <v>51961988.308162</v>
      </c>
      <c r="N65" s="697">
        <f>O65-P65</f>
        <v/>
      </c>
      <c r="O65" s="697" t="n">
        <v>15022713.731654</v>
      </c>
      <c r="P65" s="1205" t="n"/>
      <c r="Q65" s="697" t="n">
        <v>2307195.774284</v>
      </c>
      <c r="R65" s="697" t="n">
        <v>13233314.876819</v>
      </c>
      <c r="S65" s="697" t="n">
        <v>15295837.547477</v>
      </c>
      <c r="T65" s="979" t="n">
        <v>15295837.547477</v>
      </c>
      <c r="U65" s="697" t="n">
        <v>86372190.309067</v>
      </c>
      <c r="V65" s="1205" t="n"/>
      <c r="W65" s="1202" t="n"/>
      <c r="X65" s="697">
        <f>Q65</f>
        <v/>
      </c>
      <c r="Y65" s="1205" t="n"/>
      <c r="Z65" s="1205" t="n"/>
      <c r="AA65" s="1205" t="n"/>
      <c r="AB65" s="1205" t="n"/>
      <c r="AD65" s="1205" t="n"/>
      <c r="AE65" s="697">
        <f>X65-(Y65+Z65+AA65+AB65+AC65+AD65)</f>
        <v/>
      </c>
      <c r="AF65" s="697" t="n">
        <v>481593.295456</v>
      </c>
      <c r="AG65" s="697" t="n">
        <v>4809826.336022</v>
      </c>
      <c r="AH65" s="697" t="n">
        <v>4328233.040566</v>
      </c>
      <c r="AI65" s="697" t="n">
        <v>271543.41725</v>
      </c>
      <c r="AJ65" s="697" t="n">
        <v>-347213.644878</v>
      </c>
      <c r="AK65" s="697" t="n">
        <v>21222.107439</v>
      </c>
      <c r="AL65" s="697">
        <f>AI65-AJ65-AK65+AM65-AN65</f>
        <v/>
      </c>
      <c r="AM65" s="697" t="n">
        <v>7590.385282</v>
      </c>
      <c r="AN65" s="697" t="n">
        <v>112079.193012</v>
      </c>
      <c r="AO65" s="697" t="n">
        <v>753136.712706</v>
      </c>
      <c r="AP65" s="697" t="n">
        <v>1820.372823000071</v>
      </c>
      <c r="AQ65" s="697" t="n">
        <v>754957.085529</v>
      </c>
      <c r="AR65" s="697" t="n">
        <v>555633.843427</v>
      </c>
      <c r="AS65" s="966">
        <f>AO65+AP65-AQ65</f>
        <v/>
      </c>
      <c r="AT65" s="966">
        <f>AJ65+AK65+AL65-AM65+AN65-AI65</f>
        <v/>
      </c>
      <c r="AU65" s="966">
        <f>AF65+AI65-AO65</f>
        <v/>
      </c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2368463.818689</v>
      </c>
      <c r="BD65" s="697" t="n">
        <v>590563.053944</v>
      </c>
      <c r="BF65" s="1205" t="n"/>
      <c r="BG65" s="1205" t="n"/>
      <c r="BI65" s="1205" t="n"/>
      <c r="BJ65" s="1205" t="n"/>
      <c r="BK65" s="697">
        <f>Q65</f>
        <v/>
      </c>
      <c r="BL65" s="966" t="n"/>
      <c r="BM65" s="697" t="n">
        <v>13445170.648237</v>
      </c>
      <c r="BN65" s="1205" t="n"/>
      <c r="BP65" s="697">
        <f>AR65</f>
        <v/>
      </c>
      <c r="BQ65" s="697" t="n">
        <v>40204.595255</v>
      </c>
      <c r="BR65" s="1205" t="n"/>
      <c r="BS65" s="697">
        <f>R65</f>
        <v/>
      </c>
      <c r="BT65" s="966" t="n">
        <v>0</v>
      </c>
      <c r="BU65" s="1205" t="n"/>
      <c r="BV65" s="1205" t="n"/>
      <c r="BW65" s="1205" t="n"/>
      <c r="BX65" s="1205" t="n"/>
      <c r="BY65" s="1205" t="n"/>
      <c r="BZ65" s="1205" t="n"/>
      <c r="CA65" s="1205" t="n"/>
      <c r="CB65" s="1205" t="n"/>
      <c r="CC65" s="197" t="n"/>
      <c r="CE65" s="1205" t="n"/>
      <c r="CF65" s="1205" t="n"/>
      <c r="CG65" s="1205" t="n"/>
      <c r="CH65" s="1205" t="n"/>
      <c r="CL65" s="1205" t="n"/>
      <c r="CN65" s="786" t="n"/>
      <c r="CQ65" s="1201" t="n"/>
      <c r="CR65" s="1205" t="n"/>
      <c r="CS65" s="1205" t="n"/>
      <c r="CU65" s="697" t="n">
        <v>2686847.066176</v>
      </c>
      <c r="CW65" s="103" t="n"/>
      <c r="CX65" s="103" t="n"/>
      <c r="CY65" s="103" t="n"/>
      <c r="CZ65" s="786" t="n"/>
      <c r="DC65" s="1205" t="n"/>
      <c r="DD65" s="1205" t="n"/>
      <c r="DE65" s="1205" t="n"/>
      <c r="DG65" s="1205" t="n"/>
      <c r="DH65" s="1205" t="n"/>
      <c r="DI65" s="1205" t="n"/>
      <c r="DJ65" s="1205" t="n"/>
      <c r="DK65" s="1205" t="n"/>
      <c r="DL65" s="1205" t="n"/>
      <c r="DM65" s="1205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86078393.878755</v>
      </c>
      <c r="E66" s="697" t="n">
        <v>11969379.353569</v>
      </c>
      <c r="F66" s="697" t="n">
        <v>38563051.136619</v>
      </c>
      <c r="G66" s="697" t="n">
        <v>29628952.175302</v>
      </c>
      <c r="H66" s="697" t="n">
        <v>750161.218737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70054256.140402</v>
      </c>
      <c r="M66" s="697" t="n">
        <v>50968518.224509</v>
      </c>
      <c r="N66" s="697">
        <f>O66-P66</f>
        <v/>
      </c>
      <c r="O66" s="697" t="n">
        <v>16024137.738353</v>
      </c>
      <c r="P66" s="1205" t="n"/>
      <c r="Q66" s="697" t="n">
        <v>2920605.105803</v>
      </c>
      <c r="R66" s="697" t="n">
        <v>13353245.747587</v>
      </c>
      <c r="S66" s="697" t="n">
        <v>15295837.547477</v>
      </c>
      <c r="T66" s="979" t="n">
        <v>15295837.547477</v>
      </c>
      <c r="U66" s="697" t="n">
        <v>86078393.878755</v>
      </c>
      <c r="V66" s="1205" t="n"/>
      <c r="W66" s="1202" t="n"/>
      <c r="X66" s="697">
        <f>Q66</f>
        <v/>
      </c>
      <c r="Y66" s="697" t="n">
        <v>3222658</v>
      </c>
      <c r="Z66" s="697" t="n">
        <v>-247275</v>
      </c>
      <c r="AA66" s="1205" t="n"/>
      <c r="AB66" s="697" t="n">
        <v>93241</v>
      </c>
      <c r="AD66" s="697" t="n">
        <v>-130921</v>
      </c>
      <c r="AF66" s="697" t="n">
        <v>935730.895605</v>
      </c>
      <c r="AG66" s="697" t="n">
        <v>9516852.03589</v>
      </c>
      <c r="AH66" s="697" t="n">
        <v>8581121.140285</v>
      </c>
      <c r="AI66" s="697" t="n">
        <v>336858.707482</v>
      </c>
      <c r="AJ66" s="1195" t="n">
        <v>-608405.395807</v>
      </c>
      <c r="AK66" s="1195" t="n">
        <v>-3254.860287</v>
      </c>
      <c r="AL66" s="697">
        <f>AI66-AJ66-AK66+AM66-AN66</f>
        <v/>
      </c>
      <c r="AM66" s="1195" t="n">
        <v>15608.990992</v>
      </c>
      <c r="AN66" s="1195" t="n">
        <v>654087.635762</v>
      </c>
      <c r="AO66" s="697" t="n">
        <v>1272589.603087</v>
      </c>
      <c r="AP66" s="697" t="n">
        <v>4009.434175999835</v>
      </c>
      <c r="AQ66" s="697" t="n">
        <v>1276599.037263</v>
      </c>
      <c r="AR66" s="697" t="n">
        <v>953860.485802</v>
      </c>
      <c r="AS66" s="966">
        <f>AO66+AP66-AQ66</f>
        <v/>
      </c>
      <c r="AT66" s="966">
        <f>AJ66+AK66+AL66-AM66+AN66-AI66</f>
        <v/>
      </c>
      <c r="AU66" s="966">
        <f>AF66+AI66-AO66</f>
        <v/>
      </c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2368463.818689</v>
      </c>
      <c r="BD66" s="697" t="n">
        <v>850860.417962</v>
      </c>
      <c r="BE66" s="1205" t="n"/>
      <c r="BF66" s="697" t="n">
        <v>-239826.992312</v>
      </c>
      <c r="BG66" s="697" t="n">
        <v>-46768.580763</v>
      </c>
      <c r="BH66" s="1205" t="n"/>
      <c r="BI66" s="697" t="n">
        <v>-1382.148601</v>
      </c>
      <c r="BJ66" s="697" t="n">
        <v>-10741.409172</v>
      </c>
      <c r="BK66" s="697">
        <f>Q66</f>
        <v/>
      </c>
      <c r="BL66" s="966" t="n"/>
      <c r="BM66" s="697" t="n">
        <v>13445170.648237</v>
      </c>
      <c r="BN66" s="697" t="n">
        <v>-807675.25654</v>
      </c>
      <c r="BO66" s="697" t="n">
        <v>-268083.804412</v>
      </c>
      <c r="BP66" s="697">
        <f>AR66</f>
        <v/>
      </c>
      <c r="BQ66" s="697" t="n">
        <v>29992.62806</v>
      </c>
      <c r="BR66" s="1205" t="n"/>
      <c r="BS66" s="697">
        <f>R66</f>
        <v/>
      </c>
      <c r="BT66" s="966" t="n">
        <v>0</v>
      </c>
      <c r="BU66" s="1205" t="n"/>
      <c r="BV66" s="1205" t="n"/>
      <c r="BW66" s="697" t="n">
        <v>14577584</v>
      </c>
      <c r="BX66" s="1205" t="n">
        <v>1421250</v>
      </c>
      <c r="BY66" s="1205" t="n">
        <v>812438</v>
      </c>
      <c r="BZ66" s="1205" t="n">
        <v>-352985</v>
      </c>
      <c r="CA66" s="1205" t="n">
        <v>247849</v>
      </c>
      <c r="CB66" s="1205" t="n">
        <v>14073909</v>
      </c>
      <c r="CD66" s="697">
        <f>CB66+BX66-BY66+BZ66+CA66-BW66</f>
        <v/>
      </c>
      <c r="CE66" s="1205" t="n"/>
      <c r="CF66" s="1205" t="n"/>
      <c r="CG66" s="1205" t="n"/>
      <c r="CH66" s="1205" t="n"/>
      <c r="CJ66" s="697">
        <f>BW66</f>
        <v/>
      </c>
      <c r="CL66" s="697" t="n">
        <v>0</v>
      </c>
      <c r="CN66" s="786" t="n"/>
      <c r="CQ66" s="1201" t="n"/>
      <c r="CR66" s="1205" t="n"/>
      <c r="CS66" s="1205" t="n"/>
      <c r="CU66" s="697" t="n">
        <v>3191993.789572</v>
      </c>
      <c r="CW66" s="103" t="n"/>
      <c r="CX66" s="103" t="n"/>
      <c r="CY66" s="103" t="n"/>
      <c r="CZ66" s="786" t="n"/>
      <c r="DC66" s="1205" t="n"/>
      <c r="DD66" s="1205" t="n"/>
      <c r="DE66" s="1205" t="n"/>
      <c r="DG66" s="1205" t="n"/>
      <c r="DH66" s="1205" t="n"/>
      <c r="DI66" s="1205" t="n"/>
      <c r="DJ66" s="1205" t="n"/>
      <c r="DK66" s="1205" t="n"/>
      <c r="DL66" s="1205" t="n"/>
      <c r="DM66" s="1205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88148171.915125</v>
      </c>
      <c r="E67" s="697" t="n">
        <v>12434155.336139</v>
      </c>
      <c r="F67" s="697" t="n">
        <v>41218580.52838</v>
      </c>
      <c r="G67" s="697" t="n">
        <v>29057146.479637</v>
      </c>
      <c r="H67" s="697" t="n">
        <v>750158.488138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70041296.881247</v>
      </c>
      <c r="M67" s="697" t="n">
        <v>50107799.429932</v>
      </c>
      <c r="N67" s="697">
        <f>O67-P67</f>
        <v/>
      </c>
      <c r="O67" s="697" t="n">
        <v>18106875.033878</v>
      </c>
      <c r="P67" s="1205" t="n"/>
      <c r="Q67" s="697" t="n">
        <v>4494421.411275</v>
      </c>
      <c r="R67" s="697" t="n">
        <v>13862166.73764</v>
      </c>
      <c r="S67" s="697" t="n">
        <v>15295837.547477</v>
      </c>
      <c r="T67" s="979" t="n">
        <v>15295837.547477</v>
      </c>
      <c r="U67" s="697" t="n">
        <v>88148171.915125</v>
      </c>
      <c r="V67" s="1205" t="n"/>
      <c r="W67" s="1202" t="n"/>
      <c r="X67" s="697">
        <f>Q67</f>
        <v/>
      </c>
      <c r="Y67" s="697" t="n">
        <v>4683280</v>
      </c>
      <c r="Z67" s="697" t="n">
        <v>-86565</v>
      </c>
      <c r="AA67" s="1205" t="n"/>
      <c r="AB67" s="697" t="n">
        <v>43964</v>
      </c>
      <c r="AD67" s="697" t="n">
        <v>-131446</v>
      </c>
      <c r="AF67" s="697" t="n">
        <v>1286276.644737</v>
      </c>
      <c r="AG67" s="697" t="n">
        <v>14280562.834864</v>
      </c>
      <c r="AH67" s="697" t="n">
        <v>12994286.190127</v>
      </c>
      <c r="AI67" s="697" t="n">
        <v>650889.540267</v>
      </c>
      <c r="AJ67" s="697" t="n">
        <v>-978780.953741</v>
      </c>
      <c r="AK67" s="697" t="n">
        <v>22724.699917</v>
      </c>
      <c r="AL67" s="697">
        <f>AI67-AJ67-AK67+AM67-AN67</f>
        <v/>
      </c>
      <c r="AM67" s="697" t="n">
        <v>22107.717014</v>
      </c>
      <c r="AN67" s="1195" t="n">
        <v>742997.418854</v>
      </c>
      <c r="AO67" s="697" t="n">
        <v>1937166.185004</v>
      </c>
      <c r="AP67" s="697" t="n">
        <v>8871.434996000025</v>
      </c>
      <c r="AQ67" s="697" t="n">
        <v>1946037.62</v>
      </c>
      <c r="AR67" s="697" t="n">
        <v>1463183.521807</v>
      </c>
      <c r="AS67" s="966">
        <f>AO67+AP67-AQ67</f>
        <v/>
      </c>
      <c r="AT67" s="966">
        <f>AJ67+AK67+AL67-AM67+AN67-AI67</f>
        <v/>
      </c>
      <c r="AU67" s="966">
        <f>AF67+AI67-AO67</f>
        <v/>
      </c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2368463.818689</v>
      </c>
      <c r="BD67" s="697" t="n">
        <v>2311482.116125</v>
      </c>
      <c r="BF67" s="697" t="n">
        <v>-76830.709005</v>
      </c>
      <c r="BG67" s="697" t="n">
        <v>-97024.66053199999</v>
      </c>
      <c r="BI67" s="697" t="n">
        <v>-1906.781885</v>
      </c>
      <c r="BJ67" s="697" t="n">
        <v>-9762.372117000001</v>
      </c>
      <c r="BK67" s="697">
        <f>Q67</f>
        <v/>
      </c>
      <c r="BL67" s="966" t="n"/>
      <c r="BM67" s="697" t="n">
        <v>13445170.648237</v>
      </c>
      <c r="BN67" s="697" t="n">
        <v>-807675.25654</v>
      </c>
      <c r="BO67" s="697" t="n">
        <v>-268083.804412</v>
      </c>
      <c r="BP67" s="697">
        <f>AR67</f>
        <v/>
      </c>
      <c r="BQ67" s="697" t="n">
        <v>29590.582108</v>
      </c>
      <c r="BS67" s="697">
        <f>R67</f>
        <v/>
      </c>
      <c r="BT67" s="966" t="n">
        <v>0</v>
      </c>
      <c r="BU67" s="1205" t="n"/>
      <c r="BV67" s="1205" t="n"/>
      <c r="BW67" s="697" t="n">
        <v>15007679</v>
      </c>
      <c r="BX67" s="1205" t="n">
        <v>2188166</v>
      </c>
      <c r="BY67" s="1205" t="n">
        <v>1228632</v>
      </c>
      <c r="BZ67" s="1205" t="n">
        <v>-399524</v>
      </c>
      <c r="CA67" s="1205" t="n">
        <v>373760</v>
      </c>
      <c r="CB67" s="1205" t="n">
        <v>14073910</v>
      </c>
      <c r="CD67" s="697">
        <f>CB67+BX67-BY67+BZ67+CA67-BW67</f>
        <v/>
      </c>
      <c r="CE67" s="1205" t="n"/>
      <c r="CF67" s="1205" t="n"/>
      <c r="CG67" s="1205" t="n"/>
      <c r="CH67" s="1205" t="n"/>
      <c r="CJ67" s="697">
        <f>BW67</f>
        <v/>
      </c>
      <c r="CL67" s="697" t="n">
        <v>0</v>
      </c>
      <c r="CN67" s="786" t="n"/>
      <c r="CQ67" s="1201" t="n"/>
      <c r="CR67" s="1205" t="n"/>
      <c r="CS67" s="1205" t="n"/>
      <c r="CU67" s="697" t="n">
        <v>3668240.59648</v>
      </c>
      <c r="CW67" s="103" t="n"/>
      <c r="CX67" s="103" t="n"/>
      <c r="CY67" s="103" t="n"/>
      <c r="CZ67" s="786" t="n"/>
      <c r="DC67" s="1205" t="n"/>
      <c r="DD67" s="1205" t="n"/>
      <c r="DE67" s="1205" t="n"/>
      <c r="DG67" s="1205" t="n"/>
      <c r="DH67" s="1205" t="n"/>
      <c r="DI67" s="1205" t="n"/>
      <c r="DJ67" s="1205" t="n"/>
      <c r="DK67" s="1205" t="n"/>
      <c r="DL67" s="1205" t="n"/>
      <c r="DM67" s="1205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93809044.479173</v>
      </c>
      <c r="E68" s="697" t="n">
        <v>12705776.538884</v>
      </c>
      <c r="F68" s="697" t="n">
        <v>43430681.364228</v>
      </c>
      <c r="G68" s="697" t="n">
        <v>30085742.664899</v>
      </c>
      <c r="H68" s="697" t="n">
        <v>1613522.000876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73181267.24112999</v>
      </c>
      <c r="M68" s="697" t="n">
        <v>48734812.310826</v>
      </c>
      <c r="N68" s="697">
        <f>O68-P68</f>
        <v/>
      </c>
      <c r="O68" s="697" t="n">
        <v>20627777.238043</v>
      </c>
      <c r="Q68" s="697" t="n">
        <v>6787628.922989</v>
      </c>
      <c r="R68" s="697" t="n">
        <v>14089861.430091</v>
      </c>
      <c r="S68" s="697" t="n">
        <v>15295837.547477</v>
      </c>
      <c r="T68" s="979" t="n">
        <v>15295837.547477</v>
      </c>
      <c r="U68" s="976" t="n">
        <v>93809044.479173</v>
      </c>
      <c r="V68" s="1196" t="n"/>
      <c r="W68" s="1202" t="n"/>
      <c r="X68" s="697">
        <f>Q68</f>
        <v/>
      </c>
      <c r="Y68" s="697" t="n">
        <v>6316661</v>
      </c>
      <c r="Z68" s="697" t="n">
        <v>697232</v>
      </c>
      <c r="AA68" s="1205" t="n"/>
      <c r="AB68" s="697" t="n">
        <v>-72873</v>
      </c>
      <c r="AD68" s="697" t="n">
        <v>-145642</v>
      </c>
      <c r="AF68" s="697" t="n">
        <v>1446696.251285</v>
      </c>
      <c r="AG68" s="697" t="n">
        <v>19136809.62963</v>
      </c>
      <c r="AH68" s="697" t="n">
        <v>17690113.378345</v>
      </c>
      <c r="AI68" s="697" t="n">
        <v>883986.4457630001</v>
      </c>
      <c r="AJ68" s="697" t="n">
        <v>-1304583.344184</v>
      </c>
      <c r="AK68" s="697" t="n">
        <v>50032.635301</v>
      </c>
      <c r="AL68" s="697">
        <f>AI68-AJ68-AK68+AM68-AN68</f>
        <v/>
      </c>
      <c r="AM68" s="697" t="n">
        <v>28410.555037</v>
      </c>
      <c r="AN68" s="1195" t="n">
        <v>832312.801171</v>
      </c>
      <c r="AO68" s="697" t="n">
        <v>2330682.697048</v>
      </c>
      <c r="AP68" s="697" t="n">
        <v>2796.708271000069</v>
      </c>
      <c r="AQ68" s="697" t="n">
        <v>2333479.405319</v>
      </c>
      <c r="AR68" s="697" t="n">
        <v>1690878.214258</v>
      </c>
      <c r="AS68" s="966">
        <f>AO68+AP68-AQ68</f>
        <v/>
      </c>
      <c r="AT68" s="966">
        <f>AJ68+AK68+AL68-AM68+AN68-AI68</f>
        <v/>
      </c>
      <c r="AU68" s="966">
        <f>AF68+AI68-AO68</f>
        <v/>
      </c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2368463.818689</v>
      </c>
      <c r="BD68" s="697" t="n">
        <v>3944863.708896</v>
      </c>
      <c r="BF68" s="697" t="n">
        <v>714028.375675</v>
      </c>
      <c r="BG68" s="697" t="n">
        <v>-219611.581776</v>
      </c>
      <c r="BI68" s="697" t="n">
        <v>-16102.228811</v>
      </c>
      <c r="BJ68" s="697" t="n">
        <v>-4013.169684</v>
      </c>
      <c r="BK68" s="697">
        <f>Q68</f>
        <v/>
      </c>
      <c r="BL68" s="966" t="n"/>
      <c r="BM68" s="697" t="n">
        <v>13445170.648237</v>
      </c>
      <c r="BN68" s="697" t="n">
        <v>-807675.25654</v>
      </c>
      <c r="BO68" s="697" t="n">
        <v>-268083.804412</v>
      </c>
      <c r="BP68" s="697">
        <f>AR68</f>
        <v/>
      </c>
      <c r="BQ68" s="697" t="n">
        <v>29591</v>
      </c>
      <c r="BS68" s="697">
        <f>R68</f>
        <v/>
      </c>
      <c r="BT68" s="966" t="n">
        <v>0</v>
      </c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205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>
        <f>CJ68-SUM(CE68:CI68)</f>
        <v/>
      </c>
      <c r="CL68" s="697" t="n">
        <v>0</v>
      </c>
      <c r="CN68" s="1201" t="n"/>
      <c r="CO68" s="1205" t="n"/>
      <c r="CP68" s="1205" t="n"/>
      <c r="CQ68" s="1201" t="n"/>
      <c r="CR68" s="1205" t="n"/>
      <c r="CS68" s="1205" t="n"/>
      <c r="CU68" s="697" t="n">
        <v>4130069.96953</v>
      </c>
      <c r="CW68" s="103" t="n">
        <v>0.9518000000000001</v>
      </c>
      <c r="CX68" s="103" t="n">
        <v>0.9756</v>
      </c>
      <c r="CY68" s="103">
        <f>CW68-CX68</f>
        <v/>
      </c>
      <c r="CZ68" s="786">
        <f>CX68/CW68</f>
        <v/>
      </c>
      <c r="DC68" s="1205" t="n"/>
      <c r="DD68" s="1205" t="n"/>
      <c r="DE68" s="1205" t="n"/>
      <c r="DG68" s="1205" t="n"/>
      <c r="DH68" s="1205" t="n"/>
      <c r="DI68" s="1205" t="n"/>
      <c r="DJ68" s="1205" t="n"/>
      <c r="DK68" s="1205" t="n"/>
      <c r="DL68" s="1205" t="n"/>
      <c r="DM68" s="1205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1198" t="n">
        <v>0</v>
      </c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1192" t="n"/>
      <c r="P70" s="1192" t="n"/>
      <c r="Q70" s="1192" t="n"/>
      <c r="R70" s="1192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1192" t="n"/>
      <c r="BU70" s="1192" t="n"/>
      <c r="BV70" s="1192" t="n"/>
      <c r="BW70" s="1192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43758462.213117</v>
      </c>
      <c r="E71" s="977" t="n">
        <v>9003311.609817</v>
      </c>
      <c r="F71" s="977" t="n">
        <v>19514780.6945</v>
      </c>
      <c r="G71" s="977" t="n">
        <v>11145329.106317</v>
      </c>
      <c r="H71" s="977" t="n">
        <v>247538.411616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37641331.46623</v>
      </c>
      <c r="M71" s="977" t="n">
        <v>31526853.630092</v>
      </c>
      <c r="N71" s="979">
        <f>O71-P71</f>
        <v/>
      </c>
      <c r="O71" s="979" t="n">
        <v>6117130.746887</v>
      </c>
      <c r="P71" s="979" t="n">
        <v>0</v>
      </c>
      <c r="Q71" s="1192" t="n">
        <v>-523892.732716</v>
      </c>
      <c r="R71" s="1192" t="n">
        <v>6552570.228464</v>
      </c>
      <c r="S71" s="1192" t="n">
        <v>9357646.391763</v>
      </c>
      <c r="T71" s="1192" t="n">
        <v>8859358.754621999</v>
      </c>
      <c r="U71" s="980" t="n">
        <v>43758462.213117</v>
      </c>
      <c r="V71" s="1196" t="n"/>
      <c r="W71" s="1202" t="n"/>
      <c r="X71" s="979">
        <f>Q71</f>
        <v/>
      </c>
      <c r="Y71" s="1192" t="n"/>
      <c r="Z71" s="1192" t="n"/>
      <c r="AA71" s="1192" t="n"/>
      <c r="AB71" s="1192" t="n"/>
      <c r="AC71" s="1192" t="n"/>
      <c r="AD71" s="1192" t="n"/>
      <c r="AE71" s="979">
        <f>X71-(Y71+Z71+AA71+AB71+AC71+AD71)</f>
        <v/>
      </c>
      <c r="AF71" s="977" t="n">
        <v>526490.675922</v>
      </c>
      <c r="AG71" s="977" t="n">
        <v>13437759.10593</v>
      </c>
      <c r="AH71" s="977" t="n">
        <v>12911268.430008</v>
      </c>
      <c r="AI71" s="1191" t="n">
        <v>499877.274602</v>
      </c>
      <c r="AJ71" s="1191" t="n">
        <v>-813187.423943</v>
      </c>
      <c r="AK71" s="977" t="n">
        <v>29728.31197</v>
      </c>
      <c r="AL71" s="977">
        <f>AI71-AJ71-AK71+AM71-AN71</f>
        <v/>
      </c>
      <c r="AM71" s="977" t="n">
        <v>8645.777035999999</v>
      </c>
      <c r="AN71" s="977" t="n">
        <v>-37506.618327</v>
      </c>
      <c r="AO71" s="1191" t="n">
        <v>1026367.950524</v>
      </c>
      <c r="AP71" s="977" t="n">
        <v>-28698.156488</v>
      </c>
      <c r="AQ71" s="1192" t="n">
        <v>997669.794036</v>
      </c>
      <c r="AR71" s="1192" t="n">
        <v>805721.663646</v>
      </c>
      <c r="AS71" s="979">
        <f>AO71+AP71-AQ71</f>
        <v/>
      </c>
      <c r="AT71" s="979">
        <f>AJ71+AK71+AL71-AM71+AN71-AI71</f>
        <v/>
      </c>
      <c r="AU71" s="979">
        <f>AF71+AI71-AO71</f>
        <v/>
      </c>
      <c r="AV71" s="979">
        <f>AF71</f>
        <v/>
      </c>
      <c r="AW71" s="979">
        <f>AI71</f>
        <v/>
      </c>
      <c r="AX71" s="979">
        <f>AP71</f>
        <v/>
      </c>
      <c r="AY71" s="979">
        <f>AV71+AW71+AX71</f>
        <v/>
      </c>
      <c r="AZ71" s="977" t="n"/>
      <c r="BA71" s="977" t="n"/>
      <c r="BB71" s="978" t="n"/>
      <c r="BC71" s="1191" t="n">
        <v>2942138.140777</v>
      </c>
      <c r="BD71" s="1191" t="n">
        <v>1038658.945156</v>
      </c>
      <c r="BE71" s="977" t="n">
        <v>-256.487652</v>
      </c>
      <c r="BF71" s="1191" t="n">
        <v>-1542355.692121</v>
      </c>
      <c r="BG71" s="977" t="n">
        <v>28504.772715</v>
      </c>
      <c r="BH71" s="977" t="n">
        <v>108.475888</v>
      </c>
      <c r="BI71" s="977" t="n">
        <v>-21182.65955</v>
      </c>
      <c r="BJ71" s="977" t="n">
        <v>-120.076195</v>
      </c>
      <c r="BK71" s="977">
        <f>Q71</f>
        <v/>
      </c>
      <c r="BL71" s="979">
        <f>BK71-BC71-SUM(BD71:BJ71)</f>
        <v/>
      </c>
      <c r="BM71" s="1191" t="n">
        <v>5827054.999847</v>
      </c>
      <c r="BN71" s="977" t="n">
        <v>-154084.4925</v>
      </c>
      <c r="BO71" s="977" t="n"/>
      <c r="BP71" s="977">
        <f>AR71</f>
        <v/>
      </c>
      <c r="BQ71" s="1191" t="n"/>
      <c r="BR71" s="977" t="n">
        <v>-7830.956</v>
      </c>
      <c r="BS71" s="977">
        <f>R71</f>
        <v/>
      </c>
      <c r="BT71" s="979" t="n">
        <v>0</v>
      </c>
      <c r="BU71" s="1192" t="n"/>
      <c r="BV71" s="1192" t="n"/>
      <c r="BW71" s="1192" t="n"/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977" t="n"/>
      <c r="CK71" s="977" t="n"/>
      <c r="CL71" s="1191" t="n"/>
      <c r="CM71" s="977" t="n"/>
      <c r="CN71" s="1201" t="n"/>
      <c r="CO71" s="1191" t="n"/>
      <c r="CP71" s="1191" t="n"/>
      <c r="CQ71" s="1201" t="n"/>
      <c r="CR71" s="1191" t="n"/>
      <c r="CS71" s="1191" t="n"/>
      <c r="CT71" s="977" t="n"/>
      <c r="CU71" s="977" t="n">
        <v>3422424.926365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47977678.781769</v>
      </c>
      <c r="E72" s="977" t="n">
        <v>9338046.174745999</v>
      </c>
      <c r="F72" s="977" t="n">
        <v>22671404.879625</v>
      </c>
      <c r="G72" s="977" t="n">
        <v>11544378.935448</v>
      </c>
      <c r="H72" s="977" t="n">
        <v>291443.449138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43050529.728359</v>
      </c>
      <c r="M72" s="977" t="n">
        <v>34801941.698072</v>
      </c>
      <c r="N72" s="979">
        <f>O72-P72</f>
        <v/>
      </c>
      <c r="O72" s="979" t="n">
        <v>4927149.05341</v>
      </c>
      <c r="P72" s="979" t="n">
        <v>0</v>
      </c>
      <c r="Q72" s="979" t="n">
        <v>-2554393.487321</v>
      </c>
      <c r="R72" s="979" t="n">
        <v>7391376.926733</v>
      </c>
      <c r="S72" s="979" t="n">
        <v>6117094.533974</v>
      </c>
      <c r="T72" s="979" t="n">
        <v>6117094.533974</v>
      </c>
      <c r="U72" s="980" t="n">
        <v>47977678.781769</v>
      </c>
      <c r="V72" s="1196" t="n"/>
      <c r="W72" s="1202" t="n"/>
      <c r="X72" s="979">
        <f>Q72</f>
        <v/>
      </c>
      <c r="Y72" s="1192" t="n"/>
      <c r="Z72" s="1192" t="n"/>
      <c r="AA72" s="1192" t="n"/>
      <c r="AB72" s="1192" t="n"/>
      <c r="AC72" s="1192" t="n"/>
      <c r="AD72" s="1192" t="n"/>
      <c r="AE72" s="979">
        <f>X72-(Y72+Z72+AA72+AB72+AC72+AD72)</f>
        <v/>
      </c>
      <c r="AF72" s="977" t="n">
        <v>1043102.677049</v>
      </c>
      <c r="AG72" s="977" t="n">
        <v>14073844.024081</v>
      </c>
      <c r="AH72" s="977" t="n">
        <v>13030741.347032</v>
      </c>
      <c r="AI72" s="977" t="n">
        <v>358768.638077</v>
      </c>
      <c r="AJ72" s="977" t="n">
        <v>-893868.144558</v>
      </c>
      <c r="AK72" s="977" t="n">
        <v>37492.832181</v>
      </c>
      <c r="AL72" s="977">
        <f>AI72-AJ72-AK72+AM72-AN72</f>
        <v/>
      </c>
      <c r="AM72" s="977" t="n">
        <v>8387.248958</v>
      </c>
      <c r="AN72" s="977" t="n">
        <v>-30238.650596</v>
      </c>
      <c r="AO72" s="977" t="n">
        <v>1401871.315126</v>
      </c>
      <c r="AP72" s="977" t="n">
        <v>-35435.700262</v>
      </c>
      <c r="AQ72" s="979" t="n">
        <v>1366435.614864</v>
      </c>
      <c r="AR72" s="979" t="n">
        <v>1030684.310373</v>
      </c>
      <c r="AS72" s="979">
        <f>AO72+AP72-AQ72</f>
        <v/>
      </c>
      <c r="AT72" s="979">
        <f>AJ72+AK72+AL72-AM72+AN72-AI72</f>
        <v/>
      </c>
      <c r="AU72" s="979">
        <f>AF72+AI72-AO72</f>
        <v/>
      </c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1201" t="n"/>
      <c r="BC72" s="977" t="n">
        <v>-497831.484009</v>
      </c>
      <c r="BD72" s="1191" t="n">
        <v>123160.254155</v>
      </c>
      <c r="BE72" s="977" t="n">
        <v>297.746562</v>
      </c>
      <c r="BF72" s="977" t="n">
        <v>-2254297.346238</v>
      </c>
      <c r="BG72" s="977" t="n">
        <v>45713.672209</v>
      </c>
      <c r="BH72" s="977" t="n">
        <v>74579.773928</v>
      </c>
      <c r="BI72" s="977" t="n">
        <v>-60383.491757</v>
      </c>
      <c r="BJ72" s="977" t="n">
        <v>13159.865317</v>
      </c>
      <c r="BK72" s="977">
        <f>Q72</f>
        <v/>
      </c>
      <c r="BL72" s="979">
        <f>BK72-BC72-SUM(BD72:BJ72)</f>
        <v/>
      </c>
      <c r="BM72" s="977" t="n">
        <v>6526472.766844</v>
      </c>
      <c r="BN72" s="977" t="n">
        <v>-161769.1135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>
        <v>0</v>
      </c>
      <c r="BU72" s="1192" t="n"/>
      <c r="BV72" s="1192" t="n"/>
      <c r="BW72" s="1192" t="n"/>
      <c r="BX72" s="1192" t="n"/>
      <c r="BY72" s="1192" t="n"/>
      <c r="BZ72" s="1192" t="n"/>
      <c r="CA72" s="1192" t="n"/>
      <c r="CB72" s="1192" t="n"/>
      <c r="CC72" s="1204" t="n"/>
      <c r="CD72" s="977" t="n"/>
      <c r="CE72" s="1191" t="n"/>
      <c r="CF72" s="1191" t="n"/>
      <c r="CG72" s="1191" t="n"/>
      <c r="CH72" s="1191" t="n"/>
      <c r="CI72" s="1191" t="n"/>
      <c r="CJ72" s="977" t="n"/>
      <c r="CK72" s="977" t="n"/>
      <c r="CL72" s="1191" t="n"/>
      <c r="CM72" s="977" t="n"/>
      <c r="CN72" s="978" t="n"/>
      <c r="CO72" s="977" t="n"/>
      <c r="CP72" s="977" t="n"/>
      <c r="CQ72" s="1201" t="n"/>
      <c r="CR72" s="1191" t="n"/>
      <c r="CS72" s="1191" t="n"/>
      <c r="CT72" s="977" t="n"/>
      <c r="CU72" s="977" t="n">
        <v>4018336.788737</v>
      </c>
      <c r="CV72" s="977" t="n"/>
      <c r="CW72" s="108" t="n">
        <v>0.9790000000000001</v>
      </c>
      <c r="CX72" s="108" t="n">
        <v>1.015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  <c r="FC72" s="697" t="n">
        <v>0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49568315.070657</v>
      </c>
      <c r="E73" s="977" t="n">
        <v>9926400.700203</v>
      </c>
      <c r="F73" s="977" t="n">
        <v>24326805.158966</v>
      </c>
      <c r="G73" s="977" t="n">
        <v>11238304.33217</v>
      </c>
      <c r="H73" s="977" t="n">
        <v>289287.607938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45355476.20741</v>
      </c>
      <c r="M73" s="977" t="n">
        <v>36730148.738468</v>
      </c>
      <c r="N73" s="979">
        <f>O73-P73</f>
        <v/>
      </c>
      <c r="O73" s="979" t="n">
        <v>4212838.863247</v>
      </c>
      <c r="P73" s="979" t="n">
        <v>0</v>
      </c>
      <c r="Q73" s="979" t="n">
        <v>-3471898.922546</v>
      </c>
      <c r="R73" s="979" t="n">
        <v>7594572.171795</v>
      </c>
      <c r="S73" s="979" t="n">
        <v>4927149.05341</v>
      </c>
      <c r="T73" s="979" t="n">
        <v>4927149.05341</v>
      </c>
      <c r="U73" s="980" t="n">
        <v>49568315.070657</v>
      </c>
      <c r="V73" s="1196" t="n"/>
      <c r="W73" s="1202" t="n"/>
      <c r="X73" s="979">
        <f>Q73</f>
        <v/>
      </c>
      <c r="Y73" s="1192" t="n"/>
      <c r="Z73" s="1192" t="n"/>
      <c r="AA73" s="1192" t="n"/>
      <c r="AB73" s="1192" t="n"/>
      <c r="AC73" s="1192" t="n"/>
      <c r="AD73" s="1192" t="n"/>
      <c r="AE73" s="979">
        <f>X73-(Y73+Z73+AA73+AB73+AC73+AD73)</f>
        <v/>
      </c>
      <c r="AF73" s="977" t="n">
        <v>175913.949482</v>
      </c>
      <c r="AG73" s="977" t="n">
        <v>3526542.728226</v>
      </c>
      <c r="AH73" s="977" t="n">
        <v>3350628.778744</v>
      </c>
      <c r="AI73" s="977" t="n">
        <v>109143.516292</v>
      </c>
      <c r="AJ73" s="977" t="n">
        <v>-210361.307243</v>
      </c>
      <c r="AK73" s="977" t="n">
        <v>326.567188</v>
      </c>
      <c r="AL73" s="977">
        <f>AI73-AJ73-AK73+AM73-AN73</f>
        <v/>
      </c>
      <c r="AM73" s="977" t="n">
        <v>2139.795879</v>
      </c>
      <c r="AN73" s="977" t="n">
        <v>-7910.084327</v>
      </c>
      <c r="AO73" s="977" t="n">
        <v>285057.465774</v>
      </c>
      <c r="AP73" s="977" t="n">
        <v>-12780.105645</v>
      </c>
      <c r="AQ73" s="979" t="n">
        <v>272277.360129</v>
      </c>
      <c r="AR73" s="979" t="n">
        <v>203195.245062</v>
      </c>
      <c r="AS73" s="979">
        <f>AO73+AP73-AQ73</f>
        <v/>
      </c>
      <c r="AT73" s="979">
        <f>AJ73+AK73+AL73-AM73+AN73-AI73</f>
        <v/>
      </c>
      <c r="AU73" s="979">
        <f>AF73+AI73-AO73</f>
        <v/>
      </c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-2554393.487321</v>
      </c>
      <c r="BD73" s="1191" t="n">
        <v>406084.874248</v>
      </c>
      <c r="BE73" s="977" t="n">
        <v>-56.341352</v>
      </c>
      <c r="BF73" s="977" t="n">
        <v>-1329682.968961</v>
      </c>
      <c r="BG73" s="977" t="n">
        <v>7402.497308</v>
      </c>
      <c r="BH73" s="977" t="n">
        <v>172.757755</v>
      </c>
      <c r="BI73" s="977" t="n">
        <v>-5918.082416</v>
      </c>
      <c r="BJ73" s="977" t="n">
        <v>1913.695536</v>
      </c>
      <c r="BK73" s="977">
        <f>Q73</f>
        <v/>
      </c>
      <c r="BL73" s="979">
        <f>BK73-BC73-SUM(BD73:BJ73)</f>
        <v/>
      </c>
      <c r="BM73" s="977" t="n">
        <v>7391376.926733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>
        <v>0</v>
      </c>
      <c r="BU73" s="1192" t="n"/>
      <c r="BV73" s="1192" t="n"/>
      <c r="BW73" s="1192" t="n"/>
      <c r="BX73" s="1192" t="n"/>
      <c r="BY73" s="1192" t="n"/>
      <c r="BZ73" s="1192" t="n"/>
      <c r="CA73" s="1192" t="n"/>
      <c r="CB73" s="1192" t="n"/>
      <c r="CC73" s="1204" t="n"/>
      <c r="CD73" s="977" t="n"/>
      <c r="CE73" s="1191" t="n"/>
      <c r="CF73" s="1191" t="n"/>
      <c r="CG73" s="1191" t="n"/>
      <c r="CH73" s="1191" t="n"/>
      <c r="CI73" s="1191" t="n"/>
      <c r="CJ73" s="977" t="n"/>
      <c r="CK73" s="977" t="n"/>
      <c r="CL73" s="1191" t="n"/>
      <c r="CM73" s="977" t="n"/>
      <c r="CN73" s="978" t="n"/>
      <c r="CO73" s="977" t="n"/>
      <c r="CP73" s="977" t="n"/>
      <c r="CQ73" s="1201" t="n"/>
      <c r="CR73" s="1191" t="n"/>
      <c r="CS73" s="1191" t="n"/>
      <c r="CT73" s="977" t="n"/>
      <c r="CU73" s="977" t="n">
        <v>4161025.251162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49624610.984538</v>
      </c>
      <c r="E74" s="977" t="n">
        <v>9402100.760464</v>
      </c>
      <c r="F74" s="977" t="n">
        <v>24976528.089198</v>
      </c>
      <c r="G74" s="977" t="n">
        <v>10831914.061045</v>
      </c>
      <c r="H74" s="977" t="n">
        <v>288287.036702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44887744.609789</v>
      </c>
      <c r="M74" s="977" t="n">
        <v>36335172.151422</v>
      </c>
      <c r="N74" s="979">
        <f>O74-P74</f>
        <v/>
      </c>
      <c r="O74" s="979" t="n">
        <v>4736866.374749</v>
      </c>
      <c r="P74" s="1192" t="n"/>
      <c r="Q74" s="979" t="n">
        <v>-3195641.581442</v>
      </c>
      <c r="R74" s="979" t="n">
        <v>7842342.342193</v>
      </c>
      <c r="S74" s="979" t="n">
        <v>4927149.05341</v>
      </c>
      <c r="T74" s="979" t="n">
        <v>4927149.05341</v>
      </c>
      <c r="U74" s="980" t="n">
        <v>49624610.984538</v>
      </c>
      <c r="V74" s="1196" t="n"/>
      <c r="W74" s="1202" t="n"/>
      <c r="X74" s="979">
        <f>Q74</f>
        <v/>
      </c>
      <c r="Y74" s="979" t="n">
        <v>-2549953.107349</v>
      </c>
      <c r="Z74" s="1192" t="n"/>
      <c r="AA74" s="1192" t="n"/>
      <c r="AB74" s="1192" t="n"/>
      <c r="AC74" s="1192" t="n"/>
      <c r="AD74" s="1192" t="n"/>
      <c r="AE74" s="979" t="n"/>
      <c r="AF74" s="977" t="n">
        <v>388576.170672</v>
      </c>
      <c r="AG74" s="977" t="n">
        <v>7348626.05924</v>
      </c>
      <c r="AH74" s="977" t="n">
        <v>6960049.888568</v>
      </c>
      <c r="AI74" s="977" t="n">
        <v>240232.63452</v>
      </c>
      <c r="AJ74" s="1191" t="n">
        <v>-385698.049443</v>
      </c>
      <c r="AK74" s="1191" t="n">
        <v>-11236.88514</v>
      </c>
      <c r="AL74" s="977">
        <f>AI74-AJ74-AK74+AM74-AN74</f>
        <v/>
      </c>
      <c r="AM74" s="1191" t="n">
        <v>5059.184689</v>
      </c>
      <c r="AN74" s="1191" t="n">
        <v>-18285.446907</v>
      </c>
      <c r="AO74" s="977" t="n">
        <v>628808.805192</v>
      </c>
      <c r="AP74" s="977" t="n">
        <v>-23936.058687</v>
      </c>
      <c r="AQ74" s="979" t="n">
        <v>604872.746505</v>
      </c>
      <c r="AR74" s="979" t="n">
        <v>450965.41546</v>
      </c>
      <c r="AS74" s="979">
        <f>AO74+AP74-AQ74</f>
        <v/>
      </c>
      <c r="AT74" s="979">
        <f>AJ74+AK74+AL74-AM74+AN74-AI74</f>
        <v/>
      </c>
      <c r="AU74" s="979">
        <f>AF74+AI74-AO74</f>
        <v/>
      </c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-2554393.487321</v>
      </c>
      <c r="BD74" s="1191" t="n">
        <v>185237.166706</v>
      </c>
      <c r="BE74" s="787" t="n">
        <v>-87.460865</v>
      </c>
      <c r="BF74" s="977" t="n">
        <v>-786198.008465</v>
      </c>
      <c r="BG74" s="977" t="n">
        <v>-37202.977627</v>
      </c>
      <c r="BH74" s="977" t="n">
        <v>-51.171294</v>
      </c>
      <c r="BI74" s="977" t="n">
        <v>-4158.994476</v>
      </c>
      <c r="BJ74" s="977" t="n">
        <v>-8026.046311</v>
      </c>
      <c r="BK74" s="977">
        <f>Q74</f>
        <v/>
      </c>
      <c r="BL74" s="979">
        <f>BK74-BC74-SUM(BD74:BJ74)</f>
        <v/>
      </c>
      <c r="BM74" s="977" t="n">
        <v>7391376.926733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>
        <v>0</v>
      </c>
      <c r="BU74" s="1192" t="n">
        <v>19180719.949384</v>
      </c>
      <c r="BV74" s="1192" t="n">
        <v>1987815.447824</v>
      </c>
      <c r="BW74" s="979" t="n">
        <v>9422748.336614</v>
      </c>
      <c r="BX74" s="1192" t="n">
        <v>1004910.06089</v>
      </c>
      <c r="BY74" s="1192" t="n"/>
      <c r="BZ74" s="1192" t="n">
        <v>440388.223139</v>
      </c>
      <c r="CA74" s="1192" t="n">
        <v>153793.331213</v>
      </c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>
        <v>0</v>
      </c>
      <c r="CM74" s="977" t="n"/>
      <c r="CN74" s="978" t="n"/>
      <c r="CO74" s="977" t="n"/>
      <c r="CP74" s="977" t="n"/>
      <c r="CQ74" s="1201" t="n"/>
      <c r="CR74" s="1191" t="n"/>
      <c r="CS74" s="1191" t="n"/>
      <c r="CT74" s="977" t="n"/>
      <c r="CU74" s="977" t="n">
        <v>4326457.46719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49960383.289635</v>
      </c>
      <c r="E75" s="977" t="n">
        <v>9713012.024762001</v>
      </c>
      <c r="F75" s="977" t="n">
        <v>25577228.319045</v>
      </c>
      <c r="G75" s="977" t="n">
        <v>10210981.927532</v>
      </c>
      <c r="H75" s="977" t="n">
        <v>331922.040076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45155449.405808</v>
      </c>
      <c r="M75" s="977" t="n">
        <v>36290879.870656</v>
      </c>
      <c r="N75" s="979">
        <f>O75-P75</f>
        <v/>
      </c>
      <c r="O75" s="979" t="n">
        <v>4804933.883827</v>
      </c>
      <c r="P75" s="1192" t="n"/>
      <c r="Q75" s="979" t="n">
        <v>-3310923.762404</v>
      </c>
      <c r="R75" s="979" t="n">
        <v>8025692.032233</v>
      </c>
      <c r="S75" s="979" t="n">
        <v>4927149.05341</v>
      </c>
      <c r="T75" s="979" t="n">
        <v>4927149.05341</v>
      </c>
      <c r="U75" s="980" t="n">
        <v>49960383.289635</v>
      </c>
      <c r="V75" s="1196" t="n"/>
      <c r="W75" s="1202" t="n"/>
      <c r="X75" s="979">
        <f>Q75</f>
        <v/>
      </c>
      <c r="Y75" s="979" t="n">
        <v>-2730842.096048</v>
      </c>
      <c r="Z75" s="1192" t="n"/>
      <c r="AA75" s="1192" t="n"/>
      <c r="AB75" s="1192" t="n"/>
      <c r="AC75" s="1192" t="n"/>
      <c r="AD75" s="1192" t="n"/>
      <c r="AE75" s="979" t="n"/>
      <c r="AF75" s="977" t="n">
        <v>550006.167772</v>
      </c>
      <c r="AG75" s="977" t="n">
        <v>11028130.524204</v>
      </c>
      <c r="AH75" s="977" t="n">
        <v>10478124.356432</v>
      </c>
      <c r="AI75" s="977" t="n">
        <v>324249.033288</v>
      </c>
      <c r="AJ75" s="977" t="n">
        <v>-600255.010937</v>
      </c>
      <c r="AK75" s="977" t="n">
        <v>1170.611697</v>
      </c>
      <c r="AL75" s="977">
        <f>AI75-AJ75-AK75+AM75-AN75</f>
        <v/>
      </c>
      <c r="AM75" s="977" t="n">
        <v>7507.051356</v>
      </c>
      <c r="AN75" s="977" t="n">
        <v>-25035.230456</v>
      </c>
      <c r="AO75" s="977" t="n">
        <v>874255.20106</v>
      </c>
      <c r="AP75" s="977" t="n">
        <v>-24602.004599</v>
      </c>
      <c r="AQ75" s="979" t="n">
        <v>849653.196461</v>
      </c>
      <c r="AR75" s="979" t="n">
        <v>634146.584359</v>
      </c>
      <c r="AS75" s="979">
        <f>AO75+AP75-AQ75</f>
        <v/>
      </c>
      <c r="AT75" s="979">
        <f>AJ75+AK75+AL75-AM75+AN75-AI75</f>
        <v/>
      </c>
      <c r="AU75" s="979">
        <f>AF75+AI75-AO75</f>
        <v/>
      </c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-2554393.487321</v>
      </c>
      <c r="BD75" s="1191" t="n">
        <v>3893.19437</v>
      </c>
      <c r="BE75" s="977" t="n">
        <v>-81.776129</v>
      </c>
      <c r="BF75" s="977" t="n">
        <v>-686797.398917</v>
      </c>
      <c r="BG75" s="977" t="n">
        <v>-76800.937486</v>
      </c>
      <c r="BH75" s="1191" t="n">
        <v>-296.470122</v>
      </c>
      <c r="BI75" s="977" t="n">
        <v>-1502.750855</v>
      </c>
      <c r="BJ75" s="977" t="n">
        <v>-4469.996651</v>
      </c>
      <c r="BK75" s="977">
        <f>Q75</f>
        <v/>
      </c>
      <c r="BL75" s="979">
        <f>BK75-BC75-SUM(BD75:BJ75)</f>
        <v/>
      </c>
      <c r="BM75" s="977" t="n">
        <v>7391376.926733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>
        <v>0</v>
      </c>
      <c r="BU75" s="979" t="n">
        <v>18913218.52568</v>
      </c>
      <c r="BV75" s="979" t="n">
        <v>1975457.235379</v>
      </c>
      <c r="BW75" s="979" t="n">
        <v>9670290.380909</v>
      </c>
      <c r="BX75" s="1192" t="n">
        <v>1516547.172067</v>
      </c>
      <c r="BY75" s="1192" t="n"/>
      <c r="BZ75" s="1192" t="n">
        <v>344027.108381</v>
      </c>
      <c r="CA75" s="1192" t="n">
        <v>234843.505425</v>
      </c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>
        <v>0</v>
      </c>
      <c r="CM75" s="977" t="n"/>
      <c r="CN75" s="978" t="n"/>
      <c r="CO75" s="977" t="n"/>
      <c r="CP75" s="977" t="n"/>
      <c r="CQ75" s="1201" t="n"/>
      <c r="CR75" s="1191" t="n"/>
      <c r="CS75" s="1191" t="n"/>
      <c r="CT75" s="977" t="n"/>
      <c r="CU75" s="977" t="n">
        <v>4049483.005441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49645874.619981</v>
      </c>
      <c r="E76" s="977" t="n">
        <v>9040657.765254</v>
      </c>
      <c r="F76" s="977" t="n">
        <v>25341092.240272</v>
      </c>
      <c r="G76" s="977" t="n">
        <v>10401582.761756</v>
      </c>
      <c r="H76" s="977" t="n">
        <v>337372.021146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44762387.153459</v>
      </c>
      <c r="M76" s="977" t="n">
        <v>34852924.404989</v>
      </c>
      <c r="N76" s="979">
        <f>O76-P76</f>
        <v/>
      </c>
      <c r="O76" s="979" t="n">
        <v>4883487.466522</v>
      </c>
      <c r="P76" s="979" t="n"/>
      <c r="Q76" s="979" t="n">
        <v>-3159330.002857</v>
      </c>
      <c r="R76" s="979" t="n">
        <v>7952651.855381</v>
      </c>
      <c r="S76" s="979" t="n">
        <v>4927149.05341</v>
      </c>
      <c r="T76" s="979" t="n">
        <v>4927149.05341</v>
      </c>
      <c r="U76" s="980" t="n">
        <v>49645874.619981</v>
      </c>
      <c r="V76" s="1196" t="n"/>
      <c r="W76" s="1202" t="n"/>
      <c r="X76" s="979">
        <f>Q76</f>
        <v/>
      </c>
      <c r="Y76" s="979" t="n">
        <v>-3805091.972358</v>
      </c>
      <c r="Z76" s="1192" t="n"/>
      <c r="AA76" s="1192" t="n"/>
      <c r="AB76" s="1192" t="n"/>
      <c r="AC76" s="1192" t="n"/>
      <c r="AD76" s="1192" t="n"/>
      <c r="AE76" s="979" t="n"/>
      <c r="AF76" s="977" t="n">
        <v>396111.304194</v>
      </c>
      <c r="AG76" s="977" t="n">
        <v>14728779.445394</v>
      </c>
      <c r="AH76" s="977" t="n">
        <v>14332668.1412</v>
      </c>
      <c r="AI76" s="977" t="n">
        <v>330751.285318</v>
      </c>
      <c r="AJ76" s="977" t="n">
        <v>-900984.070943</v>
      </c>
      <c r="AK76" s="977" t="n">
        <v>12880.802504</v>
      </c>
      <c r="AL76" s="977">
        <f>AI76-AJ76-AK76+AM76-AN76</f>
        <v/>
      </c>
      <c r="AM76" s="977" t="n">
        <v>10222.374417</v>
      </c>
      <c r="AN76" s="977" t="n">
        <v>-33512.285886</v>
      </c>
      <c r="AO76" s="977" t="n">
        <v>726862.589512</v>
      </c>
      <c r="AP76" s="977" t="n">
        <v>-32584.869919</v>
      </c>
      <c r="AQ76" s="979" t="n">
        <v>694277.719593</v>
      </c>
      <c r="AR76" s="979" t="n">
        <v>561106.407507</v>
      </c>
      <c r="AS76" s="979">
        <f>AO76+AP76-AQ76</f>
        <v/>
      </c>
      <c r="AT76" s="979">
        <f>AJ76+AK76+AL76-AM76+AN76-AI76</f>
        <v/>
      </c>
      <c r="AU76" s="979">
        <f>AF76+AI76-AO76</f>
        <v/>
      </c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-2554393.487321</v>
      </c>
      <c r="BD76" s="1191" t="n">
        <v>-1070701.580722</v>
      </c>
      <c r="BE76" s="977" t="n">
        <v>39.230603</v>
      </c>
      <c r="BF76" s="977" t="n">
        <v>738351.067285</v>
      </c>
      <c r="BG76" s="977" t="n">
        <v>-279436.045005</v>
      </c>
      <c r="BH76" s="1191" t="n">
        <v>-273.135229</v>
      </c>
      <c r="BI76" s="977" t="n">
        <v>702.6678879999999</v>
      </c>
      <c r="BJ76" s="977" t="n">
        <v>-3489.479845</v>
      </c>
      <c r="BK76" s="977">
        <f>Q76</f>
        <v/>
      </c>
      <c r="BL76" s="979">
        <f>BK76-BC76-SUM(BD76:BJ76)</f>
        <v/>
      </c>
      <c r="BM76" s="977" t="n">
        <v>7391376.926733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1192" t="n">
        <v>0</v>
      </c>
      <c r="BU76" s="979" t="n">
        <v>18214447.40351</v>
      </c>
      <c r="BV76" s="979" t="n">
        <v>1934548.315449</v>
      </c>
      <c r="BW76" s="979" t="n">
        <v>8977842.069321999</v>
      </c>
      <c r="BX76" s="979" t="n">
        <v>2037561.27198</v>
      </c>
      <c r="BY76" s="979" t="n">
        <v>963901.355964</v>
      </c>
      <c r="BZ76" s="979" t="n">
        <v>-719030.648057</v>
      </c>
      <c r="CA76" s="979" t="n">
        <v>317725.539575</v>
      </c>
      <c r="CB76" s="979" t="n">
        <v>8305487.261788</v>
      </c>
      <c r="CC76" s="977" t="n"/>
      <c r="CD76" s="977">
        <f>CB76+BX76-BY76+BZ76+CA76-BW76</f>
        <v/>
      </c>
      <c r="CE76" s="1191" t="n"/>
      <c r="CF76" s="1191" t="n"/>
      <c r="CG76" s="1191" t="n"/>
      <c r="CH76" s="1191" t="n"/>
      <c r="CI76" s="1191" t="n"/>
      <c r="CJ76" s="977">
        <f>BW76</f>
        <v/>
      </c>
      <c r="CK76" s="977" t="n"/>
      <c r="CL76" s="977" t="n">
        <v>0</v>
      </c>
      <c r="CM76" s="977" t="n"/>
      <c r="CN76" s="1201" t="n"/>
      <c r="CO76" s="1191" t="n"/>
      <c r="CP76" s="1191" t="n"/>
      <c r="CQ76" s="1200" t="n"/>
      <c r="CR76" s="1192" t="n"/>
      <c r="CS76" s="1192" t="n"/>
      <c r="CT76" s="977" t="n"/>
      <c r="CU76" s="977" t="n">
        <v>3916614.58891</v>
      </c>
      <c r="CV76" s="977" t="n"/>
      <c r="CW76" s="108" t="n">
        <v>0.973</v>
      </c>
      <c r="CX76" s="108" t="n">
        <v>1.039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299613.522329</v>
      </c>
      <c r="EQ76" s="977" t="n">
        <v>1298617.542534</v>
      </c>
      <c r="ER76" s="977" t="n">
        <v>-400726.961712</v>
      </c>
      <c r="ES76" s="977" t="n">
        <v>-31793.662579</v>
      </c>
      <c r="ET76" s="977" t="n">
        <v>-153308.830608</v>
      </c>
      <c r="EU76" s="977" t="n"/>
      <c r="EV76" s="977" t="n"/>
      <c r="EW76" s="977" t="n">
        <v>-299613.522329</v>
      </c>
      <c r="EX76" s="977" t="n">
        <v>-1298617.542534</v>
      </c>
      <c r="EY76" s="977" t="n">
        <v>400726.961712</v>
      </c>
      <c r="EZ76" s="977" t="n">
        <v>31793.662579</v>
      </c>
      <c r="FA76" s="977" t="n">
        <v>153308.830566</v>
      </c>
      <c r="FB76" s="977" t="n">
        <v>293370.961949</v>
      </c>
      <c r="FC76" s="767" t="n">
        <v>0</v>
      </c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O78" s="1205" t="n"/>
      <c r="P78" s="1205" t="n"/>
      <c r="Q78" s="1205" t="n"/>
      <c r="R78" s="1205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1192" t="n"/>
      <c r="BU78" s="1205" t="n"/>
      <c r="BV78" s="1205" t="n"/>
      <c r="BW78" s="1205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39403862.443763</v>
      </c>
      <c r="E79" s="697" t="n">
        <v>8052071.734624</v>
      </c>
      <c r="F79" s="697" t="n">
        <v>26102575.035676</v>
      </c>
      <c r="G79" s="697" t="n">
        <v>1213098.423866</v>
      </c>
      <c r="H79" s="697" t="n">
        <v>119097.7484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33931288.79078</v>
      </c>
      <c r="M79" s="697" t="n">
        <v>21549324.737068</v>
      </c>
      <c r="N79" s="697">
        <f>O79-P79</f>
        <v/>
      </c>
      <c r="O79" s="697" t="n">
        <v>5472573.652983</v>
      </c>
      <c r="P79" s="697" t="n">
        <v>283729.68</v>
      </c>
      <c r="Q79" s="697" t="n">
        <v>479733.856213</v>
      </c>
      <c r="R79" s="697" t="n">
        <v>4547708.998364</v>
      </c>
      <c r="S79" s="697" t="n">
        <v>3661822.899317</v>
      </c>
      <c r="T79" s="979" t="n">
        <v>3378093.219317</v>
      </c>
      <c r="U79" s="697" t="n">
        <v>39403862.443763</v>
      </c>
      <c r="V79" s="1205" t="n"/>
      <c r="W79" s="1202" t="n"/>
      <c r="X79" s="697">
        <f>Q79</f>
        <v/>
      </c>
      <c r="Y79" s="697" t="n">
        <v>-1781322</v>
      </c>
      <c r="Z79" s="1205" t="n"/>
      <c r="AA79" s="1205" t="n"/>
      <c r="AB79" s="1205" t="n"/>
      <c r="AC79" s="697" t="n">
        <v>381318</v>
      </c>
      <c r="AD79" s="697" t="n">
        <v>-11447</v>
      </c>
      <c r="AF79" s="697" t="n">
        <v>1497057.260733</v>
      </c>
      <c r="AG79" s="697" t="n">
        <v>8672579.732765</v>
      </c>
      <c r="AH79" s="697" t="n">
        <v>7175522.472032</v>
      </c>
      <c r="AI79" s="697" t="n">
        <v>609451.778718</v>
      </c>
      <c r="AJ79" s="697" t="n">
        <v>-673995.363422</v>
      </c>
      <c r="AK79" s="697" t="n">
        <v>25932.864124</v>
      </c>
      <c r="AL79" s="697">
        <f>AI79-AJ79-AK79+AM79-AN79</f>
        <v/>
      </c>
      <c r="AM79" s="697" t="n">
        <v>31226.255661</v>
      </c>
      <c r="AN79" s="697" t="n">
        <v>413321.914995</v>
      </c>
      <c r="AO79" s="1205" t="n"/>
      <c r="AP79" s="697" t="n">
        <v>12978.156515</v>
      </c>
      <c r="AQ79" s="697" t="n">
        <v>2119487.195966</v>
      </c>
      <c r="AR79" s="697" t="n">
        <v>1566982.63253</v>
      </c>
      <c r="AS79" s="966" t="n"/>
      <c r="AT79" s="966">
        <f>AJ79+AK79+AL79-AM79+AN79-AI79</f>
        <v/>
      </c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1201" t="n"/>
      <c r="BC79" s="1195" t="n">
        <v>286453.205592</v>
      </c>
      <c r="BD79" s="697" t="n">
        <v>1143248.785961</v>
      </c>
      <c r="BE79" s="697" t="n">
        <v>54656.167178</v>
      </c>
      <c r="BF79" s="697" t="n">
        <v>-1177866.776327</v>
      </c>
      <c r="BG79" s="697" t="n">
        <v>297002.758475</v>
      </c>
      <c r="BH79" s="1205" t="n"/>
      <c r="BI79" s="697" t="n">
        <v>-9296.163087999999</v>
      </c>
      <c r="BK79" s="697">
        <f>Q79</f>
        <v/>
      </c>
      <c r="BL79" s="966" t="n"/>
      <c r="BM79" s="1195" t="n">
        <v>3109774.5323</v>
      </c>
      <c r="BN79" s="1205" t="n"/>
      <c r="BO79" s="1205" t="n"/>
      <c r="BP79" s="697">
        <f>AR79</f>
        <v/>
      </c>
      <c r="BQ79" s="697" t="n">
        <v>21.852584</v>
      </c>
      <c r="BR79" s="697" t="n">
        <v>-9641.886425000001</v>
      </c>
      <c r="BS79" s="697">
        <f>R79</f>
        <v/>
      </c>
      <c r="BT79" s="1192" t="n">
        <v>0</v>
      </c>
      <c r="BU79" s="1205" t="n"/>
      <c r="BV79" s="1205" t="n"/>
      <c r="BW79" s="1205" t="n"/>
      <c r="BX79" s="1205" t="n"/>
      <c r="BY79" s="1205" t="n"/>
      <c r="BZ79" s="1205" t="n"/>
      <c r="CA79" s="1205" t="n"/>
      <c r="CB79" s="1205" t="n"/>
      <c r="CE79" s="1205" t="n"/>
      <c r="CF79" s="1205" t="n"/>
      <c r="CG79" s="1205" t="n"/>
      <c r="CH79" s="1205" t="n"/>
      <c r="CI79" s="1205" t="n"/>
      <c r="CL79" s="1205" t="n"/>
      <c r="CN79" s="1201" t="n"/>
      <c r="CO79" s="1205" t="n"/>
      <c r="CP79" s="1205" t="n"/>
      <c r="CQ79" s="1201" t="n"/>
      <c r="CR79" s="1205" t="n"/>
      <c r="CS79" s="1205" t="n"/>
      <c r="CU79" s="697" t="n">
        <v>1031254.904425</v>
      </c>
      <c r="DC79" s="1205" t="n"/>
      <c r="DG79" s="1205" t="n"/>
      <c r="DH79" s="1205" t="n"/>
      <c r="DI79" s="1205" t="n"/>
      <c r="DJ79" s="1205" t="n"/>
      <c r="DK79" s="1205" t="n"/>
      <c r="DL79" s="1205" t="n"/>
      <c r="DM79" s="1205" t="n"/>
      <c r="DN79" s="1205" t="n"/>
      <c r="DO79" s="1205" t="n"/>
      <c r="DP79" s="1205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43358482.458819</v>
      </c>
      <c r="E80" s="697" t="n">
        <v>7043831.964924</v>
      </c>
      <c r="F80" s="697" t="n">
        <v>31071033.527892</v>
      </c>
      <c r="G80" s="697" t="n">
        <v>1522762.519808</v>
      </c>
      <c r="H80" s="697" t="n">
        <v>143704.78548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37618396.153772</v>
      </c>
      <c r="M80" s="697" t="n">
        <v>24357752.492165</v>
      </c>
      <c r="N80" s="697">
        <f>O80-P80</f>
        <v/>
      </c>
      <c r="O80" s="697" t="n">
        <v>5740086.305047</v>
      </c>
      <c r="P80" s="697" t="n">
        <v>283729.68</v>
      </c>
      <c r="Q80" s="697" t="n">
        <v>-171377.796805</v>
      </c>
      <c r="R80" s="697" t="n">
        <v>5466333.303446</v>
      </c>
      <c r="S80" s="697" t="n">
        <v>5472573.652983</v>
      </c>
      <c r="T80" s="979" t="n">
        <v>5188843.972983</v>
      </c>
      <c r="U80" s="697" t="n">
        <v>43358482.458819</v>
      </c>
      <c r="V80" s="1205" t="n"/>
      <c r="W80" s="1202" t="n"/>
      <c r="X80" s="697">
        <f>Q80</f>
        <v/>
      </c>
      <c r="Y80" s="697" t="n">
        <v>-1039455</v>
      </c>
      <c r="Z80" s="1205" t="n"/>
      <c r="AA80" s="1205" t="n"/>
      <c r="AB80" s="1205" t="n"/>
      <c r="AC80" s="697" t="n">
        <v>468466</v>
      </c>
      <c r="AD80" s="1195" t="n">
        <v>-21170</v>
      </c>
      <c r="AF80" s="697" t="n">
        <v>1533644.053333</v>
      </c>
      <c r="AG80" s="697" t="n">
        <v>8977073.128508</v>
      </c>
      <c r="AH80" s="697" t="n">
        <v>7443429.075175</v>
      </c>
      <c r="AI80" s="697" t="n">
        <v>761580.942493</v>
      </c>
      <c r="AJ80" s="697" t="n">
        <v>-719221.843999</v>
      </c>
      <c r="AK80" s="697" t="n">
        <v>27919.351787</v>
      </c>
      <c r="AL80" s="697">
        <f>AI80-AJ80-AK80+AM80-AN80</f>
        <v/>
      </c>
      <c r="AM80" s="697" t="n">
        <v>16289.049374</v>
      </c>
      <c r="AN80" s="697" t="n">
        <v>545908.571349</v>
      </c>
      <c r="AO80" s="697" t="n">
        <v>2295224.995826</v>
      </c>
      <c r="AP80" s="697" t="n">
        <v>3182.418989</v>
      </c>
      <c r="AQ80" s="697" t="n">
        <v>2298407.414815</v>
      </c>
      <c r="AR80" s="697" t="n">
        <v>1710549.883383</v>
      </c>
      <c r="AS80" s="966">
        <f>AO80+AP80-AQ80</f>
        <v/>
      </c>
      <c r="AT80" s="966">
        <f>AJ80+AK80+AL80-AM80+AN80-AI80</f>
        <v/>
      </c>
      <c r="AU80" s="966">
        <f>AF80+AI80-AO80</f>
        <v/>
      </c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1201" t="n"/>
      <c r="BC80" s="966" t="n">
        <v>479733.856213</v>
      </c>
      <c r="BD80" s="966" t="n">
        <v>741810.31333</v>
      </c>
      <c r="BE80" s="966" t="n">
        <v>74408.92256399999</v>
      </c>
      <c r="BF80" s="966" t="n">
        <v>-1645780.074309</v>
      </c>
      <c r="BG80" s="966" t="n">
        <v>175504.288526</v>
      </c>
      <c r="BH80" s="966" t="n">
        <v>87148.058846</v>
      </c>
      <c r="BI80" s="966" t="n">
        <v>-9794.239411</v>
      </c>
      <c r="BJ80" s="966" t="n"/>
      <c r="BK80" s="966">
        <f>Q80</f>
        <v/>
      </c>
      <c r="BL80" s="966">
        <f>BK80-BC80-SUM(BD80:BJ80)</f>
        <v/>
      </c>
      <c r="BM80" s="966" t="n">
        <v>4547708.998364</v>
      </c>
      <c r="BN80" s="966" t="n">
        <v>-783490</v>
      </c>
      <c r="BO80" s="966" t="n"/>
      <c r="BP80" s="966">
        <f>AR80</f>
        <v/>
      </c>
      <c r="BQ80" s="966" t="n">
        <v>1239.141699</v>
      </c>
      <c r="BR80" s="966" t="n">
        <v>-9674.719999999999</v>
      </c>
      <c r="BS80" s="966">
        <f>R80</f>
        <v/>
      </c>
      <c r="BT80" s="966" t="n">
        <v>0</v>
      </c>
      <c r="BU80" s="1205" t="n"/>
      <c r="BV80" s="1205" t="n"/>
      <c r="BW80" s="1205" t="n"/>
      <c r="BX80" s="1205" t="n"/>
      <c r="BY80" s="1205" t="n"/>
      <c r="BZ80" s="1205" t="n"/>
      <c r="CA80" s="1205" t="n"/>
      <c r="CB80" s="1205" t="n"/>
      <c r="CE80" s="1205" t="n"/>
      <c r="CF80" s="1205" t="n"/>
      <c r="CG80" s="1205" t="n"/>
      <c r="CH80" s="1205" t="n"/>
      <c r="CI80" s="1205" t="n"/>
      <c r="CL80" s="1205" t="n"/>
      <c r="CN80" s="786" t="n"/>
      <c r="CQ80" s="1201" t="n"/>
      <c r="CR80" s="1205" t="n"/>
      <c r="CS80" s="1205" t="n"/>
      <c r="CU80" s="697" t="n">
        <v>1793089.349103</v>
      </c>
      <c r="CW80" s="103" t="n">
        <v>0.9948999999999999</v>
      </c>
      <c r="CX80" s="103" t="n">
        <v>0.9018</v>
      </c>
      <c r="CY80" s="103">
        <f>CW80-CX80</f>
        <v/>
      </c>
      <c r="CZ80" s="786">
        <f>CX80/CW80</f>
        <v/>
      </c>
      <c r="DC80" s="1205" t="n"/>
      <c r="DG80" s="1205" t="n"/>
      <c r="DH80" s="1205" t="n"/>
      <c r="DI80" s="1205" t="n"/>
      <c r="DJ80" s="1205" t="n"/>
      <c r="DK80" s="1205" t="n"/>
      <c r="DL80" s="1205" t="n"/>
      <c r="DM80" s="1205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  <c r="FC80" s="697" t="n">
        <v>0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44426134.909558</v>
      </c>
      <c r="E81" s="697" t="n">
        <v>8243793.422945</v>
      </c>
      <c r="F81" s="697" t="n">
        <v>30918911.814647</v>
      </c>
      <c r="G81" s="697" t="n">
        <v>1450343.843757</v>
      </c>
      <c r="H81" s="697" t="n">
        <v>145318.694397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39173541.920856</v>
      </c>
      <c r="M81" s="697" t="n">
        <v>25971651.582767</v>
      </c>
      <c r="N81" s="697">
        <f>O81-P81</f>
        <v/>
      </c>
      <c r="O81" s="697" t="n">
        <v>5252592.988702</v>
      </c>
      <c r="P81" s="697" t="n">
        <v>283729.68</v>
      </c>
      <c r="Q81" s="697" t="n">
        <v>-605835.305993</v>
      </c>
      <c r="R81" s="697" t="n">
        <v>5413297.496289</v>
      </c>
      <c r="S81" s="697" t="n">
        <v>5740086.305047</v>
      </c>
      <c r="T81" s="979" t="n">
        <v>5456356.625047</v>
      </c>
      <c r="U81" s="697" t="n">
        <v>44426134.909558</v>
      </c>
      <c r="V81" s="1205" t="n"/>
      <c r="W81" s="1202" t="n"/>
      <c r="X81" s="697">
        <f>Q81</f>
        <v/>
      </c>
      <c r="Y81" s="1205" t="n"/>
      <c r="Z81" s="1205" t="n"/>
      <c r="AA81" s="1205" t="n"/>
      <c r="AB81" s="1205" t="n"/>
      <c r="AC81" s="1205" t="n"/>
      <c r="AD81" s="1205" t="n"/>
      <c r="AE81" s="697">
        <f>X81-(Y81+Z81+AA81+AB81+AC81+AD81)</f>
        <v/>
      </c>
      <c r="AF81" s="697" t="n">
        <v>359840.075626</v>
      </c>
      <c r="AG81" s="1195" t="n">
        <v>2356025.936379</v>
      </c>
      <c r="AH81" s="697" t="n">
        <v>1996185.860753</v>
      </c>
      <c r="AI81" s="697" t="n">
        <v>262066.998393</v>
      </c>
      <c r="AJ81" s="697" t="n">
        <v>-168056.83015</v>
      </c>
      <c r="AK81" s="697" t="n">
        <v>6245.607863</v>
      </c>
      <c r="AL81" s="697">
        <f>AI81-AJ81-AK81+AM81-AN81</f>
        <v/>
      </c>
      <c r="AM81" s="697" t="n">
        <v>2400.919476</v>
      </c>
      <c r="AN81" s="697" t="n">
        <v>90341.16309</v>
      </c>
      <c r="AO81" s="697" t="n">
        <v>621907.0740190001</v>
      </c>
      <c r="AP81" s="697" t="n">
        <v>2109.6886</v>
      </c>
      <c r="AQ81" s="697" t="n">
        <v>624016.762619</v>
      </c>
      <c r="AR81" s="697" t="n">
        <v>462513.372349</v>
      </c>
      <c r="AS81" s="966">
        <f>AO81+AP81-AQ81</f>
        <v/>
      </c>
      <c r="AT81" s="966">
        <f>AJ81+AK81+AL81-AM81+AN81-AI81</f>
        <v/>
      </c>
      <c r="AU81" s="966">
        <f>AF81+AI81-AO81</f>
        <v/>
      </c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-171377.796805</v>
      </c>
      <c r="BD81" s="966" t="n">
        <v>445365.382448</v>
      </c>
      <c r="BE81" s="966" t="n">
        <v>-8976.796313000001</v>
      </c>
      <c r="BF81" s="966" t="n">
        <v>-1047086.231137</v>
      </c>
      <c r="BG81" s="966" t="n">
        <v>167532.899966</v>
      </c>
      <c r="BH81" s="966" t="n"/>
      <c r="BI81" s="966" t="n">
        <v>-269.560465</v>
      </c>
      <c r="BJ81" s="966" t="n"/>
      <c r="BK81" s="966">
        <f>Q81</f>
        <v/>
      </c>
      <c r="BL81" s="966" t="n"/>
      <c r="BM81" s="966" t="n">
        <v>5466333.303446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>
        <v>0</v>
      </c>
      <c r="BU81" s="1205" t="n"/>
      <c r="BV81" s="1205" t="n"/>
      <c r="BW81" s="1205" t="n"/>
      <c r="BX81" s="1205" t="n"/>
      <c r="BY81" s="1205" t="n"/>
      <c r="BZ81" s="1205" t="n"/>
      <c r="CA81" s="1205" t="n"/>
      <c r="CB81" s="1205" t="n"/>
      <c r="CE81" s="1205" t="n"/>
      <c r="CF81" s="1205" t="n"/>
      <c r="CG81" s="1205" t="n"/>
      <c r="CH81" s="1205" t="n"/>
      <c r="CI81" s="1205" t="n"/>
      <c r="CL81" s="1205" t="n"/>
      <c r="CN81" s="786" t="n"/>
      <c r="CQ81" s="1201" t="n"/>
      <c r="CR81" s="1205" t="n"/>
      <c r="CS81" s="1205" t="n"/>
      <c r="CU81" s="697" t="n">
        <v>2019070.605177</v>
      </c>
      <c r="CW81" s="103" t="n"/>
      <c r="CX81" s="103" t="n"/>
      <c r="CY81" s="103" t="n"/>
      <c r="CZ81" s="786" t="n"/>
      <c r="DC81" s="1205" t="n"/>
      <c r="DG81" s="1205" t="n"/>
      <c r="DH81" s="1205" t="n"/>
      <c r="DI81" s="1205" t="n"/>
      <c r="DJ81" s="1205" t="n"/>
      <c r="DK81" s="1205" t="n"/>
      <c r="DL81" s="1205" t="n"/>
      <c r="DM81" s="1205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44466739.671615</v>
      </c>
      <c r="E82" s="697" t="n">
        <v>8911786.237605</v>
      </c>
      <c r="F82" s="697" t="n">
        <v>30307679.529424</v>
      </c>
      <c r="G82" s="697" t="n">
        <v>1392337.446824</v>
      </c>
      <c r="H82" s="697" t="n">
        <v>146196.728373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38752729.105954</v>
      </c>
      <c r="M82" s="697" t="n">
        <v>25472225.285432</v>
      </c>
      <c r="N82" s="697">
        <f>O82-P82</f>
        <v/>
      </c>
      <c r="O82" s="697" t="n">
        <v>5714010.565661</v>
      </c>
      <c r="P82" s="697" t="n">
        <v>283729.68</v>
      </c>
      <c r="Q82" s="697" t="n">
        <v>-666728.796239</v>
      </c>
      <c r="R82" s="697" t="n">
        <v>5935608.563494</v>
      </c>
      <c r="S82" s="697" t="n">
        <v>5740086.305047</v>
      </c>
      <c r="T82" s="979" t="n">
        <v>5456356.625047</v>
      </c>
      <c r="U82" s="697" t="n">
        <v>44466739.671615</v>
      </c>
      <c r="V82" s="1205" t="n"/>
      <c r="W82" s="1202" t="n"/>
      <c r="X82" s="990">
        <f>Q82</f>
        <v/>
      </c>
      <c r="Y82" s="1192" t="n"/>
      <c r="Z82" s="1192" t="n"/>
      <c r="AA82" s="1192" t="n"/>
      <c r="AB82" s="1192" t="n"/>
      <c r="AC82" s="1192" t="n"/>
      <c r="AD82" s="1192" t="n"/>
      <c r="AE82" s="697">
        <f>X82-(Y82+Z82+AA82+AB82+AC82+AD82)</f>
        <v/>
      </c>
      <c r="AF82" s="697" t="n">
        <v>724191.945967</v>
      </c>
      <c r="AG82" s="697" t="n">
        <v>4744667.88267</v>
      </c>
      <c r="AH82" s="697" t="n">
        <v>4020475.936703</v>
      </c>
      <c r="AI82" s="697" t="n">
        <v>604758.352688</v>
      </c>
      <c r="AJ82" s="1195" t="n">
        <v>-331473.587195</v>
      </c>
      <c r="AK82" s="1195" t="n">
        <v>12901.049594</v>
      </c>
      <c r="AL82" s="697">
        <f>AI82-AJ82-AK82+AM82-AN82</f>
        <v/>
      </c>
      <c r="AM82" s="1195" t="n">
        <v>5347.044633</v>
      </c>
      <c r="AN82" s="1195" t="n">
        <v>28279.966943</v>
      </c>
      <c r="AO82" s="697" t="n">
        <v>1328950.298655</v>
      </c>
      <c r="AP82" s="697" t="n">
        <v>2524.142953</v>
      </c>
      <c r="AQ82" s="697" t="n">
        <v>1331474.441608</v>
      </c>
      <c r="AR82" s="697" t="n">
        <v>987254.371281</v>
      </c>
      <c r="AS82" s="966">
        <f>AO82+AP82-AQ82</f>
        <v/>
      </c>
      <c r="AT82" s="966">
        <f>AJ82+AK82+AL82-AM82+AN82-AI82</f>
        <v/>
      </c>
      <c r="AU82" s="966">
        <f>AF82+AI82-AO82</f>
        <v/>
      </c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-171377.796805</v>
      </c>
      <c r="BD82" s="966" t="n">
        <v>65576.448019</v>
      </c>
      <c r="BE82" s="1192" t="n">
        <v>-4144.700667</v>
      </c>
      <c r="BF82" s="966" t="n">
        <v>-562729.606785</v>
      </c>
      <c r="BG82" s="966" t="n">
        <v>2430.796122</v>
      </c>
      <c r="BH82" s="1192" t="n"/>
      <c r="BI82" s="966" t="n">
        <v>-628.63679</v>
      </c>
      <c r="BJ82" s="1192" t="n"/>
      <c r="BK82" s="966">
        <f>Q82</f>
        <v/>
      </c>
      <c r="BL82" s="966" t="n"/>
      <c r="BM82" s="966" t="n">
        <v>5466333.303446</v>
      </c>
      <c r="BN82" s="966" t="n">
        <v>-513160</v>
      </c>
      <c r="BO82" s="1192" t="n"/>
      <c r="BP82" s="966">
        <f>AR82</f>
        <v/>
      </c>
      <c r="BQ82" s="1192" t="n"/>
      <c r="BR82" s="966" t="n">
        <v>-4819.111233</v>
      </c>
      <c r="BS82" s="966">
        <f>R82</f>
        <v/>
      </c>
      <c r="BT82" s="966" t="n">
        <v>0</v>
      </c>
      <c r="BU82" s="1205" t="n"/>
      <c r="BV82" s="1205" t="n"/>
      <c r="BW82" s="1205" t="n"/>
      <c r="BX82" s="1205" t="n"/>
      <c r="BY82" s="1205" t="n"/>
      <c r="BZ82" s="1205" t="n"/>
      <c r="CA82" s="1205" t="n"/>
      <c r="CB82" s="1205" t="n"/>
      <c r="CE82" s="1205" t="n"/>
      <c r="CF82" s="1205" t="n"/>
      <c r="CG82" s="1205" t="n"/>
      <c r="CH82" s="1205" t="n"/>
      <c r="CI82" s="1205" t="n"/>
      <c r="CL82" s="1205" t="n"/>
      <c r="CN82" s="786" t="n"/>
      <c r="CQ82" s="1201" t="n"/>
      <c r="CR82" s="1205" t="n"/>
      <c r="CS82" s="1205" t="n"/>
      <c r="CU82" s="697" t="n">
        <v>2234057.342324</v>
      </c>
      <c r="CW82" s="103" t="n"/>
      <c r="CX82" s="103" t="n"/>
      <c r="CY82" s="103" t="n"/>
      <c r="CZ82" s="786" t="n"/>
      <c r="DC82" s="1205" t="n"/>
      <c r="DG82" s="1205" t="n"/>
      <c r="DH82" s="1205" t="n"/>
      <c r="DI82" s="1205" t="n"/>
      <c r="DJ82" s="1205" t="n"/>
      <c r="DK82" s="1205" t="n"/>
      <c r="DL82" s="1205" t="n"/>
      <c r="DM82" s="1205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44532796.285194</v>
      </c>
      <c r="E83" s="697" t="n">
        <v>8567141.443325</v>
      </c>
      <c r="F83" s="697" t="n">
        <v>31228382.89197</v>
      </c>
      <c r="G83" s="697" t="n">
        <v>968976.169792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38937420.158409</v>
      </c>
      <c r="M83" s="697" t="n">
        <v>25520745.511828</v>
      </c>
      <c r="N83" s="697">
        <f>O83-P83</f>
        <v/>
      </c>
      <c r="O83" s="697" t="n">
        <v>5595376.126785</v>
      </c>
      <c r="P83" s="697" t="n">
        <v>283729.68</v>
      </c>
      <c r="Q83" s="697" t="n">
        <v>-904649.531873</v>
      </c>
      <c r="R83" s="697" t="n">
        <v>6054894.860252</v>
      </c>
      <c r="S83" s="697" t="n">
        <v>5740086.305047</v>
      </c>
      <c r="T83" s="979" t="n">
        <v>5456356.625047</v>
      </c>
      <c r="U83" s="697" t="n">
        <v>44532796.285194</v>
      </c>
      <c r="V83" s="1205" t="n"/>
      <c r="W83" s="1202" t="n"/>
      <c r="X83" s="697">
        <f>Q83</f>
        <v/>
      </c>
      <c r="Y83" s="1205" t="n"/>
      <c r="Z83" s="1205" t="n"/>
      <c r="AA83" s="1205" t="n"/>
      <c r="AB83" s="1205" t="n"/>
      <c r="AC83" s="1205" t="n"/>
      <c r="AD83" s="1205" t="n"/>
      <c r="AE83" s="697">
        <f>X83-(Y83+Z83+AA83+AB83+AC83+AD83)</f>
        <v/>
      </c>
      <c r="AF83" s="697" t="n">
        <v>1024249.485878</v>
      </c>
      <c r="AG83" s="697" t="n">
        <v>7185156.355375</v>
      </c>
      <c r="AH83" s="697" t="n">
        <v>6160906.869497</v>
      </c>
      <c r="AI83" s="697" t="n">
        <v>929749.132806</v>
      </c>
      <c r="AJ83" s="697" t="n">
        <v>-498519.441117</v>
      </c>
      <c r="AK83" s="697" t="n">
        <v>18403.740852</v>
      </c>
      <c r="AL83" s="697">
        <f>AI83-AJ83-AK83+AM83-AN83</f>
        <v/>
      </c>
      <c r="AM83" s="697" t="n">
        <v>7958.308712</v>
      </c>
      <c r="AN83" s="697" t="n">
        <v>140193.450424</v>
      </c>
      <c r="AO83" s="697" t="n">
        <v>1953998.618684</v>
      </c>
      <c r="AP83" s="697" t="n">
        <v>4545.696684</v>
      </c>
      <c r="AQ83" s="697" t="n">
        <v>1958544.315368</v>
      </c>
      <c r="AR83" s="697" t="n">
        <v>1451075.840971</v>
      </c>
      <c r="AS83" s="966">
        <f>AO83+AP83-AQ83</f>
        <v/>
      </c>
      <c r="AT83" s="966">
        <f>AJ83+AK83+AL83-AM83+AN83-AI83</f>
        <v/>
      </c>
      <c r="AU83" s="966">
        <f>AF83+AI83-AO83</f>
        <v/>
      </c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-171377.796805</v>
      </c>
      <c r="BD83" s="966" t="n">
        <v>-175950.262417</v>
      </c>
      <c r="BE83" s="966" t="n">
        <v>-687.1656410000001</v>
      </c>
      <c r="BF83" s="966" t="n">
        <v>-467810.452231</v>
      </c>
      <c r="BG83" s="966" t="n">
        <v>-88676.64801400001</v>
      </c>
      <c r="BH83" s="966" t="n"/>
      <c r="BI83" s="966" t="n">
        <v>-834.372406</v>
      </c>
      <c r="BJ83" s="966" t="n"/>
      <c r="BK83" s="966">
        <f>Q83</f>
        <v/>
      </c>
      <c r="BL83" s="966" t="n"/>
      <c r="BM83" s="966" t="n">
        <v>5466333.303446</v>
      </c>
      <c r="BN83" s="966" t="n">
        <v>-855270</v>
      </c>
      <c r="BO83" s="966" t="n"/>
      <c r="BP83" s="966">
        <f>AR83</f>
        <v/>
      </c>
      <c r="BQ83" s="966" t="n"/>
      <c r="BR83" s="966" t="n">
        <v>-7244.284165</v>
      </c>
      <c r="BS83" s="966">
        <f>R83</f>
        <v/>
      </c>
      <c r="BT83" s="966" t="n">
        <v>0</v>
      </c>
      <c r="BU83" s="1205" t="n"/>
      <c r="BV83" s="1205" t="n"/>
      <c r="BW83" s="1205" t="n"/>
      <c r="BX83" s="1205" t="n"/>
      <c r="BY83" s="1205" t="n"/>
      <c r="BZ83" s="1205" t="n"/>
      <c r="CA83" s="1205" t="n"/>
      <c r="CB83" s="1205" t="n"/>
      <c r="CE83" s="1205" t="n"/>
      <c r="CF83" s="1205" t="n"/>
      <c r="CG83" s="1205" t="n"/>
      <c r="CH83" s="1205" t="n"/>
      <c r="CI83" s="1205" t="n"/>
      <c r="CL83" s="1205" t="n"/>
      <c r="CN83" s="786" t="n"/>
      <c r="CQ83" s="1201" t="n"/>
      <c r="CR83" s="1205" t="n"/>
      <c r="CS83" s="1205" t="n"/>
      <c r="CU83" s="697" t="n">
        <v>2490007.295932</v>
      </c>
      <c r="CW83" s="103" t="n"/>
      <c r="CX83" s="103" t="n"/>
      <c r="CY83" s="103" t="n"/>
      <c r="CZ83" s="786" t="n"/>
      <c r="DC83" s="1205" t="n"/>
      <c r="DG83" s="1205" t="n"/>
      <c r="DH83" s="1205" t="n"/>
      <c r="DI83" s="1205" t="n"/>
      <c r="DJ83" s="1205" t="n"/>
      <c r="DK83" s="1205" t="n"/>
      <c r="DL83" s="1205" t="n"/>
      <c r="DM83" s="1205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44242792.244563</v>
      </c>
      <c r="E84" s="697" t="n">
        <v>7569926.137527</v>
      </c>
      <c r="F84" s="697" t="n">
        <v>31560738.837675</v>
      </c>
      <c r="G84" s="697" t="n">
        <v>972103.649955</v>
      </c>
      <c r="H84" s="697" t="n">
        <v>219756.806124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38388473.445768</v>
      </c>
      <c r="M84" s="697" t="n">
        <v>23715710.921184</v>
      </c>
      <c r="N84" s="697">
        <f>O84-P84</f>
        <v/>
      </c>
      <c r="O84" s="697" t="n">
        <v>5854318.798795</v>
      </c>
      <c r="P84" s="697" t="n">
        <v>179195.32</v>
      </c>
      <c r="Q84" s="697" t="n">
        <v>-759257.610688</v>
      </c>
      <c r="R84" s="697" t="n">
        <v>6272973.47037</v>
      </c>
      <c r="S84" s="697" t="n">
        <v>5740086.305047</v>
      </c>
      <c r="T84" s="979" t="n">
        <v>5456356.625047</v>
      </c>
      <c r="U84" s="697" t="n">
        <v>44242792.244563</v>
      </c>
      <c r="V84" s="697" t="n">
        <v>42515095</v>
      </c>
      <c r="W84" s="142" t="n">
        <v>0.961</v>
      </c>
      <c r="X84" s="697">
        <f>Q84</f>
        <v/>
      </c>
      <c r="Y84" s="697" t="n">
        <v>-1915964</v>
      </c>
      <c r="Z84" s="1205" t="n"/>
      <c r="AA84" s="1205" t="n"/>
      <c r="AB84" s="1205" t="n"/>
      <c r="AC84" s="697" t="n">
        <v>462769</v>
      </c>
      <c r="AD84" s="1195" t="n">
        <v>-21711</v>
      </c>
      <c r="AF84" s="697" t="n">
        <v>1425411.27889</v>
      </c>
      <c r="AG84" s="697" t="n">
        <v>9542054.947107</v>
      </c>
      <c r="AH84" s="697" t="n">
        <v>8116643.668217</v>
      </c>
      <c r="AI84" s="697" t="n">
        <v>862351.698548</v>
      </c>
      <c r="AJ84" s="697" t="n">
        <v>-675238.217876</v>
      </c>
      <c r="AK84" s="697" t="n">
        <v>33663.079261</v>
      </c>
      <c r="AL84" s="697">
        <f>AI84-AJ84-AK84+AM84-AN84</f>
        <v/>
      </c>
      <c r="AM84" s="697" t="n">
        <v>23955.774512</v>
      </c>
      <c r="AN84" s="697" t="n">
        <v>364916.202222</v>
      </c>
      <c r="AO84" s="697" t="n">
        <v>2287762.977438</v>
      </c>
      <c r="AP84" s="697" t="n">
        <v>6264.479184</v>
      </c>
      <c r="AQ84" s="697" t="n">
        <v>2294027.456622</v>
      </c>
      <c r="AR84" s="697" t="n">
        <v>1681024.330229</v>
      </c>
      <c r="AS84" s="966">
        <f>AO84+AP84-AQ84</f>
        <v/>
      </c>
      <c r="AT84" s="966">
        <f>AJ84+AK84+AL84-AM84+AN84-AI84</f>
        <v/>
      </c>
      <c r="AU84" s="966">
        <f>AF84+AI84-AO84</f>
        <v/>
      </c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-171377.796805</v>
      </c>
      <c r="BD84" s="966" t="n">
        <v>-876505.89321</v>
      </c>
      <c r="BE84" s="966" t="n">
        <v>-9539.692451000001</v>
      </c>
      <c r="BF84" s="966" t="n">
        <v>683648.09089</v>
      </c>
      <c r="BG84" s="966" t="n">
        <v>-388787.541919</v>
      </c>
      <c r="BH84" s="1192" t="n"/>
      <c r="BI84" s="966" t="n">
        <v>-536.907845</v>
      </c>
      <c r="BJ84" s="966" t="n"/>
      <c r="BK84" s="966">
        <f>Q84</f>
        <v/>
      </c>
      <c r="BL84" s="966" t="n"/>
      <c r="BM84" s="1192" t="n">
        <v>5466333.303446</v>
      </c>
      <c r="BN84" s="966" t="n">
        <v>-855270</v>
      </c>
      <c r="BO84" s="966" t="n"/>
      <c r="BP84" s="966">
        <f>AR84</f>
        <v/>
      </c>
      <c r="BQ84" s="966" t="n">
        <v>12.07566</v>
      </c>
      <c r="BR84" s="1192" t="n">
        <v>-9377.456657999999</v>
      </c>
      <c r="BS84" s="966">
        <f>R84</f>
        <v/>
      </c>
      <c r="BT84" s="966" t="n">
        <v>0</v>
      </c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>
        <f>CB84+BX84-BY84+BZ84+CA84-BW84</f>
        <v/>
      </c>
      <c r="CE84" s="1205" t="n"/>
      <c r="CF84" s="1205" t="n"/>
      <c r="CG84" s="1205" t="n"/>
      <c r="CH84" s="1205" t="n"/>
      <c r="CI84" s="1205" t="n"/>
      <c r="CJ84" s="697">
        <f>BW84</f>
        <v/>
      </c>
      <c r="CL84" s="1195" t="n">
        <v>0</v>
      </c>
      <c r="CN84" s="1201" t="n">
        <v>2.413</v>
      </c>
      <c r="CO84" s="697" t="n">
        <v>13350622</v>
      </c>
      <c r="CP84" s="1195" t="n">
        <v>5532186</v>
      </c>
      <c r="CQ84" s="991" t="n">
        <v>2.413</v>
      </c>
      <c r="CR84" s="966" t="n">
        <v>13350622</v>
      </c>
      <c r="CS84" s="966" t="n">
        <v>5532186</v>
      </c>
      <c r="CU84" s="697" t="n">
        <v>2976566.402034</v>
      </c>
      <c r="CW84" s="103" t="n">
        <v>0.9661</v>
      </c>
      <c r="CX84" s="103" t="n">
        <v>0.9659</v>
      </c>
      <c r="CY84" s="103">
        <f>CW84-CX84</f>
        <v/>
      </c>
      <c r="CZ84" s="786">
        <f>CX84/CW84</f>
        <v/>
      </c>
      <c r="DC84" s="1205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>
        <v>0</v>
      </c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1192" t="n"/>
      <c r="P86" s="979" t="n"/>
      <c r="Q86" s="1192" t="n"/>
      <c r="R86" s="1192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1192" t="n"/>
      <c r="BU86" s="1192" t="n"/>
      <c r="BV86" s="1192" t="n"/>
      <c r="BW86" s="1192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979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1196" t="n"/>
      <c r="W87" s="1202" t="n"/>
      <c r="X87" s="979">
        <f>Q87</f>
        <v/>
      </c>
      <c r="Y87" s="1192" t="n">
        <v>-1616540</v>
      </c>
      <c r="Z87" s="1192" t="n"/>
      <c r="AA87" s="1192" t="n"/>
      <c r="AB87" s="1192" t="n">
        <v>77139</v>
      </c>
      <c r="AC87" s="979" t="n">
        <v>50988</v>
      </c>
      <c r="AD87" s="979" t="n">
        <v>-15059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977">
        <f>AI87-AJ87-AK87+AM87-AN87</f>
        <v/>
      </c>
      <c r="AM87" s="977" t="n">
        <v>38780</v>
      </c>
      <c r="AN87" s="977" t="n">
        <v>337906</v>
      </c>
      <c r="AO87" s="1191" t="n"/>
      <c r="AP87" s="977" t="n">
        <v>-1067</v>
      </c>
      <c r="AQ87" s="1192" t="n">
        <v>1042375</v>
      </c>
      <c r="AR87" s="1192" t="n">
        <v>776386</v>
      </c>
      <c r="AS87" s="979" t="n"/>
      <c r="AT87" s="979">
        <f>AJ87+AK87+AL87-AM87+AN87-AI87</f>
        <v/>
      </c>
      <c r="AU87" s="979" t="n"/>
      <c r="AV87" s="979">
        <f>AF87</f>
        <v/>
      </c>
      <c r="AW87" s="979">
        <f>AI87</f>
        <v/>
      </c>
      <c r="AX87" s="979">
        <f>AP87</f>
        <v/>
      </c>
      <c r="AY87" s="979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>
        <v>3268</v>
      </c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977">
        <f>Q87</f>
        <v/>
      </c>
      <c r="BL87" s="979" t="n"/>
      <c r="BM87" s="1191" t="n">
        <v>5212331</v>
      </c>
      <c r="BN87" s="977" t="n">
        <v>-350002</v>
      </c>
      <c r="BO87" s="977" t="n"/>
      <c r="BP87" s="977">
        <f>AR87</f>
        <v/>
      </c>
      <c r="BQ87" s="977" t="n"/>
      <c r="BR87" s="977" t="n"/>
      <c r="BS87" s="977">
        <f>R87</f>
        <v/>
      </c>
      <c r="BT87" s="979" t="n">
        <v>0</v>
      </c>
      <c r="BU87" s="1192" t="n"/>
      <c r="BV87" s="1192" t="n"/>
      <c r="BW87" s="1192" t="n"/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977" t="n"/>
      <c r="CK87" s="977" t="n"/>
      <c r="CL87" s="1191" t="n"/>
      <c r="CM87" s="977" t="n"/>
      <c r="CN87" s="1201" t="n"/>
      <c r="CO87" s="1191" t="n"/>
      <c r="CP87" s="1191" t="n"/>
      <c r="CQ87" s="1201" t="n"/>
      <c r="CR87" s="1191" t="n"/>
      <c r="CS87" s="1191" t="n"/>
      <c r="CT87" s="977" t="n"/>
      <c r="CU87" s="977" t="n">
        <v>2792853</v>
      </c>
      <c r="CV87" s="977" t="n"/>
      <c r="CW87" s="977" t="n"/>
      <c r="CX87" s="977" t="n"/>
      <c r="CY87" s="977" t="n"/>
      <c r="CZ87" s="977" t="n"/>
      <c r="DA87" s="977" t="n"/>
      <c r="DB87" s="977" t="n"/>
      <c r="DC87" s="1201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38051200</v>
      </c>
      <c r="W88" s="107" t="n">
        <v>0.9350000000000001</v>
      </c>
      <c r="X88" s="979">
        <f>Q88</f>
        <v/>
      </c>
      <c r="Y88" s="1192" t="n">
        <v>-1080807</v>
      </c>
      <c r="Z88" s="979" t="n">
        <v>236173</v>
      </c>
      <c r="AA88" s="979" t="n">
        <v>-5578</v>
      </c>
      <c r="AB88" s="1192" t="n">
        <v>144112</v>
      </c>
      <c r="AC88" s="979" t="n">
        <v>50988</v>
      </c>
      <c r="AD88" s="979" t="n">
        <v>-40382</v>
      </c>
      <c r="AE88" s="979">
        <f>X88-(Y88+Z88+AA88+AB88+AC88+AD88)</f>
        <v/>
      </c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977">
        <f>AI88-AJ88-AK88+AM88-AN88</f>
        <v/>
      </c>
      <c r="AM88" s="977" t="n">
        <v>27369</v>
      </c>
      <c r="AN88" s="1191" t="n">
        <v>349344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>
        <f>AO88+AP88-AQ88</f>
        <v/>
      </c>
      <c r="AT88" s="979">
        <f>AJ88+AK88+AL88-AM88+AN88-AI88</f>
        <v/>
      </c>
      <c r="AU88" s="979">
        <f>AF88+AI88-AO88</f>
        <v/>
      </c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1201" t="n"/>
      <c r="BC88" s="977" t="n">
        <v>364126</v>
      </c>
      <c r="BD88" s="977" t="n">
        <v>536093</v>
      </c>
      <c r="BE88" s="977" t="n">
        <v>423</v>
      </c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>
        <v>0</v>
      </c>
      <c r="BU88" s="1192" t="n"/>
      <c r="BV88" s="1192" t="n"/>
      <c r="BW88" s="1192" t="n"/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977" t="n"/>
      <c r="CK88" s="977" t="n"/>
      <c r="CL88" s="1191" t="n"/>
      <c r="CM88" s="977" t="n"/>
      <c r="CN88" s="978" t="n">
        <v>1.8619</v>
      </c>
      <c r="CO88" s="977" t="n">
        <v>11309886</v>
      </c>
      <c r="CP88" s="977" t="n">
        <v>6074317</v>
      </c>
      <c r="CQ88" s="1201" t="n">
        <v>1.8619</v>
      </c>
      <c r="CR88" s="977" t="n">
        <v>11309886</v>
      </c>
      <c r="CS88" s="977" t="n">
        <v>6074317</v>
      </c>
      <c r="CT88" s="977" t="n"/>
      <c r="CU88" s="977" t="n">
        <v>2838012</v>
      </c>
      <c r="CV88" s="977" t="n"/>
      <c r="CW88" s="108" t="n">
        <v>0.946</v>
      </c>
      <c r="CX88" s="108" t="n">
        <v>0.883</v>
      </c>
      <c r="CY88" s="108">
        <f>CW88-CX88</f>
        <v/>
      </c>
      <c r="CZ88" s="978">
        <f>CX88/CW88</f>
        <v/>
      </c>
      <c r="DA88" s="977" t="n"/>
      <c r="DB88" s="977" t="n"/>
      <c r="DC88" s="1201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>
        <v>0</v>
      </c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1196" t="n"/>
      <c r="W89" s="1202" t="n"/>
      <c r="X89" s="979">
        <f>Q89</f>
        <v/>
      </c>
      <c r="Y89" s="1192" t="n"/>
      <c r="Z89" s="1192" t="n"/>
      <c r="AA89" s="1192" t="n"/>
      <c r="AB89" s="1192" t="n"/>
      <c r="AC89" s="1192" t="n"/>
      <c r="AD89" s="1192" t="n"/>
      <c r="AE89" s="979">
        <f>X89-(Y89+Z89+AA89+AB89+AC89+AD89)</f>
        <v/>
      </c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977">
        <f>AI89-AJ89-AK89+AM89-AN89</f>
        <v/>
      </c>
      <c r="AM89" s="977" t="n">
        <v>7098</v>
      </c>
      <c r="AN89" s="1191" t="n">
        <v>83613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>
        <f>AO89+AP89-AQ89</f>
        <v/>
      </c>
      <c r="AT89" s="979">
        <f>AJ89+AK89+AL89-AM89+AN89-AI89</f>
        <v/>
      </c>
      <c r="AU89" s="979">
        <f>AF89+AI89-AO89</f>
        <v/>
      </c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>
        <v>59</v>
      </c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>
        <v>0</v>
      </c>
      <c r="BU89" s="1192" t="n"/>
      <c r="BV89" s="1192" t="n"/>
      <c r="BW89" s="1192" t="n"/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977" t="n"/>
      <c r="CK89" s="977" t="n"/>
      <c r="CL89" s="1191" t="n"/>
      <c r="CM89" s="977" t="n"/>
      <c r="CN89" s="978" t="n"/>
      <c r="CO89" s="977" t="n"/>
      <c r="CP89" s="977" t="n"/>
      <c r="CQ89" s="1201" t="n"/>
      <c r="CR89" s="1191" t="n"/>
      <c r="CS89" s="1191" t="n"/>
      <c r="CT89" s="977" t="n"/>
      <c r="CU89" s="977" t="n">
        <v>3453707</v>
      </c>
      <c r="CV89" s="977" t="n"/>
      <c r="CW89" s="108" t="n"/>
      <c r="CX89" s="108" t="n"/>
      <c r="CY89" s="108" t="n"/>
      <c r="CZ89" s="978" t="n"/>
      <c r="DA89" s="977" t="n"/>
      <c r="DB89" s="977" t="n"/>
      <c r="DC89" s="1201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1196" t="n"/>
      <c r="W90" s="1202" t="n"/>
      <c r="X90" s="979">
        <f>Q90</f>
        <v/>
      </c>
      <c r="Y90" s="1192" t="n"/>
      <c r="Z90" s="1192" t="n"/>
      <c r="AA90" s="1192" t="n"/>
      <c r="AB90" s="1192" t="n"/>
      <c r="AC90" s="1192" t="n"/>
      <c r="AD90" s="1192" t="n"/>
      <c r="AE90" s="979">
        <f>X90-(Y90+Z90+AA90+AB90+AC90+AD90)</f>
        <v/>
      </c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1191" t="n">
        <v>-338410</v>
      </c>
      <c r="AK90" s="1191" t="n">
        <v>-14721</v>
      </c>
      <c r="AL90" s="977">
        <f>AI90-AJ90-AK90+AM90-AN90</f>
        <v/>
      </c>
      <c r="AM90" s="1191" t="n">
        <v>11878</v>
      </c>
      <c r="AN90" s="1191" t="n">
        <v>160467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>
        <f>AO90+AP90-AQ90</f>
        <v/>
      </c>
      <c r="AT90" s="979">
        <f>AJ90+AK90+AL90-AM90+AN90-AI90</f>
        <v/>
      </c>
      <c r="AU90" s="979">
        <f>AF90+AI90-AO90</f>
        <v/>
      </c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126165</v>
      </c>
      <c r="BE90" s="787" t="n">
        <v>-86</v>
      </c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>
        <v>0</v>
      </c>
      <c r="BU90" s="1192" t="n"/>
      <c r="BV90" s="1192" t="n"/>
      <c r="BW90" s="1192" t="n"/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977" t="n"/>
      <c r="CK90" s="977" t="n"/>
      <c r="CL90" s="1191" t="n"/>
      <c r="CM90" s="977" t="n"/>
      <c r="CN90" s="978" t="n"/>
      <c r="CO90" s="977" t="n"/>
      <c r="CP90" s="977" t="n"/>
      <c r="CQ90" s="1201" t="n"/>
      <c r="CR90" s="1191" t="n"/>
      <c r="CS90" s="1191" t="n"/>
      <c r="CT90" s="977" t="n"/>
      <c r="CU90" s="977" t="n">
        <v>3281748</v>
      </c>
      <c r="CV90" s="977" t="n"/>
      <c r="CW90" s="108" t="n"/>
      <c r="CX90" s="108" t="n"/>
      <c r="CY90" s="108" t="n"/>
      <c r="CZ90" s="978" t="n"/>
      <c r="DA90" s="977" t="n"/>
      <c r="DB90" s="977" t="n"/>
      <c r="DC90" s="1201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1196" t="n"/>
      <c r="W91" s="1202" t="n"/>
      <c r="X91" s="979">
        <f>Q91</f>
        <v/>
      </c>
      <c r="Y91" s="1192" t="n"/>
      <c r="Z91" s="1192" t="n"/>
      <c r="AA91" s="1192" t="n"/>
      <c r="AB91" s="1192" t="n"/>
      <c r="AC91" s="1192" t="n"/>
      <c r="AD91" s="1192" t="n"/>
      <c r="AE91" s="979">
        <f>X91-(Y91+Z91+AA91+AB91+AC91+AD91)</f>
        <v/>
      </c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977">
        <f>AI91-AJ91-AK91+AM91-AN91</f>
        <v/>
      </c>
      <c r="AM91" s="977" t="n">
        <v>16868</v>
      </c>
      <c r="AN91" s="977" t="n">
        <v>246879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>
        <f>AO91+AP91-AQ91</f>
        <v/>
      </c>
      <c r="AT91" s="979">
        <f>AJ91+AK91+AL91-AM91+AN91-AI91</f>
        <v/>
      </c>
      <c r="AU91" s="979">
        <f>AF91+AI91-AO91</f>
        <v/>
      </c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1191" t="n">
        <v>-23329</v>
      </c>
      <c r="BE91" s="977" t="n">
        <v>-199</v>
      </c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>
        <v>0</v>
      </c>
      <c r="BU91" s="1192" t="n"/>
      <c r="BV91" s="1192" t="n"/>
      <c r="BW91" s="1192" t="n"/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977" t="n"/>
      <c r="CK91" s="977" t="n"/>
      <c r="CL91" s="1191" t="n"/>
      <c r="CM91" s="977" t="n"/>
      <c r="CN91" s="978" t="n"/>
      <c r="CO91" s="977" t="n"/>
      <c r="CP91" s="977" t="n"/>
      <c r="CQ91" s="1201" t="n"/>
      <c r="CR91" s="1191" t="n"/>
      <c r="CS91" s="1191" t="n"/>
      <c r="CT91" s="977" t="n"/>
      <c r="CU91" s="977" t="n">
        <v>3487842</v>
      </c>
      <c r="CV91" s="977" t="n"/>
      <c r="CW91" s="108" t="n"/>
      <c r="CX91" s="108" t="n"/>
      <c r="CY91" s="108" t="n"/>
      <c r="CZ91" s="978" t="n"/>
      <c r="DA91" s="977" t="n"/>
      <c r="DB91" s="977" t="n"/>
      <c r="DC91" s="1201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1196" t="n"/>
      <c r="W92" s="1202" t="n"/>
      <c r="X92" s="979">
        <f>Q92</f>
        <v/>
      </c>
      <c r="Y92" s="1192" t="n">
        <v>-1908295</v>
      </c>
      <c r="Z92" s="979" t="n">
        <v>773926</v>
      </c>
      <c r="AA92" s="979" t="n">
        <v>-12979</v>
      </c>
      <c r="AB92" s="1192" t="n">
        <v>-197292</v>
      </c>
      <c r="AC92" s="979" t="n">
        <v>50226</v>
      </c>
      <c r="AD92" s="979" t="n">
        <v>-23677</v>
      </c>
      <c r="AE92" s="979">
        <f>X92-(Y92+Z92+AA92+AB92+AC92+AD92)</f>
        <v/>
      </c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977">
        <f>AI92-AJ92-AK92+AM92-AN92</f>
        <v/>
      </c>
      <c r="AM92" s="977" t="n">
        <v>21522</v>
      </c>
      <c r="AN92" s="977" t="n">
        <v>364385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>
        <f>AO92+AP92-AQ92</f>
        <v/>
      </c>
      <c r="AT92" s="979">
        <f>AJ92+AK92+AL92-AM92+AN92-AI92</f>
        <v/>
      </c>
      <c r="AU92" s="979">
        <f>AF92+AI92-AO92</f>
        <v/>
      </c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-827847</v>
      </c>
      <c r="BE92" s="977" t="n">
        <v>257</v>
      </c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>
        <f>BK92-BC92-SUM(BD92:BJ92)</f>
        <v/>
      </c>
      <c r="BM92" s="977" t="n">
        <v>6158762</v>
      </c>
      <c r="BN92" s="977" t="n">
        <v>-299982</v>
      </c>
      <c r="BO92" s="977" t="n"/>
      <c r="BP92" s="977">
        <f>AR92</f>
        <v/>
      </c>
      <c r="BQ92" s="1191" t="n">
        <v>3895</v>
      </c>
      <c r="BR92" s="977" t="n"/>
      <c r="BS92" s="977">
        <f>R92</f>
        <v/>
      </c>
      <c r="BT92" s="979" t="n">
        <v>0</v>
      </c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>
        <f>CB92+BX92-BY92+BZ92+CA92-BW92</f>
        <v/>
      </c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>
        <v>0</v>
      </c>
      <c r="CM92" s="977" t="n"/>
      <c r="CN92" s="1201" t="n"/>
      <c r="CO92" s="1191" t="n"/>
      <c r="CP92" s="1191" t="n"/>
      <c r="CQ92" s="1200" t="n"/>
      <c r="CR92" s="1192" t="n"/>
      <c r="CS92" s="1192" t="n"/>
      <c r="CT92" s="977" t="n"/>
      <c r="CU92" s="977" t="n">
        <v>3646236</v>
      </c>
      <c r="CV92" s="977" t="n"/>
      <c r="CW92" s="108" t="n">
        <v>0.945</v>
      </c>
      <c r="CX92" s="108" t="n">
        <v>0.9690000000000001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>
        <v>0</v>
      </c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O94" s="1205" t="n"/>
      <c r="Q94" s="1205" t="n"/>
      <c r="R94" s="1205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1192" t="n"/>
      <c r="BU94" s="1205" t="n"/>
      <c r="BV94" s="1205" t="n"/>
      <c r="BW94" s="1205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48513527.683125</v>
      </c>
      <c r="E95" s="697" t="n">
        <v>11183349.499132</v>
      </c>
      <c r="F95" s="697" t="n">
        <v>19545190.388694</v>
      </c>
      <c r="G95" s="697" t="n">
        <v>11813123.755885</v>
      </c>
      <c r="H95" s="697" t="n">
        <v>860493.081155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39837977.664305</v>
      </c>
      <c r="M95" s="697" t="n">
        <v>29395049.529557</v>
      </c>
      <c r="N95" s="697">
        <f>O95-P95</f>
        <v/>
      </c>
      <c r="O95" s="697" t="n">
        <v>8675550.018820001</v>
      </c>
      <c r="Q95" s="697" t="n">
        <v>104094.845528</v>
      </c>
      <c r="R95" s="697" t="n">
        <v>8650634.401634</v>
      </c>
      <c r="S95" s="1195" t="n">
        <v>9223423.899777001</v>
      </c>
      <c r="T95" s="1192" t="n">
        <v>9223423.899777001</v>
      </c>
      <c r="U95" s="697" t="n">
        <v>48513527.683125</v>
      </c>
      <c r="V95" s="1205" t="n"/>
      <c r="W95" s="1202" t="n"/>
      <c r="X95" s="697">
        <f>Q95</f>
        <v/>
      </c>
      <c r="Y95" s="1195" t="n">
        <v>-26516</v>
      </c>
      <c r="Z95" s="1195" t="n">
        <v>-2714153</v>
      </c>
      <c r="AA95" s="1195" t="n">
        <v>12504</v>
      </c>
      <c r="AB95" s="1205" t="n"/>
      <c r="AC95" s="1205" t="n"/>
      <c r="AD95" s="1195" t="n">
        <v>225318</v>
      </c>
      <c r="AF95" s="697" t="n">
        <v>1550007.97701</v>
      </c>
      <c r="AG95" s="697" t="n">
        <v>14936307.512484</v>
      </c>
      <c r="AH95" s="697" t="n">
        <v>13386299.535474</v>
      </c>
      <c r="AI95" s="697" t="n">
        <v>466754.713684</v>
      </c>
      <c r="AJ95" s="697" t="n">
        <v>-788811.326731</v>
      </c>
      <c r="AL95" s="697">
        <f>AI95-AJ95-AK95+AM95-AN95</f>
        <v/>
      </c>
      <c r="AM95" s="697" t="n">
        <v>43002.0375</v>
      </c>
      <c r="AN95" s="697" t="n">
        <v>445875.049828</v>
      </c>
      <c r="AO95" s="697" t="n">
        <v>2016762.690694</v>
      </c>
      <c r="AP95" s="697" t="n">
        <v>8523.729153</v>
      </c>
      <c r="AQ95" s="697" t="n">
        <v>2025286.419847</v>
      </c>
      <c r="AR95" s="697" t="n">
        <v>1536745.952688</v>
      </c>
      <c r="AS95" s="966">
        <f>AO95+AP95-AQ95</f>
        <v/>
      </c>
      <c r="AT95" s="966">
        <f>AJ95+AK95+AL95-AM95+AN95-AI95</f>
        <v/>
      </c>
      <c r="AU95" s="966">
        <f>AF95+AI95-AO95</f>
        <v/>
      </c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1201" t="n"/>
      <c r="BC95" s="1195" t="n">
        <v>1867440.203082</v>
      </c>
      <c r="BD95" s="697" t="n">
        <v>957440.68825</v>
      </c>
      <c r="BF95" s="697" t="n">
        <v>-1047114.11923</v>
      </c>
      <c r="BG95" s="697" t="n">
        <v>82037.412347</v>
      </c>
      <c r="BH95" s="697" t="n">
        <v>895.8450759999999</v>
      </c>
      <c r="BI95" s="697" t="n">
        <v>-28167.176781</v>
      </c>
      <c r="BJ95" s="1195" t="n">
        <v>-1302.31885</v>
      </c>
      <c r="BK95" s="697">
        <f>Q95</f>
        <v/>
      </c>
      <c r="BL95" s="966">
        <f>BK95-BC95-SUM(BD95:BJ95)</f>
        <v/>
      </c>
      <c r="BM95" s="1195" t="n">
        <v>7435162.925037</v>
      </c>
      <c r="BN95" s="697" t="n">
        <v>-276199.9574</v>
      </c>
      <c r="BP95" s="697">
        <f>AR95</f>
        <v/>
      </c>
      <c r="BQ95" s="1205" t="n"/>
      <c r="BS95" s="697">
        <f>R95</f>
        <v/>
      </c>
      <c r="BT95" s="966" t="n">
        <v>0</v>
      </c>
      <c r="BU95" s="1205" t="n"/>
      <c r="BV95" s="1205" t="n"/>
      <c r="BW95" s="1205" t="n"/>
      <c r="BX95" s="1205" t="n"/>
      <c r="BY95" s="1205" t="n"/>
      <c r="BZ95" s="1205" t="n"/>
      <c r="CA95" s="1205" t="n"/>
      <c r="CB95" s="1205" t="n"/>
      <c r="CL95" s="1205" t="n"/>
      <c r="CN95" s="1201" t="n"/>
      <c r="CO95" s="1205" t="n"/>
      <c r="CP95" s="1205" t="n"/>
      <c r="CQ95" s="1201" t="n"/>
      <c r="CR95" s="1205" t="n"/>
      <c r="CS95" s="1205" t="n"/>
      <c r="CU95" s="1195" t="n">
        <v>-2645779.990395</v>
      </c>
      <c r="DG95" s="1205" t="n"/>
      <c r="DH95" s="1205" t="n"/>
      <c r="DK95" s="1205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52858940.874889</v>
      </c>
      <c r="E96" s="697" t="n">
        <v>11418284.442054</v>
      </c>
      <c r="F96" s="697" t="n">
        <v>22226035.937252</v>
      </c>
      <c r="G96" s="697" t="n">
        <v>13714616.175914</v>
      </c>
      <c r="H96" s="697" t="n">
        <v>1019190.633577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44442942.208589</v>
      </c>
      <c r="M96" s="697" t="n">
        <v>31937300.553866</v>
      </c>
      <c r="N96" s="697">
        <f>O96-P96</f>
        <v/>
      </c>
      <c r="O96" s="697" t="n">
        <v>8415998.666300001</v>
      </c>
      <c r="Q96" s="697" t="n">
        <v>-1609455.266593</v>
      </c>
      <c r="R96" s="697" t="n">
        <v>10104633.161235</v>
      </c>
      <c r="S96" s="697" t="n">
        <v>8675550.018820001</v>
      </c>
      <c r="T96" s="979" t="n">
        <v>8675550.018820001</v>
      </c>
      <c r="U96" s="697" t="n">
        <v>52858940.874889</v>
      </c>
      <c r="V96" s="1195" t="n">
        <v>9573390</v>
      </c>
      <c r="W96" s="1202" t="n">
        <v>0.9590000000000001</v>
      </c>
      <c r="X96" s="697">
        <f>Q96</f>
        <v/>
      </c>
      <c r="Y96" s="1195" t="n">
        <v>-2801959</v>
      </c>
      <c r="Z96" s="1195" t="n">
        <v>225726</v>
      </c>
      <c r="AA96" s="1195" t="n">
        <v>2723</v>
      </c>
      <c r="AB96" s="1195" t="n">
        <v>94375</v>
      </c>
      <c r="AC96" s="1195" t="n">
        <v>369033</v>
      </c>
      <c r="AD96" s="1205" t="n"/>
      <c r="AF96" s="697" t="n">
        <v>1619094.289949</v>
      </c>
      <c r="AG96" s="697" t="n">
        <v>15052383.574282</v>
      </c>
      <c r="AH96" s="697" t="n">
        <v>13433289.284333</v>
      </c>
      <c r="AI96" s="697" t="n">
        <v>743568.2247200001</v>
      </c>
      <c r="AJ96" s="697" t="n">
        <v>-770184.220429</v>
      </c>
      <c r="AL96" s="697">
        <f>AI96-AJ96-AK96+AM96-AN96</f>
        <v/>
      </c>
      <c r="AM96" s="697" t="n">
        <v>36144.763441</v>
      </c>
      <c r="AN96" s="697" t="n">
        <v>511841.556439</v>
      </c>
      <c r="AO96" s="697" t="n">
        <v>2362662.514669</v>
      </c>
      <c r="AP96" s="697" t="n">
        <v>3151.389897</v>
      </c>
      <c r="AQ96" s="697" t="n">
        <v>2365813.904566</v>
      </c>
      <c r="AR96" s="697" t="n">
        <v>1772229.201821</v>
      </c>
      <c r="AS96" s="966">
        <f>AO96+AP96-AQ96</f>
        <v/>
      </c>
      <c r="AT96" s="966">
        <f>AJ96+AK96+AL96-AM96+AN96-AI96</f>
        <v/>
      </c>
      <c r="AU96" s="966">
        <f>AF96+AI96-AO96</f>
        <v/>
      </c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1201" t="n"/>
      <c r="BC96" s="697" t="n">
        <v>104094.845528</v>
      </c>
      <c r="BD96" s="1195" t="n">
        <v>51322.176007</v>
      </c>
      <c r="BF96" s="697" t="n">
        <v>-1869152.877961</v>
      </c>
      <c r="BG96" s="697" t="n">
        <v>73776.882153</v>
      </c>
      <c r="BH96" s="697" t="n">
        <v>352.990764</v>
      </c>
      <c r="BI96" s="697" t="n">
        <v>-19614.623966</v>
      </c>
      <c r="BJ96" s="697" t="n">
        <v>30495.461398</v>
      </c>
      <c r="BK96" s="697">
        <f>Q96</f>
        <v/>
      </c>
      <c r="BL96" s="966">
        <f>BK96-BC96-SUM(BD96:BJ96)</f>
        <v/>
      </c>
      <c r="BM96" s="697" t="n">
        <v>8650634.401634</v>
      </c>
      <c r="BN96" s="697" t="n">
        <v>-318230.3857</v>
      </c>
      <c r="BP96" s="697">
        <f>AR96</f>
        <v/>
      </c>
      <c r="BQ96" s="1205" t="n"/>
      <c r="BS96" s="697">
        <f>R96</f>
        <v/>
      </c>
      <c r="BT96" s="966" t="n">
        <v>0</v>
      </c>
      <c r="BU96" s="1205" t="n"/>
      <c r="BV96" s="1205" t="n"/>
      <c r="BW96" s="1205" t="n"/>
      <c r="BX96" s="1205" t="n"/>
      <c r="BY96" s="1205" t="n"/>
      <c r="BZ96" s="1205" t="n"/>
      <c r="CA96" s="1205" t="n"/>
      <c r="CB96" s="1205" t="n"/>
      <c r="CD96" s="985" t="n"/>
      <c r="CE96" s="1205" t="n"/>
      <c r="CF96" s="1205" t="n"/>
      <c r="CG96" s="1205" t="n"/>
      <c r="CH96" s="1205" t="n"/>
      <c r="CI96" s="1205" t="n"/>
      <c r="CL96" s="1205" t="n"/>
      <c r="CN96" s="697" t="n">
        <v>2.03</v>
      </c>
      <c r="CO96" s="697" t="n">
        <v>19097509</v>
      </c>
      <c r="CP96" s="697" t="n">
        <v>9408163</v>
      </c>
      <c r="CQ96" s="1000" t="n">
        <v>2.03</v>
      </c>
      <c r="CR96" s="697" t="n">
        <v>19097509</v>
      </c>
      <c r="CS96" s="697" t="n">
        <v>9408163</v>
      </c>
      <c r="CU96" s="1195" t="n">
        <v>-593447.366657</v>
      </c>
      <c r="CW96" s="103" t="n">
        <v>0.946</v>
      </c>
      <c r="CX96" s="103" t="n">
        <v>0.903</v>
      </c>
      <c r="CY96" s="103">
        <f>CW96-CX96</f>
        <v/>
      </c>
      <c r="CZ96" s="786">
        <f>CX96/CW96</f>
        <v/>
      </c>
      <c r="DG96" s="1205" t="n"/>
      <c r="DH96" s="1205" t="n"/>
      <c r="DK96" s="1205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  <c r="FC96" s="697" t="n">
        <v>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55478145.040758</v>
      </c>
      <c r="E97" s="697" t="n">
        <v>12079331.436026</v>
      </c>
      <c r="F97" s="697" t="n">
        <v>23095516.511676</v>
      </c>
      <c r="G97" s="697" t="n">
        <v>14886161.435429</v>
      </c>
      <c r="H97" s="697" t="n">
        <v>1054193.133577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47984999.893045</v>
      </c>
      <c r="M97" s="697" t="n">
        <v>33766163.701419</v>
      </c>
      <c r="N97" s="697">
        <f>O97-P97</f>
        <v/>
      </c>
      <c r="O97" s="697" t="n">
        <v>7493145.147713</v>
      </c>
      <c r="Q97" s="697" t="n">
        <v>-2570999.788165</v>
      </c>
      <c r="R97" s="697" t="n">
        <v>10143324.16422</v>
      </c>
      <c r="S97" s="697" t="n">
        <v>8415998.666300001</v>
      </c>
      <c r="T97" s="979" t="n">
        <v>8415998.666300001</v>
      </c>
      <c r="U97" s="697" t="n">
        <v>55478145.040758</v>
      </c>
      <c r="V97" s="1205" t="n"/>
      <c r="W97" s="1202" t="n"/>
      <c r="X97" s="697">
        <f>Q97</f>
        <v/>
      </c>
      <c r="Y97" s="1205" t="n"/>
      <c r="Z97" s="1205" t="n"/>
      <c r="AA97" s="1205" t="n"/>
      <c r="AB97" s="1205" t="n"/>
      <c r="AC97" s="1205" t="n"/>
      <c r="AD97" s="1205" t="n"/>
      <c r="AE97" s="697">
        <f>X97-(Y97+Z97+AA97+AB97+AC97+AD97)</f>
        <v/>
      </c>
      <c r="AF97" s="697" t="n">
        <v>402719.072061</v>
      </c>
      <c r="AG97" s="697" t="n">
        <v>3967475.55702</v>
      </c>
      <c r="AH97" s="697" t="n">
        <v>3564756.484959</v>
      </c>
      <c r="AI97" s="697" t="n">
        <v>243969.186837</v>
      </c>
      <c r="AJ97" s="697" t="n">
        <v>-193577.348375</v>
      </c>
      <c r="AL97" s="697">
        <f>AI97-AJ97-AK97+AM97-AN97</f>
        <v/>
      </c>
      <c r="AM97" s="697" t="n">
        <v>9865.921332</v>
      </c>
      <c r="AN97" s="697" t="n">
        <v>135805.47677</v>
      </c>
      <c r="AO97" s="697" t="n">
        <v>646688.258898</v>
      </c>
      <c r="AP97" s="697" t="n">
        <v>-3377.021134</v>
      </c>
      <c r="AQ97" s="697" t="n">
        <v>643311.237764</v>
      </c>
      <c r="AR97" s="697" t="n">
        <v>446986.592185</v>
      </c>
      <c r="AS97" s="966">
        <f>AO97+AP97-AQ97</f>
        <v/>
      </c>
      <c r="AT97" s="966">
        <f>AJ97+AK97+AL97-AM97+AN97-AI97</f>
        <v/>
      </c>
      <c r="AU97" s="966">
        <f>AF97+AI97-AO97</f>
        <v/>
      </c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-1609455.266593</v>
      </c>
      <c r="BD97" s="1195" t="n">
        <v>268667.463932</v>
      </c>
      <c r="BF97" s="697" t="n">
        <v>-1299601.127261</v>
      </c>
      <c r="BG97" s="697" t="n">
        <v>64453.720891</v>
      </c>
      <c r="BH97" s="697" t="n">
        <v>-2015.925585</v>
      </c>
      <c r="BI97" s="697" t="n">
        <v>374.98369</v>
      </c>
      <c r="BJ97" s="697" t="n">
        <v>-1059.154212</v>
      </c>
      <c r="BK97" s="697">
        <f>Q97</f>
        <v/>
      </c>
      <c r="BL97" s="966">
        <f>BK97-BC97-SUM(BD97:BJ97)</f>
        <v/>
      </c>
      <c r="BM97" s="697" t="n">
        <v>10104633.161235</v>
      </c>
      <c r="BN97" s="1205" t="n"/>
      <c r="BP97" s="697">
        <f>AR97</f>
        <v/>
      </c>
      <c r="BS97" s="697">
        <f>R97</f>
        <v/>
      </c>
      <c r="BT97" s="966" t="n">
        <v>0</v>
      </c>
      <c r="BU97" s="1205" t="n"/>
      <c r="BV97" s="1205" t="n"/>
      <c r="BW97" s="1205" t="n"/>
      <c r="BX97" s="1205" t="n"/>
      <c r="BY97" s="1205" t="n"/>
      <c r="BZ97" s="1205" t="n"/>
      <c r="CA97" s="1205" t="n"/>
      <c r="CB97" s="1205" t="n"/>
      <c r="CE97" s="1205" t="n"/>
      <c r="CF97" s="1205" t="n"/>
      <c r="CG97" s="1205" t="n"/>
      <c r="CH97" s="1205" t="n"/>
      <c r="CI97" s="1205" t="n"/>
      <c r="CL97" s="1205" t="n"/>
      <c r="CQ97" s="1207" t="n"/>
      <c r="CR97" s="1205" t="n"/>
      <c r="CS97" s="1205" t="n"/>
      <c r="CU97" s="1195" t="n">
        <v>-284818.379213</v>
      </c>
      <c r="DG97" s="1205" t="n"/>
      <c r="DH97" s="1205" t="n"/>
      <c r="DK97" s="1205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205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1205" t="n"/>
      <c r="W98" s="1202" t="n"/>
      <c r="X98" s="697">
        <f>Q98</f>
        <v/>
      </c>
      <c r="Y98" s="1205" t="n"/>
      <c r="Z98" s="1205" t="n"/>
      <c r="AA98" s="1205" t="n"/>
      <c r="AB98" s="1205" t="n"/>
      <c r="AC98" s="1205" t="n"/>
      <c r="AD98" s="1205" t="n"/>
      <c r="AE98" s="697">
        <f>X98-(Y98+Z98+AA98+AB98+AC98+AD98)</f>
        <v/>
      </c>
      <c r="AF98" s="697" t="n">
        <v>670411</v>
      </c>
      <c r="AG98" s="697" t="n">
        <v>8109891</v>
      </c>
      <c r="AH98" s="1195" t="n">
        <v>7439480</v>
      </c>
      <c r="AI98" s="697" t="n">
        <v>588618</v>
      </c>
      <c r="AJ98" s="1195" t="n">
        <v>-285306</v>
      </c>
      <c r="AK98" s="1205" t="n"/>
      <c r="AL98" s="697">
        <f>AI98-AJ98-AK98+AM98-AN98</f>
        <v/>
      </c>
      <c r="AM98" s="1195" t="n">
        <v>17548</v>
      </c>
      <c r="AN98" s="1195" t="n">
        <v>258549</v>
      </c>
      <c r="AO98" s="697" t="n">
        <v>1259029</v>
      </c>
      <c r="AP98" s="1195" t="n">
        <v>1133</v>
      </c>
      <c r="AQ98" s="697" t="n">
        <v>1260162</v>
      </c>
      <c r="AR98" s="697" t="n">
        <v>906909</v>
      </c>
      <c r="AS98" s="966">
        <f>AO98+AP98-AQ98</f>
        <v/>
      </c>
      <c r="AT98" s="966">
        <f>AJ98+AK98+AL98-AM98+AN98-AI98</f>
        <v/>
      </c>
      <c r="AU98" s="966">
        <f>AF98+AI98-AO98</f>
        <v/>
      </c>
      <c r="AV98" s="966">
        <f>AF98</f>
        <v/>
      </c>
      <c r="AW98" s="966">
        <f>AI98</f>
        <v/>
      </c>
      <c r="AX98" s="966">
        <f>AP98</f>
        <v/>
      </c>
      <c r="AY98" s="966">
        <f>AV98+AW98+AX98</f>
        <v/>
      </c>
      <c r="BC98" s="697" t="n">
        <v>-1609455</v>
      </c>
      <c r="BD98" s="697" t="n">
        <v>209771</v>
      </c>
      <c r="BE98" s="1205" t="n"/>
      <c r="BF98" s="697" t="n">
        <v>-775547</v>
      </c>
      <c r="BG98" s="1205" t="n"/>
      <c r="BH98" s="697" t="n">
        <v>-2016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205" t="n"/>
      <c r="BP98" s="697">
        <f>AR98</f>
        <v/>
      </c>
      <c r="BQ98" s="1205" t="n"/>
      <c r="BR98" s="1205" t="n"/>
      <c r="BS98" s="697">
        <f>R98</f>
        <v/>
      </c>
      <c r="BT98" s="966" t="n">
        <v>0</v>
      </c>
      <c r="BU98" s="1195" t="n">
        <v>12770269</v>
      </c>
      <c r="BV98" s="1195" t="n">
        <v>1835129</v>
      </c>
      <c r="BW98" s="697" t="n">
        <v>13231369</v>
      </c>
      <c r="BX98" s="1205" t="n">
        <v>1499873</v>
      </c>
      <c r="BY98" s="1205" t="n"/>
      <c r="BZ98" s="1205" t="n">
        <v>-68530</v>
      </c>
      <c r="CA98" s="1205" t="n"/>
      <c r="CB98" s="1205" t="n"/>
      <c r="CE98" s="1205" t="n"/>
      <c r="CF98" s="1205" t="n"/>
      <c r="CG98" s="1205" t="n"/>
      <c r="CH98" s="1205" t="n"/>
      <c r="CI98" s="1205" t="n"/>
      <c r="CJ98" s="697">
        <f>BW98</f>
        <v/>
      </c>
      <c r="CL98" s="697" t="n">
        <v>0</v>
      </c>
      <c r="CQ98" s="1207" t="n"/>
      <c r="CR98" s="1205" t="n"/>
      <c r="CS98" s="1205" t="n"/>
      <c r="CU98" s="697" t="n">
        <v>3841523</v>
      </c>
      <c r="DG98" s="1205" t="n"/>
      <c r="DH98" s="1205" t="n"/>
      <c r="DK98" s="1205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1205" t="n"/>
      <c r="W99" s="1202" t="n"/>
      <c r="X99" s="697">
        <f>Q99</f>
        <v/>
      </c>
      <c r="Y99" s="1205" t="n"/>
      <c r="Z99" s="1205" t="n"/>
      <c r="AA99" s="1205" t="n"/>
      <c r="AB99" s="1205" t="n"/>
      <c r="AC99" s="1205" t="n"/>
      <c r="AD99" s="1205" t="n"/>
      <c r="AE99" s="697">
        <f>X99-(Y99+Z99+AA99+AB99+AC99+AD99)</f>
        <v/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1195" t="n">
        <v>422211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>
        <f>AO99+AP99-AQ99</f>
        <v/>
      </c>
      <c r="AT99" s="966">
        <f>AJ99+AK99+AL99-AM99+AN99-AI99</f>
        <v/>
      </c>
      <c r="AU99" s="966">
        <f>AF99+AI99-AO99</f>
        <v/>
      </c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205" t="n"/>
      <c r="BH99" s="1195" t="n">
        <v>-2016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>
        <v>0</v>
      </c>
      <c r="BU99" s="1195" t="n">
        <v>12563582</v>
      </c>
      <c r="BV99" s="1195" t="n">
        <v>1845259</v>
      </c>
      <c r="BW99" s="697" t="n">
        <v>13463637</v>
      </c>
      <c r="BX99" s="1205" t="n">
        <v>2223635</v>
      </c>
      <c r="BY99" s="1205" t="n"/>
      <c r="BZ99" s="1205" t="n">
        <v>-342628</v>
      </c>
      <c r="CA99" s="1205" t="n"/>
      <c r="CB99" s="1205" t="n"/>
      <c r="CE99" s="1205" t="n"/>
      <c r="CF99" s="1205" t="n"/>
      <c r="CG99" s="1205" t="n"/>
      <c r="CH99" s="1205" t="n"/>
      <c r="CI99" s="1205" t="n"/>
      <c r="CJ99" s="697">
        <f>BW99</f>
        <v/>
      </c>
      <c r="CL99" s="697" t="n">
        <v>0</v>
      </c>
      <c r="CQ99" s="1207" t="n"/>
      <c r="CR99" s="1205" t="n"/>
      <c r="CS99" s="1205" t="n"/>
      <c r="CU99" s="697" t="n">
        <v>4105304</v>
      </c>
      <c r="DG99" s="1205" t="n"/>
      <c r="DH99" s="1205" t="n"/>
      <c r="DK99" s="1205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1195" t="n">
        <v>10306542</v>
      </c>
      <c r="W100" s="1202" t="n">
        <v>0.9623</v>
      </c>
      <c r="X100" s="697">
        <f>Q100</f>
        <v/>
      </c>
      <c r="Y100" s="1205" t="n"/>
      <c r="Z100" s="1205" t="n"/>
      <c r="AA100" s="1205" t="n"/>
      <c r="AB100" s="1205" t="n"/>
      <c r="AC100" s="1205" t="n"/>
      <c r="AD100" s="1205" t="n"/>
      <c r="AE100" s="697">
        <f>X100-(Y100+Z100+AA100+AB100+AC100+AD100)</f>
        <v/>
      </c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1195" t="n">
        <v>593064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>
        <f>AO100+AP100-AQ100</f>
        <v/>
      </c>
      <c r="AT100" s="966">
        <f>AJ100+AK100+AL100-AM100+AN100-AI100</f>
        <v/>
      </c>
      <c r="AU100" s="966">
        <f>AF100+AI100-AO100</f>
        <v/>
      </c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205" t="n"/>
      <c r="BH100" s="1195" t="n">
        <v>-2016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>
        <v>0</v>
      </c>
      <c r="BU100" s="697" t="n">
        <v>12095809</v>
      </c>
      <c r="BV100" s="697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205" t="n"/>
      <c r="CB100" s="1205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>
        <f>CJ100-SUM(CE100:CI100)</f>
        <v/>
      </c>
      <c r="CL100" s="697" t="n">
        <v>0</v>
      </c>
      <c r="CN100" s="786" t="n">
        <v>2.178</v>
      </c>
      <c r="CO100" s="697" t="n">
        <v>21555174</v>
      </c>
      <c r="CP100" s="697" t="n">
        <v>9895449</v>
      </c>
      <c r="CQ100" s="1200" t="n">
        <v>2.178</v>
      </c>
      <c r="CR100" s="966" t="n">
        <v>21555174</v>
      </c>
      <c r="CS100" s="1192" t="n">
        <v>9895449</v>
      </c>
      <c r="CU100" s="697" t="n">
        <v>4541287</v>
      </c>
      <c r="CW100" s="103" t="n">
        <v>0.919</v>
      </c>
      <c r="CX100" s="103" t="n">
        <v>0.956</v>
      </c>
      <c r="CY100" s="103">
        <f>CW100-CX100</f>
        <v/>
      </c>
      <c r="CZ100" s="786">
        <f>CX100/CW100</f>
        <v/>
      </c>
      <c r="DG100" s="1205" t="n"/>
      <c r="DH100" s="1205" t="n"/>
      <c r="DK100" s="1205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>
        <v>0</v>
      </c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2026-08-07T01:32:44Z</dcterms:modified>
  <cp:lastModifiedBy>Windows 사용자</cp:lastModifiedBy>
</cp:coreProperties>
</file>