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0935" tabRatio="600" firstSheet="0" activeTab="10" autoFilterDateGrouping="1"/>
  </bookViews>
  <sheets>
    <sheet xmlns:r="http://schemas.openxmlformats.org/officeDocument/2006/relationships" name="작업" sheetId="1" state="visible" r:id="rId1"/>
    <sheet xmlns:r="http://schemas.openxmlformats.org/officeDocument/2006/relationships" name="2412" sheetId="2" state="visible" r:id="rId2"/>
    <sheet xmlns:r="http://schemas.openxmlformats.org/officeDocument/2006/relationships" name="2312" sheetId="3" state="visible" r:id="rId3"/>
    <sheet xmlns:r="http://schemas.openxmlformats.org/officeDocument/2006/relationships" name="2406" sheetId="4" state="visible" r:id="rId4"/>
    <sheet xmlns:r="http://schemas.openxmlformats.org/officeDocument/2006/relationships" name="2403" sheetId="5" state="visible" r:id="rId5"/>
    <sheet xmlns:r="http://schemas.openxmlformats.org/officeDocument/2006/relationships" name="fvpl" sheetId="6" state="visible" r:id="rId6"/>
    <sheet xmlns:r="http://schemas.openxmlformats.org/officeDocument/2006/relationships" name="전기말" sheetId="7" state="visible" r:id="rId7"/>
    <sheet xmlns:r="http://schemas.openxmlformats.org/officeDocument/2006/relationships" name="이익잉여금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Sheet2" sheetId="10" state="visible" r:id="rId10"/>
    <sheet xmlns:r="http://schemas.openxmlformats.org/officeDocument/2006/relationships" name="DATA" sheetId="11" state="visible" r:id="rId11"/>
    <sheet xmlns:r="http://schemas.openxmlformats.org/officeDocument/2006/relationships" name="2512_보고서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</externalReferences>
  <definedNames/>
  <calcPr calcId="162913" fullCalcOnLoad="1"/>
</workbook>
</file>

<file path=xl/styles.xml><?xml version="1.0" encoding="utf-8"?>
<styleSheet xmlns="http://schemas.openxmlformats.org/spreadsheetml/2006/main">
  <numFmts count="17">
    <numFmt numFmtId="164" formatCode="_-* #,##0_-;\-* #,##0_-;_-* &quot;-&quot;_-;_-@_-"/>
    <numFmt numFmtId="165" formatCode="\(#,##0.0%\)\ ;\(\-#,##0.0%\)\ ;\-\ "/>
    <numFmt numFmtId="166" formatCode="#,##0;\△#,##0;\-"/>
    <numFmt numFmtId="167" formatCode="#,##0.0%;\△#,##0.0%;\-"/>
    <numFmt numFmtId="168" formatCode="0.0%"/>
    <numFmt numFmtId="169" formatCode="##,##0.0%\ ;&quot;△&quot;#,##0.0%\ \ "/>
    <numFmt numFmtId="170" formatCode="#,##0_ \ ;&quot;△&quot;#,##0\ \ "/>
    <numFmt numFmtId="171" formatCode="#,##0.0%\ ;\△#,##0.0%\ ;\-"/>
    <numFmt numFmtId="172" formatCode="_-* #,##0.0_-;\-* #,##0.0_-;_-* &quot;-&quot;_-;_-@_-"/>
    <numFmt numFmtId="173" formatCode="#,##0.0%\p\ ;\-#,##0.0%\p\ ;\-\ "/>
    <numFmt numFmtId="174" formatCode="#,##0_ \ ;&quot;-&quot;#,##0\ \ "/>
    <numFmt numFmtId="175" formatCode="#,##0;#,##0"/>
    <numFmt numFmtId="176" formatCode="_-* #,##0.00_-;\-* #,##0.00_-;_-* &quot;-&quot;??_-;_-@_-"/>
    <numFmt numFmtId="177" formatCode="#,##0\ ;\△#,##0\ ;\-"/>
    <numFmt numFmtId="178" formatCode="_-* #,##0.000000_-;\-* #,##0.000000_-;_-* &quot;-&quot;_-;_-@_-"/>
    <numFmt numFmtId="179" formatCode="##,##0.0%\p\ ;&quot;△&quot;#,##0.0%\p"/>
    <numFmt numFmtId="180" formatCode="#,##0%\ ;\△#,##0%\ ;\-"/>
  </numFmts>
  <fonts count="4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oPub돋움체_Pro Light"/>
      <charset val="129"/>
      <family val="1"/>
      <color theme="1"/>
      <sz val="11"/>
    </font>
    <font>
      <name val="KoPub돋움체_Pro Light"/>
      <charset val="129"/>
      <family val="1"/>
      <color rgb="FFFF0000"/>
      <sz val="11"/>
    </font>
    <font>
      <name val="KoPub돋움체_Pro Light"/>
      <charset val="129"/>
      <family val="1"/>
      <b val="1"/>
      <color theme="1"/>
      <sz val="11"/>
    </font>
    <font>
      <name val="KoPub돋움체_Pro Light"/>
      <charset val="129"/>
      <family val="1"/>
      <b val="1"/>
      <color theme="1"/>
      <sz val="14"/>
    </font>
    <font>
      <name val="KoPub돋움체_Pro Light"/>
      <charset val="129"/>
      <family val="1"/>
      <color theme="0"/>
      <sz val="11"/>
    </font>
    <font>
      <name val="KoPub돋움체_Pro Light"/>
      <charset val="129"/>
      <family val="1"/>
      <b val="1"/>
      <color theme="0"/>
      <sz val="11"/>
    </font>
    <font>
      <name val="KoPub돋움체_Pro Light"/>
      <charset val="129"/>
      <family val="1"/>
      <color theme="1"/>
      <sz val="8"/>
    </font>
    <font>
      <name val="KoPub돋움체_Pro Light"/>
      <charset val="129"/>
      <family val="1"/>
      <color theme="0" tint="-0.499984740745262"/>
      <sz val="10"/>
    </font>
    <font>
      <name val="KoPub돋움체_Pro Light"/>
      <charset val="129"/>
      <family val="1"/>
      <sz val="11"/>
    </font>
    <font>
      <name val="KoPub돋움체_Pro Bold"/>
      <charset val="129"/>
      <family val="1"/>
      <sz val="12"/>
    </font>
    <font>
      <name val="맑은 고딕"/>
      <charset val="129"/>
      <family val="2"/>
      <sz val="11"/>
      <scheme val="minor"/>
    </font>
    <font>
      <name val="KoPub돋움체_Pro Light"/>
      <charset val="129"/>
      <family val="1"/>
      <sz val="9"/>
    </font>
    <font>
      <name val="KoPub돋움체_Pro Light"/>
      <charset val="129"/>
      <family val="1"/>
      <sz val="10"/>
    </font>
    <font>
      <name val="Arial"/>
      <family val="2"/>
      <b val="1"/>
      <sz val="11"/>
    </font>
    <font>
      <name val="KoPub돋움체_Pro Light"/>
      <charset val="129"/>
      <family val="1"/>
      <b val="1"/>
      <color theme="1"/>
      <sz val="12"/>
    </font>
    <font>
      <name val="Arial"/>
      <family val="2"/>
      <b val="1"/>
      <sz val="10"/>
    </font>
    <font>
      <name val="KoPub돋움체_Pro Light"/>
      <charset val="129"/>
      <family val="1"/>
      <color rgb="FF0070C0"/>
      <sz val="11"/>
    </font>
    <font>
      <name val="Arial"/>
      <family val="2"/>
      <sz val="10"/>
    </font>
    <font>
      <name val="Cambria"/>
      <family val="1"/>
      <color theme="1"/>
      <sz val="10"/>
    </font>
    <font>
      <name val="Cambria"/>
      <family val="1"/>
      <color theme="1"/>
      <sz val="12"/>
    </font>
    <font>
      <name val="KoPub돋움체_Pro Light"/>
      <charset val="129"/>
      <family val="1"/>
      <color rgb="FF000000"/>
      <sz val="10.5"/>
    </font>
    <font>
      <name val="KoPub돋움체_Pro Light"/>
      <charset val="129"/>
      <family val="1"/>
      <b val="1"/>
      <color rgb="FF000000"/>
      <sz val="10.5"/>
    </font>
    <font>
      <name val="Times New Roman"/>
      <family val="1"/>
      <color theme="1"/>
      <sz val="10"/>
    </font>
    <font>
      <name val="KoPub돋움체_Pro Light"/>
      <charset val="129"/>
      <family val="1"/>
      <color rgb="FF000000"/>
      <sz val="11"/>
    </font>
    <font>
      <name val="KoPub돋움체_Pro Light"/>
      <charset val="129"/>
      <family val="1"/>
      <color rgb="FFFF0000"/>
      <sz val="10.5"/>
    </font>
    <font>
      <name val="맑은 고딕"/>
      <charset val="129"/>
      <family val="3"/>
      <color rgb="FF000000"/>
      <sz val="10"/>
    </font>
    <font>
      <name val="Cambria"/>
      <family val="1"/>
      <color rgb="FF000000"/>
      <sz val="10"/>
    </font>
    <font>
      <name val="Cambria"/>
      <family val="1"/>
      <color theme="1"/>
      <sz val="9"/>
    </font>
    <font>
      <name val="바탕"/>
      <charset val="129"/>
      <family val="1"/>
      <color theme="1"/>
      <sz val="12"/>
    </font>
    <font>
      <name val="KoPub돋움체_Pro Light"/>
      <charset val="129"/>
      <family val="1"/>
      <color theme="1"/>
      <sz val="10.5"/>
    </font>
    <font>
      <name val="KoPub돋움체_Pro Light"/>
      <charset val="129"/>
      <family val="1"/>
      <b val="1"/>
      <color rgb="FFFF0000"/>
      <sz val="11"/>
    </font>
    <font>
      <name val="KoPub돋움체_Pro Light"/>
      <charset val="129"/>
      <family val="1"/>
      <b val="1"/>
      <sz val="11"/>
    </font>
    <font>
      <name val="KoPub돋움체_Pro Light"/>
      <charset val="129"/>
      <family val="1"/>
      <color rgb="FF00B050"/>
      <sz val="11"/>
    </font>
    <font>
      <name val="KoPub돋움체_Pro Light"/>
      <charset val="129"/>
      <family val="1"/>
      <color rgb="FF4A452A"/>
      <sz val="10.5"/>
    </font>
    <font>
      <name val="KoPub돋움체_Pro Light"/>
      <charset val="129"/>
      <family val="1"/>
      <b val="1"/>
      <color theme="1"/>
      <sz val="10.5"/>
    </font>
    <font>
      <name val="KoPub돋움체_Pro Light"/>
      <charset val="129"/>
      <family val="1"/>
      <color theme="1"/>
      <sz val="10"/>
    </font>
    <font>
      <name val="KoPub돋움체_Pro Light"/>
      <charset val="129"/>
      <family val="1"/>
      <color rgb="FF4A442A"/>
      <sz val="10.5"/>
    </font>
    <font>
      <name val="KoPub돋움체_Pro Light"/>
      <charset val="129"/>
      <family val="1"/>
      <color rgb="FF4A442A"/>
      <sz val="11"/>
    </font>
    <font>
      <name val="KoPub돋움체_Pro Light"/>
      <charset val="129"/>
      <family val="1"/>
      <color theme="9"/>
      <sz val="11"/>
    </font>
  </fonts>
  <fills count="1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43B72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0B26B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</fills>
  <borders count="120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190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11" fillId="2" borderId="29" applyAlignment="1" pivotButton="0" quotePrefix="0" xfId="0">
      <alignment horizontal="center" vertical="center"/>
    </xf>
    <xf numFmtId="0" fontId="11" fillId="2" borderId="3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8" borderId="0" applyAlignment="1" pivotButton="0" quotePrefix="0" xfId="0">
      <alignment vertical="center"/>
    </xf>
    <xf numFmtId="49" fontId="16" fillId="0" borderId="17" applyAlignment="1" pivotButton="0" quotePrefix="0" xfId="0">
      <alignment horizontal="left"/>
    </xf>
    <xf numFmtId="49" fontId="16" fillId="0" borderId="17" applyAlignment="1" pivotButton="0" quotePrefix="0" xfId="0">
      <alignment horizontal="center"/>
    </xf>
    <xf numFmtId="49" fontId="0" fillId="0" borderId="23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3" fillId="0" borderId="37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/>
    </xf>
    <xf numFmtId="0" fontId="3" fillId="0" borderId="33" applyAlignment="1" pivotButton="0" quotePrefix="0" xfId="0">
      <alignment vertical="center"/>
    </xf>
    <xf numFmtId="0" fontId="3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35" applyAlignment="1" pivotButton="0" quotePrefix="0" xfId="0">
      <alignment vertical="center"/>
    </xf>
    <xf numFmtId="0" fontId="3" fillId="0" borderId="44" applyAlignment="1" pivotButton="0" quotePrefix="0" xfId="0">
      <alignment horizontal="center" vertical="center"/>
    </xf>
    <xf numFmtId="10" fontId="0" fillId="0" borderId="0" applyAlignment="1" pivotButton="0" quotePrefix="0" xfId="2">
      <alignment vertical="center"/>
    </xf>
    <xf numFmtId="49" fontId="18" fillId="0" borderId="23" applyAlignment="1" pivotButton="0" quotePrefix="0" xfId="0">
      <alignment horizontal="left"/>
    </xf>
    <xf numFmtId="0" fontId="3" fillId="0" borderId="0" applyAlignment="1" pivotButton="0" quotePrefix="1" xfId="0">
      <alignment horizontal="left" vertical="center"/>
    </xf>
    <xf numFmtId="3" fontId="20" fillId="0" borderId="0" pivotButton="0" quotePrefix="0" xfId="0"/>
    <xf numFmtId="0" fontId="20" fillId="0" borderId="0" pivotButton="0" quotePrefix="0" xfId="0"/>
    <xf numFmtId="0" fontId="23" fillId="12" borderId="51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 wrapText="1"/>
    </xf>
    <xf numFmtId="3" fontId="23" fillId="0" borderId="54" applyAlignment="1" pivotButton="0" quotePrefix="0" xfId="0">
      <alignment horizontal="right" vertical="center"/>
    </xf>
    <xf numFmtId="3" fontId="23" fillId="0" borderId="55" applyAlignment="1" pivotButton="0" quotePrefix="0" xfId="0">
      <alignment horizontal="right" vertical="center"/>
    </xf>
    <xf numFmtId="3" fontId="23" fillId="0" borderId="56" applyAlignment="1" pivotButton="0" quotePrefix="0" xfId="0">
      <alignment horizontal="right" vertical="center"/>
    </xf>
    <xf numFmtId="3" fontId="2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0" fontId="23" fillId="0" borderId="57" applyAlignment="1" pivotButton="0" quotePrefix="0" xfId="0">
      <alignment horizontal="center" vertical="center" wrapText="1"/>
    </xf>
    <xf numFmtId="0" fontId="23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right" vertical="center"/>
    </xf>
    <xf numFmtId="0" fontId="23" fillId="0" borderId="60" applyAlignment="1" pivotButton="0" quotePrefix="0" xfId="0">
      <alignment horizontal="right" vertical="center"/>
    </xf>
    <xf numFmtId="0" fontId="23" fillId="0" borderId="61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3" fillId="0" borderId="62" applyAlignment="1" pivotButton="0" quotePrefix="0" xfId="0">
      <alignment horizontal="center" vertical="center" wrapText="1"/>
    </xf>
    <xf numFmtId="0" fontId="23" fillId="0" borderId="67" applyAlignment="1" pivotButton="0" quotePrefix="0" xfId="0">
      <alignment horizontal="center" vertical="center" wrapText="1"/>
    </xf>
    <xf numFmtId="0" fontId="23" fillId="0" borderId="54" applyAlignment="1" pivotButton="0" quotePrefix="0" xfId="0">
      <alignment horizontal="right" vertical="center"/>
    </xf>
    <xf numFmtId="0" fontId="23" fillId="0" borderId="55" applyAlignment="1" pivotButton="0" quotePrefix="0" xfId="0">
      <alignment horizontal="right" vertical="center"/>
    </xf>
    <xf numFmtId="0" fontId="23" fillId="0" borderId="56" applyAlignment="1" pivotButton="0" quotePrefix="0" xfId="0">
      <alignment horizontal="right" vertical="center"/>
    </xf>
    <xf numFmtId="0" fontId="23" fillId="0" borderId="68" applyAlignment="1" pivotButton="0" quotePrefix="0" xfId="0">
      <alignment horizontal="center" vertical="center" wrapText="1"/>
    </xf>
    <xf numFmtId="0" fontId="23" fillId="0" borderId="69" applyAlignment="1" pivotButton="0" quotePrefix="0" xfId="0">
      <alignment horizontal="right" vertical="center"/>
    </xf>
    <xf numFmtId="0" fontId="23" fillId="0" borderId="51" applyAlignment="1" pivotButton="0" quotePrefix="0" xfId="0">
      <alignment horizontal="right" vertical="center"/>
    </xf>
    <xf numFmtId="3" fontId="23" fillId="0" borderId="51" applyAlignment="1" pivotButton="0" quotePrefix="0" xfId="0">
      <alignment horizontal="right" vertical="center"/>
    </xf>
    <xf numFmtId="0" fontId="23" fillId="0" borderId="52" applyAlignment="1" pivotButton="0" quotePrefix="0" xfId="0">
      <alignment horizontal="right" vertical="center"/>
    </xf>
    <xf numFmtId="3" fontId="23" fillId="0" borderId="53" applyAlignment="1" pivotButton="0" quotePrefix="0" xfId="0">
      <alignment horizontal="right" vertical="center"/>
    </xf>
    <xf numFmtId="3" fontId="26" fillId="0" borderId="55" applyAlignment="1" pivotButton="0" quotePrefix="0" xfId="0">
      <alignment horizontal="right" vertical="center"/>
    </xf>
    <xf numFmtId="3" fontId="4" fillId="0" borderId="55" applyAlignment="1" pivotButton="0" quotePrefix="0" xfId="0">
      <alignment horizontal="right" vertical="center"/>
    </xf>
    <xf numFmtId="3" fontId="26" fillId="0" borderId="56" applyAlignment="1" pivotButton="0" quotePrefix="0" xfId="0">
      <alignment horizontal="right" vertical="center"/>
    </xf>
    <xf numFmtId="3" fontId="26" fillId="0" borderId="0" applyAlignment="1" pivotButton="0" quotePrefix="0" xfId="0">
      <alignment horizontal="right" vertical="center"/>
    </xf>
    <xf numFmtId="3" fontId="27" fillId="0" borderId="59" applyAlignment="1" pivotButton="0" quotePrefix="0" xfId="0">
      <alignment horizontal="right" vertical="center"/>
    </xf>
    <xf numFmtId="3" fontId="23" fillId="0" borderId="59" applyAlignment="1" pivotButton="0" quotePrefix="0" xfId="0">
      <alignment horizontal="right" vertical="center"/>
    </xf>
    <xf numFmtId="3" fontId="23" fillId="0" borderId="61" applyAlignment="1" pivotButton="0" quotePrefix="0" xfId="0">
      <alignment horizontal="right" vertical="center"/>
    </xf>
    <xf numFmtId="3" fontId="27" fillId="0" borderId="55" applyAlignment="1" pivotButton="0" quotePrefix="0" xfId="0">
      <alignment horizontal="right" vertical="center"/>
    </xf>
    <xf numFmtId="3" fontId="26" fillId="0" borderId="51" applyAlignment="1" pivotButton="0" quotePrefix="0" xfId="0">
      <alignment horizontal="right" vertical="center"/>
    </xf>
    <xf numFmtId="3" fontId="4" fillId="0" borderId="51" applyAlignment="1" pivotButton="0" quotePrefix="0" xfId="0">
      <alignment horizontal="right" vertical="center"/>
    </xf>
    <xf numFmtId="0" fontId="26" fillId="0" borderId="51" applyAlignment="1" pivotButton="0" quotePrefix="0" xfId="0">
      <alignment horizontal="right" vertical="center"/>
    </xf>
    <xf numFmtId="0" fontId="26" fillId="0" borderId="52" applyAlignment="1" pivotButton="0" quotePrefix="0" xfId="0">
      <alignment horizontal="right" vertical="center"/>
    </xf>
    <xf numFmtId="3" fontId="26" fillId="0" borderId="53" applyAlignment="1" pivotButton="0" quotePrefix="0" xfId="0">
      <alignment horizontal="right" vertical="center"/>
    </xf>
    <xf numFmtId="0" fontId="28" fillId="0" borderId="55" applyAlignment="1" pivotButton="0" quotePrefix="0" xfId="0">
      <alignment vertical="center" wrapText="1"/>
    </xf>
    <xf numFmtId="0" fontId="28" fillId="0" borderId="61" applyAlignment="1" pivotButton="0" quotePrefix="0" xfId="0">
      <alignment vertical="center" wrapText="1"/>
    </xf>
    <xf numFmtId="0" fontId="23" fillId="0" borderId="61" applyAlignment="1" pivotButton="0" quotePrefix="0" xfId="0">
      <alignment horizontal="center" vertical="center" wrapText="1"/>
    </xf>
    <xf numFmtId="0" fontId="29" fillId="0" borderId="55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28" fillId="0" borderId="51" applyAlignment="1" pivotButton="0" quotePrefix="0" xfId="0">
      <alignment vertical="center" wrapText="1"/>
    </xf>
    <xf numFmtId="0" fontId="28" fillId="0" borderId="53" applyAlignment="1" pivotButton="0" quotePrefix="0" xfId="0">
      <alignment vertical="center" wrapText="1"/>
    </xf>
    <xf numFmtId="0" fontId="23" fillId="0" borderId="53" applyAlignment="1" pivotButton="0" quotePrefix="0" xfId="0">
      <alignment horizontal="right" vertical="center"/>
    </xf>
    <xf numFmtId="10" fontId="23" fillId="0" borderId="54" applyAlignment="1" pivotButton="0" quotePrefix="0" xfId="0">
      <alignment horizontal="right" vertical="center"/>
    </xf>
    <xf numFmtId="10" fontId="23" fillId="0" borderId="55" applyAlignment="1" pivotButton="0" quotePrefix="0" xfId="0">
      <alignment horizontal="right" vertical="center"/>
    </xf>
    <xf numFmtId="10" fontId="23" fillId="0" borderId="56" applyAlignment="1" pivotButton="0" quotePrefix="0" xfId="0">
      <alignment horizontal="right" vertical="center"/>
    </xf>
    <xf numFmtId="10" fontId="2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3" fontId="23" fillId="0" borderId="69" applyAlignment="1" pivotButton="0" quotePrefix="0" xfId="0">
      <alignment horizontal="right" vertical="center"/>
    </xf>
    <xf numFmtId="0" fontId="28" fillId="0" borderId="67" applyAlignment="1" pivotButton="0" quotePrefix="0" xfId="0">
      <alignment vertical="center"/>
    </xf>
    <xf numFmtId="0" fontId="32" fillId="12" borderId="51" applyAlignment="1" pivotButton="0" quotePrefix="0" xfId="0">
      <alignment horizontal="center" vertical="center"/>
    </xf>
    <xf numFmtId="0" fontId="32" fillId="12" borderId="79" applyAlignment="1" pivotButton="0" quotePrefix="0" xfId="0">
      <alignment horizontal="center" vertical="center"/>
    </xf>
    <xf numFmtId="0" fontId="32" fillId="12" borderId="80" applyAlignment="1" pivotButton="0" quotePrefix="0" xfId="0">
      <alignment horizontal="center" vertical="center"/>
    </xf>
    <xf numFmtId="3" fontId="3" fillId="0" borderId="81" applyAlignment="1" pivotButton="0" quotePrefix="0" xfId="0">
      <alignment horizontal="right" vertical="center"/>
    </xf>
    <xf numFmtId="3" fontId="3" fillId="0" borderId="55" applyAlignment="1" pivotButton="0" quotePrefix="0" xfId="0">
      <alignment horizontal="right" vertical="center"/>
    </xf>
    <xf numFmtId="3" fontId="3" fillId="0" borderId="56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2" fillId="0" borderId="55" applyAlignment="1" pivotButton="0" quotePrefix="0" xfId="0">
      <alignment horizontal="right" vertical="center"/>
    </xf>
    <xf numFmtId="0" fontId="32" fillId="0" borderId="82" applyAlignment="1" pivotButton="0" quotePrefix="0" xfId="0">
      <alignment horizontal="center" vertical="center" wrapText="1"/>
    </xf>
    <xf numFmtId="0" fontId="22" fillId="0" borderId="53" applyAlignment="1" pivotButton="0" quotePrefix="0" xfId="0">
      <alignment vertical="center" wrapText="1"/>
    </xf>
    <xf numFmtId="0" fontId="32" fillId="0" borderId="85" applyAlignment="1" pivotButton="0" quotePrefix="0" xfId="0">
      <alignment horizontal="center" vertical="center" wrapText="1"/>
    </xf>
    <xf numFmtId="0" fontId="32" fillId="0" borderId="8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9" fontId="3" fillId="13" borderId="0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9" fontId="3" fillId="0" borderId="0" applyAlignment="1" pivotButton="0" quotePrefix="0" xfId="2">
      <alignment vertical="center"/>
    </xf>
    <xf numFmtId="9" fontId="3" fillId="0" borderId="0" applyAlignment="1" pivotButton="0" quotePrefix="0" xfId="1">
      <alignment vertical="center"/>
    </xf>
    <xf numFmtId="0" fontId="11" fillId="13" borderId="0" applyAlignment="1" pivotButton="0" quotePrefix="0" xfId="0">
      <alignment vertical="center"/>
    </xf>
    <xf numFmtId="10" fontId="11" fillId="13" borderId="0" applyAlignment="1" pivotButton="0" quotePrefix="0" xfId="1">
      <alignment vertical="center"/>
    </xf>
    <xf numFmtId="10" fontId="3" fillId="13" borderId="0" applyAlignment="1" pivotButton="0" quotePrefix="0" xfId="1">
      <alignment vertical="center"/>
    </xf>
    <xf numFmtId="0" fontId="11" fillId="0" borderId="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0" borderId="56" applyAlignment="1" pivotButton="0" quotePrefix="0" xfId="0">
      <alignment horizontal="center" vertical="center"/>
    </xf>
    <xf numFmtId="3" fontId="26" fillId="0" borderId="76" applyAlignment="1" pivotButton="0" quotePrefix="0" xfId="0">
      <alignment horizontal="right" vertical="center"/>
    </xf>
    <xf numFmtId="3" fontId="26" fillId="0" borderId="83" applyAlignment="1" pivotButton="0" quotePrefix="0" xfId="0">
      <alignment horizontal="right" vertical="center"/>
    </xf>
    <xf numFmtId="3" fontId="26" fillId="0" borderId="70" applyAlignment="1" pivotButton="0" quotePrefix="0" xfId="0">
      <alignment horizontal="right" vertical="center"/>
    </xf>
    <xf numFmtId="3" fontId="26" fillId="0" borderId="46" applyAlignment="1" pivotButton="0" quotePrefix="0" xfId="0">
      <alignment horizontal="right" vertical="center"/>
    </xf>
    <xf numFmtId="0" fontId="23" fillId="0" borderId="55" applyAlignment="1" pivotButton="0" quotePrefix="0" xfId="0">
      <alignment horizontal="left" vertical="center" wrapText="1" indent="2"/>
    </xf>
    <xf numFmtId="0" fontId="23" fillId="0" borderId="51" applyAlignment="1" pivotButton="0" quotePrefix="0" xfId="0">
      <alignment horizontal="left" vertical="center" wrapText="1" indent="2"/>
    </xf>
    <xf numFmtId="3" fontId="3" fillId="0" borderId="86" applyAlignment="1" pivotButton="0" quotePrefix="0" xfId="0">
      <alignment horizontal="right" vertical="center"/>
    </xf>
    <xf numFmtId="3" fontId="3" fillId="0" borderId="64" applyAlignment="1" pivotButton="0" quotePrefix="0" xfId="0">
      <alignment horizontal="right" vertical="center"/>
    </xf>
    <xf numFmtId="3" fontId="3" fillId="0" borderId="65" applyAlignment="1" pivotButton="0" quotePrefix="0" xfId="0">
      <alignment horizontal="right" vertical="center"/>
    </xf>
    <xf numFmtId="3" fontId="3" fillId="0" borderId="66" applyAlignment="1" pivotButton="0" quotePrefix="0" xfId="0">
      <alignment horizontal="right" vertical="center"/>
    </xf>
    <xf numFmtId="0" fontId="32" fillId="0" borderId="82" applyAlignment="1" pivotButton="0" quotePrefix="0" xfId="0">
      <alignment horizontal="left" vertical="center" wrapText="1" indent="1"/>
    </xf>
    <xf numFmtId="0" fontId="32" fillId="0" borderId="77" applyAlignment="1" pivotButton="0" quotePrefix="0" xfId="0">
      <alignment horizontal="left" vertical="center" wrapText="1" indent="2"/>
    </xf>
    <xf numFmtId="0" fontId="32" fillId="0" borderId="57" applyAlignment="1" pivotButton="0" quotePrefix="0" xfId="0">
      <alignment horizontal="left" vertical="center" wrapText="1" indent="1"/>
    </xf>
    <xf numFmtId="0" fontId="32" fillId="0" borderId="68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left" vertical="center" wrapText="1" indent="2"/>
    </xf>
    <xf numFmtId="9" fontId="26" fillId="0" borderId="81" applyAlignment="1" pivotButton="0" quotePrefix="0" xfId="0">
      <alignment horizontal="right" vertical="center"/>
    </xf>
    <xf numFmtId="9" fontId="26" fillId="0" borderId="55" applyAlignment="1" pivotButton="0" quotePrefix="0" xfId="0">
      <alignment horizontal="right" vertical="center"/>
    </xf>
    <xf numFmtId="9" fontId="26" fillId="0" borderId="56" applyAlignment="1" pivotButton="0" quotePrefix="0" xfId="0">
      <alignment horizontal="right" vertical="center"/>
    </xf>
    <xf numFmtId="9" fontId="26" fillId="0" borderId="0" applyAlignment="1" pivotButton="0" quotePrefix="0" xfId="0">
      <alignment horizontal="right" vertical="center"/>
    </xf>
    <xf numFmtId="10" fontId="3" fillId="0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10" fontId="11" fillId="7" borderId="0" applyAlignment="1" pivotButton="0" quotePrefix="0" xfId="1">
      <alignment vertical="center"/>
    </xf>
    <xf numFmtId="10" fontId="3" fillId="7" borderId="0" applyAlignment="1" pivotButton="0" quotePrefix="0" xfId="1">
      <alignment vertical="center"/>
    </xf>
    <xf numFmtId="9" fontId="3" fillId="7" borderId="0" applyAlignment="1" pivotButton="0" quotePrefix="0" xfId="2">
      <alignment vertical="center"/>
    </xf>
    <xf numFmtId="0" fontId="3" fillId="14" borderId="0" applyAlignment="1" pivotButton="0" quotePrefix="0" xfId="0">
      <alignment vertical="center"/>
    </xf>
    <xf numFmtId="10" fontId="11" fillId="14" borderId="0" applyAlignment="1" pivotButton="0" quotePrefix="0" xfId="1">
      <alignment vertical="center"/>
    </xf>
    <xf numFmtId="10" fontId="11" fillId="0" borderId="0" applyAlignment="1" pivotButton="0" quotePrefix="0" xfId="1">
      <alignment vertical="center"/>
    </xf>
    <xf numFmtId="0" fontId="20" fillId="0" borderId="88" pivotButton="0" quotePrefix="0" xfId="0"/>
    <xf numFmtId="0" fontId="20" fillId="2" borderId="88" pivotButton="0" quotePrefix="0" xfId="0"/>
    <xf numFmtId="3" fontId="20" fillId="2" borderId="0" pivotButton="0" quotePrefix="0" xfId="0"/>
    <xf numFmtId="0" fontId="20" fillId="2" borderId="0" pivotButton="0" quotePrefix="0" xfId="0"/>
    <xf numFmtId="3" fontId="24" fillId="0" borderId="56" applyAlignment="1" pivotButton="0" quotePrefix="0" xfId="0">
      <alignment horizontal="right" vertical="center"/>
    </xf>
    <xf numFmtId="3" fontId="24" fillId="0" borderId="55" applyAlignment="1" pivotButton="0" quotePrefix="0" xfId="0">
      <alignment horizontal="right" vertical="center"/>
    </xf>
    <xf numFmtId="3" fontId="24" fillId="0" borderId="0" applyAlignment="1" pivotButton="0" quotePrefix="0" xfId="0">
      <alignment horizontal="right" vertical="center"/>
    </xf>
    <xf numFmtId="0" fontId="36" fillId="0" borderId="89" applyAlignment="1" pivotButton="0" quotePrefix="0" xfId="0">
      <alignment horizontal="center" vertical="center" wrapText="1"/>
    </xf>
    <xf numFmtId="0" fontId="25" fillId="0" borderId="53" applyAlignment="1" pivotButton="0" quotePrefix="0" xfId="0">
      <alignment vertical="center"/>
    </xf>
    <xf numFmtId="0" fontId="36" fillId="0" borderId="90" applyAlignment="1" pivotButton="0" quotePrefix="0" xfId="0">
      <alignment horizontal="center" vertical="center" wrapText="1"/>
    </xf>
    <xf numFmtId="0" fontId="36" fillId="0" borderId="80" applyAlignment="1" pivotButton="0" quotePrefix="0" xfId="0">
      <alignment horizontal="center" vertical="center" wrapText="1"/>
    </xf>
    <xf numFmtId="0" fontId="24" fillId="7" borderId="56" applyAlignment="1" pivotButton="0" quotePrefix="0" xfId="0">
      <alignment horizontal="right" vertical="center"/>
    </xf>
    <xf numFmtId="3" fontId="24" fillId="7" borderId="55" applyAlignment="1" pivotButton="0" quotePrefix="0" xfId="0">
      <alignment horizontal="right" vertical="center"/>
    </xf>
    <xf numFmtId="0" fontId="24" fillId="7" borderId="55" applyAlignment="1" pivotButton="0" quotePrefix="0" xfId="0">
      <alignment horizontal="right" vertical="center"/>
    </xf>
    <xf numFmtId="3" fontId="24" fillId="7" borderId="56" applyAlignment="1" pivotButton="0" quotePrefix="0" xfId="0">
      <alignment horizontal="right" vertical="center"/>
    </xf>
    <xf numFmtId="0" fontId="24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vertical="center"/>
    </xf>
    <xf numFmtId="0" fontId="23" fillId="7" borderId="0" applyAlignment="1" pivotButton="0" quotePrefix="0" xfId="0">
      <alignment horizontal="right" vertical="center"/>
    </xf>
    <xf numFmtId="0" fontId="36" fillId="7" borderId="89" applyAlignment="1" pivotButton="0" quotePrefix="0" xfId="0">
      <alignment horizontal="center" vertical="center" wrapText="1"/>
    </xf>
    <xf numFmtId="0" fontId="23" fillId="7" borderId="53" applyAlignment="1" pivotButton="0" quotePrefix="0" xfId="0">
      <alignment horizontal="right" vertical="center"/>
    </xf>
    <xf numFmtId="0" fontId="36" fillId="7" borderId="90" applyAlignment="1" pivotButton="0" quotePrefix="0" xfId="0">
      <alignment horizontal="center" vertical="center" wrapText="1"/>
    </xf>
    <xf numFmtId="0" fontId="23" fillId="12" borderId="79" applyAlignment="1" pivotButton="0" quotePrefix="0" xfId="0">
      <alignment horizontal="center" vertical="center"/>
    </xf>
    <xf numFmtId="0" fontId="23" fillId="12" borderId="80" applyAlignment="1" pivotButton="0" quotePrefix="0" xfId="0">
      <alignment horizontal="center" vertical="center"/>
    </xf>
    <xf numFmtId="0" fontId="24" fillId="12" borderId="46" applyAlignment="1" pivotButton="0" quotePrefix="0" xfId="0">
      <alignment vertical="center"/>
    </xf>
    <xf numFmtId="0" fontId="24" fillId="12" borderId="70" applyAlignment="1" pivotButton="0" quotePrefix="0" xfId="0">
      <alignment vertical="center"/>
    </xf>
    <xf numFmtId="0" fontId="24" fillId="12" borderId="53" applyAlignment="1" pivotButton="0" quotePrefix="0" xfId="0">
      <alignment vertical="center"/>
    </xf>
    <xf numFmtId="0" fontId="24" fillId="12" borderId="52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53" applyAlignment="1" pivotButton="0" quotePrefix="0" xfId="0">
      <alignment vertical="center"/>
    </xf>
    <xf numFmtId="0" fontId="36" fillId="0" borderId="92" applyAlignment="1" pivotButton="0" quotePrefix="0" xfId="0">
      <alignment horizontal="center" vertical="center" wrapText="1"/>
    </xf>
    <xf numFmtId="0" fontId="39" fillId="0" borderId="57" applyAlignment="1" pivotButton="0" quotePrefix="0" xfId="0">
      <alignment horizontal="center" vertical="center"/>
    </xf>
    <xf numFmtId="0" fontId="39" fillId="0" borderId="62" applyAlignment="1" pivotButton="0" quotePrefix="0" xfId="0">
      <alignment horizontal="center" vertical="center"/>
    </xf>
    <xf numFmtId="0" fontId="23" fillId="0" borderId="67" applyAlignment="1" pivotButton="0" quotePrefix="0" xfId="0">
      <alignment vertical="center"/>
    </xf>
    <xf numFmtId="0" fontId="24" fillId="0" borderId="67" applyAlignment="1" pivotButton="0" quotePrefix="0" xfId="0">
      <alignment horizontal="center" vertical="center" wrapText="1"/>
    </xf>
    <xf numFmtId="0" fontId="39" fillId="0" borderId="62" applyAlignment="1" pivotButton="0" quotePrefix="0" xfId="0">
      <alignment horizontal="center" vertical="center" wrapText="1"/>
    </xf>
    <xf numFmtId="0" fontId="21" fillId="0" borderId="53" applyAlignment="1" pivotButton="0" quotePrefix="0" xfId="0">
      <alignment vertical="center"/>
    </xf>
    <xf numFmtId="0" fontId="39" fillId="0" borderId="68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53" applyAlignment="1" pivotButton="0" quotePrefix="0" xfId="0">
      <alignment horizontal="center" vertical="center"/>
    </xf>
    <xf numFmtId="0" fontId="32" fillId="12" borderId="52" applyAlignment="1" pivotButton="0" quotePrefix="0" xfId="0">
      <alignment horizontal="center" vertical="center"/>
    </xf>
    <xf numFmtId="10" fontId="40" fillId="0" borderId="52" applyAlignment="1" pivotButton="0" quotePrefix="0" xfId="0">
      <alignment horizontal="right" vertical="center"/>
    </xf>
    <xf numFmtId="10" fontId="40" fillId="0" borderId="51" applyAlignment="1" pivotButton="0" quotePrefix="0" xfId="0">
      <alignment horizontal="right" vertical="center"/>
    </xf>
    <xf numFmtId="10" fontId="40" fillId="0" borderId="53" applyAlignment="1" pivotButton="0" quotePrefix="0" xfId="0">
      <alignment horizontal="right" vertical="center"/>
    </xf>
    <xf numFmtId="0" fontId="39" fillId="0" borderId="60" applyAlignment="1" pivotButton="0" quotePrefix="0" xfId="0">
      <alignment horizontal="left" vertical="center" wrapText="1" indent="1"/>
    </xf>
    <xf numFmtId="0" fontId="39" fillId="0" borderId="52" applyAlignment="1" pivotButton="0" quotePrefix="0" xfId="0">
      <alignment horizontal="left" vertical="center" wrapText="1" indent="2"/>
    </xf>
    <xf numFmtId="0" fontId="39" fillId="0" borderId="68" applyAlignment="1" pivotButton="0" quotePrefix="0" xfId="0">
      <alignment vertical="center" wrapText="1"/>
    </xf>
    <xf numFmtId="0" fontId="39" fillId="0" borderId="57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3" fillId="0" borderId="53" applyAlignment="1" pivotButton="0" quotePrefix="0" xfId="0">
      <alignment vertical="center" wrapText="1"/>
    </xf>
    <xf numFmtId="0" fontId="23" fillId="0" borderId="46" applyAlignment="1" pivotButton="0" quotePrefix="0" xfId="0">
      <alignment vertical="center"/>
    </xf>
    <xf numFmtId="0" fontId="32" fillId="0" borderId="0" applyAlignment="1" pivotButton="0" quotePrefix="0" xfId="0">
      <alignment vertical="center" wrapText="1"/>
    </xf>
    <xf numFmtId="0" fontId="32" fillId="0" borderId="53" applyAlignment="1" pivotButton="0" quotePrefix="0" xfId="0">
      <alignment vertical="center" wrapText="1"/>
    </xf>
    <xf numFmtId="0" fontId="32" fillId="12" borderId="46" applyAlignment="1" pivotButton="0" quotePrefix="0" xfId="0">
      <alignment vertical="center"/>
    </xf>
    <xf numFmtId="0" fontId="32" fillId="12" borderId="53" applyAlignment="1" pivotButton="0" quotePrefix="0" xfId="0">
      <alignment vertical="center"/>
    </xf>
    <xf numFmtId="9" fontId="3" fillId="13" borderId="0" applyAlignment="1" pivotButton="0" quotePrefix="0" xfId="2">
      <alignment vertical="center"/>
    </xf>
    <xf numFmtId="0" fontId="24" fillId="7" borderId="0" applyAlignment="1" pivotButton="0" quotePrefix="0" xfId="0">
      <alignment horizontal="center" vertical="center"/>
    </xf>
    <xf numFmtId="0" fontId="24" fillId="7" borderId="56" applyAlignment="1" pivotButton="0" quotePrefix="0" xfId="0">
      <alignment horizontal="center" vertical="center"/>
    </xf>
    <xf numFmtId="38" fontId="11" fillId="0" borderId="17" applyAlignment="1" pivotButton="0" quotePrefix="0" xfId="1">
      <alignment horizontal="center" vertical="center"/>
    </xf>
    <xf numFmtId="38" fontId="11" fillId="0" borderId="18" applyAlignment="1" pivotButton="0" quotePrefix="0" xfId="1">
      <alignment horizontal="center" vertical="center"/>
    </xf>
    <xf numFmtId="38" fontId="3" fillId="0" borderId="24" applyAlignment="1" pivotButton="0" quotePrefix="0" xfId="1">
      <alignment horizontal="center" vertical="center"/>
    </xf>
    <xf numFmtId="38" fontId="0" fillId="0" borderId="23" applyAlignment="1" pivotButton="0" quotePrefix="0" xfId="1">
      <alignment vertical="center"/>
    </xf>
    <xf numFmtId="38" fontId="3" fillId="0" borderId="23" applyAlignment="1" pivotButton="0" quotePrefix="0" xfId="1">
      <alignment horizontal="center" vertical="center"/>
    </xf>
    <xf numFmtId="0" fontId="11" fillId="0" borderId="0" applyAlignment="1" pivotButton="0" quotePrefix="0" xfId="0">
      <alignment horizontal="center" vertical="center" shrinkToFit="1"/>
    </xf>
    <xf numFmtId="0" fontId="11" fillId="0" borderId="2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2" fillId="12" borderId="53" applyAlignment="1" pivotButton="0" quotePrefix="0" xfId="0">
      <alignment horizontal="center" vertical="center"/>
    </xf>
    <xf numFmtId="0" fontId="23" fillId="0" borderId="57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39" fillId="0" borderId="67" applyAlignment="1" pivotButton="0" quotePrefix="0" xfId="0">
      <alignment horizontal="center" vertical="center"/>
    </xf>
    <xf numFmtId="0" fontId="23" fillId="12" borderId="53" applyAlignment="1" pivotButton="0" quotePrefix="0" xfId="0">
      <alignment horizontal="center" vertical="center"/>
    </xf>
    <xf numFmtId="0" fontId="23" fillId="12" borderId="52" applyAlignment="1" pivotButton="0" quotePrefix="0" xfId="0">
      <alignment horizontal="center" vertical="center"/>
    </xf>
    <xf numFmtId="164" fontId="3" fillId="3" borderId="20" applyAlignment="1" pivotButton="0" quotePrefix="0" xfId="1">
      <alignment horizontal="center" vertical="center"/>
    </xf>
    <xf numFmtId="164" fontId="3" fillId="3" borderId="29" applyAlignment="1" pivotButton="0" quotePrefix="0" xfId="1">
      <alignment horizontal="center" vertical="center"/>
    </xf>
    <xf numFmtId="164" fontId="3" fillId="0" borderId="0" applyAlignment="1" pivotButton="0" quotePrefix="0" xfId="0">
      <alignment vertical="center"/>
    </xf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5" fontId="3" fillId="0" borderId="24" applyAlignment="1" pivotButton="0" quotePrefix="0" xfId="1">
      <alignment horizontal="center" vertical="center"/>
    </xf>
    <xf numFmtId="165" fontId="3" fillId="0" borderId="23" applyAlignment="1" pivotButton="0" quotePrefix="0" xfId="1">
      <alignment horizontal="center" vertical="center"/>
    </xf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66" fontId="3" fillId="3" borderId="24" applyAlignment="1" pivotButton="0" quotePrefix="0" xfId="1">
      <alignment horizontal="center" vertical="center"/>
    </xf>
    <xf numFmtId="166" fontId="3" fillId="3" borderId="23" applyAlignment="1" pivotButton="0" quotePrefix="0" xfId="1">
      <alignment horizontal="center" vertical="center"/>
    </xf>
    <xf numFmtId="167" fontId="3" fillId="3" borderId="24" applyAlignment="1" pivotButton="0" quotePrefix="0" xfId="2">
      <alignment horizontal="center" vertical="center"/>
    </xf>
    <xf numFmtId="167" fontId="3" fillId="3" borderId="23" applyAlignment="1" pivotButton="0" quotePrefix="0" xfId="2">
      <alignment horizontal="center" vertical="center"/>
    </xf>
    <xf numFmtId="166" fontId="3" fillId="0" borderId="24" applyAlignment="1" pivotButton="0" quotePrefix="0" xfId="1">
      <alignment horizontal="center" vertical="center"/>
    </xf>
    <xf numFmtId="166" fontId="3" fillId="0" borderId="23" applyAlignment="1" pivotButton="0" quotePrefix="0" xfId="1">
      <alignment horizontal="center" vertical="center"/>
    </xf>
    <xf numFmtId="167" fontId="3" fillId="0" borderId="24" applyAlignment="1" pivotButton="0" quotePrefix="0" xfId="2">
      <alignment horizontal="center" vertical="center"/>
    </xf>
    <xf numFmtId="167" fontId="3" fillId="0" borderId="23" applyAlignment="1" pivotButton="0" quotePrefix="0" xfId="2">
      <alignment horizontal="center" vertical="center"/>
    </xf>
    <xf numFmtId="167" fontId="3" fillId="0" borderId="18" applyAlignment="1" pivotButton="0" quotePrefix="0" xfId="2">
      <alignment horizontal="center" vertical="center"/>
    </xf>
    <xf numFmtId="167" fontId="3" fillId="0" borderId="17" applyAlignment="1" pivotButton="0" quotePrefix="0" xfId="2">
      <alignment horizontal="center" vertical="center"/>
    </xf>
    <xf numFmtId="164" fontId="3" fillId="0" borderId="0" applyAlignment="1" pivotButton="0" quotePrefix="0" xfId="1">
      <alignment horizontal="center" vertical="center"/>
    </xf>
    <xf numFmtId="168" fontId="3" fillId="0" borderId="0" applyAlignment="1" pivotButton="0" quotePrefix="0" xfId="2">
      <alignment horizontal="center" vertical="center"/>
    </xf>
    <xf numFmtId="168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/>
    </xf>
    <xf numFmtId="169" fontId="3" fillId="0" borderId="0" applyAlignment="1" pivotButton="0" quotePrefix="0" xfId="2">
      <alignment vertical="center"/>
    </xf>
    <xf numFmtId="170" fontId="3" fillId="0" borderId="0" applyAlignment="1" pivotButton="0" quotePrefix="0" xfId="2">
      <alignment vertical="center"/>
    </xf>
    <xf numFmtId="164" fontId="11" fillId="3" borderId="29" applyAlignment="1" pivotButton="0" quotePrefix="0" xfId="1">
      <alignment horizontal="center" vertical="center"/>
    </xf>
    <xf numFmtId="164" fontId="11" fillId="3" borderId="20" applyAlignment="1" pivotButton="0" quotePrefix="0" xfId="1">
      <alignment horizontal="center" vertical="center"/>
    </xf>
    <xf numFmtId="164" fontId="11" fillId="0" borderId="29" applyAlignment="1" pivotButton="0" quotePrefix="0" xfId="1">
      <alignment horizontal="center" vertical="center"/>
    </xf>
    <xf numFmtId="164" fontId="11" fillId="0" borderId="20" applyAlignment="1" pivotButton="0" quotePrefix="0" xfId="1">
      <alignment horizontal="center" vertical="center"/>
    </xf>
    <xf numFmtId="168" fontId="11" fillId="0" borderId="23" applyAlignment="1" pivotButton="0" quotePrefix="0" xfId="2">
      <alignment horizontal="center" vertical="center"/>
    </xf>
    <xf numFmtId="168" fontId="11" fillId="0" borderId="24" applyAlignment="1" pivotButton="0" quotePrefix="0" xfId="2">
      <alignment horizontal="center" vertical="center"/>
    </xf>
    <xf numFmtId="168" fontId="11" fillId="0" borderId="17" applyAlignment="1" pivotButton="0" quotePrefix="0" xfId="2">
      <alignment horizontal="center" vertical="center"/>
    </xf>
    <xf numFmtId="168" fontId="11" fillId="0" borderId="18" applyAlignment="1" pivotButton="0" quotePrefix="0" xfId="2">
      <alignment horizontal="center" vertical="center"/>
    </xf>
    <xf numFmtId="164" fontId="11" fillId="0" borderId="23" applyAlignment="1" pivotButton="0" quotePrefix="0" xfId="1">
      <alignment horizontal="center" vertical="center"/>
    </xf>
    <xf numFmtId="164" fontId="11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171" fontId="11" fillId="0" borderId="17" applyAlignment="1" pivotButton="0" quotePrefix="0" xfId="2">
      <alignment horizontal="right" vertical="center"/>
    </xf>
    <xf numFmtId="164" fontId="11" fillId="0" borderId="17" applyAlignment="1" pivotButton="0" quotePrefix="0" xfId="1">
      <alignment horizontal="center" vertical="center"/>
    </xf>
    <xf numFmtId="164" fontId="11" fillId="0" borderId="18" applyAlignment="1" pivotButton="0" quotePrefix="0" xfId="1">
      <alignment horizontal="center" vertical="center"/>
    </xf>
    <xf numFmtId="172" fontId="11" fillId="3" borderId="29" applyAlignment="1" pivotButton="0" quotePrefix="0" xfId="1">
      <alignment horizontal="center" vertical="center"/>
    </xf>
    <xf numFmtId="172" fontId="11" fillId="3" borderId="20" applyAlignment="1" pivotButton="0" quotePrefix="0" xfId="1">
      <alignment horizontal="center" vertical="center"/>
    </xf>
    <xf numFmtId="164" fontId="11" fillId="0" borderId="0" applyAlignment="1" pivotButton="0" quotePrefix="0" xfId="1">
      <alignment horizontal="center" vertical="center"/>
    </xf>
    <xf numFmtId="168" fontId="11" fillId="3" borderId="20" applyAlignment="1" pivotButton="0" quotePrefix="0" xfId="1">
      <alignment horizontal="center" vertical="center"/>
    </xf>
    <xf numFmtId="165" fontId="11" fillId="0" borderId="0" applyAlignment="1" pivotButton="0" quotePrefix="0" xfId="1">
      <alignment vertical="center"/>
    </xf>
    <xf numFmtId="173" fontId="11" fillId="0" borderId="0" applyAlignment="1" pivotButton="0" quotePrefix="0" xfId="1">
      <alignment vertical="center"/>
    </xf>
    <xf numFmtId="170" fontId="11" fillId="0" borderId="29" applyAlignment="1" pivotButton="0" quotePrefix="0" xfId="1">
      <alignment horizontal="right" vertical="center"/>
    </xf>
    <xf numFmtId="170" fontId="11" fillId="0" borderId="4" applyAlignment="1" pivotButton="0" quotePrefix="0" xfId="1">
      <alignment horizontal="right" vertical="center"/>
    </xf>
    <xf numFmtId="168" fontId="11" fillId="0" borderId="11" applyAlignment="1" pivotButton="0" quotePrefix="0" xfId="2">
      <alignment horizontal="right" vertical="center"/>
    </xf>
    <xf numFmtId="168" fontId="11" fillId="0" borderId="28" applyAlignment="1" pivotButton="0" quotePrefix="0" xfId="2">
      <alignment horizontal="right" vertical="center"/>
    </xf>
    <xf numFmtId="174" fontId="11" fillId="0" borderId="7" applyAlignment="1" pivotButton="0" quotePrefix="0" xfId="1">
      <alignment horizontal="right" vertical="center"/>
    </xf>
    <xf numFmtId="174" fontId="11" fillId="0" borderId="8" applyAlignment="1" pivotButton="0" quotePrefix="0" xfId="1">
      <alignment horizontal="right" vertical="center"/>
    </xf>
    <xf numFmtId="174" fontId="11" fillId="0" borderId="27" applyAlignment="1" pivotButton="0" quotePrefix="0" xfId="1">
      <alignment horizontal="right" vertical="center"/>
    </xf>
    <xf numFmtId="174" fontId="11" fillId="0" borderId="28" applyAlignment="1" pivotButton="0" quotePrefix="0" xfId="1">
      <alignment horizontal="right" vertical="center"/>
    </xf>
    <xf numFmtId="174" fontId="11" fillId="3" borderId="20" applyAlignment="1" pivotButton="0" quotePrefix="0" xfId="1">
      <alignment horizontal="right" vertical="center"/>
    </xf>
    <xf numFmtId="174" fontId="11" fillId="0" borderId="18" applyAlignment="1" pivotButton="0" quotePrefix="0" xfId="1">
      <alignment horizontal="right" vertical="center"/>
    </xf>
    <xf numFmtId="174" fontId="11" fillId="3" borderId="29" applyAlignment="1" pivotButton="0" quotePrefix="0" xfId="1">
      <alignment horizontal="right" vertical="center"/>
    </xf>
    <xf numFmtId="174" fontId="11" fillId="0" borderId="24" applyAlignment="1" pivotButton="0" quotePrefix="0" xfId="1">
      <alignment horizontal="right" vertical="center"/>
    </xf>
    <xf numFmtId="174" fontId="11" fillId="0" borderId="23" applyAlignment="1" pivotButton="0" quotePrefix="0" xfId="1">
      <alignment horizontal="right" vertical="center"/>
    </xf>
    <xf numFmtId="168" fontId="11" fillId="0" borderId="28" applyAlignment="1" pivotButton="0" quotePrefix="0" xfId="2">
      <alignment horizontal="center" vertical="center"/>
    </xf>
    <xf numFmtId="168" fontId="11" fillId="0" borderId="27" applyAlignment="1" pivotButton="0" quotePrefix="0" xfId="2">
      <alignment horizontal="center" vertical="center"/>
    </xf>
    <xf numFmtId="168" fontId="13" fillId="0" borderId="23" applyAlignment="1" pivotButton="0" quotePrefix="0" xfId="2">
      <alignment horizontal="center" vertical="center"/>
    </xf>
    <xf numFmtId="174" fontId="11" fillId="0" borderId="20" applyAlignment="1" pivotButton="0" quotePrefix="0" xfId="1">
      <alignment vertical="center"/>
    </xf>
    <xf numFmtId="174" fontId="11" fillId="0" borderId="29" applyAlignment="1" pivotButton="0" quotePrefix="0" xfId="1">
      <alignment vertical="center"/>
    </xf>
    <xf numFmtId="174" fontId="11" fillId="0" borderId="24" applyAlignment="1" pivotButton="0" quotePrefix="0" xfId="1">
      <alignment vertical="center"/>
    </xf>
    <xf numFmtId="174" fontId="11" fillId="0" borderId="23" applyAlignment="1" pivotButton="0" quotePrefix="0" xfId="1">
      <alignment vertical="center"/>
    </xf>
    <xf numFmtId="174" fontId="11" fillId="0" borderId="18" applyAlignment="1" pivotButton="0" quotePrefix="0" xfId="1">
      <alignment vertical="center"/>
    </xf>
    <xf numFmtId="168" fontId="11" fillId="0" borderId="0" applyAlignment="1" pivotButton="0" quotePrefix="0" xfId="2">
      <alignment vertical="center"/>
    </xf>
    <xf numFmtId="170" fontId="3" fillId="0" borderId="0" applyAlignment="1" pivotButton="0" quotePrefix="0" xfId="1">
      <alignment vertical="center"/>
    </xf>
    <xf numFmtId="170" fontId="11" fillId="0" borderId="0" applyAlignment="1" pivotButton="0" quotePrefix="0" xfId="1">
      <alignment vertical="center"/>
    </xf>
    <xf numFmtId="168" fontId="11" fillId="0" borderId="29" applyAlignment="1" pivotButton="0" quotePrefix="0" xfId="2">
      <alignment horizontal="center" vertical="center"/>
    </xf>
    <xf numFmtId="168" fontId="11" fillId="0" borderId="20" applyAlignment="1" pivotButton="0" quotePrefix="0" xfId="2">
      <alignment horizontal="center" vertical="center"/>
    </xf>
    <xf numFmtId="168" fontId="11" fillId="0" borderId="4" applyAlignment="1" pivotButton="0" quotePrefix="0" xfId="2">
      <alignment horizontal="center" vertical="center"/>
    </xf>
    <xf numFmtId="168" fontId="11" fillId="0" borderId="11" applyAlignment="1" pivotButton="0" quotePrefix="0" xfId="2">
      <alignment horizontal="center" vertical="center"/>
    </xf>
    <xf numFmtId="168" fontId="11" fillId="0" borderId="13" applyAlignment="1" pivotButton="0" quotePrefix="0" xfId="2">
      <alignment horizontal="center" vertical="center"/>
    </xf>
    <xf numFmtId="168" fontId="0" fillId="0" borderId="0" applyAlignment="1" pivotButton="0" quotePrefix="0" xfId="0">
      <alignment vertical="center"/>
    </xf>
    <xf numFmtId="168" fontId="3" fillId="7" borderId="0" applyAlignment="1" pivotButton="0" quotePrefix="0" xfId="2">
      <alignment vertical="center"/>
    </xf>
    <xf numFmtId="168" fontId="3" fillId="0" borderId="0" applyAlignment="1" pivotButton="0" quotePrefix="0" xfId="0">
      <alignment vertical="center"/>
    </xf>
    <xf numFmtId="164" fontId="0" fillId="0" borderId="23" applyAlignment="1" pivotButton="0" quotePrefix="0" xfId="1">
      <alignment vertical="center"/>
    </xf>
    <xf numFmtId="175" fontId="0" fillId="2" borderId="23" pivotButton="0" quotePrefix="0" xfId="0"/>
    <xf numFmtId="175" fontId="0" fillId="9" borderId="23" pivotButton="0" quotePrefix="0" xfId="0"/>
    <xf numFmtId="164" fontId="0" fillId="0" borderId="0" applyAlignment="1" pivotButton="0" quotePrefix="0" xfId="1">
      <alignment vertical="center"/>
    </xf>
    <xf numFmtId="176" fontId="3" fillId="3" borderId="40" applyAlignment="1" pivotButton="0" quotePrefix="0" xfId="1">
      <alignment vertical="center"/>
    </xf>
    <xf numFmtId="164" fontId="3" fillId="3" borderId="40" applyAlignment="1" pivotButton="0" quotePrefix="0" xfId="1">
      <alignment vertical="center"/>
    </xf>
    <xf numFmtId="176" fontId="3" fillId="3" borderId="34" applyAlignment="1" pivotButton="0" quotePrefix="0" xfId="1">
      <alignment vertical="center"/>
    </xf>
    <xf numFmtId="164" fontId="3" fillId="0" borderId="41" applyAlignment="1" pivotButton="0" quotePrefix="0" xfId="1">
      <alignment vertical="center"/>
    </xf>
    <xf numFmtId="164" fontId="3" fillId="0" borderId="30" applyAlignment="1" pivotButton="0" quotePrefix="0" xfId="1">
      <alignment vertical="center"/>
    </xf>
    <xf numFmtId="175" fontId="0" fillId="0" borderId="0" applyAlignment="1" pivotButton="0" quotePrefix="0" xfId="0">
      <alignment vertical="center"/>
    </xf>
    <xf numFmtId="165" fontId="3" fillId="0" borderId="42" applyAlignment="1" pivotButton="0" quotePrefix="0" xfId="1">
      <alignment vertical="center"/>
    </xf>
    <xf numFmtId="165" fontId="3" fillId="0" borderId="31" applyAlignment="1" pivotButton="0" quotePrefix="0" xfId="1">
      <alignment vertical="center"/>
    </xf>
    <xf numFmtId="164" fontId="3" fillId="0" borderId="43" applyAlignment="1" pivotButton="0" quotePrefix="0" xfId="1">
      <alignment vertical="center"/>
    </xf>
    <xf numFmtId="176" fontId="3" fillId="7" borderId="41" applyAlignment="1" pivotButton="0" quotePrefix="0" xfId="1">
      <alignment vertical="center"/>
    </xf>
    <xf numFmtId="164" fontId="3" fillId="7" borderId="41" applyAlignment="1" pivotButton="0" quotePrefix="0" xfId="1">
      <alignment vertical="center"/>
    </xf>
    <xf numFmtId="176" fontId="3" fillId="7" borderId="30" applyAlignment="1" pivotButton="0" quotePrefix="0" xfId="1">
      <alignment vertical="center"/>
    </xf>
    <xf numFmtId="165" fontId="3" fillId="7" borderId="44" applyAlignment="1" pivotButton="0" quotePrefix="0" xfId="1">
      <alignment vertical="center"/>
    </xf>
    <xf numFmtId="165" fontId="3" fillId="7" borderId="45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75" fontId="18" fillId="2" borderId="23" pivotButton="0" quotePrefix="0" xfId="0"/>
    <xf numFmtId="175" fontId="0" fillId="10" borderId="23" pivotButton="0" quotePrefix="0" xfId="0"/>
    <xf numFmtId="175" fontId="18" fillId="11" borderId="23" pivotButton="0" quotePrefix="0" xfId="0"/>
    <xf numFmtId="176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177" fontId="23" fillId="0" borderId="54" applyAlignment="1" pivotButton="0" quotePrefix="0" xfId="1">
      <alignment horizontal="right" vertical="center"/>
    </xf>
    <xf numFmtId="177" fontId="23" fillId="0" borderId="55" applyAlignment="1" pivotButton="0" quotePrefix="0" xfId="1">
      <alignment horizontal="right" vertical="center"/>
    </xf>
    <xf numFmtId="177" fontId="23" fillId="0" borderId="56" applyAlignment="1" pivotButton="0" quotePrefix="0" xfId="1">
      <alignment horizontal="right" vertical="center"/>
    </xf>
    <xf numFmtId="177" fontId="23" fillId="0" borderId="0" applyAlignment="1" pivotButton="0" quotePrefix="0" xfId="1">
      <alignment horizontal="right" vertical="center"/>
    </xf>
    <xf numFmtId="171" fontId="23" fillId="0" borderId="63" applyAlignment="1" pivotButton="0" quotePrefix="0" xfId="2">
      <alignment horizontal="right" vertical="center"/>
    </xf>
    <xf numFmtId="171" fontId="23" fillId="0" borderId="64" applyAlignment="1" pivotButton="0" quotePrefix="0" xfId="2">
      <alignment horizontal="right" vertical="center"/>
    </xf>
    <xf numFmtId="171" fontId="23" fillId="0" borderId="65" applyAlignment="1" pivotButton="0" quotePrefix="0" xfId="2">
      <alignment horizontal="right" vertical="center"/>
    </xf>
    <xf numFmtId="171" fontId="23" fillId="0" borderId="66" applyAlignment="1" pivotButton="0" quotePrefix="0" xfId="2">
      <alignment horizontal="right" vertical="center"/>
    </xf>
    <xf numFmtId="164" fontId="23" fillId="0" borderId="63" applyAlignment="1" pivotButton="0" quotePrefix="0" xfId="1">
      <alignment horizontal="right" vertical="center"/>
    </xf>
    <xf numFmtId="164" fontId="23" fillId="0" borderId="64" applyAlignment="1" pivotButton="0" quotePrefix="0" xfId="1">
      <alignment horizontal="right" vertical="center"/>
    </xf>
    <xf numFmtId="164" fontId="23" fillId="0" borderId="65" applyAlignment="1" pivotButton="0" quotePrefix="0" xfId="1">
      <alignment horizontal="right" vertical="center"/>
    </xf>
    <xf numFmtId="164" fontId="23" fillId="0" borderId="66" applyAlignment="1" pivotButton="0" quotePrefix="0" xfId="1">
      <alignment horizontal="right" vertical="center"/>
    </xf>
    <xf numFmtId="164" fontId="23" fillId="0" borderId="54" applyAlignment="1" pivotButton="0" quotePrefix="0" xfId="0">
      <alignment horizontal="right" vertical="center"/>
    </xf>
    <xf numFmtId="164" fontId="23" fillId="0" borderId="55" applyAlignment="1" pivotButton="0" quotePrefix="0" xfId="1">
      <alignment horizontal="right" vertical="center"/>
    </xf>
    <xf numFmtId="164" fontId="23" fillId="0" borderId="56" applyAlignment="1" pivotButton="0" quotePrefix="0" xfId="1">
      <alignment horizontal="right" vertical="center"/>
    </xf>
    <xf numFmtId="177" fontId="23" fillId="0" borderId="69" applyAlignment="1" pivotButton="0" quotePrefix="0" xfId="1">
      <alignment horizontal="right" vertical="center"/>
    </xf>
    <xf numFmtId="177" fontId="23" fillId="0" borderId="51" applyAlignment="1" pivotButton="0" quotePrefix="0" xfId="1">
      <alignment horizontal="right" vertical="center"/>
    </xf>
    <xf numFmtId="177" fontId="23" fillId="0" borderId="52" applyAlignment="1" pivotButton="0" quotePrefix="0" xfId="1">
      <alignment horizontal="right" vertical="center"/>
    </xf>
    <xf numFmtId="177" fontId="23" fillId="0" borderId="53" applyAlignment="1" pivotButton="0" quotePrefix="0" xfId="1">
      <alignment horizontal="right" vertical="center"/>
    </xf>
    <xf numFmtId="177" fontId="26" fillId="0" borderId="54" applyAlignment="1" pivotButton="0" quotePrefix="0" xfId="0">
      <alignment horizontal="right" vertical="center"/>
    </xf>
    <xf numFmtId="177" fontId="26" fillId="0" borderId="55" applyAlignment="1" pivotButton="0" quotePrefix="0" xfId="0">
      <alignment horizontal="right" vertical="center"/>
    </xf>
    <xf numFmtId="177" fontId="4" fillId="0" borderId="55" applyAlignment="1" pivotButton="0" quotePrefix="0" xfId="0">
      <alignment horizontal="right" vertical="center"/>
    </xf>
    <xf numFmtId="177" fontId="26" fillId="0" borderId="56" applyAlignment="1" pivotButton="0" quotePrefix="0" xfId="0">
      <alignment horizontal="right" vertical="center"/>
    </xf>
    <xf numFmtId="177" fontId="26" fillId="0" borderId="0" applyAlignment="1" pivotButton="0" quotePrefix="0" xfId="0">
      <alignment horizontal="right" vertical="center"/>
    </xf>
    <xf numFmtId="164" fontId="26" fillId="0" borderId="54" applyAlignment="1" pivotButton="0" quotePrefix="0" xfId="0">
      <alignment horizontal="right" vertical="center"/>
    </xf>
    <xf numFmtId="177" fontId="23" fillId="0" borderId="58" applyAlignment="1" pivotButton="0" quotePrefix="0" xfId="0">
      <alignment horizontal="right" vertical="center"/>
    </xf>
    <xf numFmtId="177" fontId="23" fillId="0" borderId="59" applyAlignment="1" pivotButton="0" quotePrefix="0" xfId="0">
      <alignment horizontal="right" vertical="center"/>
    </xf>
    <xf numFmtId="177" fontId="27" fillId="0" borderId="59" applyAlignment="1" pivotButton="0" quotePrefix="0" xfId="0">
      <alignment horizontal="right" vertical="center"/>
    </xf>
    <xf numFmtId="177" fontId="23" fillId="0" borderId="60" applyAlignment="1" pivotButton="0" quotePrefix="0" xfId="0">
      <alignment horizontal="right" vertical="center"/>
    </xf>
    <xf numFmtId="177" fontId="23" fillId="0" borderId="61" applyAlignment="1" pivotButton="0" quotePrefix="0" xfId="0">
      <alignment horizontal="right" vertical="center"/>
    </xf>
    <xf numFmtId="164" fontId="23" fillId="0" borderId="58" applyAlignment="1" pivotButton="0" quotePrefix="0" xfId="0">
      <alignment horizontal="right" vertical="center"/>
    </xf>
    <xf numFmtId="177" fontId="23" fillId="0" borderId="54" applyAlignment="1" pivotButton="0" quotePrefix="0" xfId="0">
      <alignment horizontal="right" vertical="center"/>
    </xf>
    <xf numFmtId="177" fontId="23" fillId="0" borderId="55" applyAlignment="1" pivotButton="0" quotePrefix="0" xfId="0">
      <alignment horizontal="right" vertical="center"/>
    </xf>
    <xf numFmtId="177" fontId="27" fillId="0" borderId="55" applyAlignment="1" pivotButton="0" quotePrefix="0" xfId="0">
      <alignment horizontal="right" vertical="center"/>
    </xf>
    <xf numFmtId="177" fontId="23" fillId="0" borderId="56" applyAlignment="1" pivotButton="0" quotePrefix="0" xfId="0">
      <alignment horizontal="right" vertical="center"/>
    </xf>
    <xf numFmtId="177" fontId="23" fillId="0" borderId="0" applyAlignment="1" pivotButton="0" quotePrefix="0" xfId="0">
      <alignment horizontal="right" vertical="center"/>
    </xf>
    <xf numFmtId="177" fontId="26" fillId="0" borderId="69" applyAlignment="1" pivotButton="0" quotePrefix="0" xfId="0">
      <alignment horizontal="right" vertical="center"/>
    </xf>
    <xf numFmtId="177" fontId="26" fillId="0" borderId="51" applyAlignment="1" pivotButton="0" quotePrefix="0" xfId="0">
      <alignment horizontal="right" vertical="center"/>
    </xf>
    <xf numFmtId="177" fontId="4" fillId="0" borderId="51" applyAlignment="1" pivotButton="0" quotePrefix="0" xfId="0">
      <alignment horizontal="right" vertical="center"/>
    </xf>
    <xf numFmtId="177" fontId="26" fillId="0" borderId="52" applyAlignment="1" pivotButton="0" quotePrefix="0" xfId="0">
      <alignment horizontal="right" vertical="center"/>
    </xf>
    <xf numFmtId="177" fontId="26" fillId="0" borderId="53" applyAlignment="1" pivotButton="0" quotePrefix="0" xfId="0">
      <alignment horizontal="right" vertical="center"/>
    </xf>
    <xf numFmtId="164" fontId="26" fillId="0" borderId="69" applyAlignment="1" pivotButton="0" quotePrefix="0" xfId="0">
      <alignment horizontal="right" vertical="center"/>
    </xf>
    <xf numFmtId="177" fontId="23" fillId="0" borderId="58" applyAlignment="1" pivotButton="0" quotePrefix="0" xfId="1">
      <alignment horizontal="right" vertical="center"/>
    </xf>
    <xf numFmtId="177" fontId="23" fillId="0" borderId="59" applyAlignment="1" pivotButton="0" quotePrefix="0" xfId="1">
      <alignment horizontal="right" vertical="center"/>
    </xf>
    <xf numFmtId="177" fontId="23" fillId="0" borderId="60" applyAlignment="1" pivotButton="0" quotePrefix="0" xfId="1">
      <alignment horizontal="right" vertical="center"/>
    </xf>
    <xf numFmtId="177" fontId="23" fillId="0" borderId="61" applyAlignment="1" pivotButton="0" quotePrefix="0" xfId="1">
      <alignment horizontal="right" vertical="center"/>
    </xf>
    <xf numFmtId="168" fontId="23" fillId="0" borderId="54" applyAlignment="1" pivotButton="0" quotePrefix="0" xfId="0">
      <alignment horizontal="right" vertical="center"/>
    </xf>
    <xf numFmtId="168" fontId="23" fillId="0" borderId="55" applyAlignment="1" pivotButton="0" quotePrefix="0" xfId="0">
      <alignment horizontal="right" vertical="center"/>
    </xf>
    <xf numFmtId="168" fontId="23" fillId="0" borderId="56" applyAlignment="1" pivotButton="0" quotePrefix="0" xfId="0">
      <alignment horizontal="right" vertical="center"/>
    </xf>
    <xf numFmtId="168" fontId="23" fillId="0" borderId="0" applyAlignment="1" pivotButton="0" quotePrefix="0" xfId="0">
      <alignment horizontal="right" vertical="center"/>
    </xf>
    <xf numFmtId="177" fontId="0" fillId="0" borderId="0" applyAlignment="1" pivotButton="0" quotePrefix="0" xfId="0">
      <alignment vertical="center"/>
    </xf>
    <xf numFmtId="171" fontId="26" fillId="0" borderId="54" applyAlignment="1" pivotButton="0" quotePrefix="0" xfId="2">
      <alignment horizontal="right" vertical="center"/>
    </xf>
    <xf numFmtId="171" fontId="26" fillId="0" borderId="55" applyAlignment="1" pivotButton="0" quotePrefix="0" xfId="1">
      <alignment horizontal="right" vertical="center"/>
    </xf>
    <xf numFmtId="171" fontId="26" fillId="0" borderId="56" applyAlignment="1" pivotButton="0" quotePrefix="0" xfId="1">
      <alignment horizontal="right" vertical="center"/>
    </xf>
    <xf numFmtId="171" fontId="26" fillId="0" borderId="0" applyAlignment="1" pivotButton="0" quotePrefix="0" xfId="1">
      <alignment horizontal="right" vertical="center"/>
    </xf>
    <xf numFmtId="171" fontId="0" fillId="0" borderId="0" applyAlignment="1" pivotButton="0" quotePrefix="0" xfId="0">
      <alignment vertical="center"/>
    </xf>
    <xf numFmtId="169" fontId="3" fillId="0" borderId="82" applyAlignment="1" pivotButton="0" quotePrefix="0" xfId="0">
      <alignment horizontal="right" vertical="center"/>
    </xf>
    <xf numFmtId="169" fontId="3" fillId="0" borderId="59" applyAlignment="1" pivotButton="0" quotePrefix="0" xfId="0">
      <alignment horizontal="right" vertical="center"/>
    </xf>
    <xf numFmtId="169" fontId="3" fillId="0" borderId="60" applyAlignment="1" pivotButton="0" quotePrefix="0" xfId="0">
      <alignment horizontal="right" vertical="center"/>
    </xf>
    <xf numFmtId="169" fontId="3" fillId="0" borderId="61" applyAlignment="1" pivotButton="0" quotePrefix="0" xfId="0">
      <alignment horizontal="right" vertical="center"/>
    </xf>
    <xf numFmtId="169" fontId="3" fillId="0" borderId="77" applyAlignment="1" pivotButton="0" quotePrefix="0" xfId="0">
      <alignment horizontal="right" vertical="center"/>
    </xf>
    <xf numFmtId="169" fontId="3" fillId="0" borderId="51" applyAlignment="1" pivotButton="0" quotePrefix="0" xfId="0">
      <alignment horizontal="right" vertical="center"/>
    </xf>
    <xf numFmtId="169" fontId="3" fillId="0" borderId="52" applyAlignment="1" pivotButton="0" quotePrefix="0" xfId="0">
      <alignment horizontal="right" vertical="center"/>
    </xf>
    <xf numFmtId="169" fontId="3" fillId="0" borderId="53" applyAlignment="1" pivotButton="0" quotePrefix="0" xfId="0">
      <alignment horizontal="right" vertical="center"/>
    </xf>
    <xf numFmtId="169" fontId="26" fillId="0" borderId="81" applyAlignment="1" pivotButton="0" quotePrefix="0" xfId="0">
      <alignment horizontal="right" vertical="center"/>
    </xf>
    <xf numFmtId="169" fontId="26" fillId="0" borderId="55" applyAlignment="1" pivotButton="0" quotePrefix="0" xfId="0">
      <alignment horizontal="right" vertical="center"/>
    </xf>
    <xf numFmtId="169" fontId="26" fillId="0" borderId="56" applyAlignment="1" pivotButton="0" quotePrefix="0" xfId="0">
      <alignment horizontal="right" vertical="center"/>
    </xf>
    <xf numFmtId="169" fontId="26" fillId="0" borderId="0" applyAlignment="1" pivotButton="0" quotePrefix="0" xfId="0">
      <alignment horizontal="right" vertical="center"/>
    </xf>
    <xf numFmtId="169" fontId="26" fillId="0" borderId="87" applyAlignment="1" pivotButton="0" quotePrefix="0" xfId="0">
      <alignment horizontal="right" vertical="center"/>
    </xf>
    <xf numFmtId="169" fontId="26" fillId="0" borderId="51" applyAlignment="1" pivotButton="0" quotePrefix="0" xfId="0">
      <alignment horizontal="right" vertical="center"/>
    </xf>
    <xf numFmtId="169" fontId="26" fillId="0" borderId="52" applyAlignment="1" pivotButton="0" quotePrefix="0" xfId="0">
      <alignment horizontal="right" vertical="center"/>
    </xf>
    <xf numFmtId="169" fontId="26" fillId="0" borderId="53" applyAlignment="1" pivotButton="0" quotePrefix="0" xfId="0">
      <alignment horizontal="right" vertical="center"/>
    </xf>
    <xf numFmtId="164" fontId="26" fillId="0" borderId="81" applyAlignment="1" pivotButton="0" quotePrefix="0" xfId="1">
      <alignment horizontal="right" vertical="center"/>
    </xf>
    <xf numFmtId="164" fontId="26" fillId="0" borderId="55" applyAlignment="1" pivotButton="0" quotePrefix="0" xfId="1">
      <alignment horizontal="right" vertical="center"/>
    </xf>
    <xf numFmtId="164" fontId="26" fillId="0" borderId="56" applyAlignment="1" pivotButton="0" quotePrefix="0" xfId="1">
      <alignment horizontal="right" vertical="center"/>
    </xf>
    <xf numFmtId="164" fontId="26" fillId="0" borderId="0" applyAlignment="1" pivotButton="0" quotePrefix="0" xfId="1">
      <alignment horizontal="right" vertical="center"/>
    </xf>
    <xf numFmtId="164" fontId="3" fillId="0" borderId="82" applyAlignment="1" pivotButton="0" quotePrefix="0" xfId="1">
      <alignment horizontal="right" vertical="center"/>
    </xf>
    <xf numFmtId="164" fontId="3" fillId="0" borderId="59" applyAlignment="1" pivotButton="0" quotePrefix="0" xfId="1">
      <alignment horizontal="right" vertical="center"/>
    </xf>
    <xf numFmtId="164" fontId="3" fillId="0" borderId="60" applyAlignment="1" pivotButton="0" quotePrefix="0" xfId="1">
      <alignment horizontal="right" vertical="center"/>
    </xf>
    <xf numFmtId="164" fontId="3" fillId="0" borderId="61" applyAlignment="1" pivotButton="0" quotePrefix="0" xfId="1">
      <alignment horizontal="right" vertical="center"/>
    </xf>
    <xf numFmtId="168" fontId="3" fillId="0" borderId="81" applyAlignment="1" pivotButton="0" quotePrefix="0" xfId="0">
      <alignment horizontal="right" vertical="center"/>
    </xf>
    <xf numFmtId="168" fontId="3" fillId="0" borderId="55" applyAlignment="1" pivotButton="0" quotePrefix="0" xfId="0">
      <alignment horizontal="right" vertical="center"/>
    </xf>
    <xf numFmtId="168" fontId="3" fillId="0" borderId="56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82" applyAlignment="1" pivotButton="0" quotePrefix="0" xfId="0">
      <alignment horizontal="right" vertical="center"/>
    </xf>
    <xf numFmtId="168" fontId="3" fillId="0" borderId="59" applyAlignment="1" pivotButton="0" quotePrefix="0" xfId="0">
      <alignment horizontal="right" vertical="center"/>
    </xf>
    <xf numFmtId="168" fontId="3" fillId="0" borderId="60" applyAlignment="1" pivotButton="0" quotePrefix="0" xfId="0">
      <alignment horizontal="right" vertical="center"/>
    </xf>
    <xf numFmtId="168" fontId="3" fillId="0" borderId="61" applyAlignment="1" pivotButton="0" quotePrefix="0" xfId="0">
      <alignment horizontal="right" vertical="center"/>
    </xf>
    <xf numFmtId="164" fontId="34" fillId="4" borderId="0" applyAlignment="1" pivotButton="0" quotePrefix="0" xfId="1">
      <alignment horizontal="center" vertical="center"/>
    </xf>
    <xf numFmtId="164" fontId="33" fillId="2" borderId="0" applyAlignment="1" pivotButton="0" quotePrefix="0" xfId="1">
      <alignment horizontal="center" vertical="center"/>
    </xf>
    <xf numFmtId="164" fontId="3" fillId="6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 wrapText="1"/>
    </xf>
    <xf numFmtId="164" fontId="4" fillId="6" borderId="0" applyAlignment="1" pivotButton="0" quotePrefix="0" xfId="1">
      <alignment vertical="center"/>
    </xf>
    <xf numFmtId="164" fontId="10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vertical="center" wrapText="1"/>
    </xf>
    <xf numFmtId="176" fontId="0" fillId="0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164" fontId="3" fillId="7" borderId="0" applyAlignment="1" pivotButton="0" quotePrefix="0" xfId="1">
      <alignment vertical="center"/>
    </xf>
    <xf numFmtId="164" fontId="11" fillId="7" borderId="0" applyAlignment="1" pivotButton="0" quotePrefix="0" xfId="1">
      <alignment vertical="center"/>
    </xf>
    <xf numFmtId="164" fontId="3" fillId="13" borderId="0" applyAlignment="1" pivotButton="0" quotePrefix="0" xfId="1">
      <alignment vertical="center"/>
    </xf>
    <xf numFmtId="168" fontId="3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164" fontId="11" fillId="13" borderId="0" applyAlignment="1" pivotButton="0" quotePrefix="0" xfId="1">
      <alignment vertical="center"/>
    </xf>
    <xf numFmtId="164" fontId="35" fillId="13" borderId="0" applyAlignment="1" pivotButton="0" quotePrefix="0" xfId="1">
      <alignment vertical="center"/>
    </xf>
    <xf numFmtId="178" fontId="4" fillId="13" borderId="0" applyAlignment="1" pivotButton="0" quotePrefix="0" xfId="1">
      <alignment vertical="center"/>
    </xf>
    <xf numFmtId="176" fontId="3" fillId="13" borderId="0" applyAlignment="1" pivotButton="0" quotePrefix="0" xfId="1">
      <alignment vertical="center"/>
    </xf>
    <xf numFmtId="164" fontId="3" fillId="13" borderId="0" applyAlignment="1" pivotButton="0" quotePrefix="0" xfId="0">
      <alignment vertical="center"/>
    </xf>
    <xf numFmtId="164" fontId="3" fillId="14" borderId="0" applyAlignment="1" pivotButton="0" quotePrefix="0" xfId="1">
      <alignment vertical="center"/>
    </xf>
    <xf numFmtId="168" fontId="3" fillId="14" borderId="0" applyAlignment="1" pivotButton="0" quotePrefix="0" xfId="2">
      <alignment vertical="center"/>
    </xf>
    <xf numFmtId="164" fontId="4" fillId="14" borderId="0" applyAlignment="1" pivotButton="0" quotePrefix="0" xfId="1">
      <alignment vertical="center"/>
    </xf>
    <xf numFmtId="164" fontId="11" fillId="14" borderId="0" applyAlignment="1" pivotButton="0" quotePrefix="0" xfId="1">
      <alignment vertical="center"/>
    </xf>
    <xf numFmtId="164" fontId="35" fillId="7" borderId="0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168" fontId="4" fillId="0" borderId="0" applyAlignment="1" pivotButton="0" quotePrefix="0" xfId="2">
      <alignment vertical="center"/>
    </xf>
    <xf numFmtId="168" fontId="11" fillId="13" borderId="0" applyAlignment="1" pivotButton="0" quotePrefix="0" xfId="2">
      <alignment vertical="center"/>
    </xf>
    <xf numFmtId="164" fontId="35" fillId="0" borderId="0" applyAlignment="1" pivotButton="0" quotePrefix="0" xfId="1">
      <alignment vertical="center"/>
    </xf>
    <xf numFmtId="164" fontId="41" fillId="13" borderId="0" applyAlignment="1" pivotButton="0" quotePrefix="0" xfId="1">
      <alignment vertical="center"/>
    </xf>
    <xf numFmtId="164" fontId="19" fillId="0" borderId="0" applyAlignment="1" pivotButton="0" quotePrefix="0" xfId="1">
      <alignment vertical="center"/>
    </xf>
    <xf numFmtId="168" fontId="4" fillId="13" borderId="0" applyAlignment="1" pivotButton="0" quotePrefix="0" xfId="2">
      <alignment vertical="center"/>
    </xf>
    <xf numFmtId="168" fontId="4" fillId="7" borderId="0" applyAlignment="1" pivotButton="0" quotePrefix="0" xfId="2">
      <alignment vertical="center"/>
    </xf>
    <xf numFmtId="164" fontId="19" fillId="13" borderId="0" applyAlignment="1" pivotButton="0" quotePrefix="0" xfId="1">
      <alignment vertical="center"/>
    </xf>
    <xf numFmtId="168" fontId="11" fillId="7" borderId="0" applyAlignment="1" pivotButton="0" quotePrefix="0" xfId="2">
      <alignment vertical="center"/>
    </xf>
    <xf numFmtId="168" fontId="3" fillId="0" borderId="0" applyAlignment="1" pivotButton="0" quotePrefix="0" xfId="1">
      <alignment vertical="center"/>
    </xf>
    <xf numFmtId="164" fontId="24" fillId="0" borderId="56" applyAlignment="1" pivotButton="0" quotePrefix="0" xfId="1">
      <alignment horizontal="right" vertical="center"/>
    </xf>
    <xf numFmtId="164" fontId="24" fillId="0" borderId="55" applyAlignment="1" pivotButton="0" quotePrefix="0" xfId="1">
      <alignment horizontal="right" vertical="center"/>
    </xf>
    <xf numFmtId="164" fontId="24" fillId="0" borderId="0" applyAlignment="1" pivotButton="0" quotePrefix="0" xfId="1">
      <alignment horizontal="right" vertical="center"/>
    </xf>
    <xf numFmtId="167" fontId="36" fillId="0" borderId="60" applyAlignment="1" pivotButton="0" quotePrefix="0" xfId="0">
      <alignment horizontal="right" vertical="center"/>
    </xf>
    <xf numFmtId="167" fontId="36" fillId="0" borderId="59" applyAlignment="1" pivotButton="0" quotePrefix="0" xfId="0">
      <alignment horizontal="right" vertical="center"/>
    </xf>
    <xf numFmtId="167" fontId="36" fillId="0" borderId="61" applyAlignment="1" pivotButton="0" quotePrefix="0" xfId="0">
      <alignment horizontal="right" vertical="center"/>
    </xf>
    <xf numFmtId="164" fontId="36" fillId="0" borderId="60" applyAlignment="1" pivotButton="0" quotePrefix="0" xfId="1">
      <alignment horizontal="right" vertical="center"/>
    </xf>
    <xf numFmtId="164" fontId="36" fillId="0" borderId="59" applyAlignment="1" pivotButton="0" quotePrefix="0" xfId="1">
      <alignment horizontal="right" vertical="center"/>
    </xf>
    <xf numFmtId="164" fontId="36" fillId="0" borderId="61" applyAlignment="1" pivotButton="0" quotePrefix="0" xfId="1">
      <alignment horizontal="right" vertical="center"/>
    </xf>
    <xf numFmtId="167" fontId="36" fillId="0" borderId="52" applyAlignment="1" pivotButton="0" quotePrefix="0" xfId="0">
      <alignment horizontal="right" vertical="center"/>
    </xf>
    <xf numFmtId="167" fontId="36" fillId="0" borderId="51" applyAlignment="1" pivotButton="0" quotePrefix="0" xfId="0">
      <alignment horizontal="right" vertical="center"/>
    </xf>
    <xf numFmtId="167" fontId="36" fillId="0" borderId="53" applyAlignment="1" pivotButton="0" quotePrefix="0" xfId="0">
      <alignment horizontal="right" vertical="center"/>
    </xf>
    <xf numFmtId="164" fontId="36" fillId="0" borderId="52" applyAlignment="1" pivotButton="0" quotePrefix="0" xfId="1">
      <alignment horizontal="right" vertical="center"/>
    </xf>
    <xf numFmtId="164" fontId="36" fillId="0" borderId="51" applyAlignment="1" pivotButton="0" quotePrefix="0" xfId="1">
      <alignment horizontal="right" vertical="center"/>
    </xf>
    <xf numFmtId="164" fontId="36" fillId="0" borderId="53" applyAlignment="1" pivotButton="0" quotePrefix="0" xfId="1">
      <alignment horizontal="right" vertical="center"/>
    </xf>
    <xf numFmtId="166" fontId="24" fillId="7" borderId="56" applyAlignment="1" pivotButton="0" quotePrefix="0" xfId="0">
      <alignment horizontal="right" vertical="center"/>
    </xf>
    <xf numFmtId="166" fontId="24" fillId="7" borderId="55" applyAlignment="1" pivotButton="0" quotePrefix="0" xfId="0">
      <alignment horizontal="right" vertical="center"/>
    </xf>
    <xf numFmtId="166" fontId="24" fillId="7" borderId="0" applyAlignment="1" pivotButton="0" quotePrefix="0" xfId="0">
      <alignment horizontal="right" vertical="center"/>
    </xf>
    <xf numFmtId="164" fontId="24" fillId="7" borderId="56" applyAlignment="1" pivotButton="0" quotePrefix="0" xfId="1">
      <alignment horizontal="right" vertical="center"/>
    </xf>
    <xf numFmtId="164" fontId="24" fillId="7" borderId="55" applyAlignment="1" pivotButton="0" quotePrefix="0" xfId="1">
      <alignment horizontal="right" vertical="center"/>
    </xf>
    <xf numFmtId="164" fontId="24" fillId="7" borderId="0" applyAlignment="1" pivotButton="0" quotePrefix="0" xfId="1">
      <alignment horizontal="right" vertical="center"/>
    </xf>
    <xf numFmtId="167" fontId="36" fillId="7" borderId="60" applyAlignment="1" pivotButton="0" quotePrefix="0" xfId="0">
      <alignment horizontal="right" vertical="center"/>
    </xf>
    <xf numFmtId="167" fontId="36" fillId="7" borderId="59" applyAlignment="1" pivotButton="0" quotePrefix="0" xfId="0">
      <alignment horizontal="right" vertical="center"/>
    </xf>
    <xf numFmtId="167" fontId="36" fillId="7" borderId="61" applyAlignment="1" pivotButton="0" quotePrefix="0" xfId="0">
      <alignment horizontal="right" vertical="center"/>
    </xf>
    <xf numFmtId="164" fontId="36" fillId="7" borderId="60" applyAlignment="1" pivotButton="0" quotePrefix="0" xfId="1">
      <alignment horizontal="right" vertical="center"/>
    </xf>
    <xf numFmtId="164" fontId="36" fillId="7" borderId="59" applyAlignment="1" pivotButton="0" quotePrefix="0" xfId="1">
      <alignment horizontal="right" vertical="center"/>
    </xf>
    <xf numFmtId="164" fontId="36" fillId="7" borderId="61" applyAlignment="1" pivotButton="0" quotePrefix="0" xfId="1">
      <alignment horizontal="right" vertical="center"/>
    </xf>
    <xf numFmtId="167" fontId="36" fillId="7" borderId="52" applyAlignment="1" pivotButton="0" quotePrefix="0" xfId="0">
      <alignment horizontal="right" vertical="center"/>
    </xf>
    <xf numFmtId="167" fontId="36" fillId="7" borderId="51" applyAlignment="1" pivotButton="0" quotePrefix="0" xfId="0">
      <alignment horizontal="right" vertical="center"/>
    </xf>
    <xf numFmtId="167" fontId="36" fillId="7" borderId="53" applyAlignment="1" pivotButton="0" quotePrefix="0" xfId="0">
      <alignment horizontal="right" vertical="center"/>
    </xf>
    <xf numFmtId="164" fontId="36" fillId="7" borderId="52" applyAlignment="1" pivotButton="0" quotePrefix="0" xfId="1">
      <alignment horizontal="right" vertical="center"/>
    </xf>
    <xf numFmtId="164" fontId="36" fillId="7" borderId="51" applyAlignment="1" pivotButton="0" quotePrefix="0" xfId="1">
      <alignment horizontal="right" vertical="center"/>
    </xf>
    <xf numFmtId="164" fontId="36" fillId="7" borderId="53" applyAlignment="1" pivotButton="0" quotePrefix="0" xfId="1">
      <alignment horizontal="right" vertical="center"/>
    </xf>
    <xf numFmtId="168" fontId="37" fillId="0" borderId="56" applyAlignment="1" pivotButton="0" quotePrefix="0" xfId="0">
      <alignment horizontal="right" vertical="center"/>
    </xf>
    <xf numFmtId="168" fontId="37" fillId="0" borderId="55" applyAlignment="1" pivotButton="0" quotePrefix="0" xfId="0">
      <alignment horizontal="right" vertical="center"/>
    </xf>
    <xf numFmtId="168" fontId="37" fillId="0" borderId="0" applyAlignment="1" pivotButton="0" quotePrefix="0" xfId="0">
      <alignment horizontal="right" vertical="center"/>
    </xf>
    <xf numFmtId="168" fontId="37" fillId="0" borderId="56" applyAlignment="1" pivotButton="0" quotePrefix="0" xfId="2">
      <alignment horizontal="right" vertical="center"/>
    </xf>
    <xf numFmtId="168" fontId="37" fillId="0" borderId="55" applyAlignment="1" pivotButton="0" quotePrefix="0" xfId="2">
      <alignment horizontal="right" vertical="center"/>
    </xf>
    <xf numFmtId="168" fontId="37" fillId="0" borderId="0" applyAlignment="1" pivotButton="0" quotePrefix="0" xfId="2">
      <alignment horizontal="right" vertical="center"/>
    </xf>
    <xf numFmtId="179" fontId="36" fillId="0" borderId="80" applyAlignment="1" pivotButton="0" quotePrefix="0" xfId="0">
      <alignment horizontal="right" vertical="center"/>
    </xf>
    <xf numFmtId="179" fontId="36" fillId="0" borderId="79" applyAlignment="1" pivotButton="0" quotePrefix="0" xfId="0">
      <alignment horizontal="right" vertical="center"/>
    </xf>
    <xf numFmtId="179" fontId="36" fillId="0" borderId="91" applyAlignment="1" pivotButton="0" quotePrefix="0" xfId="0">
      <alignment horizontal="right" vertical="center"/>
    </xf>
    <xf numFmtId="168" fontId="36" fillId="0" borderId="80" applyAlignment="1" pivotButton="0" quotePrefix="0" xfId="2">
      <alignment horizontal="right" vertical="center"/>
    </xf>
    <xf numFmtId="168" fontId="36" fillId="0" borderId="79" applyAlignment="1" pivotButton="0" quotePrefix="0" xfId="2">
      <alignment horizontal="right" vertical="center"/>
    </xf>
    <xf numFmtId="168" fontId="36" fillId="0" borderId="91" applyAlignment="1" pivotButton="0" quotePrefix="0" xfId="2">
      <alignment horizontal="right" vertical="center"/>
    </xf>
    <xf numFmtId="170" fontId="24" fillId="0" borderId="56" applyAlignment="1" pivotButton="0" quotePrefix="0" xfId="1">
      <alignment horizontal="right" vertical="center"/>
    </xf>
    <xf numFmtId="170" fontId="24" fillId="0" borderId="55" applyAlignment="1" pivotButton="0" quotePrefix="0" xfId="1">
      <alignment horizontal="right" vertical="center"/>
    </xf>
    <xf numFmtId="170" fontId="24" fillId="0" borderId="0" applyAlignment="1" pivotButton="0" quotePrefix="0" xfId="1">
      <alignment horizontal="right" vertical="center"/>
    </xf>
    <xf numFmtId="180" fontId="36" fillId="0" borderId="60" applyAlignment="1" pivotButton="0" quotePrefix="0" xfId="2">
      <alignment horizontal="right" vertical="center"/>
    </xf>
    <xf numFmtId="180" fontId="36" fillId="0" borderId="59" applyAlignment="1" pivotButton="0" quotePrefix="0" xfId="2">
      <alignment horizontal="right" vertical="center"/>
    </xf>
    <xf numFmtId="180" fontId="36" fillId="0" borderId="61" applyAlignment="1" pivotButton="0" quotePrefix="0" xfId="2">
      <alignment horizontal="right" vertical="center"/>
    </xf>
    <xf numFmtId="180" fontId="0" fillId="0" borderId="0" applyAlignment="1" pivotButton="0" quotePrefix="0" xfId="0">
      <alignment vertical="center"/>
    </xf>
    <xf numFmtId="180" fontId="36" fillId="0" borderId="52" applyAlignment="1" pivotButton="0" quotePrefix="0" xfId="2">
      <alignment horizontal="right" vertical="center"/>
    </xf>
    <xf numFmtId="180" fontId="36" fillId="0" borderId="51" applyAlignment="1" pivotButton="0" quotePrefix="0" xfId="2">
      <alignment horizontal="right" vertical="center"/>
    </xf>
    <xf numFmtId="180" fontId="36" fillId="0" borderId="53" applyAlignment="1" pivotButton="0" quotePrefix="0" xfId="2">
      <alignment horizontal="right" vertical="center"/>
    </xf>
    <xf numFmtId="170" fontId="32" fillId="0" borderId="56" applyAlignment="1" pivotButton="0" quotePrefix="0" xfId="1">
      <alignment horizontal="right" vertical="center"/>
    </xf>
    <xf numFmtId="170" fontId="32" fillId="0" borderId="55" applyAlignment="1" pivotButton="0" quotePrefix="0" xfId="1">
      <alignment horizontal="right" vertical="center"/>
    </xf>
    <xf numFmtId="170" fontId="32" fillId="0" borderId="0" applyAlignment="1" pivotButton="0" quotePrefix="0" xfId="1">
      <alignment horizontal="right" vertical="center"/>
    </xf>
    <xf numFmtId="164" fontId="32" fillId="0" borderId="56" applyAlignment="1" pivotButton="0" quotePrefix="0" xfId="1">
      <alignment horizontal="right" vertical="center"/>
    </xf>
    <xf numFmtId="164" fontId="32" fillId="0" borderId="55" applyAlignment="1" pivotButton="0" quotePrefix="0" xfId="1">
      <alignment horizontal="right" vertical="center"/>
    </xf>
    <xf numFmtId="164" fontId="32" fillId="0" borderId="0" applyAlignment="1" pivotButton="0" quotePrefix="0" xfId="1">
      <alignment horizontal="right" vertical="center"/>
    </xf>
    <xf numFmtId="171" fontId="36" fillId="0" borderId="60" applyAlignment="1" pivotButton="0" quotePrefix="0" xfId="2">
      <alignment horizontal="right" vertical="center"/>
    </xf>
    <xf numFmtId="171" fontId="36" fillId="0" borderId="59" applyAlignment="1" pivotButton="0" quotePrefix="0" xfId="2">
      <alignment horizontal="right" vertical="center"/>
    </xf>
    <xf numFmtId="171" fontId="36" fillId="0" borderId="61" applyAlignment="1" pivotButton="0" quotePrefix="0" xfId="2">
      <alignment horizontal="right" vertical="center"/>
    </xf>
    <xf numFmtId="171" fontId="36" fillId="0" borderId="52" applyAlignment="1" pivotButton="0" quotePrefix="0" xfId="2">
      <alignment horizontal="right" vertical="center"/>
    </xf>
    <xf numFmtId="171" fontId="36" fillId="0" borderId="51" applyAlignment="1" pivotButton="0" quotePrefix="0" xfId="2">
      <alignment horizontal="right" vertical="center"/>
    </xf>
    <xf numFmtId="171" fontId="36" fillId="0" borderId="53" applyAlignment="1" pivotButton="0" quotePrefix="0" xfId="2">
      <alignment horizontal="right" vertical="center"/>
    </xf>
    <xf numFmtId="166" fontId="24" fillId="0" borderId="54" applyAlignment="1" pivotButton="0" quotePrefix="0" xfId="1">
      <alignment horizontal="right" vertical="center"/>
    </xf>
    <xf numFmtId="166" fontId="24" fillId="0" borderId="55" applyAlignment="1" pivotButton="0" quotePrefix="0" xfId="1">
      <alignment horizontal="right" vertical="center"/>
    </xf>
    <xf numFmtId="166" fontId="24" fillId="0" borderId="56" applyAlignment="1" pivotButton="0" quotePrefix="0" xfId="1">
      <alignment horizontal="right" vertical="center"/>
    </xf>
    <xf numFmtId="166" fontId="24" fillId="0" borderId="0" applyAlignment="1" pivotButton="0" quotePrefix="0" xfId="1">
      <alignment horizontal="right" vertical="center"/>
    </xf>
    <xf numFmtId="166" fontId="0" fillId="0" borderId="0" applyAlignment="1" pivotButton="0" quotePrefix="0" xfId="0">
      <alignment vertical="center"/>
    </xf>
    <xf numFmtId="164" fontId="24" fillId="0" borderId="54" applyAlignment="1" pivotButton="0" quotePrefix="0" xfId="1">
      <alignment horizontal="right" vertical="center"/>
    </xf>
    <xf numFmtId="166" fontId="39" fillId="0" borderId="54" applyAlignment="1" pivotButton="0" quotePrefix="0" xfId="1">
      <alignment horizontal="right" vertical="center"/>
    </xf>
    <xf numFmtId="166" fontId="39" fillId="0" borderId="55" applyAlignment="1" pivotButton="0" quotePrefix="0" xfId="1">
      <alignment horizontal="right" vertical="center"/>
    </xf>
    <xf numFmtId="166" fontId="39" fillId="0" borderId="56" applyAlignment="1" pivotButton="0" quotePrefix="0" xfId="1">
      <alignment horizontal="right" vertical="center"/>
    </xf>
    <xf numFmtId="166" fontId="39" fillId="0" borderId="0" applyAlignment="1" pivotButton="0" quotePrefix="0" xfId="1">
      <alignment horizontal="right" vertical="center"/>
    </xf>
    <xf numFmtId="164" fontId="39" fillId="0" borderId="54" applyAlignment="1" pivotButton="0" quotePrefix="0" xfId="1">
      <alignment horizontal="right" vertical="center"/>
    </xf>
    <xf numFmtId="164" fontId="39" fillId="0" borderId="55" applyAlignment="1" pivotButton="0" quotePrefix="0" xfId="1">
      <alignment horizontal="right" vertical="center"/>
    </xf>
    <xf numFmtId="164" fontId="39" fillId="0" borderId="56" applyAlignment="1" pivotButton="0" quotePrefix="0" xfId="1">
      <alignment horizontal="right" vertical="center"/>
    </xf>
    <xf numFmtId="164" fontId="39" fillId="0" borderId="0" applyAlignment="1" pivotButton="0" quotePrefix="0" xfId="1">
      <alignment horizontal="right" vertical="center"/>
    </xf>
    <xf numFmtId="166" fontId="24" fillId="0" borderId="58" applyAlignment="1" pivotButton="0" quotePrefix="0" xfId="1">
      <alignment horizontal="right" vertical="center"/>
    </xf>
    <xf numFmtId="166" fontId="24" fillId="0" borderId="59" applyAlignment="1" pivotButton="0" quotePrefix="0" xfId="1">
      <alignment horizontal="right" vertical="center"/>
    </xf>
    <xf numFmtId="166" fontId="24" fillId="0" borderId="60" applyAlignment="1" pivotButton="0" quotePrefix="0" xfId="1">
      <alignment horizontal="right" vertical="center"/>
    </xf>
    <xf numFmtId="166" fontId="24" fillId="0" borderId="61" applyAlignment="1" pivotButton="0" quotePrefix="0" xfId="1">
      <alignment horizontal="right" vertical="center"/>
    </xf>
    <xf numFmtId="164" fontId="24" fillId="0" borderId="58" applyAlignment="1" pivotButton="0" quotePrefix="0" xfId="1">
      <alignment horizontal="right" vertical="center"/>
    </xf>
    <xf numFmtId="164" fontId="24" fillId="0" borderId="59" applyAlignment="1" pivotButton="0" quotePrefix="0" xfId="1">
      <alignment horizontal="right" vertical="center"/>
    </xf>
    <xf numFmtId="164" fontId="24" fillId="0" borderId="60" applyAlignment="1" pivotButton="0" quotePrefix="0" xfId="1">
      <alignment horizontal="right" vertical="center"/>
    </xf>
    <xf numFmtId="164" fontId="24" fillId="0" borderId="61" applyAlignment="1" pivotButton="0" quotePrefix="0" xfId="1">
      <alignment horizontal="right" vertical="center"/>
    </xf>
    <xf numFmtId="171" fontId="39" fillId="0" borderId="54" applyAlignment="1" pivotButton="0" quotePrefix="0" xfId="1">
      <alignment horizontal="right" vertical="center"/>
    </xf>
    <xf numFmtId="171" fontId="39" fillId="0" borderId="55" applyAlignment="1" pivotButton="0" quotePrefix="0" xfId="1">
      <alignment horizontal="right" vertical="center"/>
    </xf>
    <xf numFmtId="171" fontId="39" fillId="0" borderId="56" applyAlignment="1" pivotButton="0" quotePrefix="0" xfId="1">
      <alignment horizontal="right" vertical="center"/>
    </xf>
    <xf numFmtId="171" fontId="39" fillId="0" borderId="0" applyAlignment="1" pivotButton="0" quotePrefix="0" xfId="1">
      <alignment horizontal="right" vertical="center"/>
    </xf>
    <xf numFmtId="166" fontId="39" fillId="0" borderId="58" applyAlignment="1" pivotButton="0" quotePrefix="0" xfId="1">
      <alignment horizontal="right" vertical="center"/>
    </xf>
    <xf numFmtId="166" fontId="39" fillId="0" borderId="59" applyAlignment="1" pivotButton="0" quotePrefix="0" xfId="1">
      <alignment horizontal="right" vertical="center"/>
    </xf>
    <xf numFmtId="166" fontId="39" fillId="0" borderId="60" applyAlignment="1" pivotButton="0" quotePrefix="0" xfId="1">
      <alignment horizontal="right" vertical="center"/>
    </xf>
    <xf numFmtId="166" fontId="39" fillId="0" borderId="61" applyAlignment="1" pivotButton="0" quotePrefix="0" xfId="1">
      <alignment horizontal="right" vertical="center"/>
    </xf>
    <xf numFmtId="164" fontId="39" fillId="0" borderId="58" applyAlignment="1" pivotButton="0" quotePrefix="0" xfId="1">
      <alignment horizontal="right" vertical="center"/>
    </xf>
    <xf numFmtId="164" fontId="39" fillId="0" borderId="59" applyAlignment="1" pivotButton="0" quotePrefix="0" xfId="1">
      <alignment horizontal="right" vertical="center"/>
    </xf>
    <xf numFmtId="164" fontId="39" fillId="0" borderId="60" applyAlignment="1" pivotButton="0" quotePrefix="0" xfId="1">
      <alignment horizontal="right" vertical="center"/>
    </xf>
    <xf numFmtId="164" fontId="39" fillId="0" borderId="61" applyAlignment="1" pivotButton="0" quotePrefix="0" xfId="1">
      <alignment horizontal="right" vertical="center"/>
    </xf>
    <xf numFmtId="166" fontId="39" fillId="0" borderId="63" applyAlignment="1" pivotButton="0" quotePrefix="0" xfId="1">
      <alignment horizontal="right" vertical="center"/>
    </xf>
    <xf numFmtId="166" fontId="39" fillId="0" borderId="64" applyAlignment="1" pivotButton="0" quotePrefix="0" xfId="1">
      <alignment horizontal="right" vertical="center"/>
    </xf>
    <xf numFmtId="166" fontId="39" fillId="0" borderId="65" applyAlignment="1" pivotButton="0" quotePrefix="0" xfId="1">
      <alignment horizontal="right" vertical="center"/>
    </xf>
    <xf numFmtId="166" fontId="39" fillId="0" borderId="66" applyAlignment="1" pivotButton="0" quotePrefix="0" xfId="1">
      <alignment horizontal="right" vertical="center"/>
    </xf>
    <xf numFmtId="164" fontId="39" fillId="0" borderId="63" applyAlignment="1" pivotButton="0" quotePrefix="0" xfId="1">
      <alignment horizontal="right" vertical="center"/>
    </xf>
    <xf numFmtId="164" fontId="39" fillId="0" borderId="64" applyAlignment="1" pivotButton="0" quotePrefix="0" xfId="1">
      <alignment horizontal="right" vertical="center"/>
    </xf>
    <xf numFmtId="164" fontId="39" fillId="0" borderId="65" applyAlignment="1" pivotButton="0" quotePrefix="0" xfId="1">
      <alignment horizontal="right" vertical="center"/>
    </xf>
    <xf numFmtId="164" fontId="39" fillId="0" borderId="66" applyAlignment="1" pivotButton="0" quotePrefix="0" xfId="1">
      <alignment horizontal="right" vertical="center"/>
    </xf>
    <xf numFmtId="171" fontId="39" fillId="0" borderId="63" applyAlignment="1" pivotButton="0" quotePrefix="0" xfId="1">
      <alignment horizontal="right" vertical="center"/>
    </xf>
    <xf numFmtId="171" fontId="39" fillId="0" borderId="64" applyAlignment="1" pivotButton="0" quotePrefix="0" xfId="1">
      <alignment horizontal="right" vertical="center"/>
    </xf>
    <xf numFmtId="171" fontId="39" fillId="0" borderId="65" applyAlignment="1" pivotButton="0" quotePrefix="0" xfId="1">
      <alignment horizontal="right" vertical="center"/>
    </xf>
    <xf numFmtId="171" fontId="39" fillId="0" borderId="66" applyAlignment="1" pivotButton="0" quotePrefix="0" xfId="1">
      <alignment horizontal="right" vertical="center"/>
    </xf>
    <xf numFmtId="166" fontId="39" fillId="0" borderId="69" applyAlignment="1" pivotButton="0" quotePrefix="0" xfId="1">
      <alignment horizontal="right" vertical="center"/>
    </xf>
    <xf numFmtId="166" fontId="39" fillId="0" borderId="51" applyAlignment="1" pivotButton="0" quotePrefix="0" xfId="1">
      <alignment horizontal="right" vertical="center"/>
    </xf>
    <xf numFmtId="166" fontId="39" fillId="0" borderId="52" applyAlignment="1" pivotButton="0" quotePrefix="0" xfId="1">
      <alignment horizontal="right" vertical="center"/>
    </xf>
    <xf numFmtId="166" fontId="39" fillId="0" borderId="53" applyAlignment="1" pivotButton="0" quotePrefix="0" xfId="1">
      <alignment horizontal="right" vertical="center"/>
    </xf>
    <xf numFmtId="164" fontId="39" fillId="0" borderId="69" applyAlignment="1" pivotButton="0" quotePrefix="0" xfId="1">
      <alignment horizontal="right" vertical="center"/>
    </xf>
    <xf numFmtId="164" fontId="39" fillId="0" borderId="51" applyAlignment="1" pivotButton="0" quotePrefix="0" xfId="1">
      <alignment horizontal="right" vertical="center"/>
    </xf>
    <xf numFmtId="164" fontId="39" fillId="0" borderId="52" applyAlignment="1" pivotButton="0" quotePrefix="0" xfId="1">
      <alignment horizontal="right" vertical="center"/>
    </xf>
    <xf numFmtId="164" fontId="39" fillId="0" borderId="53" applyAlignment="1" pivotButton="0" quotePrefix="0" xfId="1">
      <alignment horizontal="right" vertical="center"/>
    </xf>
    <xf numFmtId="167" fontId="37" fillId="0" borderId="54" applyAlignment="1" pivotButton="0" quotePrefix="0" xfId="2">
      <alignment horizontal="right" vertical="center"/>
    </xf>
    <xf numFmtId="167" fontId="37" fillId="0" borderId="55" applyAlignment="1" pivotButton="0" quotePrefix="0" xfId="2">
      <alignment horizontal="right" vertical="center"/>
    </xf>
    <xf numFmtId="167" fontId="37" fillId="0" borderId="56" applyAlignment="1" pivotButton="0" quotePrefix="0" xfId="2">
      <alignment horizontal="right" vertical="center"/>
    </xf>
    <xf numFmtId="167" fontId="37" fillId="0" borderId="0" applyAlignment="1" pivotButton="0" quotePrefix="0" xfId="2">
      <alignment horizontal="right" vertical="center"/>
    </xf>
    <xf numFmtId="168" fontId="37" fillId="0" borderId="54" applyAlignment="1" pivotButton="0" quotePrefix="0" xfId="2">
      <alignment horizontal="right" vertical="center"/>
    </xf>
    <xf numFmtId="179" fontId="39" fillId="0" borderId="58" applyAlignment="1" pivotButton="0" quotePrefix="0" xfId="2">
      <alignment horizontal="right" vertical="center"/>
    </xf>
    <xf numFmtId="179" fontId="39" fillId="0" borderId="59" applyAlignment="1" pivotButton="0" quotePrefix="0" xfId="2">
      <alignment horizontal="right" vertical="center"/>
    </xf>
    <xf numFmtId="179" fontId="39" fillId="0" borderId="60" applyAlignment="1" pivotButton="0" quotePrefix="0" xfId="2">
      <alignment horizontal="right" vertical="center"/>
    </xf>
    <xf numFmtId="179" fontId="39" fillId="0" borderId="61" applyAlignment="1" pivotButton="0" quotePrefix="0" xfId="2">
      <alignment horizontal="right" vertical="center"/>
    </xf>
    <xf numFmtId="168" fontId="39" fillId="0" borderId="58" applyAlignment="1" pivotButton="0" quotePrefix="0" xfId="2">
      <alignment horizontal="right" vertical="center"/>
    </xf>
    <xf numFmtId="168" fontId="39" fillId="0" borderId="59" applyAlignment="1" pivotButton="0" quotePrefix="0" xfId="2">
      <alignment horizontal="right" vertical="center"/>
    </xf>
    <xf numFmtId="168" fontId="39" fillId="0" borderId="60" applyAlignment="1" pivotButton="0" quotePrefix="0" xfId="2">
      <alignment horizontal="right" vertical="center"/>
    </xf>
    <xf numFmtId="168" fontId="39" fillId="0" borderId="61" applyAlignment="1" pivotButton="0" quotePrefix="0" xfId="2">
      <alignment horizontal="right" vertical="center"/>
    </xf>
    <xf numFmtId="179" fontId="39" fillId="0" borderId="69" applyAlignment="1" pivotButton="0" quotePrefix="0" xfId="2">
      <alignment horizontal="right" vertical="center"/>
    </xf>
    <xf numFmtId="179" fontId="39" fillId="0" borderId="51" applyAlignment="1" pivotButton="0" quotePrefix="0" xfId="2">
      <alignment horizontal="right" vertical="center"/>
    </xf>
    <xf numFmtId="179" fontId="39" fillId="0" borderId="52" applyAlignment="1" pivotButton="0" quotePrefix="0" xfId="2">
      <alignment horizontal="right" vertical="center"/>
    </xf>
    <xf numFmtId="179" fontId="39" fillId="0" borderId="53" applyAlignment="1" pivotButton="0" quotePrefix="0" xfId="2">
      <alignment horizontal="right" vertical="center"/>
    </xf>
    <xf numFmtId="168" fontId="39" fillId="0" borderId="69" applyAlignment="1" pivotButton="0" quotePrefix="0" xfId="2">
      <alignment horizontal="right" vertical="center"/>
    </xf>
    <xf numFmtId="168" fontId="39" fillId="0" borderId="51" applyAlignment="1" pivotButton="0" quotePrefix="0" xfId="2">
      <alignment horizontal="right" vertical="center"/>
    </xf>
    <xf numFmtId="168" fontId="39" fillId="0" borderId="52" applyAlignment="1" pivotButton="0" quotePrefix="0" xfId="2">
      <alignment horizontal="right" vertical="center"/>
    </xf>
    <xf numFmtId="168" fontId="39" fillId="0" borderId="53" applyAlignment="1" pivotButton="0" quotePrefix="0" xfId="2">
      <alignment horizontal="right" vertical="center"/>
    </xf>
    <xf numFmtId="170" fontId="26" fillId="0" borderId="56" applyAlignment="1" pivotButton="0" quotePrefix="0" xfId="0">
      <alignment horizontal="right" vertical="center"/>
    </xf>
    <xf numFmtId="170" fontId="26" fillId="0" borderId="55" applyAlignment="1" pivotButton="0" quotePrefix="0" xfId="0">
      <alignment horizontal="right" vertical="center"/>
    </xf>
    <xf numFmtId="170" fontId="26" fillId="0" borderId="0" applyAlignment="1" pivotButton="0" quotePrefix="0" xfId="0">
      <alignment horizontal="right" vertical="center"/>
    </xf>
    <xf numFmtId="171" fontId="40" fillId="0" borderId="59" applyAlignment="1" pivotButton="0" quotePrefix="0" xfId="0">
      <alignment horizontal="right" vertical="center"/>
    </xf>
    <xf numFmtId="171" fontId="40" fillId="0" borderId="60" applyAlignment="1" pivotButton="0" quotePrefix="0" xfId="0">
      <alignment horizontal="right" vertical="center"/>
    </xf>
    <xf numFmtId="171" fontId="40" fillId="0" borderId="61" applyAlignment="1" pivotButton="0" quotePrefix="0" xfId="0">
      <alignment horizontal="right" vertical="center"/>
    </xf>
    <xf numFmtId="164" fontId="40" fillId="0" borderId="60" applyAlignment="1" pivotButton="0" quotePrefix="0" xfId="1">
      <alignment horizontal="right" vertical="center"/>
    </xf>
    <xf numFmtId="164" fontId="40" fillId="0" borderId="59" applyAlignment="1" pivotButton="0" quotePrefix="0" xfId="1">
      <alignment horizontal="right" vertical="center"/>
    </xf>
    <xf numFmtId="164" fontId="40" fillId="0" borderId="61" applyAlignment="1" pivotButton="0" quotePrefix="0" xfId="1">
      <alignment horizontal="right" vertical="center"/>
    </xf>
    <xf numFmtId="171" fontId="40" fillId="0" borderId="55" applyAlignment="1" pivotButton="0" quotePrefix="0" xfId="0">
      <alignment horizontal="right" vertical="center"/>
    </xf>
    <xf numFmtId="171" fontId="40" fillId="0" borderId="56" applyAlignment="1" pivotButton="0" quotePrefix="0" xfId="0">
      <alignment horizontal="right" vertical="center"/>
    </xf>
    <xf numFmtId="171" fontId="40" fillId="0" borderId="0" applyAlignment="1" pivotButton="0" quotePrefix="0" xfId="0">
      <alignment horizontal="right" vertical="center"/>
    </xf>
    <xf numFmtId="164" fontId="40" fillId="0" borderId="56" applyAlignment="1" pivotButton="0" quotePrefix="0" xfId="1">
      <alignment horizontal="right" vertical="center"/>
    </xf>
    <xf numFmtId="164" fontId="40" fillId="0" borderId="55" applyAlignment="1" pivotButton="0" quotePrefix="0" xfId="1">
      <alignment horizontal="right" vertical="center"/>
    </xf>
    <xf numFmtId="164" fontId="40" fillId="0" borderId="0" applyAlignment="1" pivotButton="0" quotePrefix="0" xfId="1">
      <alignment horizontal="right" vertical="center"/>
    </xf>
    <xf numFmtId="170" fontId="26" fillId="0" borderId="70" applyAlignment="1" pivotButton="0" quotePrefix="0" xfId="0">
      <alignment horizontal="right" vertical="center"/>
    </xf>
    <xf numFmtId="170" fontId="26" fillId="0" borderId="83" applyAlignment="1" pivotButton="0" quotePrefix="0" xfId="0">
      <alignment horizontal="right" vertical="center"/>
    </xf>
    <xf numFmtId="170" fontId="26" fillId="0" borderId="46" applyAlignment="1" pivotButton="0" quotePrefix="0" xfId="0">
      <alignment horizontal="right" vertical="center"/>
    </xf>
    <xf numFmtId="164" fontId="26" fillId="0" borderId="70" applyAlignment="1" pivotButton="0" quotePrefix="0" xfId="1">
      <alignment horizontal="right" vertical="center"/>
    </xf>
    <xf numFmtId="164" fontId="26" fillId="0" borderId="83" applyAlignment="1" pivotButton="0" quotePrefix="0" xfId="1">
      <alignment horizontal="right" vertical="center"/>
    </xf>
    <xf numFmtId="164" fontId="26" fillId="0" borderId="46" applyAlignment="1" pivotButton="0" quotePrefix="0" xfId="1">
      <alignment horizontal="right" vertical="center"/>
    </xf>
    <xf numFmtId="171" fontId="40" fillId="0" borderId="52" applyAlignment="1" pivotButton="0" quotePrefix="0" xfId="0">
      <alignment horizontal="right" vertical="center"/>
    </xf>
    <xf numFmtId="171" fontId="40" fillId="0" borderId="51" applyAlignment="1" pivotButton="0" quotePrefix="0" xfId="0">
      <alignment horizontal="right" vertical="center"/>
    </xf>
    <xf numFmtId="171" fontId="40" fillId="0" borderId="53" applyAlignment="1" pivotButton="0" quotePrefix="0" xfId="0">
      <alignment horizontal="right" vertical="center"/>
    </xf>
    <xf numFmtId="170" fontId="26" fillId="0" borderId="65" applyAlignment="1" pivotButton="0" quotePrefix="0" xfId="0">
      <alignment horizontal="right" vertical="center"/>
    </xf>
    <xf numFmtId="170" fontId="26" fillId="0" borderId="64" applyAlignment="1" pivotButton="0" quotePrefix="0" xfId="0">
      <alignment horizontal="right" vertical="center"/>
    </xf>
    <xf numFmtId="170" fontId="26" fillId="0" borderId="66" applyAlignment="1" pivotButton="0" quotePrefix="0" xfId="0">
      <alignment horizontal="right" vertical="center"/>
    </xf>
    <xf numFmtId="164" fontId="26" fillId="0" borderId="65" applyAlignment="1" pivotButton="0" quotePrefix="0" xfId="1">
      <alignment horizontal="right" vertical="center"/>
    </xf>
    <xf numFmtId="164" fontId="26" fillId="0" borderId="64" applyAlignment="1" pivotButton="0" quotePrefix="0" xfId="1">
      <alignment horizontal="right" vertical="center"/>
    </xf>
    <xf numFmtId="164" fontId="26" fillId="0" borderId="66" applyAlignment="1" pivotButton="0" quotePrefix="0" xfId="1">
      <alignment horizontal="right" vertical="center"/>
    </xf>
    <xf numFmtId="170" fontId="0" fillId="0" borderId="0" applyAlignment="1" pivotButton="0" quotePrefix="0" xfId="0">
      <alignment vertical="center"/>
    </xf>
    <xf numFmtId="169" fontId="40" fillId="0" borderId="94" applyAlignment="1" pivotButton="0" quotePrefix="0" xfId="0">
      <alignment horizontal="right" vertical="center"/>
    </xf>
    <xf numFmtId="169" fontId="40" fillId="0" borderId="95" applyAlignment="1" pivotButton="0" quotePrefix="0" xfId="0">
      <alignment horizontal="right" vertical="center"/>
    </xf>
    <xf numFmtId="169" fontId="40" fillId="0" borderId="96" applyAlignment="1" pivotButton="0" quotePrefix="0" xfId="0">
      <alignment horizontal="right" vertical="center"/>
    </xf>
    <xf numFmtId="169" fontId="0" fillId="0" borderId="0" applyAlignment="1" pivotButton="0" quotePrefix="0" xfId="0">
      <alignment vertical="center"/>
    </xf>
    <xf numFmtId="167" fontId="40" fillId="0" borderId="55" applyAlignment="1" pivotButton="0" quotePrefix="0" xfId="0">
      <alignment horizontal="right" vertical="center"/>
    </xf>
    <xf numFmtId="167" fontId="40" fillId="0" borderId="56" applyAlignment="1" pivotButton="0" quotePrefix="0" xfId="0">
      <alignment horizontal="right" vertical="center"/>
    </xf>
    <xf numFmtId="167" fontId="4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vertical="center"/>
    </xf>
    <xf numFmtId="170" fontId="40" fillId="0" borderId="56" applyAlignment="1" pivotButton="0" quotePrefix="0" xfId="0">
      <alignment horizontal="right" vertical="center"/>
    </xf>
    <xf numFmtId="170" fontId="40" fillId="0" borderId="55" applyAlignment="1" pivotButton="0" quotePrefix="0" xfId="0">
      <alignment horizontal="right" vertical="center"/>
    </xf>
    <xf numFmtId="170" fontId="40" fillId="0" borderId="0" applyAlignment="1" pivotButton="0" quotePrefix="0" xfId="0">
      <alignment horizontal="right" vertical="center"/>
    </xf>
    <xf numFmtId="167" fontId="40" fillId="0" borderId="51" applyAlignment="1" pivotButton="0" quotePrefix="0" xfId="0">
      <alignment horizontal="right" vertical="center"/>
    </xf>
    <xf numFmtId="167" fontId="40" fillId="0" borderId="52" applyAlignment="1" pivotButton="0" quotePrefix="0" xfId="0">
      <alignment horizontal="right" vertical="center"/>
    </xf>
    <xf numFmtId="167" fontId="40" fillId="0" borderId="53" applyAlignment="1" pivotButton="0" quotePrefix="0" xfId="0">
      <alignment horizontal="right" vertical="center"/>
    </xf>
    <xf numFmtId="170" fontId="40" fillId="0" borderId="52" applyAlignment="1" pivotButton="0" quotePrefix="0" xfId="0">
      <alignment horizontal="right" vertical="center"/>
    </xf>
    <xf numFmtId="170" fontId="40" fillId="0" borderId="51" applyAlignment="1" pivotButton="0" quotePrefix="0" xfId="0">
      <alignment horizontal="right" vertical="center"/>
    </xf>
    <xf numFmtId="170" fontId="40" fillId="0" borderId="53" applyAlignment="1" pivotButton="0" quotePrefix="0" xfId="0">
      <alignment horizontal="right" vertical="center"/>
    </xf>
    <xf numFmtId="0" fontId="1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19" pivotButton="0" quotePrefix="0" xfId="0"/>
    <xf numFmtId="0" fontId="11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1" fillId="3" borderId="2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1" fillId="2" borderId="2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3" fillId="3" borderId="22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 shrinkToFit="1"/>
    </xf>
    <xf numFmtId="0" fontId="3" fillId="0" borderId="19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97" applyAlignment="1" pivotButton="0" quotePrefix="0" xfId="0">
      <alignment horizontal="left" vertical="center" shrinkToFit="1"/>
    </xf>
    <xf numFmtId="0" fontId="0" fillId="0" borderId="12" pivotButton="0" quotePrefix="0" xfId="0"/>
    <xf numFmtId="0" fontId="0" fillId="0" borderId="14" pivotButton="0" quotePrefix="0" xfId="0"/>
    <xf numFmtId="0" fontId="3" fillId="0" borderId="16" applyAlignment="1" pivotButton="0" quotePrefix="0" xfId="0">
      <alignment horizontal="center" vertical="center"/>
    </xf>
    <xf numFmtId="0" fontId="11" fillId="0" borderId="102" applyAlignment="1" pivotButton="0" quotePrefix="0" xfId="0">
      <alignment horizontal="left" vertical="center" shrinkToFit="1"/>
    </xf>
    <xf numFmtId="0" fontId="0" fillId="0" borderId="5" pivotButton="0" quotePrefix="0" xfId="0"/>
    <xf numFmtId="0" fontId="0" fillId="0" borderId="6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 wrapText="1"/>
    </xf>
    <xf numFmtId="0" fontId="11" fillId="0" borderId="100" applyAlignment="1" pivotButton="0" quotePrefix="0" xfId="0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0" fontId="11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0" borderId="29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174" fontId="11" fillId="0" borderId="17" applyAlignment="1" pivotButton="0" quotePrefix="0" xfId="1">
      <alignment horizontal="center" vertical="center"/>
    </xf>
    <xf numFmtId="0" fontId="0" fillId="0" borderId="17" pivotButton="0" quotePrefix="0" xfId="0"/>
    <xf numFmtId="0" fontId="11" fillId="0" borderId="3" applyAlignment="1" pivotButton="0" quotePrefix="0" xfId="0">
      <alignment horizontal="left" vertical="center" shrinkToFit="1"/>
    </xf>
    <xf numFmtId="0" fontId="11" fillId="0" borderId="99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1" fillId="0" borderId="101" applyAlignment="1" pivotButton="0" quotePrefix="0" xfId="0">
      <alignment horizontal="center" vertical="center" wrapText="1"/>
    </xf>
    <xf numFmtId="0" fontId="3" fillId="0" borderId="98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2" borderId="2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 shrinkToFit="1"/>
    </xf>
    <xf numFmtId="0" fontId="11" fillId="0" borderId="97" applyAlignment="1" pivotButton="0" quotePrefix="0" xfId="0">
      <alignment horizontal="center" vertical="center" shrinkToFit="1"/>
    </xf>
    <xf numFmtId="0" fontId="11" fillId="0" borderId="17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174" fontId="11" fillId="0" borderId="17" applyAlignment="1" pivotButton="0" quotePrefix="0" xfId="1">
      <alignment vertical="center"/>
    </xf>
    <xf numFmtId="0" fontId="3" fillId="0" borderId="36" applyAlignment="1" pivotButton="0" quotePrefix="0" xfId="0">
      <alignment horizontal="center" vertical="center"/>
    </xf>
    <xf numFmtId="0" fontId="0" fillId="0" borderId="36" pivotButton="0" quotePrefix="0" xfId="0"/>
    <xf numFmtId="0" fontId="3" fillId="3" borderId="39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0" applyAlignment="1" pivotButton="0" quotePrefix="0" xfId="0">
      <alignment vertical="center"/>
    </xf>
    <xf numFmtId="0" fontId="24" fillId="0" borderId="70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70" pivotButton="0" quotePrefix="0" xfId="0"/>
    <xf numFmtId="0" fontId="23" fillId="12" borderId="104" applyAlignment="1" pivotButton="0" quotePrefix="0" xfId="0">
      <alignment horizontal="center" vertical="center"/>
    </xf>
    <xf numFmtId="0" fontId="0" fillId="0" borderId="48" pivotButton="0" quotePrefix="0" xfId="0"/>
    <xf numFmtId="0" fontId="32" fillId="0" borderId="77" applyAlignment="1" pivotButton="0" quotePrefix="0" xfId="0">
      <alignment horizontal="center" vertical="center" wrapText="1"/>
    </xf>
    <xf numFmtId="0" fontId="0" fillId="0" borderId="77" pivotButton="0" quotePrefix="0" xfId="0"/>
    <xf numFmtId="0" fontId="23" fillId="12" borderId="10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71" pivotButton="0" quotePrefix="0" xfId="0"/>
    <xf numFmtId="0" fontId="23" fillId="12" borderId="73" applyAlignment="1" pivotButton="0" quotePrefix="0" xfId="0">
      <alignment horizontal="center" vertical="center"/>
    </xf>
    <xf numFmtId="0" fontId="0" fillId="0" borderId="50" pivotButton="0" quotePrefix="0" xfId="0"/>
    <xf numFmtId="0" fontId="32" fillId="0" borderId="76" applyAlignment="1" pivotButton="0" quotePrefix="0" xfId="0">
      <alignment horizontal="center" vertical="center"/>
    </xf>
    <xf numFmtId="0" fontId="0" fillId="0" borderId="76" pivotButton="0" quotePrefix="0" xfId="0"/>
    <xf numFmtId="0" fontId="32" fillId="12" borderId="108" applyAlignment="1" pivotButton="0" quotePrefix="0" xfId="0">
      <alignment horizontal="center" vertical="center"/>
    </xf>
    <xf numFmtId="0" fontId="0" fillId="0" borderId="84" pivotButton="0" quotePrefix="0" xfId="0"/>
    <xf numFmtId="0" fontId="24" fillId="0" borderId="75" applyAlignment="1" pivotButton="0" quotePrefix="0" xfId="0">
      <alignment horizontal="center" vertical="center"/>
    </xf>
    <xf numFmtId="0" fontId="0" fillId="0" borderId="74" pivotButton="0" quotePrefix="0" xfId="0"/>
    <xf numFmtId="0" fontId="0" fillId="0" borderId="75" pivotButton="0" quotePrefix="0" xfId="0"/>
    <xf numFmtId="0" fontId="23" fillId="12" borderId="106" applyAlignment="1" pivotButton="0" quotePrefix="0" xfId="0">
      <alignment horizontal="center" vertical="center"/>
    </xf>
    <xf numFmtId="0" fontId="24" fillId="0" borderId="70" applyAlignment="1" pivotButton="0" quotePrefix="0" xfId="0">
      <alignment horizontal="center" vertical="center" wrapText="1"/>
    </xf>
    <xf numFmtId="0" fontId="23" fillId="12" borderId="105" applyAlignment="1" pivotButton="0" quotePrefix="0" xfId="0">
      <alignment horizontal="center" vertical="center"/>
    </xf>
    <xf numFmtId="0" fontId="0" fillId="0" borderId="49" pivotButton="0" quotePrefix="0" xfId="0"/>
    <xf numFmtId="0" fontId="32" fillId="0" borderId="46" applyAlignment="1" pivotButton="0" quotePrefix="0" xfId="0">
      <alignment horizontal="left" vertical="center" wrapText="1" indent="1"/>
    </xf>
    <xf numFmtId="0" fontId="24" fillId="0" borderId="46" applyAlignment="1" pivotButton="0" quotePrefix="0" xfId="0">
      <alignment horizontal="center" vertical="center"/>
    </xf>
    <xf numFmtId="0" fontId="32" fillId="12" borderId="72" applyAlignment="1" pivotButton="0" quotePrefix="0" xfId="0">
      <alignment horizontal="center" vertical="center"/>
    </xf>
    <xf numFmtId="0" fontId="32" fillId="12" borderId="109" applyAlignment="1" pivotButton="0" quotePrefix="0" xfId="0">
      <alignment horizontal="center" vertical="center"/>
    </xf>
    <xf numFmtId="0" fontId="0" fillId="0" borderId="78" pivotButton="0" quotePrefix="0" xfId="0"/>
    <xf numFmtId="0" fontId="23" fillId="0" borderId="89" applyAlignment="1" pivotButton="0" quotePrefix="0" xfId="0">
      <alignment horizontal="center" vertical="center"/>
    </xf>
    <xf numFmtId="0" fontId="0" fillId="0" borderId="60" pivotButton="0" quotePrefix="0" xfId="0"/>
    <xf numFmtId="0" fontId="32" fillId="12" borderId="107" applyAlignment="1" pivotButton="0" quotePrefix="0" xfId="0">
      <alignment horizontal="center" vertical="center"/>
    </xf>
    <xf numFmtId="0" fontId="0" fillId="0" borderId="53" pivotButton="0" quotePrefix="0" xfId="0"/>
    <xf numFmtId="0" fontId="24" fillId="0" borderId="74" applyAlignment="1" pivotButton="0" quotePrefix="0" xfId="0">
      <alignment horizontal="center" vertical="center"/>
    </xf>
    <xf numFmtId="0" fontId="24" fillId="0" borderId="46" applyAlignment="1" pivotButton="0" quotePrefix="0" xfId="0">
      <alignment horizontal="center" vertical="center" wrapText="1"/>
    </xf>
    <xf numFmtId="0" fontId="23" fillId="0" borderId="92" applyAlignment="1" pivotButton="0" quotePrefix="0" xfId="0">
      <alignment horizontal="center" vertical="center"/>
    </xf>
    <xf numFmtId="0" fontId="0" fillId="0" borderId="56" pivotButton="0" quotePrefix="0" xfId="0"/>
    <xf numFmtId="0" fontId="23" fillId="0" borderId="46" applyAlignment="1" pivotButton="0" quotePrefix="0" xfId="0">
      <alignment horizontal="center" vertical="center"/>
    </xf>
    <xf numFmtId="164" fontId="3" fillId="5" borderId="0" applyAlignment="1" pivotButton="0" quotePrefix="0" xfId="1">
      <alignment horizontal="center" vertical="center"/>
    </xf>
    <xf numFmtId="164" fontId="3" fillId="3" borderId="0" applyAlignment="1" pivotButton="0" quotePrefix="0" xfId="1">
      <alignment horizontal="center" vertical="center"/>
    </xf>
    <xf numFmtId="168" fontId="3" fillId="3" borderId="0" applyAlignment="1" pivotButton="0" quotePrefix="0" xfId="2">
      <alignment horizontal="center" vertical="center"/>
    </xf>
    <xf numFmtId="164" fontId="7" fillId="4" borderId="0" applyAlignment="1" pivotButton="0" quotePrefix="0" xfId="1">
      <alignment horizontal="center" vertical="center"/>
    </xf>
    <xf numFmtId="164" fontId="8" fillId="4" borderId="0" applyAlignment="1" pivotButton="0" quotePrefix="0" xfId="1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23" fillId="12" borderId="72" applyAlignment="1" pivotButton="0" quotePrefix="0" xfId="0">
      <alignment horizontal="center" vertical="center"/>
    </xf>
    <xf numFmtId="0" fontId="23" fillId="12" borderId="113" applyAlignment="1" pivotButton="0" quotePrefix="0" xfId="0">
      <alignment horizontal="center" vertical="center"/>
    </xf>
    <xf numFmtId="0" fontId="0" fillId="0" borderId="93" pivotButton="0" quotePrefix="0" xfId="0"/>
    <xf numFmtId="0" fontId="23" fillId="12" borderId="110" applyAlignment="1" pivotButton="0" quotePrefix="0" xfId="0">
      <alignment horizontal="center" vertical="center"/>
    </xf>
    <xf numFmtId="0" fontId="0" fillId="0" borderId="69" pivotButton="0" quotePrefix="0" xfId="0"/>
    <xf numFmtId="0" fontId="24" fillId="7" borderId="70" applyAlignment="1" pivotButton="0" quotePrefix="0" xfId="0">
      <alignment horizontal="center" vertical="center"/>
    </xf>
    <xf numFmtId="0" fontId="23" fillId="12" borderId="111" applyAlignment="1" pivotButton="0" quotePrefix="0" xfId="0">
      <alignment horizontal="center" vertical="center"/>
    </xf>
    <xf numFmtId="0" fontId="23" fillId="0" borderId="70" applyAlignment="1" pivotButton="0" quotePrefix="0" xfId="0">
      <alignment horizontal="center" vertical="center"/>
    </xf>
    <xf numFmtId="0" fontId="32" fillId="0" borderId="46" applyAlignment="1" pivotButton="0" quotePrefix="0" xfId="0">
      <alignment horizontal="center" vertical="center" wrapText="1"/>
    </xf>
    <xf numFmtId="0" fontId="24" fillId="12" borderId="112" applyAlignment="1" pivotButton="0" quotePrefix="0" xfId="0">
      <alignment horizontal="center" vertical="center"/>
    </xf>
    <xf numFmtId="0" fontId="0" fillId="0" borderId="52" pivotButton="0" quotePrefix="0" xfId="0"/>
    <xf numFmtId="0" fontId="32" fillId="12" borderId="113" applyAlignment="1" pivotButton="0" quotePrefix="0" xfId="0">
      <alignment horizontal="center" vertical="center"/>
    </xf>
    <xf numFmtId="0" fontId="39" fillId="0" borderId="92" applyAlignment="1" pivotButton="0" quotePrefix="0" xfId="0">
      <alignment horizontal="center" vertical="center"/>
    </xf>
    <xf numFmtId="0" fontId="23" fillId="12" borderId="112" applyAlignment="1" pivotButton="0" quotePrefix="0" xfId="0">
      <alignment horizontal="center" vertical="center"/>
    </xf>
    <xf numFmtId="0" fontId="32" fillId="12" borderId="111" applyAlignment="1" pivotButton="0" quotePrefix="0" xfId="0">
      <alignment horizontal="center" vertical="center"/>
    </xf>
    <xf numFmtId="0" fontId="24" fillId="0" borderId="89" applyAlignment="1" pivotButton="0" quotePrefix="0" xfId="0">
      <alignment horizontal="center" vertical="center"/>
    </xf>
    <xf numFmtId="0" fontId="37" fillId="0" borderId="89" applyAlignment="1" pivotButton="0" quotePrefix="0" xfId="0">
      <alignment horizontal="left" vertical="center" indent="1"/>
    </xf>
    <xf numFmtId="0" fontId="39" fillId="0" borderId="56" applyAlignment="1" pivotButton="0" quotePrefix="0" xfId="0">
      <alignment horizontal="center" vertical="center"/>
    </xf>
    <xf numFmtId="0" fontId="0" fillId="0" borderId="0" pivotButton="0" quotePrefix="0" xfId="0"/>
    <xf numFmtId="0" fontId="32" fillId="0" borderId="46" applyAlignment="1" pivotButton="0" quotePrefix="0" xfId="0">
      <alignment horizontal="left" vertical="center" wrapText="1"/>
    </xf>
    <xf numFmtId="0" fontId="32" fillId="12" borderId="110" applyAlignment="1" pivotButton="0" quotePrefix="0" xfId="0">
      <alignment horizontal="center" vertical="center"/>
    </xf>
    <xf numFmtId="0" fontId="37" fillId="0" borderId="70" applyAlignment="1" pivotButton="0" quotePrefix="0" xfId="0">
      <alignment horizontal="center" vertical="center"/>
    </xf>
    <xf numFmtId="164" fontId="3" fillId="3" borderId="20" applyAlignment="1" pivotButton="0" quotePrefix="0" xfId="1">
      <alignment horizontal="center" vertical="center"/>
    </xf>
    <xf numFmtId="164" fontId="3" fillId="3" borderId="29" applyAlignment="1" pivotButton="0" quotePrefix="0" xfId="1">
      <alignment horizontal="center" vertical="center"/>
    </xf>
    <xf numFmtId="164" fontId="3" fillId="0" borderId="0" applyAlignment="1" pivotButton="0" quotePrefix="0" xfId="0">
      <alignment vertical="center"/>
    </xf>
    <xf numFmtId="164" fontId="3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horizontal="center" vertical="center"/>
    </xf>
    <xf numFmtId="165" fontId="3" fillId="0" borderId="24" applyAlignment="1" pivotButton="0" quotePrefix="0" xfId="1">
      <alignment horizontal="center" vertical="center"/>
    </xf>
    <xf numFmtId="165" fontId="3" fillId="0" borderId="23" applyAlignment="1" pivotButton="0" quotePrefix="0" xfId="1">
      <alignment horizontal="center" vertical="center"/>
    </xf>
    <xf numFmtId="164" fontId="3" fillId="0" borderId="18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66" fontId="3" fillId="3" borderId="24" applyAlignment="1" pivotButton="0" quotePrefix="0" xfId="1">
      <alignment horizontal="center" vertical="center"/>
    </xf>
    <xf numFmtId="166" fontId="3" fillId="3" borderId="23" applyAlignment="1" pivotButton="0" quotePrefix="0" xfId="1">
      <alignment horizontal="center" vertical="center"/>
    </xf>
    <xf numFmtId="167" fontId="3" fillId="3" borderId="24" applyAlignment="1" pivotButton="0" quotePrefix="0" xfId="2">
      <alignment horizontal="center" vertical="center"/>
    </xf>
    <xf numFmtId="167" fontId="3" fillId="3" borderId="23" applyAlignment="1" pivotButton="0" quotePrefix="0" xfId="2">
      <alignment horizontal="center" vertical="center"/>
    </xf>
    <xf numFmtId="166" fontId="3" fillId="0" borderId="24" applyAlignment="1" pivotButton="0" quotePrefix="0" xfId="1">
      <alignment horizontal="center" vertical="center"/>
    </xf>
    <xf numFmtId="166" fontId="3" fillId="0" borderId="23" applyAlignment="1" pivotButton="0" quotePrefix="0" xfId="1">
      <alignment horizontal="center" vertical="center"/>
    </xf>
    <xf numFmtId="167" fontId="3" fillId="0" borderId="24" applyAlignment="1" pivotButton="0" quotePrefix="0" xfId="2">
      <alignment horizontal="center" vertical="center"/>
    </xf>
    <xf numFmtId="167" fontId="3" fillId="0" borderId="23" applyAlignment="1" pivotButton="0" quotePrefix="0" xfId="2">
      <alignment horizontal="center" vertical="center"/>
    </xf>
    <xf numFmtId="167" fontId="3" fillId="0" borderId="18" applyAlignment="1" pivotButton="0" quotePrefix="0" xfId="2">
      <alignment horizontal="center" vertical="center"/>
    </xf>
    <xf numFmtId="167" fontId="3" fillId="0" borderId="17" applyAlignment="1" pivotButton="0" quotePrefix="0" xfId="2">
      <alignment horizontal="center" vertical="center"/>
    </xf>
    <xf numFmtId="164" fontId="3" fillId="0" borderId="0" applyAlignment="1" pivotButton="0" quotePrefix="0" xfId="1">
      <alignment horizontal="center" vertical="center"/>
    </xf>
    <xf numFmtId="168" fontId="3" fillId="0" borderId="0" applyAlignment="1" pivotButton="0" quotePrefix="0" xfId="2">
      <alignment horizontal="center" vertical="center"/>
    </xf>
    <xf numFmtId="168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/>
    </xf>
    <xf numFmtId="169" fontId="3" fillId="0" borderId="0" applyAlignment="1" pivotButton="0" quotePrefix="0" xfId="2">
      <alignment vertical="center"/>
    </xf>
    <xf numFmtId="170" fontId="3" fillId="0" borderId="0" applyAlignment="1" pivotButton="0" quotePrefix="0" xfId="2">
      <alignment vertical="center"/>
    </xf>
    <xf numFmtId="164" fontId="11" fillId="3" borderId="29" applyAlignment="1" pivotButton="0" quotePrefix="0" xfId="1">
      <alignment horizontal="center" vertical="center"/>
    </xf>
    <xf numFmtId="164" fontId="11" fillId="3" borderId="20" applyAlignment="1" pivotButton="0" quotePrefix="0" xfId="1">
      <alignment horizontal="center" vertical="center"/>
    </xf>
    <xf numFmtId="164" fontId="11" fillId="0" borderId="29" applyAlignment="1" pivotButton="0" quotePrefix="0" xfId="1">
      <alignment horizontal="center" vertical="center"/>
    </xf>
    <xf numFmtId="164" fontId="11" fillId="0" borderId="20" applyAlignment="1" pivotButton="0" quotePrefix="0" xfId="1">
      <alignment horizontal="center" vertical="center"/>
    </xf>
    <xf numFmtId="168" fontId="11" fillId="0" borderId="23" applyAlignment="1" pivotButton="0" quotePrefix="0" xfId="2">
      <alignment horizontal="center" vertical="center"/>
    </xf>
    <xf numFmtId="168" fontId="11" fillId="0" borderId="24" applyAlignment="1" pivotButton="0" quotePrefix="0" xfId="2">
      <alignment horizontal="center" vertical="center"/>
    </xf>
    <xf numFmtId="168" fontId="11" fillId="0" borderId="17" applyAlignment="1" pivotButton="0" quotePrefix="0" xfId="2">
      <alignment horizontal="center" vertical="center"/>
    </xf>
    <xf numFmtId="168" fontId="11" fillId="0" borderId="18" applyAlignment="1" pivotButton="0" quotePrefix="0" xfId="2">
      <alignment horizontal="center" vertical="center"/>
    </xf>
    <xf numFmtId="164" fontId="11" fillId="0" borderId="23" applyAlignment="1" pivotButton="0" quotePrefix="0" xfId="1">
      <alignment horizontal="center" vertical="center"/>
    </xf>
    <xf numFmtId="164" fontId="11" fillId="0" borderId="24" applyAlignment="1" pivotButton="0" quotePrefix="0" xfId="1">
      <alignment horizontal="center" vertical="center"/>
    </xf>
    <xf numFmtId="164" fontId="3" fillId="0" borderId="23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171" fontId="11" fillId="0" borderId="17" applyAlignment="1" pivotButton="0" quotePrefix="0" xfId="2">
      <alignment horizontal="right" vertical="center"/>
    </xf>
    <xf numFmtId="164" fontId="11" fillId="0" borderId="17" applyAlignment="1" pivotButton="0" quotePrefix="0" xfId="1">
      <alignment horizontal="center" vertical="center"/>
    </xf>
    <xf numFmtId="164" fontId="11" fillId="0" borderId="18" applyAlignment="1" pivotButton="0" quotePrefix="0" xfId="1">
      <alignment horizontal="center" vertical="center"/>
    </xf>
    <xf numFmtId="172" fontId="11" fillId="3" borderId="29" applyAlignment="1" pivotButton="0" quotePrefix="0" xfId="1">
      <alignment horizontal="center" vertical="center"/>
    </xf>
    <xf numFmtId="172" fontId="11" fillId="3" borderId="20" applyAlignment="1" pivotButton="0" quotePrefix="0" xfId="1">
      <alignment horizontal="center" vertical="center"/>
    </xf>
    <xf numFmtId="164" fontId="11" fillId="0" borderId="0" applyAlignment="1" pivotButton="0" quotePrefix="0" xfId="1">
      <alignment horizontal="center" vertical="center"/>
    </xf>
    <xf numFmtId="168" fontId="11" fillId="3" borderId="20" applyAlignment="1" pivotButton="0" quotePrefix="0" xfId="1">
      <alignment horizontal="center" vertical="center"/>
    </xf>
    <xf numFmtId="165" fontId="11" fillId="0" borderId="0" applyAlignment="1" pivotButton="0" quotePrefix="0" xfId="1">
      <alignment vertical="center"/>
    </xf>
    <xf numFmtId="173" fontId="11" fillId="0" borderId="0" applyAlignment="1" pivotButton="0" quotePrefix="0" xfId="1">
      <alignment vertical="center"/>
    </xf>
    <xf numFmtId="170" fontId="11" fillId="0" borderId="29" applyAlignment="1" pivotButton="0" quotePrefix="0" xfId="1">
      <alignment horizontal="right" vertical="center"/>
    </xf>
    <xf numFmtId="170" fontId="11" fillId="0" borderId="4" applyAlignment="1" pivotButton="0" quotePrefix="0" xfId="1">
      <alignment horizontal="right" vertical="center"/>
    </xf>
    <xf numFmtId="168" fontId="11" fillId="0" borderId="11" applyAlignment="1" pivotButton="0" quotePrefix="0" xfId="2">
      <alignment horizontal="right" vertical="center"/>
    </xf>
    <xf numFmtId="168" fontId="11" fillId="0" borderId="28" applyAlignment="1" pivotButton="0" quotePrefix="0" xfId="2">
      <alignment horizontal="right" vertical="center"/>
    </xf>
    <xf numFmtId="174" fontId="11" fillId="0" borderId="7" applyAlignment="1" pivotButton="0" quotePrefix="0" xfId="1">
      <alignment horizontal="right" vertical="center"/>
    </xf>
    <xf numFmtId="174" fontId="11" fillId="0" borderId="8" applyAlignment="1" pivotButton="0" quotePrefix="0" xfId="1">
      <alignment horizontal="right" vertical="center"/>
    </xf>
    <xf numFmtId="174" fontId="11" fillId="0" borderId="27" applyAlignment="1" pivotButton="0" quotePrefix="0" xfId="1">
      <alignment horizontal="right" vertical="center"/>
    </xf>
    <xf numFmtId="174" fontId="11" fillId="0" borderId="28" applyAlignment="1" pivotButton="0" quotePrefix="0" xfId="1">
      <alignment horizontal="right" vertical="center"/>
    </xf>
    <xf numFmtId="174" fontId="11" fillId="3" borderId="20" applyAlignment="1" pivotButton="0" quotePrefix="0" xfId="1">
      <alignment horizontal="right" vertical="center"/>
    </xf>
    <xf numFmtId="174" fontId="11" fillId="0" borderId="18" applyAlignment="1" pivotButton="0" quotePrefix="0" xfId="1">
      <alignment horizontal="right" vertical="center"/>
    </xf>
    <xf numFmtId="174" fontId="11" fillId="3" borderId="29" applyAlignment="1" pivotButton="0" quotePrefix="0" xfId="1">
      <alignment horizontal="right" vertical="center"/>
    </xf>
    <xf numFmtId="174" fontId="11" fillId="0" borderId="24" applyAlignment="1" pivotButton="0" quotePrefix="0" xfId="1">
      <alignment horizontal="right" vertical="center"/>
    </xf>
    <xf numFmtId="174" fontId="11" fillId="0" borderId="23" applyAlignment="1" pivotButton="0" quotePrefix="0" xfId="1">
      <alignment horizontal="right" vertical="center"/>
    </xf>
    <xf numFmtId="168" fontId="11" fillId="0" borderId="28" applyAlignment="1" pivotButton="0" quotePrefix="0" xfId="2">
      <alignment horizontal="center" vertical="center"/>
    </xf>
    <xf numFmtId="168" fontId="11" fillId="0" borderId="27" applyAlignment="1" pivotButton="0" quotePrefix="0" xfId="2">
      <alignment horizontal="center" vertical="center"/>
    </xf>
    <xf numFmtId="168" fontId="13" fillId="0" borderId="23" applyAlignment="1" pivotButton="0" quotePrefix="0" xfId="2">
      <alignment horizontal="center" vertical="center"/>
    </xf>
    <xf numFmtId="174" fontId="11" fillId="0" borderId="20" applyAlignment="1" pivotButton="0" quotePrefix="0" xfId="1">
      <alignment vertical="center"/>
    </xf>
    <xf numFmtId="174" fontId="11" fillId="0" borderId="29" applyAlignment="1" pivotButton="0" quotePrefix="0" xfId="1">
      <alignment vertical="center"/>
    </xf>
    <xf numFmtId="174" fontId="11" fillId="0" borderId="24" applyAlignment="1" pivotButton="0" quotePrefix="0" xfId="1">
      <alignment vertical="center"/>
    </xf>
    <xf numFmtId="174" fontId="11" fillId="0" borderId="23" applyAlignment="1" pivotButton="0" quotePrefix="0" xfId="1">
      <alignment vertical="center"/>
    </xf>
    <xf numFmtId="174" fontId="11" fillId="0" borderId="17" applyAlignment="1" pivotButton="0" quotePrefix="0" xfId="1">
      <alignment horizontal="center" vertical="center"/>
    </xf>
    <xf numFmtId="174" fontId="11" fillId="0" borderId="18" applyAlignment="1" pivotButton="0" quotePrefix="0" xfId="1">
      <alignment vertical="center"/>
    </xf>
    <xf numFmtId="168" fontId="11" fillId="0" borderId="0" applyAlignment="1" pivotButton="0" quotePrefix="0" xfId="2">
      <alignment vertical="center"/>
    </xf>
    <xf numFmtId="170" fontId="3" fillId="0" borderId="0" applyAlignment="1" pivotButton="0" quotePrefix="0" xfId="1">
      <alignment vertical="center"/>
    </xf>
    <xf numFmtId="170" fontId="11" fillId="0" borderId="0" applyAlignment="1" pivotButton="0" quotePrefix="0" xfId="1">
      <alignment vertical="center"/>
    </xf>
    <xf numFmtId="168" fontId="11" fillId="0" borderId="29" applyAlignment="1" pivotButton="0" quotePrefix="0" xfId="2">
      <alignment horizontal="center" vertical="center"/>
    </xf>
    <xf numFmtId="168" fontId="11" fillId="0" borderId="20" applyAlignment="1" pivotButton="0" quotePrefix="0" xfId="2">
      <alignment horizontal="center" vertical="center"/>
    </xf>
    <xf numFmtId="168" fontId="11" fillId="0" borderId="4" applyAlignment="1" pivotButton="0" quotePrefix="0" xfId="2">
      <alignment horizontal="center" vertical="center"/>
    </xf>
    <xf numFmtId="168" fontId="11" fillId="0" borderId="11" applyAlignment="1" pivotButton="0" quotePrefix="0" xfId="2">
      <alignment horizontal="center" vertical="center"/>
    </xf>
    <xf numFmtId="168" fontId="11" fillId="0" borderId="13" applyAlignment="1" pivotButton="0" quotePrefix="0" xfId="2">
      <alignment horizontal="center" vertical="center"/>
    </xf>
    <xf numFmtId="168" fontId="0" fillId="0" borderId="0" applyAlignment="1" pivotButton="0" quotePrefix="0" xfId="0">
      <alignment vertical="center"/>
    </xf>
    <xf numFmtId="168" fontId="3" fillId="7" borderId="0" applyAlignment="1" pivotButton="0" quotePrefix="0" xfId="2">
      <alignment vertical="center"/>
    </xf>
    <xf numFmtId="168" fontId="3" fillId="0" borderId="0" applyAlignment="1" pivotButton="0" quotePrefix="0" xfId="0">
      <alignment vertical="center"/>
    </xf>
    <xf numFmtId="164" fontId="0" fillId="0" borderId="23" applyAlignment="1" pivotButton="0" quotePrefix="0" xfId="1">
      <alignment vertical="center"/>
    </xf>
    <xf numFmtId="174" fontId="11" fillId="0" borderId="17" applyAlignment="1" pivotButton="0" quotePrefix="0" xfId="1">
      <alignment vertical="center"/>
    </xf>
    <xf numFmtId="175" fontId="0" fillId="2" borderId="23" pivotButton="0" quotePrefix="0" xfId="0"/>
    <xf numFmtId="175" fontId="0" fillId="9" borderId="23" pivotButton="0" quotePrefix="0" xfId="0"/>
    <xf numFmtId="164" fontId="0" fillId="0" borderId="0" applyAlignment="1" pivotButton="0" quotePrefix="0" xfId="1">
      <alignment vertical="center"/>
    </xf>
    <xf numFmtId="176" fontId="3" fillId="3" borderId="40" applyAlignment="1" pivotButton="0" quotePrefix="0" xfId="1">
      <alignment vertical="center"/>
    </xf>
    <xf numFmtId="164" fontId="3" fillId="3" borderId="40" applyAlignment="1" pivotButton="0" quotePrefix="0" xfId="1">
      <alignment vertical="center"/>
    </xf>
    <xf numFmtId="176" fontId="3" fillId="3" borderId="34" applyAlignment="1" pivotButton="0" quotePrefix="0" xfId="1">
      <alignment vertical="center"/>
    </xf>
    <xf numFmtId="164" fontId="3" fillId="0" borderId="41" applyAlignment="1" pivotButton="0" quotePrefix="0" xfId="1">
      <alignment vertical="center"/>
    </xf>
    <xf numFmtId="164" fontId="3" fillId="0" borderId="30" applyAlignment="1" pivotButton="0" quotePrefix="0" xfId="1">
      <alignment vertical="center"/>
    </xf>
    <xf numFmtId="175" fontId="0" fillId="0" borderId="0" applyAlignment="1" pivotButton="0" quotePrefix="0" xfId="0">
      <alignment vertical="center"/>
    </xf>
    <xf numFmtId="165" fontId="3" fillId="0" borderId="42" applyAlignment="1" pivotButton="0" quotePrefix="0" xfId="1">
      <alignment vertical="center"/>
    </xf>
    <xf numFmtId="165" fontId="3" fillId="0" borderId="31" applyAlignment="1" pivotButton="0" quotePrefix="0" xfId="1">
      <alignment vertical="center"/>
    </xf>
    <xf numFmtId="164" fontId="3" fillId="0" borderId="43" applyAlignment="1" pivotButton="0" quotePrefix="0" xfId="1">
      <alignment vertical="center"/>
    </xf>
    <xf numFmtId="176" fontId="3" fillId="7" borderId="41" applyAlignment="1" pivotButton="0" quotePrefix="0" xfId="1">
      <alignment vertical="center"/>
    </xf>
    <xf numFmtId="164" fontId="3" fillId="7" borderId="41" applyAlignment="1" pivotButton="0" quotePrefix="0" xfId="1">
      <alignment vertical="center"/>
    </xf>
    <xf numFmtId="176" fontId="3" fillId="7" borderId="30" applyAlignment="1" pivotButton="0" quotePrefix="0" xfId="1">
      <alignment vertical="center"/>
    </xf>
    <xf numFmtId="165" fontId="3" fillId="7" borderId="44" applyAlignment="1" pivotButton="0" quotePrefix="0" xfId="1">
      <alignment vertical="center"/>
    </xf>
    <xf numFmtId="165" fontId="3" fillId="7" borderId="45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75" fontId="18" fillId="2" borderId="23" pivotButton="0" quotePrefix="0" xfId="0"/>
    <xf numFmtId="175" fontId="0" fillId="10" borderId="23" pivotButton="0" quotePrefix="0" xfId="0"/>
    <xf numFmtId="175" fontId="18" fillId="11" borderId="23" pivotButton="0" quotePrefix="0" xfId="0"/>
    <xf numFmtId="176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177" fontId="23" fillId="0" borderId="54" applyAlignment="1" pivotButton="0" quotePrefix="0" xfId="1">
      <alignment horizontal="right" vertical="center"/>
    </xf>
    <xf numFmtId="177" fontId="23" fillId="0" borderId="55" applyAlignment="1" pivotButton="0" quotePrefix="0" xfId="1">
      <alignment horizontal="right" vertical="center"/>
    </xf>
    <xf numFmtId="177" fontId="23" fillId="0" borderId="56" applyAlignment="1" pivotButton="0" quotePrefix="0" xfId="1">
      <alignment horizontal="right" vertical="center"/>
    </xf>
    <xf numFmtId="177" fontId="23" fillId="0" borderId="0" applyAlignment="1" pivotButton="0" quotePrefix="0" xfId="1">
      <alignment horizontal="right" vertical="center"/>
    </xf>
    <xf numFmtId="171" fontId="23" fillId="0" borderId="63" applyAlignment="1" pivotButton="0" quotePrefix="0" xfId="2">
      <alignment horizontal="right" vertical="center"/>
    </xf>
    <xf numFmtId="171" fontId="23" fillId="0" borderId="64" applyAlignment="1" pivotButton="0" quotePrefix="0" xfId="2">
      <alignment horizontal="right" vertical="center"/>
    </xf>
    <xf numFmtId="171" fontId="23" fillId="0" borderId="65" applyAlignment="1" pivotButton="0" quotePrefix="0" xfId="2">
      <alignment horizontal="right" vertical="center"/>
    </xf>
    <xf numFmtId="171" fontId="23" fillId="0" borderId="66" applyAlignment="1" pivotButton="0" quotePrefix="0" xfId="2">
      <alignment horizontal="right" vertical="center"/>
    </xf>
    <xf numFmtId="164" fontId="23" fillId="0" borderId="63" applyAlignment="1" pivotButton="0" quotePrefix="0" xfId="1">
      <alignment horizontal="right" vertical="center"/>
    </xf>
    <xf numFmtId="164" fontId="23" fillId="0" borderId="64" applyAlignment="1" pivotButton="0" quotePrefix="0" xfId="1">
      <alignment horizontal="right" vertical="center"/>
    </xf>
    <xf numFmtId="164" fontId="23" fillId="0" borderId="65" applyAlignment="1" pivotButton="0" quotePrefix="0" xfId="1">
      <alignment horizontal="right" vertical="center"/>
    </xf>
    <xf numFmtId="164" fontId="23" fillId="0" borderId="66" applyAlignment="1" pivotButton="0" quotePrefix="0" xfId="1">
      <alignment horizontal="right" vertical="center"/>
    </xf>
    <xf numFmtId="164" fontId="23" fillId="0" borderId="54" applyAlignment="1" pivotButton="0" quotePrefix="0" xfId="0">
      <alignment horizontal="right" vertical="center"/>
    </xf>
    <xf numFmtId="164" fontId="23" fillId="0" borderId="55" applyAlignment="1" pivotButton="0" quotePrefix="0" xfId="1">
      <alignment horizontal="right" vertical="center"/>
    </xf>
    <xf numFmtId="164" fontId="23" fillId="0" borderId="56" applyAlignment="1" pivotButton="0" quotePrefix="0" xfId="1">
      <alignment horizontal="right" vertical="center"/>
    </xf>
    <xf numFmtId="177" fontId="23" fillId="0" borderId="69" applyAlignment="1" pivotButton="0" quotePrefix="0" xfId="1">
      <alignment horizontal="right" vertical="center"/>
    </xf>
    <xf numFmtId="177" fontId="23" fillId="0" borderId="51" applyAlignment="1" pivotButton="0" quotePrefix="0" xfId="1">
      <alignment horizontal="right" vertical="center"/>
    </xf>
    <xf numFmtId="177" fontId="23" fillId="0" borderId="52" applyAlignment="1" pivotButton="0" quotePrefix="0" xfId="1">
      <alignment horizontal="right" vertical="center"/>
    </xf>
    <xf numFmtId="177" fontId="23" fillId="0" borderId="53" applyAlignment="1" pivotButton="0" quotePrefix="0" xfId="1">
      <alignment horizontal="right" vertical="center"/>
    </xf>
    <xf numFmtId="177" fontId="26" fillId="0" borderId="54" applyAlignment="1" pivotButton="0" quotePrefix="0" xfId="0">
      <alignment horizontal="right" vertical="center"/>
    </xf>
    <xf numFmtId="177" fontId="26" fillId="0" borderId="55" applyAlignment="1" pivotButton="0" quotePrefix="0" xfId="0">
      <alignment horizontal="right" vertical="center"/>
    </xf>
    <xf numFmtId="177" fontId="4" fillId="0" borderId="55" applyAlignment="1" pivotButton="0" quotePrefix="0" xfId="0">
      <alignment horizontal="right" vertical="center"/>
    </xf>
    <xf numFmtId="177" fontId="26" fillId="0" borderId="56" applyAlignment="1" pivotButton="0" quotePrefix="0" xfId="0">
      <alignment horizontal="right" vertical="center"/>
    </xf>
    <xf numFmtId="177" fontId="26" fillId="0" borderId="0" applyAlignment="1" pivotButton="0" quotePrefix="0" xfId="0">
      <alignment horizontal="right" vertical="center"/>
    </xf>
    <xf numFmtId="164" fontId="26" fillId="0" borderId="54" applyAlignment="1" pivotButton="0" quotePrefix="0" xfId="0">
      <alignment horizontal="right" vertical="center"/>
    </xf>
    <xf numFmtId="177" fontId="23" fillId="0" borderId="58" applyAlignment="1" pivotButton="0" quotePrefix="0" xfId="0">
      <alignment horizontal="right" vertical="center"/>
    </xf>
    <xf numFmtId="177" fontId="23" fillId="0" borderId="59" applyAlignment="1" pivotButton="0" quotePrefix="0" xfId="0">
      <alignment horizontal="right" vertical="center"/>
    </xf>
    <xf numFmtId="177" fontId="27" fillId="0" borderId="59" applyAlignment="1" pivotButton="0" quotePrefix="0" xfId="0">
      <alignment horizontal="right" vertical="center"/>
    </xf>
    <xf numFmtId="177" fontId="23" fillId="0" borderId="60" applyAlignment="1" pivotButton="0" quotePrefix="0" xfId="0">
      <alignment horizontal="right" vertical="center"/>
    </xf>
    <xf numFmtId="177" fontId="23" fillId="0" borderId="61" applyAlignment="1" pivotButton="0" quotePrefix="0" xfId="0">
      <alignment horizontal="right" vertical="center"/>
    </xf>
    <xf numFmtId="164" fontId="23" fillId="0" borderId="58" applyAlignment="1" pivotButton="0" quotePrefix="0" xfId="0">
      <alignment horizontal="right" vertical="center"/>
    </xf>
    <xf numFmtId="177" fontId="23" fillId="0" borderId="54" applyAlignment="1" pivotButton="0" quotePrefix="0" xfId="0">
      <alignment horizontal="right" vertical="center"/>
    </xf>
    <xf numFmtId="177" fontId="23" fillId="0" borderId="55" applyAlignment="1" pivotButton="0" quotePrefix="0" xfId="0">
      <alignment horizontal="right" vertical="center"/>
    </xf>
    <xf numFmtId="177" fontId="27" fillId="0" borderId="55" applyAlignment="1" pivotButton="0" quotePrefix="0" xfId="0">
      <alignment horizontal="right" vertical="center"/>
    </xf>
    <xf numFmtId="177" fontId="23" fillId="0" borderId="56" applyAlignment="1" pivotButton="0" quotePrefix="0" xfId="0">
      <alignment horizontal="right" vertical="center"/>
    </xf>
    <xf numFmtId="177" fontId="23" fillId="0" borderId="0" applyAlignment="1" pivotButton="0" quotePrefix="0" xfId="0">
      <alignment horizontal="right" vertical="center"/>
    </xf>
    <xf numFmtId="177" fontId="26" fillId="0" borderId="69" applyAlignment="1" pivotButton="0" quotePrefix="0" xfId="0">
      <alignment horizontal="right" vertical="center"/>
    </xf>
    <xf numFmtId="177" fontId="26" fillId="0" borderId="51" applyAlignment="1" pivotButton="0" quotePrefix="0" xfId="0">
      <alignment horizontal="right" vertical="center"/>
    </xf>
    <xf numFmtId="177" fontId="4" fillId="0" borderId="51" applyAlignment="1" pivotButton="0" quotePrefix="0" xfId="0">
      <alignment horizontal="right" vertical="center"/>
    </xf>
    <xf numFmtId="177" fontId="26" fillId="0" borderId="52" applyAlignment="1" pivotButton="0" quotePrefix="0" xfId="0">
      <alignment horizontal="right" vertical="center"/>
    </xf>
    <xf numFmtId="177" fontId="26" fillId="0" borderId="53" applyAlignment="1" pivotButton="0" quotePrefix="0" xfId="0">
      <alignment horizontal="right" vertical="center"/>
    </xf>
    <xf numFmtId="164" fontId="26" fillId="0" borderId="69" applyAlignment="1" pivotButton="0" quotePrefix="0" xfId="0">
      <alignment horizontal="right" vertical="center"/>
    </xf>
    <xf numFmtId="177" fontId="23" fillId="0" borderId="58" applyAlignment="1" pivotButton="0" quotePrefix="0" xfId="1">
      <alignment horizontal="right" vertical="center"/>
    </xf>
    <xf numFmtId="177" fontId="23" fillId="0" borderId="59" applyAlignment="1" pivotButton="0" quotePrefix="0" xfId="1">
      <alignment horizontal="right" vertical="center"/>
    </xf>
    <xf numFmtId="177" fontId="23" fillId="0" borderId="60" applyAlignment="1" pivotButton="0" quotePrefix="0" xfId="1">
      <alignment horizontal="right" vertical="center"/>
    </xf>
    <xf numFmtId="177" fontId="23" fillId="0" borderId="61" applyAlignment="1" pivotButton="0" quotePrefix="0" xfId="1">
      <alignment horizontal="right" vertical="center"/>
    </xf>
    <xf numFmtId="168" fontId="23" fillId="0" borderId="54" applyAlignment="1" pivotButton="0" quotePrefix="0" xfId="0">
      <alignment horizontal="right" vertical="center"/>
    </xf>
    <xf numFmtId="168" fontId="23" fillId="0" borderId="55" applyAlignment="1" pivotButton="0" quotePrefix="0" xfId="0">
      <alignment horizontal="right" vertical="center"/>
    </xf>
    <xf numFmtId="168" fontId="23" fillId="0" borderId="56" applyAlignment="1" pivotButton="0" quotePrefix="0" xfId="0">
      <alignment horizontal="right" vertical="center"/>
    </xf>
    <xf numFmtId="168" fontId="23" fillId="0" borderId="0" applyAlignment="1" pivotButton="0" quotePrefix="0" xfId="0">
      <alignment horizontal="right" vertical="center"/>
    </xf>
    <xf numFmtId="177" fontId="0" fillId="0" borderId="0" applyAlignment="1" pivotButton="0" quotePrefix="0" xfId="0">
      <alignment vertical="center"/>
    </xf>
    <xf numFmtId="171" fontId="26" fillId="0" borderId="54" applyAlignment="1" pivotButton="0" quotePrefix="0" xfId="2">
      <alignment horizontal="right" vertical="center"/>
    </xf>
    <xf numFmtId="171" fontId="26" fillId="0" borderId="55" applyAlignment="1" pivotButton="0" quotePrefix="0" xfId="1">
      <alignment horizontal="right" vertical="center"/>
    </xf>
    <xf numFmtId="171" fontId="26" fillId="0" borderId="56" applyAlignment="1" pivotButton="0" quotePrefix="0" xfId="1">
      <alignment horizontal="right" vertical="center"/>
    </xf>
    <xf numFmtId="171" fontId="26" fillId="0" borderId="0" applyAlignment="1" pivotButton="0" quotePrefix="0" xfId="1">
      <alignment horizontal="right" vertical="center"/>
    </xf>
    <xf numFmtId="171" fontId="0" fillId="0" borderId="0" applyAlignment="1" pivotButton="0" quotePrefix="0" xfId="0">
      <alignment vertical="center"/>
    </xf>
    <xf numFmtId="169" fontId="3" fillId="0" borderId="82" applyAlignment="1" pivotButton="0" quotePrefix="0" xfId="0">
      <alignment horizontal="right" vertical="center"/>
    </xf>
    <xf numFmtId="169" fontId="3" fillId="0" borderId="59" applyAlignment="1" pivotButton="0" quotePrefix="0" xfId="0">
      <alignment horizontal="right" vertical="center"/>
    </xf>
    <xf numFmtId="169" fontId="3" fillId="0" borderId="60" applyAlignment="1" pivotButton="0" quotePrefix="0" xfId="0">
      <alignment horizontal="right" vertical="center"/>
    </xf>
    <xf numFmtId="169" fontId="3" fillId="0" borderId="61" applyAlignment="1" pivotButton="0" quotePrefix="0" xfId="0">
      <alignment horizontal="right" vertical="center"/>
    </xf>
    <xf numFmtId="169" fontId="3" fillId="0" borderId="77" applyAlignment="1" pivotButton="0" quotePrefix="0" xfId="0">
      <alignment horizontal="right" vertical="center"/>
    </xf>
    <xf numFmtId="169" fontId="3" fillId="0" borderId="51" applyAlignment="1" pivotButton="0" quotePrefix="0" xfId="0">
      <alignment horizontal="right" vertical="center"/>
    </xf>
    <xf numFmtId="169" fontId="3" fillId="0" borderId="52" applyAlignment="1" pivotButton="0" quotePrefix="0" xfId="0">
      <alignment horizontal="right" vertical="center"/>
    </xf>
    <xf numFmtId="169" fontId="3" fillId="0" borderId="53" applyAlignment="1" pivotButton="0" quotePrefix="0" xfId="0">
      <alignment horizontal="right" vertical="center"/>
    </xf>
    <xf numFmtId="169" fontId="26" fillId="0" borderId="81" applyAlignment="1" pivotButton="0" quotePrefix="0" xfId="0">
      <alignment horizontal="right" vertical="center"/>
    </xf>
    <xf numFmtId="169" fontId="26" fillId="0" borderId="55" applyAlignment="1" pivotButton="0" quotePrefix="0" xfId="0">
      <alignment horizontal="right" vertical="center"/>
    </xf>
    <xf numFmtId="169" fontId="26" fillId="0" borderId="56" applyAlignment="1" pivotButton="0" quotePrefix="0" xfId="0">
      <alignment horizontal="right" vertical="center"/>
    </xf>
    <xf numFmtId="169" fontId="26" fillId="0" borderId="0" applyAlignment="1" pivotButton="0" quotePrefix="0" xfId="0">
      <alignment horizontal="right" vertical="center"/>
    </xf>
    <xf numFmtId="169" fontId="26" fillId="0" borderId="87" applyAlignment="1" pivotButton="0" quotePrefix="0" xfId="0">
      <alignment horizontal="right" vertical="center"/>
    </xf>
    <xf numFmtId="169" fontId="26" fillId="0" borderId="51" applyAlignment="1" pivotButton="0" quotePrefix="0" xfId="0">
      <alignment horizontal="right" vertical="center"/>
    </xf>
    <xf numFmtId="169" fontId="26" fillId="0" borderId="52" applyAlignment="1" pivotButton="0" quotePrefix="0" xfId="0">
      <alignment horizontal="right" vertical="center"/>
    </xf>
    <xf numFmtId="169" fontId="26" fillId="0" borderId="53" applyAlignment="1" pivotButton="0" quotePrefix="0" xfId="0">
      <alignment horizontal="right" vertical="center"/>
    </xf>
    <xf numFmtId="164" fontId="26" fillId="0" borderId="81" applyAlignment="1" pivotButton="0" quotePrefix="0" xfId="1">
      <alignment horizontal="right" vertical="center"/>
    </xf>
    <xf numFmtId="164" fontId="26" fillId="0" borderId="55" applyAlignment="1" pivotButton="0" quotePrefix="0" xfId="1">
      <alignment horizontal="right" vertical="center"/>
    </xf>
    <xf numFmtId="164" fontId="26" fillId="0" borderId="56" applyAlignment="1" pivotButton="0" quotePrefix="0" xfId="1">
      <alignment horizontal="right" vertical="center"/>
    </xf>
    <xf numFmtId="164" fontId="26" fillId="0" borderId="0" applyAlignment="1" pivotButton="0" quotePrefix="0" xfId="1">
      <alignment horizontal="right" vertical="center"/>
    </xf>
    <xf numFmtId="164" fontId="3" fillId="0" borderId="82" applyAlignment="1" pivotButton="0" quotePrefix="0" xfId="1">
      <alignment horizontal="right" vertical="center"/>
    </xf>
    <xf numFmtId="164" fontId="3" fillId="0" borderId="59" applyAlignment="1" pivotButton="0" quotePrefix="0" xfId="1">
      <alignment horizontal="right" vertical="center"/>
    </xf>
    <xf numFmtId="164" fontId="3" fillId="0" borderId="60" applyAlignment="1" pivotButton="0" quotePrefix="0" xfId="1">
      <alignment horizontal="right" vertical="center"/>
    </xf>
    <xf numFmtId="164" fontId="3" fillId="0" borderId="61" applyAlignment="1" pivotButton="0" quotePrefix="0" xfId="1">
      <alignment horizontal="right" vertical="center"/>
    </xf>
    <xf numFmtId="168" fontId="3" fillId="0" borderId="81" applyAlignment="1" pivotButton="0" quotePrefix="0" xfId="0">
      <alignment horizontal="right" vertical="center"/>
    </xf>
    <xf numFmtId="168" fontId="3" fillId="0" borderId="55" applyAlignment="1" pivotButton="0" quotePrefix="0" xfId="0">
      <alignment horizontal="right" vertical="center"/>
    </xf>
    <xf numFmtId="168" fontId="3" fillId="0" borderId="56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3" fillId="0" borderId="82" applyAlignment="1" pivotButton="0" quotePrefix="0" xfId="0">
      <alignment horizontal="right" vertical="center"/>
    </xf>
    <xf numFmtId="168" fontId="3" fillId="0" borderId="59" applyAlignment="1" pivotButton="0" quotePrefix="0" xfId="0">
      <alignment horizontal="right" vertical="center"/>
    </xf>
    <xf numFmtId="168" fontId="3" fillId="0" borderId="60" applyAlignment="1" pivotButton="0" quotePrefix="0" xfId="0">
      <alignment horizontal="right" vertical="center"/>
    </xf>
    <xf numFmtId="168" fontId="3" fillId="0" borderId="61" applyAlignment="1" pivotButton="0" quotePrefix="0" xfId="0">
      <alignment horizontal="right" vertical="center"/>
    </xf>
    <xf numFmtId="164" fontId="8" fillId="4" borderId="0" applyAlignment="1" pivotButton="0" quotePrefix="0" xfId="1">
      <alignment horizontal="center" vertical="center"/>
    </xf>
    <xf numFmtId="164" fontId="34" fillId="4" borderId="0" applyAlignment="1" pivotButton="0" quotePrefix="0" xfId="1">
      <alignment horizontal="center" vertical="center"/>
    </xf>
    <xf numFmtId="164" fontId="33" fillId="2" borderId="0" applyAlignment="1" pivotButton="0" quotePrefix="0" xfId="1">
      <alignment horizontal="center" vertical="center"/>
    </xf>
    <xf numFmtId="164" fontId="3" fillId="5" borderId="0" applyAlignment="1" pivotButton="0" quotePrefix="0" xfId="1">
      <alignment horizontal="center" vertical="center"/>
    </xf>
    <xf numFmtId="164" fontId="3" fillId="3" borderId="0" applyAlignment="1" pivotButton="0" quotePrefix="0" xfId="1">
      <alignment horizontal="center" vertical="center"/>
    </xf>
    <xf numFmtId="164" fontId="7" fillId="4" borderId="0" applyAlignment="1" pivotButton="0" quotePrefix="0" xfId="1">
      <alignment horizontal="center" vertical="center"/>
    </xf>
    <xf numFmtId="168" fontId="3" fillId="3" borderId="0" applyAlignment="1" pivotButton="0" quotePrefix="0" xfId="2">
      <alignment horizontal="center" vertical="center"/>
    </xf>
    <xf numFmtId="164" fontId="3" fillId="6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 wrapText="1"/>
    </xf>
    <xf numFmtId="164" fontId="4" fillId="6" borderId="0" applyAlignment="1" pivotButton="0" quotePrefix="0" xfId="1">
      <alignment vertical="center"/>
    </xf>
    <xf numFmtId="164" fontId="10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vertical="center" wrapText="1"/>
    </xf>
    <xf numFmtId="176" fontId="0" fillId="0" borderId="0" applyAlignment="1" pivotButton="0" quotePrefix="0" xfId="1">
      <alignment vertical="center"/>
    </xf>
    <xf numFmtId="164" fontId="5" fillId="0" borderId="0" applyAlignment="1" pivotButton="0" quotePrefix="0" xfId="1">
      <alignment vertical="center"/>
    </xf>
    <xf numFmtId="164" fontId="3" fillId="7" borderId="0" applyAlignment="1" pivotButton="0" quotePrefix="0" xfId="1">
      <alignment vertical="center"/>
    </xf>
    <xf numFmtId="164" fontId="11" fillId="7" borderId="0" applyAlignment="1" pivotButton="0" quotePrefix="0" xfId="1">
      <alignment vertical="center"/>
    </xf>
    <xf numFmtId="164" fontId="3" fillId="13" borderId="0" applyAlignment="1" pivotButton="0" quotePrefix="0" xfId="1">
      <alignment vertical="center"/>
    </xf>
    <xf numFmtId="168" fontId="3" fillId="13" borderId="0" applyAlignment="1" pivotButton="0" quotePrefix="0" xfId="2">
      <alignment vertical="center"/>
    </xf>
    <xf numFmtId="164" fontId="4" fillId="13" borderId="0" applyAlignment="1" pivotButton="0" quotePrefix="0" xfId="1">
      <alignment vertical="center"/>
    </xf>
    <xf numFmtId="164" fontId="11" fillId="13" borderId="0" applyAlignment="1" pivotButton="0" quotePrefix="0" xfId="1">
      <alignment vertical="center"/>
    </xf>
    <xf numFmtId="164" fontId="35" fillId="13" borderId="0" applyAlignment="1" pivotButton="0" quotePrefix="0" xfId="1">
      <alignment vertical="center"/>
    </xf>
    <xf numFmtId="178" fontId="4" fillId="13" borderId="0" applyAlignment="1" pivotButton="0" quotePrefix="0" xfId="1">
      <alignment vertical="center"/>
    </xf>
    <xf numFmtId="176" fontId="3" fillId="13" borderId="0" applyAlignment="1" pivotButton="0" quotePrefix="0" xfId="1">
      <alignment vertical="center"/>
    </xf>
    <xf numFmtId="164" fontId="3" fillId="13" borderId="0" applyAlignment="1" pivotButton="0" quotePrefix="0" xfId="0">
      <alignment vertical="center"/>
    </xf>
    <xf numFmtId="164" fontId="3" fillId="14" borderId="0" applyAlignment="1" pivotButton="0" quotePrefix="0" xfId="1">
      <alignment vertical="center"/>
    </xf>
    <xf numFmtId="168" fontId="3" fillId="14" borderId="0" applyAlignment="1" pivotButton="0" quotePrefix="0" xfId="2">
      <alignment vertical="center"/>
    </xf>
    <xf numFmtId="164" fontId="4" fillId="14" borderId="0" applyAlignment="1" pivotButton="0" quotePrefix="0" xfId="1">
      <alignment vertical="center"/>
    </xf>
    <xf numFmtId="164" fontId="11" fillId="14" borderId="0" applyAlignment="1" pivotButton="0" quotePrefix="0" xfId="1">
      <alignment vertical="center"/>
    </xf>
    <xf numFmtId="164" fontId="35" fillId="7" borderId="0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168" fontId="4" fillId="0" borderId="0" applyAlignment="1" pivotButton="0" quotePrefix="0" xfId="2">
      <alignment vertical="center"/>
    </xf>
    <xf numFmtId="168" fontId="11" fillId="13" borderId="0" applyAlignment="1" pivotButton="0" quotePrefix="0" xfId="2">
      <alignment vertical="center"/>
    </xf>
    <xf numFmtId="164" fontId="35" fillId="0" borderId="0" applyAlignment="1" pivotButton="0" quotePrefix="0" xfId="1">
      <alignment vertical="center"/>
    </xf>
    <xf numFmtId="164" fontId="41" fillId="13" borderId="0" applyAlignment="1" pivotButton="0" quotePrefix="0" xfId="1">
      <alignment vertical="center"/>
    </xf>
    <xf numFmtId="164" fontId="19" fillId="0" borderId="0" applyAlignment="1" pivotButton="0" quotePrefix="0" xfId="1">
      <alignment vertical="center"/>
    </xf>
    <xf numFmtId="168" fontId="4" fillId="13" borderId="0" applyAlignment="1" pivotButton="0" quotePrefix="0" xfId="2">
      <alignment vertical="center"/>
    </xf>
    <xf numFmtId="168" fontId="4" fillId="7" borderId="0" applyAlignment="1" pivotButton="0" quotePrefix="0" xfId="2">
      <alignment vertical="center"/>
    </xf>
    <xf numFmtId="164" fontId="19" fillId="13" borderId="0" applyAlignment="1" pivotButton="0" quotePrefix="0" xfId="1">
      <alignment vertical="center"/>
    </xf>
    <xf numFmtId="168" fontId="11" fillId="7" borderId="0" applyAlignment="1" pivotButton="0" quotePrefix="0" xfId="2">
      <alignment vertical="center"/>
    </xf>
    <xf numFmtId="168" fontId="3" fillId="0" borderId="0" applyAlignment="1" pivotButton="0" quotePrefix="0" xfId="1">
      <alignment vertical="center"/>
    </xf>
    <xf numFmtId="164" fontId="24" fillId="0" borderId="56" applyAlignment="1" pivotButton="0" quotePrefix="0" xfId="1">
      <alignment horizontal="right" vertical="center"/>
    </xf>
    <xf numFmtId="164" fontId="24" fillId="0" borderId="55" applyAlignment="1" pivotButton="0" quotePrefix="0" xfId="1">
      <alignment horizontal="right" vertical="center"/>
    </xf>
    <xf numFmtId="164" fontId="24" fillId="0" borderId="0" applyAlignment="1" pivotButton="0" quotePrefix="0" xfId="1">
      <alignment horizontal="right" vertical="center"/>
    </xf>
    <xf numFmtId="167" fontId="36" fillId="0" borderId="60" applyAlignment="1" pivotButton="0" quotePrefix="0" xfId="0">
      <alignment horizontal="right" vertical="center"/>
    </xf>
    <xf numFmtId="167" fontId="36" fillId="0" borderId="59" applyAlignment="1" pivotButton="0" quotePrefix="0" xfId="0">
      <alignment horizontal="right" vertical="center"/>
    </xf>
    <xf numFmtId="167" fontId="36" fillId="0" borderId="61" applyAlignment="1" pivotButton="0" quotePrefix="0" xfId="0">
      <alignment horizontal="right" vertical="center"/>
    </xf>
    <xf numFmtId="164" fontId="36" fillId="0" borderId="60" applyAlignment="1" pivotButton="0" quotePrefix="0" xfId="1">
      <alignment horizontal="right" vertical="center"/>
    </xf>
    <xf numFmtId="164" fontId="36" fillId="0" borderId="59" applyAlignment="1" pivotButton="0" quotePrefix="0" xfId="1">
      <alignment horizontal="right" vertical="center"/>
    </xf>
    <xf numFmtId="164" fontId="36" fillId="0" borderId="61" applyAlignment="1" pivotButton="0" quotePrefix="0" xfId="1">
      <alignment horizontal="right" vertical="center"/>
    </xf>
    <xf numFmtId="167" fontId="36" fillId="0" borderId="52" applyAlignment="1" pivotButton="0" quotePrefix="0" xfId="0">
      <alignment horizontal="right" vertical="center"/>
    </xf>
    <xf numFmtId="167" fontId="36" fillId="0" borderId="51" applyAlignment="1" pivotButton="0" quotePrefix="0" xfId="0">
      <alignment horizontal="right" vertical="center"/>
    </xf>
    <xf numFmtId="167" fontId="36" fillId="0" borderId="53" applyAlignment="1" pivotButton="0" quotePrefix="0" xfId="0">
      <alignment horizontal="right" vertical="center"/>
    </xf>
    <xf numFmtId="164" fontId="36" fillId="0" borderId="52" applyAlignment="1" pivotButton="0" quotePrefix="0" xfId="1">
      <alignment horizontal="right" vertical="center"/>
    </xf>
    <xf numFmtId="164" fontId="36" fillId="0" borderId="51" applyAlignment="1" pivotButton="0" quotePrefix="0" xfId="1">
      <alignment horizontal="right" vertical="center"/>
    </xf>
    <xf numFmtId="164" fontId="36" fillId="0" borderId="53" applyAlignment="1" pivotButton="0" quotePrefix="0" xfId="1">
      <alignment horizontal="right" vertical="center"/>
    </xf>
    <xf numFmtId="166" fontId="24" fillId="7" borderId="56" applyAlignment="1" pivotButton="0" quotePrefix="0" xfId="0">
      <alignment horizontal="right" vertical="center"/>
    </xf>
    <xf numFmtId="166" fontId="24" fillId="7" borderId="55" applyAlignment="1" pivotButton="0" quotePrefix="0" xfId="0">
      <alignment horizontal="right" vertical="center"/>
    </xf>
    <xf numFmtId="166" fontId="24" fillId="7" borderId="0" applyAlignment="1" pivotButton="0" quotePrefix="0" xfId="0">
      <alignment horizontal="right" vertical="center"/>
    </xf>
    <xf numFmtId="164" fontId="24" fillId="7" borderId="56" applyAlignment="1" pivotButton="0" quotePrefix="0" xfId="1">
      <alignment horizontal="right" vertical="center"/>
    </xf>
    <xf numFmtId="164" fontId="24" fillId="7" borderId="55" applyAlignment="1" pivotButton="0" quotePrefix="0" xfId="1">
      <alignment horizontal="right" vertical="center"/>
    </xf>
    <xf numFmtId="164" fontId="24" fillId="7" borderId="0" applyAlignment="1" pivotButton="0" quotePrefix="0" xfId="1">
      <alignment horizontal="right" vertical="center"/>
    </xf>
    <xf numFmtId="167" fontId="36" fillId="7" borderId="60" applyAlignment="1" pivotButton="0" quotePrefix="0" xfId="0">
      <alignment horizontal="right" vertical="center"/>
    </xf>
    <xf numFmtId="167" fontId="36" fillId="7" borderId="59" applyAlignment="1" pivotButton="0" quotePrefix="0" xfId="0">
      <alignment horizontal="right" vertical="center"/>
    </xf>
    <xf numFmtId="167" fontId="36" fillId="7" borderId="61" applyAlignment="1" pivotButton="0" quotePrefix="0" xfId="0">
      <alignment horizontal="right" vertical="center"/>
    </xf>
    <xf numFmtId="164" fontId="36" fillId="7" borderId="60" applyAlignment="1" pivotButton="0" quotePrefix="0" xfId="1">
      <alignment horizontal="right" vertical="center"/>
    </xf>
    <xf numFmtId="164" fontId="36" fillId="7" borderId="59" applyAlignment="1" pivotButton="0" quotePrefix="0" xfId="1">
      <alignment horizontal="right" vertical="center"/>
    </xf>
    <xf numFmtId="164" fontId="36" fillId="7" borderId="61" applyAlignment="1" pivotButton="0" quotePrefix="0" xfId="1">
      <alignment horizontal="right" vertical="center"/>
    </xf>
    <xf numFmtId="167" fontId="36" fillId="7" borderId="52" applyAlignment="1" pivotButton="0" quotePrefix="0" xfId="0">
      <alignment horizontal="right" vertical="center"/>
    </xf>
    <xf numFmtId="167" fontId="36" fillId="7" borderId="51" applyAlignment="1" pivotButton="0" quotePrefix="0" xfId="0">
      <alignment horizontal="right" vertical="center"/>
    </xf>
    <xf numFmtId="167" fontId="36" fillId="7" borderId="53" applyAlignment="1" pivotButton="0" quotePrefix="0" xfId="0">
      <alignment horizontal="right" vertical="center"/>
    </xf>
    <xf numFmtId="164" fontId="36" fillId="7" borderId="52" applyAlignment="1" pivotButton="0" quotePrefix="0" xfId="1">
      <alignment horizontal="right" vertical="center"/>
    </xf>
    <xf numFmtId="164" fontId="36" fillId="7" borderId="51" applyAlignment="1" pivotButton="0" quotePrefix="0" xfId="1">
      <alignment horizontal="right" vertical="center"/>
    </xf>
    <xf numFmtId="164" fontId="36" fillId="7" borderId="53" applyAlignment="1" pivotButton="0" quotePrefix="0" xfId="1">
      <alignment horizontal="right" vertical="center"/>
    </xf>
    <xf numFmtId="168" fontId="37" fillId="0" borderId="56" applyAlignment="1" pivotButton="0" quotePrefix="0" xfId="0">
      <alignment horizontal="right" vertical="center"/>
    </xf>
    <xf numFmtId="168" fontId="37" fillId="0" borderId="55" applyAlignment="1" pivotButton="0" quotePrefix="0" xfId="0">
      <alignment horizontal="right" vertical="center"/>
    </xf>
    <xf numFmtId="168" fontId="37" fillId="0" borderId="0" applyAlignment="1" pivotButton="0" quotePrefix="0" xfId="0">
      <alignment horizontal="right" vertical="center"/>
    </xf>
    <xf numFmtId="168" fontId="37" fillId="0" borderId="56" applyAlignment="1" pivotButton="0" quotePrefix="0" xfId="2">
      <alignment horizontal="right" vertical="center"/>
    </xf>
    <xf numFmtId="168" fontId="37" fillId="0" borderId="55" applyAlignment="1" pivotButton="0" quotePrefix="0" xfId="2">
      <alignment horizontal="right" vertical="center"/>
    </xf>
    <xf numFmtId="168" fontId="37" fillId="0" borderId="0" applyAlignment="1" pivotButton="0" quotePrefix="0" xfId="2">
      <alignment horizontal="right" vertical="center"/>
    </xf>
    <xf numFmtId="179" fontId="36" fillId="0" borderId="80" applyAlignment="1" pivotButton="0" quotePrefix="0" xfId="0">
      <alignment horizontal="right" vertical="center"/>
    </xf>
    <xf numFmtId="179" fontId="36" fillId="0" borderId="79" applyAlignment="1" pivotButton="0" quotePrefix="0" xfId="0">
      <alignment horizontal="right" vertical="center"/>
    </xf>
    <xf numFmtId="179" fontId="36" fillId="0" borderId="91" applyAlignment="1" pivotButton="0" quotePrefix="0" xfId="0">
      <alignment horizontal="right" vertical="center"/>
    </xf>
    <xf numFmtId="168" fontId="36" fillId="0" borderId="80" applyAlignment="1" pivotButton="0" quotePrefix="0" xfId="2">
      <alignment horizontal="right" vertical="center"/>
    </xf>
    <xf numFmtId="168" fontId="36" fillId="0" borderId="79" applyAlignment="1" pivotButton="0" quotePrefix="0" xfId="2">
      <alignment horizontal="right" vertical="center"/>
    </xf>
    <xf numFmtId="168" fontId="36" fillId="0" borderId="91" applyAlignment="1" pivotButton="0" quotePrefix="0" xfId="2">
      <alignment horizontal="right" vertical="center"/>
    </xf>
    <xf numFmtId="170" fontId="24" fillId="0" borderId="56" applyAlignment="1" pivotButton="0" quotePrefix="0" xfId="1">
      <alignment horizontal="right" vertical="center"/>
    </xf>
    <xf numFmtId="170" fontId="24" fillId="0" borderId="55" applyAlignment="1" pivotButton="0" quotePrefix="0" xfId="1">
      <alignment horizontal="right" vertical="center"/>
    </xf>
    <xf numFmtId="170" fontId="24" fillId="0" borderId="0" applyAlignment="1" pivotButton="0" quotePrefix="0" xfId="1">
      <alignment horizontal="right" vertical="center"/>
    </xf>
    <xf numFmtId="180" fontId="36" fillId="0" borderId="60" applyAlignment="1" pivotButton="0" quotePrefix="0" xfId="2">
      <alignment horizontal="right" vertical="center"/>
    </xf>
    <xf numFmtId="180" fontId="36" fillId="0" borderId="59" applyAlignment="1" pivotButton="0" quotePrefix="0" xfId="2">
      <alignment horizontal="right" vertical="center"/>
    </xf>
    <xf numFmtId="180" fontId="36" fillId="0" borderId="61" applyAlignment="1" pivotButton="0" quotePrefix="0" xfId="2">
      <alignment horizontal="right" vertical="center"/>
    </xf>
    <xf numFmtId="180" fontId="0" fillId="0" borderId="0" applyAlignment="1" pivotButton="0" quotePrefix="0" xfId="0">
      <alignment vertical="center"/>
    </xf>
    <xf numFmtId="180" fontId="36" fillId="0" borderId="52" applyAlignment="1" pivotButton="0" quotePrefix="0" xfId="2">
      <alignment horizontal="right" vertical="center"/>
    </xf>
    <xf numFmtId="180" fontId="36" fillId="0" borderId="51" applyAlignment="1" pivotButton="0" quotePrefix="0" xfId="2">
      <alignment horizontal="right" vertical="center"/>
    </xf>
    <xf numFmtId="180" fontId="36" fillId="0" borderId="53" applyAlignment="1" pivotButton="0" quotePrefix="0" xfId="2">
      <alignment horizontal="right" vertical="center"/>
    </xf>
    <xf numFmtId="170" fontId="32" fillId="0" borderId="56" applyAlignment="1" pivotButton="0" quotePrefix="0" xfId="1">
      <alignment horizontal="right" vertical="center"/>
    </xf>
    <xf numFmtId="170" fontId="32" fillId="0" borderId="55" applyAlignment="1" pivotButton="0" quotePrefix="0" xfId="1">
      <alignment horizontal="right" vertical="center"/>
    </xf>
    <xf numFmtId="170" fontId="32" fillId="0" borderId="0" applyAlignment="1" pivotButton="0" quotePrefix="0" xfId="1">
      <alignment horizontal="right" vertical="center"/>
    </xf>
    <xf numFmtId="164" fontId="32" fillId="0" borderId="56" applyAlignment="1" pivotButton="0" quotePrefix="0" xfId="1">
      <alignment horizontal="right" vertical="center"/>
    </xf>
    <xf numFmtId="164" fontId="32" fillId="0" borderId="55" applyAlignment="1" pivotButton="0" quotePrefix="0" xfId="1">
      <alignment horizontal="right" vertical="center"/>
    </xf>
    <xf numFmtId="164" fontId="32" fillId="0" borderId="0" applyAlignment="1" pivotButton="0" quotePrefix="0" xfId="1">
      <alignment horizontal="right" vertical="center"/>
    </xf>
    <xf numFmtId="171" fontId="36" fillId="0" borderId="60" applyAlignment="1" pivotButton="0" quotePrefix="0" xfId="2">
      <alignment horizontal="right" vertical="center"/>
    </xf>
    <xf numFmtId="171" fontId="36" fillId="0" borderId="59" applyAlignment="1" pivotButton="0" quotePrefix="0" xfId="2">
      <alignment horizontal="right" vertical="center"/>
    </xf>
    <xf numFmtId="171" fontId="36" fillId="0" borderId="61" applyAlignment="1" pivotButton="0" quotePrefix="0" xfId="2">
      <alignment horizontal="right" vertical="center"/>
    </xf>
    <xf numFmtId="171" fontId="36" fillId="0" borderId="52" applyAlignment="1" pivotButton="0" quotePrefix="0" xfId="2">
      <alignment horizontal="right" vertical="center"/>
    </xf>
    <xf numFmtId="171" fontId="36" fillId="0" borderId="51" applyAlignment="1" pivotButton="0" quotePrefix="0" xfId="2">
      <alignment horizontal="right" vertical="center"/>
    </xf>
    <xf numFmtId="171" fontId="36" fillId="0" borderId="53" applyAlignment="1" pivotButton="0" quotePrefix="0" xfId="2">
      <alignment horizontal="right" vertical="center"/>
    </xf>
    <xf numFmtId="166" fontId="24" fillId="0" borderId="54" applyAlignment="1" pivotButton="0" quotePrefix="0" xfId="1">
      <alignment horizontal="right" vertical="center"/>
    </xf>
    <xf numFmtId="166" fontId="24" fillId="0" borderId="55" applyAlignment="1" pivotButton="0" quotePrefix="0" xfId="1">
      <alignment horizontal="right" vertical="center"/>
    </xf>
    <xf numFmtId="166" fontId="24" fillId="0" borderId="56" applyAlignment="1" pivotButton="0" quotePrefix="0" xfId="1">
      <alignment horizontal="right" vertical="center"/>
    </xf>
    <xf numFmtId="166" fontId="24" fillId="0" borderId="0" applyAlignment="1" pivotButton="0" quotePrefix="0" xfId="1">
      <alignment horizontal="right" vertical="center"/>
    </xf>
    <xf numFmtId="166" fontId="0" fillId="0" borderId="0" applyAlignment="1" pivotButton="0" quotePrefix="0" xfId="0">
      <alignment vertical="center"/>
    </xf>
    <xf numFmtId="164" fontId="24" fillId="0" borderId="54" applyAlignment="1" pivotButton="0" quotePrefix="0" xfId="1">
      <alignment horizontal="right" vertical="center"/>
    </xf>
    <xf numFmtId="166" fontId="39" fillId="0" borderId="54" applyAlignment="1" pivotButton="0" quotePrefix="0" xfId="1">
      <alignment horizontal="right" vertical="center"/>
    </xf>
    <xf numFmtId="166" fontId="39" fillId="0" borderId="55" applyAlignment="1" pivotButton="0" quotePrefix="0" xfId="1">
      <alignment horizontal="right" vertical="center"/>
    </xf>
    <xf numFmtId="166" fontId="39" fillId="0" borderId="56" applyAlignment="1" pivotButton="0" quotePrefix="0" xfId="1">
      <alignment horizontal="right" vertical="center"/>
    </xf>
    <xf numFmtId="166" fontId="39" fillId="0" borderId="0" applyAlignment="1" pivotButton="0" quotePrefix="0" xfId="1">
      <alignment horizontal="right" vertical="center"/>
    </xf>
    <xf numFmtId="164" fontId="39" fillId="0" borderId="54" applyAlignment="1" pivotButton="0" quotePrefix="0" xfId="1">
      <alignment horizontal="right" vertical="center"/>
    </xf>
    <xf numFmtId="164" fontId="39" fillId="0" borderId="55" applyAlignment="1" pivotButton="0" quotePrefix="0" xfId="1">
      <alignment horizontal="right" vertical="center"/>
    </xf>
    <xf numFmtId="164" fontId="39" fillId="0" borderId="56" applyAlignment="1" pivotButton="0" quotePrefix="0" xfId="1">
      <alignment horizontal="right" vertical="center"/>
    </xf>
    <xf numFmtId="164" fontId="39" fillId="0" borderId="0" applyAlignment="1" pivotButton="0" quotePrefix="0" xfId="1">
      <alignment horizontal="right" vertical="center"/>
    </xf>
    <xf numFmtId="166" fontId="24" fillId="0" borderId="58" applyAlignment="1" pivotButton="0" quotePrefix="0" xfId="1">
      <alignment horizontal="right" vertical="center"/>
    </xf>
    <xf numFmtId="166" fontId="24" fillId="0" borderId="59" applyAlignment="1" pivotButton="0" quotePrefix="0" xfId="1">
      <alignment horizontal="right" vertical="center"/>
    </xf>
    <xf numFmtId="166" fontId="24" fillId="0" borderId="60" applyAlignment="1" pivotButton="0" quotePrefix="0" xfId="1">
      <alignment horizontal="right" vertical="center"/>
    </xf>
    <xf numFmtId="166" fontId="24" fillId="0" borderId="61" applyAlignment="1" pivotButton="0" quotePrefix="0" xfId="1">
      <alignment horizontal="right" vertical="center"/>
    </xf>
    <xf numFmtId="164" fontId="24" fillId="0" borderId="58" applyAlignment="1" pivotButton="0" quotePrefix="0" xfId="1">
      <alignment horizontal="right" vertical="center"/>
    </xf>
    <xf numFmtId="164" fontId="24" fillId="0" borderId="59" applyAlignment="1" pivotButton="0" quotePrefix="0" xfId="1">
      <alignment horizontal="right" vertical="center"/>
    </xf>
    <xf numFmtId="164" fontId="24" fillId="0" borderId="60" applyAlignment="1" pivotButton="0" quotePrefix="0" xfId="1">
      <alignment horizontal="right" vertical="center"/>
    </xf>
    <xf numFmtId="164" fontId="24" fillId="0" borderId="61" applyAlignment="1" pivotButton="0" quotePrefix="0" xfId="1">
      <alignment horizontal="right" vertical="center"/>
    </xf>
    <xf numFmtId="171" fontId="39" fillId="0" borderId="54" applyAlignment="1" pivotButton="0" quotePrefix="0" xfId="1">
      <alignment horizontal="right" vertical="center"/>
    </xf>
    <xf numFmtId="171" fontId="39" fillId="0" borderId="55" applyAlignment="1" pivotButton="0" quotePrefix="0" xfId="1">
      <alignment horizontal="right" vertical="center"/>
    </xf>
    <xf numFmtId="171" fontId="39" fillId="0" borderId="56" applyAlignment="1" pivotButton="0" quotePrefix="0" xfId="1">
      <alignment horizontal="right" vertical="center"/>
    </xf>
    <xf numFmtId="171" fontId="39" fillId="0" borderId="0" applyAlignment="1" pivotButton="0" quotePrefix="0" xfId="1">
      <alignment horizontal="right" vertical="center"/>
    </xf>
    <xf numFmtId="166" fontId="39" fillId="0" borderId="58" applyAlignment="1" pivotButton="0" quotePrefix="0" xfId="1">
      <alignment horizontal="right" vertical="center"/>
    </xf>
    <xf numFmtId="166" fontId="39" fillId="0" borderId="59" applyAlignment="1" pivotButton="0" quotePrefix="0" xfId="1">
      <alignment horizontal="right" vertical="center"/>
    </xf>
    <xf numFmtId="166" fontId="39" fillId="0" borderId="60" applyAlignment="1" pivotButton="0" quotePrefix="0" xfId="1">
      <alignment horizontal="right" vertical="center"/>
    </xf>
    <xf numFmtId="166" fontId="39" fillId="0" borderId="61" applyAlignment="1" pivotButton="0" quotePrefix="0" xfId="1">
      <alignment horizontal="right" vertical="center"/>
    </xf>
    <xf numFmtId="164" fontId="39" fillId="0" borderId="58" applyAlignment="1" pivotButton="0" quotePrefix="0" xfId="1">
      <alignment horizontal="right" vertical="center"/>
    </xf>
    <xf numFmtId="164" fontId="39" fillId="0" borderId="59" applyAlignment="1" pivotButton="0" quotePrefix="0" xfId="1">
      <alignment horizontal="right" vertical="center"/>
    </xf>
    <xf numFmtId="164" fontId="39" fillId="0" borderId="60" applyAlignment="1" pivotButton="0" quotePrefix="0" xfId="1">
      <alignment horizontal="right" vertical="center"/>
    </xf>
    <xf numFmtId="164" fontId="39" fillId="0" borderId="61" applyAlignment="1" pivotButton="0" quotePrefix="0" xfId="1">
      <alignment horizontal="right" vertical="center"/>
    </xf>
    <xf numFmtId="166" fontId="39" fillId="0" borderId="63" applyAlignment="1" pivotButton="0" quotePrefix="0" xfId="1">
      <alignment horizontal="right" vertical="center"/>
    </xf>
    <xf numFmtId="166" fontId="39" fillId="0" borderId="64" applyAlignment="1" pivotButton="0" quotePrefix="0" xfId="1">
      <alignment horizontal="right" vertical="center"/>
    </xf>
    <xf numFmtId="166" fontId="39" fillId="0" borderId="65" applyAlignment="1" pivotButton="0" quotePrefix="0" xfId="1">
      <alignment horizontal="right" vertical="center"/>
    </xf>
    <xf numFmtId="166" fontId="39" fillId="0" borderId="66" applyAlignment="1" pivotButton="0" quotePrefix="0" xfId="1">
      <alignment horizontal="right" vertical="center"/>
    </xf>
    <xf numFmtId="164" fontId="39" fillId="0" borderId="63" applyAlignment="1" pivotButton="0" quotePrefix="0" xfId="1">
      <alignment horizontal="right" vertical="center"/>
    </xf>
    <xf numFmtId="164" fontId="39" fillId="0" borderId="64" applyAlignment="1" pivotButton="0" quotePrefix="0" xfId="1">
      <alignment horizontal="right" vertical="center"/>
    </xf>
    <xf numFmtId="164" fontId="39" fillId="0" borderId="65" applyAlignment="1" pivotButton="0" quotePrefix="0" xfId="1">
      <alignment horizontal="right" vertical="center"/>
    </xf>
    <xf numFmtId="164" fontId="39" fillId="0" borderId="66" applyAlignment="1" pivotButton="0" quotePrefix="0" xfId="1">
      <alignment horizontal="right" vertical="center"/>
    </xf>
    <xf numFmtId="171" fontId="39" fillId="0" borderId="63" applyAlignment="1" pivotButton="0" quotePrefix="0" xfId="1">
      <alignment horizontal="right" vertical="center"/>
    </xf>
    <xf numFmtId="171" fontId="39" fillId="0" borderId="64" applyAlignment="1" pivotButton="0" quotePrefix="0" xfId="1">
      <alignment horizontal="right" vertical="center"/>
    </xf>
    <xf numFmtId="171" fontId="39" fillId="0" borderId="65" applyAlignment="1" pivotButton="0" quotePrefix="0" xfId="1">
      <alignment horizontal="right" vertical="center"/>
    </xf>
    <xf numFmtId="171" fontId="39" fillId="0" borderId="66" applyAlignment="1" pivotButton="0" quotePrefix="0" xfId="1">
      <alignment horizontal="right" vertical="center"/>
    </xf>
    <xf numFmtId="166" fontId="39" fillId="0" borderId="69" applyAlignment="1" pivotButton="0" quotePrefix="0" xfId="1">
      <alignment horizontal="right" vertical="center"/>
    </xf>
    <xf numFmtId="166" fontId="39" fillId="0" borderId="51" applyAlignment="1" pivotButton="0" quotePrefix="0" xfId="1">
      <alignment horizontal="right" vertical="center"/>
    </xf>
    <xf numFmtId="166" fontId="39" fillId="0" borderId="52" applyAlignment="1" pivotButton="0" quotePrefix="0" xfId="1">
      <alignment horizontal="right" vertical="center"/>
    </xf>
    <xf numFmtId="166" fontId="39" fillId="0" borderId="53" applyAlignment="1" pivotButton="0" quotePrefix="0" xfId="1">
      <alignment horizontal="right" vertical="center"/>
    </xf>
    <xf numFmtId="164" fontId="39" fillId="0" borderId="69" applyAlignment="1" pivotButton="0" quotePrefix="0" xfId="1">
      <alignment horizontal="right" vertical="center"/>
    </xf>
    <xf numFmtId="164" fontId="39" fillId="0" borderId="51" applyAlignment="1" pivotButton="0" quotePrefix="0" xfId="1">
      <alignment horizontal="right" vertical="center"/>
    </xf>
    <xf numFmtId="164" fontId="39" fillId="0" borderId="52" applyAlignment="1" pivotButton="0" quotePrefix="0" xfId="1">
      <alignment horizontal="right" vertical="center"/>
    </xf>
    <xf numFmtId="164" fontId="39" fillId="0" borderId="53" applyAlignment="1" pivotButton="0" quotePrefix="0" xfId="1">
      <alignment horizontal="right" vertical="center"/>
    </xf>
    <xf numFmtId="167" fontId="37" fillId="0" borderId="54" applyAlignment="1" pivotButton="0" quotePrefix="0" xfId="2">
      <alignment horizontal="right" vertical="center"/>
    </xf>
    <xf numFmtId="167" fontId="37" fillId="0" borderId="55" applyAlignment="1" pivotButton="0" quotePrefix="0" xfId="2">
      <alignment horizontal="right" vertical="center"/>
    </xf>
    <xf numFmtId="167" fontId="37" fillId="0" borderId="56" applyAlignment="1" pivotButton="0" quotePrefix="0" xfId="2">
      <alignment horizontal="right" vertical="center"/>
    </xf>
    <xf numFmtId="167" fontId="37" fillId="0" borderId="0" applyAlignment="1" pivotButton="0" quotePrefix="0" xfId="2">
      <alignment horizontal="right" vertical="center"/>
    </xf>
    <xf numFmtId="168" fontId="37" fillId="0" borderId="54" applyAlignment="1" pivotButton="0" quotePrefix="0" xfId="2">
      <alignment horizontal="right" vertical="center"/>
    </xf>
    <xf numFmtId="179" fontId="39" fillId="0" borderId="58" applyAlignment="1" pivotButton="0" quotePrefix="0" xfId="2">
      <alignment horizontal="right" vertical="center"/>
    </xf>
    <xf numFmtId="179" fontId="39" fillId="0" borderId="59" applyAlignment="1" pivotButton="0" quotePrefix="0" xfId="2">
      <alignment horizontal="right" vertical="center"/>
    </xf>
    <xf numFmtId="179" fontId="39" fillId="0" borderId="60" applyAlignment="1" pivotButton="0" quotePrefix="0" xfId="2">
      <alignment horizontal="right" vertical="center"/>
    </xf>
    <xf numFmtId="179" fontId="39" fillId="0" borderId="61" applyAlignment="1" pivotButton="0" quotePrefix="0" xfId="2">
      <alignment horizontal="right" vertical="center"/>
    </xf>
    <xf numFmtId="168" fontId="39" fillId="0" borderId="58" applyAlignment="1" pivotButton="0" quotePrefix="0" xfId="2">
      <alignment horizontal="right" vertical="center"/>
    </xf>
    <xf numFmtId="168" fontId="39" fillId="0" borderId="59" applyAlignment="1" pivotButton="0" quotePrefix="0" xfId="2">
      <alignment horizontal="right" vertical="center"/>
    </xf>
    <xf numFmtId="168" fontId="39" fillId="0" borderId="60" applyAlignment="1" pivotButton="0" quotePrefix="0" xfId="2">
      <alignment horizontal="right" vertical="center"/>
    </xf>
    <xf numFmtId="168" fontId="39" fillId="0" borderId="61" applyAlignment="1" pivotButton="0" quotePrefix="0" xfId="2">
      <alignment horizontal="right" vertical="center"/>
    </xf>
    <xf numFmtId="179" fontId="39" fillId="0" borderId="69" applyAlignment="1" pivotButton="0" quotePrefix="0" xfId="2">
      <alignment horizontal="right" vertical="center"/>
    </xf>
    <xf numFmtId="179" fontId="39" fillId="0" borderId="51" applyAlignment="1" pivotButton="0" quotePrefix="0" xfId="2">
      <alignment horizontal="right" vertical="center"/>
    </xf>
    <xf numFmtId="179" fontId="39" fillId="0" borderId="52" applyAlignment="1" pivotButton="0" quotePrefix="0" xfId="2">
      <alignment horizontal="right" vertical="center"/>
    </xf>
    <xf numFmtId="179" fontId="39" fillId="0" borderId="53" applyAlignment="1" pivotButton="0" quotePrefix="0" xfId="2">
      <alignment horizontal="right" vertical="center"/>
    </xf>
    <xf numFmtId="168" fontId="39" fillId="0" borderId="69" applyAlignment="1" pivotButton="0" quotePrefix="0" xfId="2">
      <alignment horizontal="right" vertical="center"/>
    </xf>
    <xf numFmtId="168" fontId="39" fillId="0" borderId="51" applyAlignment="1" pivotButton="0" quotePrefix="0" xfId="2">
      <alignment horizontal="right" vertical="center"/>
    </xf>
    <xf numFmtId="168" fontId="39" fillId="0" borderId="52" applyAlignment="1" pivotButton="0" quotePrefix="0" xfId="2">
      <alignment horizontal="right" vertical="center"/>
    </xf>
    <xf numFmtId="168" fontId="39" fillId="0" borderId="53" applyAlignment="1" pivotButton="0" quotePrefix="0" xfId="2">
      <alignment horizontal="right" vertical="center"/>
    </xf>
    <xf numFmtId="170" fontId="26" fillId="0" borderId="56" applyAlignment="1" pivotButton="0" quotePrefix="0" xfId="0">
      <alignment horizontal="right" vertical="center"/>
    </xf>
    <xf numFmtId="170" fontId="26" fillId="0" borderId="55" applyAlignment="1" pivotButton="0" quotePrefix="0" xfId="0">
      <alignment horizontal="right" vertical="center"/>
    </xf>
    <xf numFmtId="170" fontId="26" fillId="0" borderId="0" applyAlignment="1" pivotButton="0" quotePrefix="0" xfId="0">
      <alignment horizontal="right" vertical="center"/>
    </xf>
    <xf numFmtId="171" fontId="40" fillId="0" borderId="59" applyAlignment="1" pivotButton="0" quotePrefix="0" xfId="0">
      <alignment horizontal="right" vertical="center"/>
    </xf>
    <xf numFmtId="171" fontId="40" fillId="0" borderId="60" applyAlignment="1" pivotButton="0" quotePrefix="0" xfId="0">
      <alignment horizontal="right" vertical="center"/>
    </xf>
    <xf numFmtId="171" fontId="40" fillId="0" borderId="61" applyAlignment="1" pivotButton="0" quotePrefix="0" xfId="0">
      <alignment horizontal="right" vertical="center"/>
    </xf>
    <xf numFmtId="164" fontId="40" fillId="0" borderId="60" applyAlignment="1" pivotButton="0" quotePrefix="0" xfId="1">
      <alignment horizontal="right" vertical="center"/>
    </xf>
    <xf numFmtId="164" fontId="40" fillId="0" borderId="59" applyAlignment="1" pivotButton="0" quotePrefix="0" xfId="1">
      <alignment horizontal="right" vertical="center"/>
    </xf>
    <xf numFmtId="164" fontId="40" fillId="0" borderId="61" applyAlignment="1" pivotButton="0" quotePrefix="0" xfId="1">
      <alignment horizontal="right" vertical="center"/>
    </xf>
    <xf numFmtId="171" fontId="40" fillId="0" borderId="55" applyAlignment="1" pivotButton="0" quotePrefix="0" xfId="0">
      <alignment horizontal="right" vertical="center"/>
    </xf>
    <xf numFmtId="171" fontId="40" fillId="0" borderId="56" applyAlignment="1" pivotButton="0" quotePrefix="0" xfId="0">
      <alignment horizontal="right" vertical="center"/>
    </xf>
    <xf numFmtId="171" fontId="40" fillId="0" borderId="0" applyAlignment="1" pivotButton="0" quotePrefix="0" xfId="0">
      <alignment horizontal="right" vertical="center"/>
    </xf>
    <xf numFmtId="164" fontId="40" fillId="0" borderId="56" applyAlignment="1" pivotButton="0" quotePrefix="0" xfId="1">
      <alignment horizontal="right" vertical="center"/>
    </xf>
    <xf numFmtId="164" fontId="40" fillId="0" borderId="55" applyAlignment="1" pivotButton="0" quotePrefix="0" xfId="1">
      <alignment horizontal="right" vertical="center"/>
    </xf>
    <xf numFmtId="164" fontId="40" fillId="0" borderId="0" applyAlignment="1" pivotButton="0" quotePrefix="0" xfId="1">
      <alignment horizontal="right" vertical="center"/>
    </xf>
    <xf numFmtId="170" fontId="26" fillId="0" borderId="70" applyAlignment="1" pivotButton="0" quotePrefix="0" xfId="0">
      <alignment horizontal="right" vertical="center"/>
    </xf>
    <xf numFmtId="170" fontId="26" fillId="0" borderId="83" applyAlignment="1" pivotButton="0" quotePrefix="0" xfId="0">
      <alignment horizontal="right" vertical="center"/>
    </xf>
    <xf numFmtId="170" fontId="26" fillId="0" borderId="46" applyAlignment="1" pivotButton="0" quotePrefix="0" xfId="0">
      <alignment horizontal="right" vertical="center"/>
    </xf>
    <xf numFmtId="164" fontId="26" fillId="0" borderId="70" applyAlignment="1" pivotButton="0" quotePrefix="0" xfId="1">
      <alignment horizontal="right" vertical="center"/>
    </xf>
    <xf numFmtId="164" fontId="26" fillId="0" borderId="83" applyAlignment="1" pivotButton="0" quotePrefix="0" xfId="1">
      <alignment horizontal="right" vertical="center"/>
    </xf>
    <xf numFmtId="164" fontId="26" fillId="0" borderId="46" applyAlignment="1" pivotButton="0" quotePrefix="0" xfId="1">
      <alignment horizontal="right" vertical="center"/>
    </xf>
    <xf numFmtId="171" fontId="40" fillId="0" borderId="52" applyAlignment="1" pivotButton="0" quotePrefix="0" xfId="0">
      <alignment horizontal="right" vertical="center"/>
    </xf>
    <xf numFmtId="171" fontId="40" fillId="0" borderId="51" applyAlignment="1" pivotButton="0" quotePrefix="0" xfId="0">
      <alignment horizontal="right" vertical="center"/>
    </xf>
    <xf numFmtId="171" fontId="40" fillId="0" borderId="53" applyAlignment="1" pivotButton="0" quotePrefix="0" xfId="0">
      <alignment horizontal="right" vertical="center"/>
    </xf>
    <xf numFmtId="170" fontId="26" fillId="0" borderId="65" applyAlignment="1" pivotButton="0" quotePrefix="0" xfId="0">
      <alignment horizontal="right" vertical="center"/>
    </xf>
    <xf numFmtId="170" fontId="26" fillId="0" borderId="64" applyAlignment="1" pivotButton="0" quotePrefix="0" xfId="0">
      <alignment horizontal="right" vertical="center"/>
    </xf>
    <xf numFmtId="170" fontId="26" fillId="0" borderId="66" applyAlignment="1" pivotButton="0" quotePrefix="0" xfId="0">
      <alignment horizontal="right" vertical="center"/>
    </xf>
    <xf numFmtId="164" fontId="26" fillId="0" borderId="65" applyAlignment="1" pivotButton="0" quotePrefix="0" xfId="1">
      <alignment horizontal="right" vertical="center"/>
    </xf>
    <xf numFmtId="164" fontId="26" fillId="0" borderId="64" applyAlignment="1" pivotButton="0" quotePrefix="0" xfId="1">
      <alignment horizontal="right" vertical="center"/>
    </xf>
    <xf numFmtId="164" fontId="26" fillId="0" borderId="66" applyAlignment="1" pivotButton="0" quotePrefix="0" xfId="1">
      <alignment horizontal="right" vertical="center"/>
    </xf>
    <xf numFmtId="170" fontId="0" fillId="0" borderId="0" applyAlignment="1" pivotButton="0" quotePrefix="0" xfId="0">
      <alignment vertical="center"/>
    </xf>
    <xf numFmtId="169" fontId="40" fillId="0" borderId="94" applyAlignment="1" pivotButton="0" quotePrefix="0" xfId="0">
      <alignment horizontal="right" vertical="center"/>
    </xf>
    <xf numFmtId="169" fontId="40" fillId="0" borderId="95" applyAlignment="1" pivotButton="0" quotePrefix="0" xfId="0">
      <alignment horizontal="right" vertical="center"/>
    </xf>
    <xf numFmtId="169" fontId="40" fillId="0" borderId="96" applyAlignment="1" pivotButton="0" quotePrefix="0" xfId="0">
      <alignment horizontal="right" vertical="center"/>
    </xf>
    <xf numFmtId="169" fontId="0" fillId="0" borderId="0" applyAlignment="1" pivotButton="0" quotePrefix="0" xfId="0">
      <alignment vertical="center"/>
    </xf>
    <xf numFmtId="167" fontId="40" fillId="0" borderId="55" applyAlignment="1" pivotButton="0" quotePrefix="0" xfId="0">
      <alignment horizontal="right" vertical="center"/>
    </xf>
    <xf numFmtId="167" fontId="40" fillId="0" borderId="56" applyAlignment="1" pivotButton="0" quotePrefix="0" xfId="0">
      <alignment horizontal="right" vertical="center"/>
    </xf>
    <xf numFmtId="167" fontId="4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vertical="center"/>
    </xf>
    <xf numFmtId="170" fontId="40" fillId="0" borderId="56" applyAlignment="1" pivotButton="0" quotePrefix="0" xfId="0">
      <alignment horizontal="right" vertical="center"/>
    </xf>
    <xf numFmtId="170" fontId="40" fillId="0" borderId="55" applyAlignment="1" pivotButton="0" quotePrefix="0" xfId="0">
      <alignment horizontal="right" vertical="center"/>
    </xf>
    <xf numFmtId="170" fontId="40" fillId="0" borderId="0" applyAlignment="1" pivotButton="0" quotePrefix="0" xfId="0">
      <alignment horizontal="right" vertical="center"/>
    </xf>
    <xf numFmtId="167" fontId="40" fillId="0" borderId="51" applyAlignment="1" pivotButton="0" quotePrefix="0" xfId="0">
      <alignment horizontal="right" vertical="center"/>
    </xf>
    <xf numFmtId="167" fontId="40" fillId="0" borderId="52" applyAlignment="1" pivotButton="0" quotePrefix="0" xfId="0">
      <alignment horizontal="right" vertical="center"/>
    </xf>
    <xf numFmtId="167" fontId="40" fillId="0" borderId="53" applyAlignment="1" pivotButton="0" quotePrefix="0" xfId="0">
      <alignment horizontal="right" vertical="center"/>
    </xf>
    <xf numFmtId="170" fontId="40" fillId="0" borderId="52" applyAlignment="1" pivotButton="0" quotePrefix="0" xfId="0">
      <alignment horizontal="right" vertical="center"/>
    </xf>
    <xf numFmtId="170" fontId="40" fillId="0" borderId="51" applyAlignment="1" pivotButton="0" quotePrefix="0" xfId="0">
      <alignment horizontal="right" vertical="center"/>
    </xf>
    <xf numFmtId="170" fontId="40" fillId="0" borderId="53" applyAlignment="1" pivotButton="0" quotePrefix="0" xfId="0">
      <alignment horizontal="right"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externalLink" Target="/xl/externalLinks/externalLink4.xml" Id="rId16"/><Relationship Type="http://schemas.openxmlformats.org/officeDocument/2006/relationships/externalLink" Target="/xl/externalLinks/externalLink5.xml" Id="rId17"/><Relationship Type="http://schemas.openxmlformats.org/officeDocument/2006/relationships/externalLink" Target="/xl/externalLinks/externalLink6.xml" Id="rId18"/><Relationship Type="http://schemas.openxmlformats.org/officeDocument/2006/relationships/externalLink" Target="/xl/externalLinks/externalLink7.xml" Id="rId19"/><Relationship Type="http://schemas.openxmlformats.org/officeDocument/2006/relationships/externalLink" Target="/xl/externalLinks/externalLink8.xml" Id="rId20"/><Relationship Type="http://schemas.openxmlformats.org/officeDocument/2006/relationships/externalLink" Target="/xl/externalLinks/externalLink9.xml" Id="rId21"/><Relationship Type="http://schemas.openxmlformats.org/officeDocument/2006/relationships/externalLink" Target="/xl/externalLinks/externalLink10.xml" Id="rId22"/><Relationship Type="http://schemas.openxmlformats.org/officeDocument/2006/relationships/externalLink" Target="/xl/externalLinks/externalLink11.xml" Id="rId23"/><Relationship Type="http://schemas.openxmlformats.org/officeDocument/2006/relationships/externalLink" Target="/xl/externalLinks/externalLink12.xml" Id="rId24"/><Relationship Type="http://schemas.openxmlformats.org/officeDocument/2006/relationships/externalLink" Target="/xl/externalLinks/externalLink13.xml" Id="rId25"/><Relationship Type="http://schemas.openxmlformats.org/officeDocument/2006/relationships/externalLink" Target="/xl/externalLinks/externalLink14.xml" Id="rId26"/><Relationship Type="http://schemas.openxmlformats.org/officeDocument/2006/relationships/externalLink" Target="/xl/externalLinks/externalLink15.xml" Id="rId27"/><Relationship Type="http://schemas.openxmlformats.org/officeDocument/2006/relationships/externalLink" Target="/xl/externalLinks/externalLink16.xml" Id="rId28"/><Relationship Type="http://schemas.openxmlformats.org/officeDocument/2006/relationships/externalLink" Target="/xl/externalLinks/externalLink17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master</author>
  </authors>
  <commentList>
    <comment ref="U4" authorId="0" shapeId="0">
      <text>
        <t xml:space="preserve">총자산은 보험업감독업무시행세칙에서 정의한 특별계정자산을 제외한 금액
운용자산은 총자산에서 비운용자산 제외한 금액
</t>
      </text>
    </comment>
  </commentList>
</comments>
</file>

<file path=xl/comments/comment2.xml><?xml version="1.0" encoding="utf-8"?>
<comments xmlns="http://schemas.openxmlformats.org/spreadsheetml/2006/main">
  <authors>
    <author>master</author>
  </authors>
  <commentList>
    <comment ref="U5" authorId="0" shapeId="0">
      <text>
        <t xml:space="preserve">총자산은 보험업감독업무시행세칙에서 정의한 특별계정자산을 제외한 금액
운용자산은 총자산에서 비운용자산 제외한 금액
</t>
      </text>
    </comment>
    <comment ref="AF26" authorId="0" shapeId="0">
      <text>
        <t>2024.11월 작업시 수정</t>
      </text>
    </comment>
    <comment ref="CS27" authorId="0" shapeId="0">
      <text>
        <t>경과조치전 기준으로 수정</t>
      </text>
    </comment>
    <comment ref="BC46" authorId="0" shapeId="0">
      <text>
        <t xml:space="preserve">표 오류 </t>
      </text>
    </comment>
    <comment ref="CF46" authorId="0" shapeId="0">
      <text>
        <t xml:space="preserve">1~2년
</t>
      </text>
    </comment>
    <comment ref="CG46" authorId="0" shapeId="0">
      <text>
        <t xml:space="preserve">2~5년
</t>
      </text>
    </comment>
    <comment ref="T66" authorId="0" shapeId="0">
      <text>
        <t>합병효과 반영</t>
      </text>
    </comment>
    <comment ref="W69" authorId="0" shapeId="0">
      <text>
        <t xml:space="preserve">경영공시
요약 재무상태표(총괄)
보고 계산함
1)총자산 - 특별계정자산
2)  1)-비운용자산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8120;&#47000;&#50640;&#49483;%202025+Q4+FactSheet_vF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9340;&#49457;&#49373;&#47749;_factsheet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49373;&#47749;%20SLI%203QFY25Factsheet_KOR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49373;&#47749;%20SLI%20FY25Factsheet_KOR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54620;&#54868;&#49373;&#47749;_factsheet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54620;&#54868;&#49373;&#47749;%203Q25%20HLI%20FactSheet(KOR)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54620;&#54868;&#49373;&#47749;%20FY25%20HLI%20FactSheet(KOR)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6041;&#50577;&#49373;&#47749;_factsheet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6041;&#50577;&#49373;&#47749;%202025.3Q%20Factsheet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6041;&#50577;&#49373;&#47749;%20(TYL)+FY2025+Factsheet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9340;&#49457;&#54868;&#51116;%2025.3Q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12\&#49892;&#51201;&#48156;&#54364;\&#49340;&#49457;&#54868;&#51116;%20(KOR)%20%2025.4Q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6\25%202Q%20&#49892;&#51201;&#48156;&#54364;&#51088;&#47308;\25%202Q%20&#47700;&#47532;&#52768;&#54868;&#51116;_factsheet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10.224.80.56\&#44221;&#50689;&#44288;&#47532;&#54016;\0012%20&#44221;&#50689;&#44277;&#49884;\00%20&#46041;&#50629;&#49324;\202509\&#49892;&#51201;&#48156;&#54364;\&#47700;&#47532;&#52768;&#54868;&#51116;%202025.3Q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d:\Users\nsm0225\Desktop\2025.4Q%20&#49892;&#51201;&#48156;&#54364;\202512%20&#47700;&#47532;&#52768;&#44552;&#50997;&#51648;&#51452;%20Factsheet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d:\Users\nsm0225\Desktop\2025.4Q%20&#49892;&#51201;&#48156;&#54364;\202512%20DB&#49552;&#48372;%20Factsheet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10.224.80.56\&#44221;&#50689;&#44288;&#47532;&#54016;\0018%20&#49552;&#51061;&#48372;&#44256;\&#9655;1.IFRS17%20&#48372;&#54744;&#49552;&#51061;\&#9655;%20&#48372;&#54744;&#48512;&#52292;%20&#52628;&#51060;_&#49548;&#44553;&#5498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"/>
      <sheetName val="KIFRS-BS"/>
      <sheetName val="KIFRS-IS"/>
      <sheetName val="PROFIT"/>
      <sheetName val="CSM"/>
      <sheetName val="PREMIUM"/>
      <sheetName val="INITIAL"/>
      <sheetName val="FIRSTYR"/>
      <sheetName val="CHINITYR"/>
      <sheetName val="APE"/>
      <sheetName val="FEEBIZ"/>
      <sheetName val="EFF"/>
      <sheetName val="PORT"/>
      <sheetName val="YIELD"/>
      <sheetName val="QUALITY"/>
      <sheetName val="STABLE"/>
      <sheetName val="SAP-BS"/>
      <sheetName val="SAP-IS"/>
      <sheetName val="NB"/>
      <sheetName val="SUB"/>
      <sheetName val="LI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">
          <cell r="D7">
            <v>464.009136904</v>
          </cell>
        </row>
        <row r="8">
          <cell r="D8">
            <v>508.7636875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2378190</v>
          </cell>
        </row>
        <row r="12">
          <cell r="R12">
            <v>954797</v>
          </cell>
        </row>
        <row r="33">
          <cell r="R33">
            <v>2439726</v>
          </cell>
        </row>
        <row r="34">
          <cell r="R34">
            <v>853700</v>
          </cell>
        </row>
      </sheetData>
      <sheetData sheetId="2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R11">
            <v>3594901</v>
          </cell>
        </row>
        <row r="12">
          <cell r="R12">
            <v>1447520</v>
          </cell>
        </row>
        <row r="33">
          <cell r="R33">
            <v>3755602</v>
          </cell>
        </row>
        <row r="34">
          <cell r="R34">
            <v>1301645</v>
          </cell>
        </row>
      </sheetData>
      <sheetData sheetId="2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Ⅰ-1"/>
      <sheetName val="Ⅰ-2"/>
      <sheetName val="Ⅰ-3"/>
      <sheetName val="Ⅰ-4"/>
      <sheetName val="Ⅰ-5"/>
      <sheetName val="Ⅰ-6"/>
      <sheetName val="Ⅰ-7"/>
      <sheetName val="Ⅱ-1"/>
      <sheetName val="Ⅱ-2"/>
      <sheetName val="Ⅱ-3"/>
      <sheetName val="Ⅱ-4"/>
      <sheetName val="Ⅲ-1"/>
      <sheetName val="Ⅲ-2"/>
      <sheetName val="Ⅲ-3"/>
      <sheetName val="Ⅲ-4"/>
      <sheetName val="Ⅲ-5"/>
      <sheetName val="Ⅳ-1"/>
      <sheetName val="Ⅴ-1"/>
      <sheetName val="Ⅴ-2"/>
      <sheetName val="Ⅴ-3"/>
      <sheetName val="Ⅴ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1">
          <cell r="R11">
            <v>4816139</v>
          </cell>
        </row>
        <row r="12">
          <cell r="R12">
            <v>1933564</v>
          </cell>
        </row>
        <row r="33">
          <cell r="R33">
            <v>5049960</v>
          </cell>
        </row>
        <row r="34">
          <cell r="R34">
            <v>1860679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58.161691756000003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1226797667224</v>
          </cell>
        </row>
        <row r="9">
          <cell r="E9">
            <v>29775786639</v>
          </cell>
        </row>
        <row r="10">
          <cell r="E10">
            <v>288116861785</v>
          </cell>
        </row>
        <row r="11">
          <cell r="E11">
            <v>47367083430</v>
          </cell>
        </row>
        <row r="20">
          <cell r="E20">
            <v>1421262940925</v>
          </cell>
        </row>
        <row r="25">
          <cell r="E25">
            <v>-69246927401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76.213547743000007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1859665237180</v>
          </cell>
        </row>
        <row r="9">
          <cell r="E9">
            <v>45158176665</v>
          </cell>
        </row>
        <row r="10">
          <cell r="E10">
            <v>435746484973</v>
          </cell>
        </row>
        <row r="11">
          <cell r="E11">
            <v>72113472223</v>
          </cell>
        </row>
        <row r="20">
          <cell r="E20">
            <v>2213621678083</v>
          </cell>
        </row>
        <row r="25">
          <cell r="E25">
            <v>-84317044903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목차"/>
      <sheetName val="요약 재무상태표"/>
      <sheetName val="요약 손익계산서"/>
      <sheetName val="신계약 CSM 및 수익성"/>
      <sheetName val="보험부채 Movement"/>
      <sheetName val="효율지표"/>
      <sheetName val="재무안전성"/>
      <sheetName val="수입보험료 및 월초보험료"/>
      <sheetName val="APE(상품 및 채널별)"/>
      <sheetName val="판매조직 현황"/>
      <sheetName val="운용자산"/>
      <sheetName val="자산건전성"/>
      <sheetName val="배당 및 발행주식수"/>
      <sheetName val="(별도) 재무상태표(GAAP)"/>
      <sheetName val="(별도) 손익계산서(GAAP)"/>
      <sheetName val="(볃도) 재무상태표(SAP)"/>
      <sheetName val="(볃도) 손익계산서(SAP)"/>
    </sheetNames>
    <sheetDataSet>
      <sheetData sheetId="0"/>
      <sheetData sheetId="1"/>
      <sheetData sheetId="2"/>
      <sheetData sheetId="3">
        <row r="12">
          <cell r="O12">
            <v>70.394934800000001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E8">
            <v>2492631560638</v>
          </cell>
        </row>
        <row r="9">
          <cell r="E9">
            <v>60608981677</v>
          </cell>
        </row>
        <row r="10">
          <cell r="E10">
            <v>583992807721</v>
          </cell>
        </row>
        <row r="11">
          <cell r="E11">
            <v>97010497171</v>
          </cell>
        </row>
        <row r="20">
          <cell r="E20">
            <v>2991084406277</v>
          </cell>
        </row>
        <row r="25">
          <cell r="E25">
            <v>-118524369625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B10">
            <v>287500464993</v>
          </cell>
        </row>
        <row r="19">
          <cell r="B19">
            <v>304890459239</v>
          </cell>
        </row>
        <row r="24">
          <cell r="B24">
            <v>11364030250</v>
          </cell>
        </row>
      </sheetData>
      <sheetData sheetId="20"/>
      <sheetData sheetId="21">
        <row r="12">
          <cell r="B12">
            <v>101868148735</v>
          </cell>
        </row>
        <row r="19">
          <cell r="B19">
            <v>95354712504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Inv"/>
      <sheetName val="&gt;Loan"/>
      <sheetName val="&gt;Bond"/>
      <sheetName val="BS(Insurance Acct.)"/>
      <sheetName val="IS(Insurance Acct.)"/>
      <sheetName val="BS  K-IFRS"/>
      <sheetName val="IS  K-IFRS"/>
    </sheetNames>
    <sheetDataSet>
      <sheetData sheetId="0" refreshError="1"/>
      <sheetData sheetId="1" refreshError="1"/>
      <sheetData sheetId="2">
        <row r="37">
          <cell r="T37">
            <v>-65.127082644000112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0">
          <cell r="B10">
            <v>435119303992</v>
          </cell>
        </row>
        <row r="12">
          <cell r="B12">
            <v>122232134934</v>
          </cell>
        </row>
        <row r="19">
          <cell r="B19">
            <v>467791159800</v>
          </cell>
        </row>
        <row r="24">
          <cell r="B24">
            <v>22968948298</v>
          </cell>
        </row>
      </sheetData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H"/>
      <sheetName val="FS"/>
      <sheetName val="CSM"/>
      <sheetName val="Stability"/>
      <sheetName val="Productivity"/>
      <sheetName val="APE by P.T"/>
      <sheetName val="Premium Income by P.T.(GA+SA)"/>
      <sheetName val="Premium Income by P.T."/>
      <sheetName val="Initial P. by P.T."/>
      <sheetName val="First-year P. by P.T."/>
      <sheetName val="APE by D.C"/>
      <sheetName val="Premium Income by D.C.(GA+SA)"/>
      <sheetName val="Premium Income by D.C."/>
      <sheetName val="First-year P. by D.C"/>
      <sheetName val="&gt;Loan"/>
      <sheetName val="&gt;Bond"/>
      <sheetName val="BS  K-IFRS"/>
      <sheetName val="IS  K-IFRS"/>
    </sheetNames>
    <sheetDataSet>
      <sheetData sheetId="0"/>
      <sheetData sheetId="1"/>
      <sheetData sheetId="2">
        <row r="40">
          <cell r="T40">
            <v>-71.869127857999928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1">
          <cell r="B11">
            <v>583593168293</v>
          </cell>
        </row>
        <row r="12">
          <cell r="B12">
            <v>18814493251</v>
          </cell>
        </row>
        <row r="13">
          <cell r="B13">
            <v>163115578763</v>
          </cell>
        </row>
        <row r="14">
          <cell r="B14">
            <v>24423818821</v>
          </cell>
        </row>
        <row r="22">
          <cell r="B22">
            <v>626575273153</v>
          </cell>
        </row>
        <row r="27">
          <cell r="B27">
            <v>25821121435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09"/>
      <sheetName val="PL-연결감독 2509"/>
      <sheetName val="BS-별도감독 2509"/>
      <sheetName val="PL-별도감독 2509"/>
    </sheetNames>
    <sheetDataSet>
      <sheetData sheetId="0" refreshError="1"/>
      <sheetData sheetId="1" refreshError="1"/>
      <sheetData sheetId="2">
        <row r="35">
          <cell r="N35">
            <v>36900.98579549</v>
          </cell>
        </row>
        <row r="38">
          <cell r="N38">
            <v>92.470355655838048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rofit &amp; Loss status"/>
      <sheetName val="Profit &amp; Loss Breakdown"/>
      <sheetName val="Premiums &amp; Persistency Ratio"/>
      <sheetName val="CSM"/>
      <sheetName val="Liability structure"/>
      <sheetName val="Capital Ratio"/>
      <sheetName val="Investment yield"/>
      <sheetName val="Asset structure"/>
      <sheetName val="Equity"/>
      <sheetName val="Bond"/>
      <sheetName val="Overseas"/>
      <sheetName val="Loan"/>
      <sheetName val="BS-연결감독 2512"/>
      <sheetName val="PL-연결감독 2512"/>
      <sheetName val="BS-별도감독 2512"/>
      <sheetName val="PL-별도감독 2512"/>
    </sheetNames>
    <sheetDataSet>
      <sheetData sheetId="0"/>
      <sheetData sheetId="1"/>
      <sheetData sheetId="2">
        <row r="35">
          <cell r="N35">
            <v>49890.562940180003</v>
          </cell>
        </row>
        <row r="38">
          <cell r="N38">
            <v>92.593771512820155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O8">
            <v>2334158075326</v>
          </cell>
        </row>
        <row r="9">
          <cell r="O9">
            <v>64727442946</v>
          </cell>
        </row>
        <row r="10">
          <cell r="O10">
            <v>170156979496</v>
          </cell>
        </row>
        <row r="11">
          <cell r="O11">
            <v>12760341515</v>
          </cell>
        </row>
        <row r="20">
          <cell r="O20">
            <v>2324160061948</v>
          </cell>
        </row>
        <row r="21">
          <cell r="O21">
            <v>65793123819</v>
          </cell>
        </row>
        <row r="22">
          <cell r="O22">
            <v>158855601221</v>
          </cell>
        </row>
        <row r="23">
          <cell r="O23">
            <v>4966755806</v>
          </cell>
        </row>
        <row r="25">
          <cell r="O25">
            <v>-50907501846</v>
          </cell>
        </row>
      </sheetData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P8">
            <v>3530135458946</v>
          </cell>
        </row>
        <row r="9">
          <cell r="P9">
            <v>98123245625</v>
          </cell>
        </row>
        <row r="10">
          <cell r="P10">
            <v>257608530970</v>
          </cell>
        </row>
        <row r="11">
          <cell r="P11">
            <v>19303899391</v>
          </cell>
        </row>
        <row r="20">
          <cell r="P20">
            <v>3617519215923</v>
          </cell>
        </row>
        <row r="21">
          <cell r="P21">
            <v>100584328450</v>
          </cell>
        </row>
        <row r="22">
          <cell r="P22">
            <v>239045953588</v>
          </cell>
        </row>
        <row r="23">
          <cell r="P23">
            <v>8929541296</v>
          </cell>
        </row>
        <row r="25">
          <cell r="P25">
            <v>-115353064696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Group highlight"/>
      <sheetName val="Group_PL"/>
      <sheetName val="Group_BS"/>
      <sheetName val="Insurance_Condensed PL"/>
      <sheetName val="CSM"/>
      <sheetName val="Insurance_Condensed BS"/>
      <sheetName val="Insurance_Efficiency"/>
      <sheetName val="Insurance_Asset"/>
      <sheetName val="Insurance_NewP"/>
      <sheetName val="Insurance_ALM"/>
      <sheetName val="Insurance_BS"/>
      <sheetName val="Insurance_PL"/>
      <sheetName val="Securities_Key Figures"/>
      <sheetName val="Securities_Condensesd FS"/>
      <sheetName val="Securities_BS(Consolidated)"/>
      <sheetName val="Securities_BS(Standalone)"/>
      <sheetName val="Securities_PL(Consolidated)"/>
      <sheetName val="Securities_PL(Standalone)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AH23">
            <v>1791.9531999999999</v>
          </cell>
        </row>
        <row r="24">
          <cell r="AH24">
            <v>62729.7347037</v>
          </cell>
        </row>
        <row r="29">
          <cell r="AH29">
            <v>-7592.5761068800002</v>
          </cell>
        </row>
        <row r="30">
          <cell r="AH30">
            <v>58543.187987949997</v>
          </cell>
        </row>
      </sheetData>
      <sheetData sheetId="7"/>
      <sheetData sheetId="8"/>
      <sheetData sheetId="9"/>
      <sheetData sheetId="10"/>
      <sheetData sheetId="11"/>
      <sheetData sheetId="12">
        <row r="8">
          <cell r="Q8">
            <v>4747836280887</v>
          </cell>
        </row>
        <row r="9">
          <cell r="Q9">
            <v>132175812374</v>
          </cell>
        </row>
        <row r="10">
          <cell r="Q10">
            <v>345394987043</v>
          </cell>
        </row>
        <row r="11">
          <cell r="Q11">
            <v>24645644099</v>
          </cell>
        </row>
        <row r="20">
          <cell r="Q20">
            <v>4921631203941</v>
          </cell>
        </row>
        <row r="21">
          <cell r="Q21">
            <v>135442918243</v>
          </cell>
        </row>
        <row r="22">
          <cell r="Q22">
            <v>354983956586</v>
          </cell>
        </row>
        <row r="23">
          <cell r="Q23">
            <v>27839273514</v>
          </cell>
        </row>
        <row r="25">
          <cell r="Q25">
            <v>-174512072194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요약대차"/>
      <sheetName val="요약손익"/>
      <sheetName val="보험손익"/>
      <sheetName val="투자손익"/>
      <sheetName val="BEL,CSM변동"/>
      <sheetName val="원수보험료"/>
      <sheetName val="신규월납"/>
      <sheetName val="BS_Dec'25"/>
      <sheetName val="PL_'25.4Q"/>
    </sheetNames>
    <sheetDataSet>
      <sheetData sheetId="0"/>
      <sheetData sheetId="1"/>
      <sheetData sheetId="2"/>
      <sheetData sheetId="3">
        <row r="11">
          <cell r="M11">
            <v>-240803.31634399999</v>
          </cell>
        </row>
        <row r="12">
          <cell r="M12">
            <v>-6650.6352260000003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시장지표_민평4사"/>
      <sheetName val="BEL"/>
      <sheetName val="BEL MOVMENT"/>
      <sheetName val="RA"/>
      <sheetName val="RA MOVMENT"/>
      <sheetName val="CSM"/>
      <sheetName val="CSM MOVMENT"/>
      <sheetName val="LOSS"/>
      <sheetName val="LOSS MOVMENT"/>
      <sheetName val="OCI"/>
      <sheetName val="부담이자"/>
      <sheetName val="시장지표"/>
      <sheetName val="100bp민감도"/>
      <sheetName val="참고사항"/>
      <sheetName val="보고서"/>
      <sheetName val="Sheet1"/>
    </sheetNames>
    <sheetDataSet>
      <sheetData sheetId="0"/>
      <sheetData sheetId="1"/>
      <sheetData sheetId="2">
        <row r="27">
          <cell r="AE27">
            <v>7780.2502904000003</v>
          </cell>
          <cell r="AR27">
            <v>10246.00582914</v>
          </cell>
        </row>
        <row r="28">
          <cell r="AE28">
            <v>35138.187813930002</v>
          </cell>
          <cell r="AR28">
            <v>35172.898794959998</v>
          </cell>
        </row>
        <row r="29">
          <cell r="AE29">
            <v>58099.270819589998</v>
          </cell>
          <cell r="AR29">
            <v>54973.099029340003</v>
          </cell>
        </row>
      </sheetData>
      <sheetData sheetId="3"/>
      <sheetData sheetId="4">
        <row r="27">
          <cell r="AE27">
            <v>477.00574280000001</v>
          </cell>
          <cell r="AR27">
            <v>417.03332425000002</v>
          </cell>
        </row>
        <row r="28">
          <cell r="AE28">
            <v>217.22525067000001</v>
          </cell>
          <cell r="AR28">
            <v>192.12741971</v>
          </cell>
        </row>
        <row r="29">
          <cell r="AE29">
            <v>442.76532868999999</v>
          </cell>
          <cell r="AR29">
            <v>402.77151679999997</v>
          </cell>
        </row>
      </sheetData>
      <sheetData sheetId="5"/>
      <sheetData sheetId="6">
        <row r="27">
          <cell r="AE27">
            <v>2131.1181148000001</v>
          </cell>
          <cell r="AR27">
            <v>1836.79583269</v>
          </cell>
        </row>
        <row r="28">
          <cell r="AE28">
            <v>960.90097795999998</v>
          </cell>
          <cell r="AR28">
            <v>503.76703434000001</v>
          </cell>
        </row>
        <row r="29">
          <cell r="AE29">
            <v>1648.94535498</v>
          </cell>
          <cell r="AR29">
            <v>1531.73667381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"/>
  <sheetViews>
    <sheetView showGridLines="0" topLeftCell="A4" workbookViewId="0">
      <selection activeCell="I16" sqref="I16:T16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2512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VLOOKUP($I$1&amp;I$8,DATA!$A:$EB,작업!$A9,0)/100</f>
        <v/>
      </c>
      <c r="J9" s="765">
        <f>VLOOKUP($I$1&amp;J$8,DATA!$A:$EB,작업!$A9,0)/100</f>
        <v/>
      </c>
      <c r="K9" s="765">
        <f>VLOOKUP($I$1&amp;K$8,DATA!$A:$EB,작업!$A9,0)/100</f>
        <v/>
      </c>
      <c r="L9" s="765">
        <f>VLOOKUP($I$1&amp;L$8,DATA!$A:$EB,작업!$A9,0)/100</f>
        <v/>
      </c>
      <c r="M9" s="765">
        <f>VLOOKUP($I$1&amp;M$8,DATA!$A:$EB,작업!$A9,0)/100</f>
        <v/>
      </c>
      <c r="N9" s="765">
        <f>VLOOKUP($I$1&amp;N$8,DATA!$A:$EB,작업!$A9,0)/100</f>
        <v/>
      </c>
      <c r="O9" s="765">
        <f>VLOOKUP($I$1&amp;O$8,DATA!$A:$EB,작업!$A9,0)/100</f>
        <v/>
      </c>
      <c r="P9" s="765">
        <f>VLOOKUP($I$1&amp;P$8,DATA!$A:$EB,작업!$A9,0)/100</f>
        <v/>
      </c>
      <c r="Q9" s="765">
        <f>VLOOKUP($I$1&amp;Q$8,DATA!$A:$EB,작업!$A9,0)/100</f>
        <v/>
      </c>
      <c r="R9" s="765">
        <f>VLOOKUP($I$1&amp;R$8,DATA!$A:$EB,작업!$A9,0)/100</f>
        <v/>
      </c>
      <c r="S9" s="765">
        <f>VLOOKUP($I$1&amp;S$8,DATA!$A:$EB,작업!$A9,0)/100</f>
        <v/>
      </c>
      <c r="T9" s="764">
        <f>VLOOKUP($I$1&amp;T$8,DATA!$A:$EB,작업!$A9,0)/100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VLOOKUP($I$1&amp;I$8,DATA!$A:$EB,작업!$A10,0)/100</f>
        <v/>
      </c>
      <c r="J10" s="768">
        <f>VLOOKUP($I$1&amp;J$8,DATA!$A:$EB,작업!$A10,0)/100</f>
        <v/>
      </c>
      <c r="K10" s="768">
        <f>VLOOKUP($I$1&amp;K$8,DATA!$A:$EB,작업!$A10,0)/100</f>
        <v/>
      </c>
      <c r="L10" s="768">
        <f>VLOOKUP($I$1&amp;L$8,DATA!$A:$EB,작업!$A10,0)/100</f>
        <v/>
      </c>
      <c r="M10" s="768">
        <f>VLOOKUP($I$1&amp;M$8,DATA!$A:$EB,작업!$A10,0)/100</f>
        <v/>
      </c>
      <c r="N10" s="768">
        <f>VLOOKUP($I$1&amp;N$8,DATA!$A:$EB,작업!$A10,0)/100</f>
        <v/>
      </c>
      <c r="O10" s="768">
        <f>VLOOKUP($I$1&amp;O$8,DATA!$A:$EB,작업!$A10,0)/100</f>
        <v/>
      </c>
      <c r="P10" s="768">
        <f>VLOOKUP($I$1&amp;P$8,DATA!$A:$EB,작업!$A10,0)/100</f>
        <v/>
      </c>
      <c r="Q10" s="768">
        <f>VLOOKUP($I$1&amp;Q$8,DATA!$A:$EB,작업!$A10,0)/100</f>
        <v/>
      </c>
      <c r="R10" s="768">
        <f>VLOOKUP($I$1&amp;R$8,DATA!$A:$EB,작업!$A10,0)/100</f>
        <v/>
      </c>
      <c r="S10" s="768">
        <f>VLOOKUP($I$1&amp;S$8,DATA!$A:$EB,작업!$A10,0)/100</f>
        <v/>
      </c>
      <c r="T10" s="767">
        <f>VLOOKUP($I$1&amp;T$8,DATA!$A:$EB,작업!$A10,0)/100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VLOOKUP($I$1&amp;I$8,DATA!$A:$EB,작업!$A12,0)/100</f>
        <v/>
      </c>
      <c r="J12" s="768">
        <f>VLOOKUP($I$1&amp;J$8,DATA!$A:$EB,작업!$A12,0)/100</f>
        <v/>
      </c>
      <c r="K12" s="768">
        <f>VLOOKUP($I$1&amp;K$8,DATA!$A:$EB,작업!$A12,0)/100</f>
        <v/>
      </c>
      <c r="L12" s="768">
        <f>VLOOKUP($I$1&amp;L$8,DATA!$A:$EB,작업!$A12,0)/100</f>
        <v/>
      </c>
      <c r="M12" s="768">
        <f>VLOOKUP($I$1&amp;M$8,DATA!$A:$EB,작업!$A12,0)/100</f>
        <v/>
      </c>
      <c r="N12" s="768">
        <f>VLOOKUP($I$1&amp;N$8,DATA!$A:$EB,작업!$A12,0)/100</f>
        <v/>
      </c>
      <c r="O12" s="768">
        <f>VLOOKUP($I$1&amp;O$8,DATA!$A:$EB,작업!$A12,0)/100</f>
        <v/>
      </c>
      <c r="P12" s="768">
        <f>VLOOKUP($I$1&amp;P$8,DATA!$A:$EB,작업!$A12,0)/100</f>
        <v/>
      </c>
      <c r="Q12" s="768">
        <f>VLOOKUP($I$1&amp;Q$8,DATA!$A:$EB,작업!$A12,0)/100</f>
        <v/>
      </c>
      <c r="R12" s="768">
        <f>VLOOKUP($I$1&amp;R$8,DATA!$A:$EB,작업!$A12,0)/100</f>
        <v/>
      </c>
      <c r="S12" s="768">
        <f>VLOOKUP($I$1&amp;S$8,DATA!$A:$EB,작업!$A12,0)/100</f>
        <v/>
      </c>
      <c r="T12" s="767">
        <f>VLOOKUP($I$1&amp;T$8,DATA!$A:$EB,작업!$A12,0)/100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VLOOKUP($I$1&amp;I$8,DATA!$A:$EB,작업!$A13,0)/100</f>
        <v/>
      </c>
      <c r="J13" s="772">
        <f>VLOOKUP($I$1&amp;J$8,DATA!$A:$EB,작업!$A13,0)/100</f>
        <v/>
      </c>
      <c r="K13" s="772">
        <f>VLOOKUP($I$1&amp;K$8,DATA!$A:$EB,작업!$A13,0)/100</f>
        <v/>
      </c>
      <c r="L13" s="772">
        <f>VLOOKUP($I$1&amp;L$8,DATA!$A:$EB,작업!$A13,0)/100</f>
        <v/>
      </c>
      <c r="M13" s="772">
        <f>VLOOKUP($I$1&amp;M$8,DATA!$A:$EB,작업!$A13,0)/100</f>
        <v/>
      </c>
      <c r="N13" s="772">
        <f>VLOOKUP($I$1&amp;N$8,DATA!$A:$EB,작업!$A13,0)/100</f>
        <v/>
      </c>
      <c r="O13" s="772">
        <f>VLOOKUP($I$1&amp;O$8,DATA!$A:$EB,작업!$A13,0)/100</f>
        <v/>
      </c>
      <c r="P13" s="772">
        <f>VLOOKUP($I$1&amp;P$8,DATA!$A:$EB,작업!$A13,0)/100</f>
        <v/>
      </c>
      <c r="Q13" s="772">
        <f>VLOOKUP($I$1&amp;Q$8,DATA!$A:$EB,작업!$A13,0)/100</f>
        <v/>
      </c>
      <c r="R13" s="772">
        <f>VLOOKUP($I$1&amp;R$8,DATA!$A:$EB,작업!$A13,0)/100</f>
        <v/>
      </c>
      <c r="S13" s="772">
        <f>VLOOKUP($I$1&amp;S$8,DATA!$A:$EB,작업!$A13,0)/100</f>
        <v/>
      </c>
      <c r="T13" s="771">
        <f>VLOOKUP($I$1&amp;T$8,DATA!$A:$EB,작업!$A13,0)/100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VLOOKUP($I$1&amp;I$8,DATA!$A:$EB,작업!$A14,0)/100</f>
        <v/>
      </c>
      <c r="J14" s="765">
        <f>VLOOKUP($I$1&amp;J$8,DATA!$A:$EB,작업!$A14,0)/100</f>
        <v/>
      </c>
      <c r="K14" s="765">
        <f>VLOOKUP($I$1&amp;K$8,DATA!$A:$EB,작업!$A14,0)/100</f>
        <v/>
      </c>
      <c r="L14" s="765">
        <f>VLOOKUP($I$1&amp;L$8,DATA!$A:$EB,작업!$A14,0)/100</f>
        <v/>
      </c>
      <c r="M14" s="765">
        <f>VLOOKUP($I$1&amp;M$8,DATA!$A:$EB,작업!$A14,0)/100</f>
        <v/>
      </c>
      <c r="N14" s="765">
        <f>VLOOKUP($I$1&amp;N$8,DATA!$A:$EB,작업!$A14,0)/100</f>
        <v/>
      </c>
      <c r="O14" s="765">
        <f>VLOOKUP($I$1&amp;O$8,DATA!$A:$EB,작업!$A14,0)/100</f>
        <v/>
      </c>
      <c r="P14" s="765">
        <f>VLOOKUP($I$1&amp;P$8,DATA!$A:$EB,작업!$A14,0)/100</f>
        <v/>
      </c>
      <c r="Q14" s="765">
        <f>VLOOKUP($I$1&amp;Q$8,DATA!$A:$EB,작업!$A14,0)/100</f>
        <v/>
      </c>
      <c r="R14" s="765">
        <f>VLOOKUP($I$1&amp;R$8,DATA!$A:$EB,작업!$A14,0)/100</f>
        <v/>
      </c>
      <c r="S14" s="765">
        <f>VLOOKUP($I$1&amp;S$8,DATA!$A:$EB,작업!$A14,0)/100</f>
        <v/>
      </c>
      <c r="T14" s="764">
        <f>VLOOKUP($I$1&amp;T$8,DATA!$A:$EB,작업!$A14,0)/100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VLOOKUP($I$1&amp;I$8,DATA!$A:$EB,작업!$A15,0)/100</f>
        <v/>
      </c>
      <c r="J15" s="768">
        <f>VLOOKUP($I$1&amp;J$8,DATA!$A:$EB,작업!$A15,0)/100</f>
        <v/>
      </c>
      <c r="K15" s="768">
        <f>VLOOKUP($I$1&amp;K$8,DATA!$A:$EB,작업!$A15,0)/100</f>
        <v/>
      </c>
      <c r="L15" s="768">
        <f>VLOOKUP($I$1&amp;L$8,DATA!$A:$EB,작업!$A15,0)/100</f>
        <v/>
      </c>
      <c r="M15" s="768">
        <f>VLOOKUP($I$1&amp;M$8,DATA!$A:$EB,작업!$A15,0)/100</f>
        <v/>
      </c>
      <c r="N15" s="768">
        <f>VLOOKUP($I$1&amp;N$8,DATA!$A:$EB,작업!$A15,0)/100</f>
        <v/>
      </c>
      <c r="O15" s="768">
        <f>VLOOKUP($I$1&amp;O$8,DATA!$A:$EB,작업!$A15,0)/100</f>
        <v/>
      </c>
      <c r="P15" s="768">
        <f>VLOOKUP($I$1&amp;P$8,DATA!$A:$EB,작업!$A15,0)/100</f>
        <v/>
      </c>
      <c r="Q15" s="768">
        <f>VLOOKUP($I$1&amp;Q$8,DATA!$A:$EB,작업!$A15,0)/100</f>
        <v/>
      </c>
      <c r="R15" s="768">
        <f>VLOOKUP($I$1&amp;R$8,DATA!$A:$EB,작업!$A15,0)/100</f>
        <v/>
      </c>
      <c r="S15" s="768">
        <f>VLOOKUP($I$1&amp;S$8,DATA!$A:$EB,작업!$A15,0)/100</f>
        <v/>
      </c>
      <c r="T15" s="767">
        <f>VLOOKUP($I$1&amp;T$8,DATA!$A:$EB,작업!$A15,0)/100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204">
        <f>VLOOKUP($I$1&amp;I$8,DATA!$A:$EB,작업!$A16,0)/100</f>
        <v/>
      </c>
      <c r="J16" s="205">
        <f>VLOOKUP($I$1&amp;J$8,DATA!$A:$EB,작업!$A16,0)/100</f>
        <v/>
      </c>
      <c r="K16" s="206">
        <f>VLOOKUP($I$1&amp;K$8,DATA!$A:$EB,작업!$A16,0)/100</f>
        <v/>
      </c>
      <c r="L16" s="206">
        <f>VLOOKUP($I$1&amp;L$8,DATA!$A:$EB,작업!$A16,0)/100</f>
        <v/>
      </c>
      <c r="M16" s="206">
        <f>VLOOKUP($I$1&amp;M$8,DATA!$A:$EB,작업!$A16,0)/100</f>
        <v/>
      </c>
      <c r="N16" s="206">
        <f>VLOOKUP($I$1&amp;N$8,DATA!$A:$EB,작업!$A16,0)/100</f>
        <v/>
      </c>
      <c r="O16" s="206">
        <f>VLOOKUP($I$1&amp;O$8,DATA!$A:$EB,작업!$A16,0)/100</f>
        <v/>
      </c>
      <c r="P16" s="206">
        <f>VLOOKUP($I$1&amp;P$8,DATA!$A:$EB,작업!$A16,0)/100</f>
        <v/>
      </c>
      <c r="Q16" s="206">
        <f>VLOOKUP($I$1&amp;Q$8,DATA!$A:$EB,작업!$A16,0)/100</f>
        <v/>
      </c>
      <c r="R16" s="206">
        <f>VLOOKUP($I$1&amp;R$8,DATA!$A:$EB,작업!$A16,0)/100</f>
        <v/>
      </c>
      <c r="S16" s="206">
        <f>VLOOKUP($I$1&amp;S$8,DATA!$A:$EB,작업!$A16,0)/100</f>
        <v/>
      </c>
      <c r="T16" s="204">
        <f>VLOOKUP($I$1&amp;T$8,DATA!$A:$EB,작업!$A16,0)/100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VLOOKUP($I$1&amp;I$8,DATA!$A:$EB,작업!$A18,0)/100</f>
        <v/>
      </c>
      <c r="J18" s="772">
        <f>VLOOKUP($I$1&amp;J$8,DATA!$A:$EB,작업!$A18,0)/100</f>
        <v/>
      </c>
      <c r="K18" s="772">
        <f>VLOOKUP($I$1&amp;K$8,DATA!$A:$EB,작업!$A18,0)/100</f>
        <v/>
      </c>
      <c r="L18" s="772">
        <f>VLOOKUP($I$1&amp;L$8,DATA!$A:$EB,작업!$A18,0)/100</f>
        <v/>
      </c>
      <c r="M18" s="772">
        <f>VLOOKUP($I$1&amp;M$8,DATA!$A:$EB,작업!$A18,0)/100</f>
        <v/>
      </c>
      <c r="N18" s="772">
        <f>VLOOKUP($I$1&amp;N$8,DATA!$A:$EB,작업!$A18,0)/100</f>
        <v/>
      </c>
      <c r="O18" s="772">
        <f>VLOOKUP($I$1&amp;O$8,DATA!$A:$EB,작업!$A18,0)/100</f>
        <v/>
      </c>
      <c r="P18" s="772">
        <f>VLOOKUP($I$1&amp;P$8,DATA!$A:$EB,작업!$A18,0)/100</f>
        <v/>
      </c>
      <c r="Q18" s="772">
        <f>VLOOKUP($I$1&amp;Q$8,DATA!$A:$EB,작업!$A18,0)/100</f>
        <v/>
      </c>
      <c r="R18" s="772">
        <f>VLOOKUP($I$1&amp;R$8,DATA!$A:$EB,작업!$A18,0)/100</f>
        <v/>
      </c>
      <c r="S18" s="772">
        <f>VLOOKUP($I$1&amp;S$8,DATA!$A:$EB,작업!$A18,0)/100</f>
        <v/>
      </c>
      <c r="T18" s="771">
        <f>VLOOKUP($I$1&amp;T$8,DATA!$A:$EB,작업!$A18,0)/100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VLOOKUP($I$1&amp;I$8,DATA!$A:$EB,작업!$A19,0)/100</f>
        <v/>
      </c>
      <c r="J19" s="765">
        <f>VLOOKUP($I$1&amp;J$8,DATA!$A:$EB,작업!$A19,0)/100</f>
        <v/>
      </c>
      <c r="K19" s="765">
        <f>VLOOKUP($I$1&amp;K$8,DATA!$A:$EB,작업!$A19,0)/100</f>
        <v/>
      </c>
      <c r="L19" s="765">
        <f>VLOOKUP($I$1&amp;L$8,DATA!$A:$EB,작업!$A19,0)/100</f>
        <v/>
      </c>
      <c r="M19" s="765">
        <f>VLOOKUP($I$1&amp;M$8,DATA!$A:$EB,작업!$A19,0)/100</f>
        <v/>
      </c>
      <c r="N19" s="765">
        <f>VLOOKUP($I$1&amp;N$8,DATA!$A:$EB,작업!$A19,0)/100</f>
        <v/>
      </c>
      <c r="O19" s="765">
        <f>VLOOKUP($I$1&amp;O$8,DATA!$A:$EB,작업!$A19,0)/100</f>
        <v/>
      </c>
      <c r="P19" s="765">
        <f>VLOOKUP($I$1&amp;P$8,DATA!$A:$EB,작업!$A19,0)/100</f>
        <v/>
      </c>
      <c r="Q19" s="765">
        <f>VLOOKUP($I$1&amp;Q$8,DATA!$A:$EB,작업!$A19,0)/100</f>
        <v/>
      </c>
      <c r="R19" s="765">
        <f>VLOOKUP($I$1&amp;R$8,DATA!$A:$EB,작업!$A19,0)/100</f>
        <v/>
      </c>
      <c r="S19" s="765">
        <f>VLOOKUP($I$1&amp;S$8,DATA!$A:$EB,작업!$A19,0)/100</f>
        <v/>
      </c>
      <c r="T19" s="764">
        <f>VLOOKUP($I$1&amp;T$8,DATA!$A:$EB,작업!$A19,0)/100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VLOOKUP($I$1&amp;I$8,DATA!$A:$EB,작업!$A22,0)/100</f>
        <v/>
      </c>
      <c r="J22" s="768">
        <f>VLOOKUP($I$1&amp;J$8,DATA!$A:$EB,작업!$A22,0)/100</f>
        <v/>
      </c>
      <c r="K22" s="768">
        <f>VLOOKUP($I$1&amp;K$8,DATA!$A:$EB,작업!$A22,0)/100</f>
        <v/>
      </c>
      <c r="L22" s="768">
        <f>VLOOKUP($I$1&amp;L$8,DATA!$A:$EB,작업!$A22,0)/100</f>
        <v/>
      </c>
      <c r="M22" s="768">
        <f>VLOOKUP($I$1&amp;M$8,DATA!$A:$EB,작업!$A22,0)/100</f>
        <v/>
      </c>
      <c r="N22" s="768">
        <f>VLOOKUP($I$1&amp;N$8,DATA!$A:$EB,작업!$A22,0)/100</f>
        <v/>
      </c>
      <c r="O22" s="768">
        <f>VLOOKUP($I$1&amp;O$8,DATA!$A:$EB,작업!$A22,0)/100</f>
        <v/>
      </c>
      <c r="P22" s="768">
        <f>VLOOKUP($I$1&amp;P$8,DATA!$A:$EB,작업!$A22,0)/100</f>
        <v/>
      </c>
      <c r="Q22" s="768">
        <f>VLOOKUP($I$1&amp;Q$8,DATA!$A:$EB,작업!$A22,0)/100</f>
        <v/>
      </c>
      <c r="R22" s="768">
        <f>VLOOKUP($I$1&amp;R$8,DATA!$A:$EB,작업!$A22,0)/100</f>
        <v/>
      </c>
      <c r="S22" s="768">
        <f>VLOOKUP($I$1&amp;S$8,DATA!$A:$EB,작업!$A22,0)/100</f>
        <v/>
      </c>
      <c r="T22" s="767">
        <f>VLOOKUP($I$1&amp;T$8,DATA!$A:$EB,작업!$A22,0)/100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VLOOKUP($I$1&amp;I$8,DATA!$A:$EB,작업!$A23,0)/100</f>
        <v/>
      </c>
      <c r="J23" s="772">
        <f>VLOOKUP($I$1&amp;J$8,DATA!$A:$EB,작업!$A23,0)/100</f>
        <v/>
      </c>
      <c r="K23" s="772">
        <f>VLOOKUP($I$1&amp;K$8,DATA!$A:$EB,작업!$A23,0)/100</f>
        <v/>
      </c>
      <c r="L23" s="772">
        <f>VLOOKUP($I$1&amp;L$8,DATA!$A:$EB,작업!$A23,0)/100</f>
        <v/>
      </c>
      <c r="M23" s="772">
        <f>VLOOKUP($I$1&amp;M$8,DATA!$A:$EB,작업!$A23,0)/100</f>
        <v/>
      </c>
      <c r="N23" s="772">
        <f>VLOOKUP($I$1&amp;N$8,DATA!$A:$EB,작업!$A23,0)/100</f>
        <v/>
      </c>
      <c r="O23" s="772">
        <f>VLOOKUP($I$1&amp;O$8,DATA!$A:$EB,작업!$A23,0)/100</f>
        <v/>
      </c>
      <c r="P23" s="772">
        <f>VLOOKUP($I$1&amp;P$8,DATA!$A:$EB,작업!$A23,0)/100</f>
        <v/>
      </c>
      <c r="Q23" s="772">
        <f>VLOOKUP($I$1&amp;Q$8,DATA!$A:$EB,작업!$A23,0)/100</f>
        <v/>
      </c>
      <c r="R23" s="772">
        <f>VLOOKUP($I$1&amp;R$8,DATA!$A:$EB,작업!$A23,0)/100</f>
        <v/>
      </c>
      <c r="S23" s="772">
        <f>VLOOKUP($I$1&amp;S$8,DATA!$A:$EB,작업!$A23,0)/100</f>
        <v/>
      </c>
      <c r="T23" s="771">
        <f>VLOOKUP($I$1&amp;T$8,DATA!$A:$EB,작업!$A23,0)/100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VLOOKUP($I$1&amp;I$8,DATA!$A:$EB,작업!$A29,0)/100</f>
        <v/>
      </c>
      <c r="J29" s="765">
        <f>VLOOKUP($I$1&amp;J$8,DATA!$A:$EB,작업!$A29,0)/100</f>
        <v/>
      </c>
      <c r="K29" s="765">
        <f>VLOOKUP($I$1&amp;K$8,DATA!$A:$EB,작업!$A29,0)/100</f>
        <v/>
      </c>
      <c r="L29" s="765">
        <f>VLOOKUP($I$1&amp;L$8,DATA!$A:$EB,작업!$A29,0)/100</f>
        <v/>
      </c>
      <c r="M29" s="765">
        <f>VLOOKUP($I$1&amp;M$8,DATA!$A:$EB,작업!$A29,0)/100</f>
        <v/>
      </c>
      <c r="N29" s="765">
        <f>VLOOKUP($I$1&amp;N$8,DATA!$A:$EB,작업!$A29,0)/100</f>
        <v/>
      </c>
      <c r="O29" s="765">
        <f>VLOOKUP($I$1&amp;O$8,DATA!$A:$EB,작업!$A29,0)/100</f>
        <v/>
      </c>
      <c r="P29" s="765">
        <f>VLOOKUP($I$1&amp;P$8,DATA!$A:$EB,작업!$A29,0)/100</f>
        <v/>
      </c>
      <c r="Q29" s="765">
        <f>VLOOKUP($I$1&amp;Q$8,DATA!$A:$EB,작업!$A29,0)/100</f>
        <v/>
      </c>
      <c r="R29" s="765">
        <f>VLOOKUP($I$1&amp;R$8,DATA!$A:$EB,작업!$A29,0)/100</f>
        <v/>
      </c>
      <c r="S29" s="765">
        <f>VLOOKUP($I$1&amp;S$8,DATA!$A:$EB,작업!$A29,0)/100</f>
        <v/>
      </c>
      <c r="T29" s="764">
        <f>VLOOKUP($I$1&amp;T$8,DATA!$A:$EB,작업!$A29,0)/100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VLOOKUP($I$1&amp;I$8,DATA!$A:$EB,작업!$A36,0)/100</f>
        <v/>
      </c>
      <c r="J36" s="786">
        <f>VLOOKUP($I$1&amp;J$8,DATA!$A:$EB,작업!$A36,0)/100</f>
        <v/>
      </c>
      <c r="K36" s="787">
        <f>VLOOKUP($I$1&amp;K$8,DATA!$A:$EB,작업!$A36,0)/100</f>
        <v/>
      </c>
      <c r="L36" s="787">
        <f>VLOOKUP($I$1&amp;L$8,DATA!$A:$EB,작업!$A36,0)/100</f>
        <v/>
      </c>
      <c r="M36" s="787">
        <f>VLOOKUP($I$1&amp;M$8,DATA!$A:$EB,작업!$A36,0)/100</f>
        <v/>
      </c>
      <c r="N36" s="787">
        <f>VLOOKUP($I$1&amp;N$8,DATA!$A:$EB,작업!$A36,0)/100</f>
        <v/>
      </c>
      <c r="O36" s="787">
        <f>VLOOKUP($I$1&amp;O$8,DATA!$A:$EB,작업!$A36,0)/100</f>
        <v/>
      </c>
      <c r="P36" s="787">
        <f>VLOOKUP($I$1&amp;P$8,DATA!$A:$EB,작업!$A36,0)/100</f>
        <v/>
      </c>
      <c r="Q36" s="787">
        <f>VLOOKUP($I$1&amp;Q$8,DATA!$A:$EB,작업!$A36,0)/100</f>
        <v/>
      </c>
      <c r="R36" s="787">
        <f>VLOOKUP($I$1&amp;R$8,DATA!$A:$EB,작업!$A36,0)/100</f>
        <v/>
      </c>
      <c r="S36" s="787">
        <f>VLOOKUP($I$1&amp;S$8,DATA!$A:$EB,작업!$A36,0)/100</f>
        <v/>
      </c>
      <c r="T36" s="787">
        <f>VLOOKUP($I$1&amp;T$8,DATA!$A:$EB,작업!$A36,0)/100</f>
        <v/>
      </c>
      <c r="X36" s="785">
        <f>58000*(1-25%)/P36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VLOOKUP($I$1&amp;I$8,DATA!$A:$EB,작업!$A38,0)/100</f>
        <v/>
      </c>
      <c r="J38" s="786">
        <f>VLOOKUP($I$1&amp;J$8,DATA!$A:$EB,작업!$A38,0)/100</f>
        <v/>
      </c>
      <c r="K38" s="786">
        <f>VLOOKUP($I$1&amp;K$8,DATA!$A:$EB,작업!$A38,0)/100</f>
        <v/>
      </c>
      <c r="L38" s="786">
        <f>VLOOKUP($I$1&amp;L$8,DATA!$A:$EB,작업!$A38,0)/100</f>
        <v/>
      </c>
      <c r="M38" s="786">
        <f>VLOOKUP($I$1&amp;M$8,DATA!$A:$EB,작업!$A38,0)/100</f>
        <v/>
      </c>
      <c r="N38" s="786">
        <f>VLOOKUP($I$1&amp;N$8,DATA!$A:$EB,작업!$A38,0)/100</f>
        <v/>
      </c>
      <c r="O38" s="786">
        <f>VLOOKUP($I$1&amp;O$8,DATA!$A:$EB,작업!$A38,0)/100</f>
        <v/>
      </c>
      <c r="P38" s="786">
        <f>VLOOKUP($I$1&amp;P$8,DATA!$A:$EB,작업!$A38,0)/100</f>
        <v/>
      </c>
      <c r="Q38" s="786">
        <f>VLOOKUP($I$1&amp;Q$8,DATA!$A:$EB,작업!$A38,0)/100</f>
        <v/>
      </c>
      <c r="R38" s="786">
        <f>VLOOKUP($I$1&amp;R$8,DATA!$A:$EB,작업!$A38,0)/100</f>
        <v/>
      </c>
      <c r="S38" s="786">
        <f>VLOOKUP($I$1&amp;S$8,DATA!$A:$EB,작업!$A38,0)/100</f>
        <v/>
      </c>
      <c r="T38" s="786">
        <f>VLOOKUP($I$1&amp;T$8,DATA!$A:$EB,작업!$A38,0)/100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VLOOKUP($I$1&amp;I$8,DATA!$A:$EB,작업!$A39,0)/100</f>
        <v/>
      </c>
      <c r="J39" s="786">
        <f>VLOOKUP($I$1&amp;J$8,DATA!$A:$EB,작업!$A39,0)/100</f>
        <v/>
      </c>
      <c r="K39" s="786">
        <f>VLOOKUP($I$1&amp;K$8,DATA!$A:$EB,작업!$A39,0)/100</f>
        <v/>
      </c>
      <c r="L39" s="786">
        <f>VLOOKUP($I$1&amp;L$8,DATA!$A:$EB,작업!$A39,0)/100</f>
        <v/>
      </c>
      <c r="M39" s="786">
        <f>VLOOKUP($I$1&amp;M$8,DATA!$A:$EB,작업!$A39,0)/100</f>
        <v/>
      </c>
      <c r="N39" s="786">
        <f>VLOOKUP($I$1&amp;N$8,DATA!$A:$EB,작업!$A39,0)/100</f>
        <v/>
      </c>
      <c r="O39" s="786">
        <f>VLOOKUP($I$1&amp;O$8,DATA!$A:$EB,작업!$A39,0)/100</f>
        <v/>
      </c>
      <c r="P39" s="786">
        <f>VLOOKUP($I$1&amp;P$8,DATA!$A:$EB,작업!$A39,0)/100</f>
        <v/>
      </c>
      <c r="Q39" s="786">
        <f>VLOOKUP($I$1&amp;Q$8,DATA!$A:$EB,작업!$A39,0)/100</f>
        <v/>
      </c>
      <c r="R39" s="786">
        <f>VLOOKUP($I$1&amp;R$8,DATA!$A:$EB,작업!$A39,0)/100</f>
        <v/>
      </c>
      <c r="S39" s="786">
        <f>VLOOKUP($I$1&amp;S$8,DATA!$A:$EB,작업!$A39,0)/100</f>
        <v/>
      </c>
      <c r="T39" s="786">
        <f>VLOOKUP($I$1&amp;T$8,DATA!$A:$EB,작업!$A39,0)/100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VLOOKUP($I$1&amp;I$8,DATA!$A:$EB,작업!$A40,0)/100</f>
        <v/>
      </c>
      <c r="J40" s="786">
        <f>VLOOKUP($I$1&amp;J$8,DATA!$A:$EB,작업!$A40,0)/100</f>
        <v/>
      </c>
      <c r="K40" s="786">
        <f>VLOOKUP($I$1&amp;K$8,DATA!$A:$EB,작업!$A40,0)/100</f>
        <v/>
      </c>
      <c r="L40" s="786">
        <f>VLOOKUP($I$1&amp;L$8,DATA!$A:$EB,작업!$A40,0)/100</f>
        <v/>
      </c>
      <c r="M40" s="786">
        <f>VLOOKUP($I$1&amp;M$8,DATA!$A:$EB,작업!$A40,0)/100</f>
        <v/>
      </c>
      <c r="N40" s="786">
        <f>VLOOKUP($I$1&amp;N$8,DATA!$A:$EB,작업!$A40,0)/100</f>
        <v/>
      </c>
      <c r="O40" s="786">
        <f>VLOOKUP($I$1&amp;O$8,DATA!$A:$EB,작업!$A40,0)/100</f>
        <v/>
      </c>
      <c r="P40" s="786">
        <f>VLOOKUP($I$1&amp;P$8,DATA!$A:$EB,작업!$A40,0)/100</f>
        <v/>
      </c>
      <c r="Q40" s="786">
        <f>VLOOKUP($I$1&amp;Q$8,DATA!$A:$EB,작업!$A40,0)/100</f>
        <v/>
      </c>
      <c r="R40" s="786">
        <f>VLOOKUP($I$1&amp;R$8,DATA!$A:$EB,작업!$A40,0)/100</f>
        <v/>
      </c>
      <c r="S40" s="786">
        <f>VLOOKUP($I$1&amp;S$8,DATA!$A:$EB,작업!$A40,0)/100</f>
        <v/>
      </c>
      <c r="T40" s="786">
        <f>VLOOKUP($I$1&amp;T$8,DATA!$A:$EB,작업!$A40,0)/100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VLOOKUP($I$1&amp;I$8,DATA!$A:$EB,작업!$A46,0)/100</f>
        <v/>
      </c>
      <c r="J46" s="786">
        <f>VLOOKUP($I$1&amp;J$8,DATA!$A:$EB,작업!$A46,0)/100</f>
        <v/>
      </c>
      <c r="K46" s="786">
        <f>VLOOKUP($I$1&amp;K$8,DATA!$A:$EB,작업!$A46,0)/100</f>
        <v/>
      </c>
      <c r="L46" s="786">
        <f>VLOOKUP($I$1&amp;L$8,DATA!$A:$EB,작업!$A46,0)/100</f>
        <v/>
      </c>
      <c r="M46" s="786">
        <f>VLOOKUP($I$1&amp;M$8,DATA!$A:$EB,작업!$A46,0)/100</f>
        <v/>
      </c>
      <c r="N46" s="786">
        <f>VLOOKUP($I$1&amp;N$8,DATA!$A:$EB,작업!$A46,0)/100</f>
        <v/>
      </c>
      <c r="O46" s="786">
        <f>VLOOKUP($I$1&amp;O$8,DATA!$A:$EB,작업!$A46,0)/100</f>
        <v/>
      </c>
      <c r="P46" s="786">
        <f>VLOOKUP($I$1&amp;P$8,DATA!$A:$EB,작업!$A46,0)/100</f>
        <v/>
      </c>
      <c r="Q46" s="786">
        <f>VLOOKUP($I$1&amp;Q$8,DATA!$A:$EB,작업!$A46,0)/100</f>
        <v/>
      </c>
      <c r="R46" s="786">
        <f>VLOOKUP($I$1&amp;R$8,DATA!$A:$EB,작업!$A46,0)/100</f>
        <v/>
      </c>
      <c r="S46" s="786">
        <f>VLOOKUP($I$1&amp;S$8,DATA!$A:$EB,작업!$A46,0)/100</f>
        <v/>
      </c>
      <c r="T46" s="786">
        <f>VLOOKUP($I$1&amp;T$8,DATA!$A:$EB,작업!$A46,0)/100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VLOOKUP($I$1&amp;I$8,DATA!$A:$EB,작업!$A55,0)/100</f>
        <v/>
      </c>
      <c r="J55" s="786">
        <f>VLOOKUP($I$1&amp;J$8,DATA!$A:$EB,작업!$A55,0)/100</f>
        <v/>
      </c>
      <c r="K55" s="786">
        <f>VLOOKUP($I$1&amp;K$8,DATA!$A:$EB,작업!$A55,0)/100</f>
        <v/>
      </c>
      <c r="L55" s="786">
        <f>VLOOKUP($I$1&amp;L$8,DATA!$A:$EB,작업!$A55,0)/100</f>
        <v/>
      </c>
      <c r="M55" s="786">
        <f>VLOOKUP($I$1&amp;M$8,DATA!$A:$EB,작업!$A55,0)/100</f>
        <v/>
      </c>
      <c r="N55" s="786">
        <f>VLOOKUP($I$1&amp;N$8,DATA!$A:$EB,작업!$A55,0)/100</f>
        <v/>
      </c>
      <c r="O55" s="786">
        <f>VLOOKUP($I$1&amp;O$8,DATA!$A:$EB,작업!$A55,0)/100</f>
        <v/>
      </c>
      <c r="P55" s="786">
        <f>VLOOKUP($I$1&amp;P$8,DATA!$A:$EB,작업!$A55,0)/100</f>
        <v/>
      </c>
      <c r="Q55" s="786">
        <f>VLOOKUP($I$1&amp;Q$8,DATA!$A:$EB,작업!$A55,0)/100</f>
        <v/>
      </c>
      <c r="R55" s="786">
        <f>VLOOKUP($I$1&amp;R$8,DATA!$A:$EB,작업!$A55,0)/100</f>
        <v/>
      </c>
      <c r="S55" s="786">
        <f>VLOOKUP($I$1&amp;S$8,DATA!$A:$EB,작업!$A55,0)/100</f>
        <v/>
      </c>
      <c r="T55" s="786">
        <f>VLOOKUP($I$1&amp;T$8,DATA!$A:$EB,작업!$A55,0)/100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 t="n"/>
      <c r="J57" s="786" t="n"/>
      <c r="K57" s="786" t="n"/>
      <c r="L57" s="786" t="n"/>
      <c r="M57" s="786" t="n"/>
      <c r="N57" s="786" t="n"/>
      <c r="O57" s="786" t="n"/>
      <c r="P57" s="786" t="n"/>
      <c r="Q57" s="786" t="n"/>
      <c r="R57" s="786" t="n"/>
      <c r="S57" s="786" t="n"/>
      <c r="T57" s="786" t="n"/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VLOOKUP($I$1&amp;I$8,DATA!$A:$EB,작업!$A64,0)/100</f>
        <v/>
      </c>
      <c r="J64" s="792">
        <f>VLOOKUP($I$1&amp;J$8,DATA!$A:$EB,작업!$A64,0)/100</f>
        <v/>
      </c>
      <c r="K64" s="792">
        <f>VLOOKUP($I$1&amp;K$8,DATA!$A:$EB,작업!$A64,0)/100</f>
        <v/>
      </c>
      <c r="L64" s="792">
        <f>VLOOKUP($I$1&amp;L$8,DATA!$A:$EB,작업!$A64,0)/100</f>
        <v/>
      </c>
      <c r="M64" s="792">
        <f>VLOOKUP($I$1&amp;M$8,DATA!$A:$EB,작업!$A64,0)/100</f>
        <v/>
      </c>
      <c r="N64" s="792">
        <f>VLOOKUP($I$1&amp;N$8,DATA!$A:$EB,작업!$A64,0)/100</f>
        <v/>
      </c>
      <c r="O64" s="793">
        <f>VLOOKUP($I$1&amp;O$8,DATA!$A:$EB,작업!$A64,0)/100</f>
        <v/>
      </c>
      <c r="P64" s="793">
        <f>VLOOKUP($I$1&amp;P$8,DATA!$A:$EB,작업!$A64,0)/100</f>
        <v/>
      </c>
      <c r="Q64" s="793">
        <f>VLOOKUP($I$1&amp;Q$8,DATA!$A:$EB,작업!$A64,0)/100</f>
        <v/>
      </c>
      <c r="R64" s="793">
        <f>VLOOKUP($I$1&amp;R$8,DATA!$A:$EB,작업!$A64,0)/100</f>
        <v/>
      </c>
      <c r="S64" s="793">
        <f>VLOOKUP($I$1&amp;S$8,DATA!$A:$EB,작업!$A64,0)/100</f>
        <v/>
      </c>
      <c r="T64" s="793">
        <f>VLOOKUP($I$1&amp;T$8,DATA!$A:$EB,작업!$A64,0)/100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VLOOKUP($I$1&amp;I$8,DATA!$A:$EB,작업!$A67,0)/100</f>
        <v/>
      </c>
      <c r="J67" s="790">
        <f>VLOOKUP($I$1&amp;J$8,DATA!$A:$EB,작업!$A67,0)/100</f>
        <v/>
      </c>
      <c r="K67" s="790">
        <f>VLOOKUP($I$1&amp;K$8,DATA!$A:$EB,작업!$A67,0)/100</f>
        <v/>
      </c>
      <c r="L67" s="790">
        <f>VLOOKUP($I$1&amp;L$8,DATA!$A:$EB,작업!$A67,0)/100</f>
        <v/>
      </c>
      <c r="M67" s="790">
        <f>VLOOKUP($I$1&amp;M$8,DATA!$A:$EB,작업!$A67,0)/100</f>
        <v/>
      </c>
      <c r="N67" s="790">
        <f>VLOOKUP($I$1&amp;N$8,DATA!$A:$EB,작업!$A67,0)/100</f>
        <v/>
      </c>
      <c r="O67" s="790">
        <f>VLOOKUP($I$1&amp;O$8,DATA!$A:$EB,작업!$A67,0)/100</f>
        <v/>
      </c>
      <c r="P67" s="790">
        <f>VLOOKUP($I$1&amp;P$8,DATA!$A:$EB,작업!$A67,0)/100</f>
        <v/>
      </c>
      <c r="Q67" s="790">
        <f>VLOOKUP($I$1&amp;Q$8,DATA!$A:$EB,작업!$A67,0)/100</f>
        <v/>
      </c>
      <c r="R67" s="790">
        <f>VLOOKUP($I$1&amp;R$8,DATA!$A:$EB,작업!$A67,0)/100</f>
        <v/>
      </c>
      <c r="S67" s="790">
        <f>VLOOKUP($I$1&amp;S$8,DATA!$A:$EB,작업!$A67,0)/100</f>
        <v/>
      </c>
      <c r="T67" s="791">
        <f>VLOOKUP($I$1&amp;T$8,DATA!$A:$EB,작업!$A67,0)/100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VLOOKUP($I$1&amp;I$8,DATA!$A:$EB,작업!$A74,0)/100</f>
        <v/>
      </c>
      <c r="J74" s="790">
        <f>VLOOKUP($I$1&amp;J$8,DATA!$A:$EB,작업!$A74,0)/100</f>
        <v/>
      </c>
      <c r="K74" s="790">
        <f>VLOOKUP($I$1&amp;K$8,DATA!$A:$EB,작업!$A74,0)/100</f>
        <v/>
      </c>
      <c r="L74" s="790">
        <f>VLOOKUP($I$1&amp;L$8,DATA!$A:$EB,작업!$A74,0)/100</f>
        <v/>
      </c>
      <c r="M74" s="790">
        <f>VLOOKUP($I$1&amp;M$8,DATA!$A:$EB,작업!$A74,0)/100</f>
        <v/>
      </c>
      <c r="N74" s="790">
        <f>VLOOKUP($I$1&amp;N$8,DATA!$A:$EB,작업!$A74,0)/100</f>
        <v/>
      </c>
      <c r="O74" s="790">
        <f>VLOOKUP($I$1&amp;O$8,DATA!$A:$EB,작업!$A74,0)/100</f>
        <v/>
      </c>
      <c r="P74" s="790">
        <f>VLOOKUP($I$1&amp;P$8,DATA!$A:$EB,작업!$A74,0)/100</f>
        <v/>
      </c>
      <c r="Q74" s="790">
        <f>VLOOKUP($I$1&amp;Q$8,DATA!$A:$EB,작업!$A74,0)/100</f>
        <v/>
      </c>
      <c r="R74" s="790">
        <f>VLOOKUP($I$1&amp;R$8,DATA!$A:$EB,작업!$A74,0)/100</f>
        <v/>
      </c>
      <c r="S74" s="790">
        <f>VLOOKUP($I$1&amp;S$8,DATA!$A:$EB,작업!$A74,0)/100</f>
        <v/>
      </c>
      <c r="T74" s="791">
        <f>VLOOKUP($I$1&amp;T$8,DATA!$A:$EB,작업!$A74,0)/100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I74/I29</f>
        <v/>
      </c>
      <c r="J75" s="805">
        <f>J74/J29</f>
        <v/>
      </c>
      <c r="K75" s="805">
        <f>K74/K29</f>
        <v/>
      </c>
      <c r="L75" s="805">
        <f>L74/L29</f>
        <v/>
      </c>
      <c r="M75" s="805">
        <f>M74/M29</f>
        <v/>
      </c>
      <c r="N75" s="805">
        <f>N74/N29</f>
        <v/>
      </c>
      <c r="O75" s="805">
        <f>O74/O29</f>
        <v/>
      </c>
      <c r="P75" s="805">
        <f>P74/P29</f>
        <v/>
      </c>
      <c r="Q75" s="805">
        <f>Q74/Q29</f>
        <v/>
      </c>
      <c r="R75" s="805">
        <f>R74/R29</f>
        <v/>
      </c>
      <c r="S75" s="805">
        <f>S74/S29</f>
        <v/>
      </c>
      <c r="T75" s="806">
        <f>T74/T29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VLOOKUP($I$1&amp;I$8,DATA!$A:$EB,작업!$A79,0)/100</f>
        <v/>
      </c>
      <c r="J79" s="786">
        <f>VLOOKUP($I$1&amp;J$8,DATA!$A:$EB,작업!$A79,0)/100</f>
        <v/>
      </c>
      <c r="K79" s="786">
        <f>VLOOKUP($I$1&amp;K$8,DATA!$A:$EB,작업!$A79,0)/100</f>
        <v/>
      </c>
      <c r="L79" s="786">
        <f>VLOOKUP($I$1&amp;L$8,DATA!$A:$EB,작업!$A79,0)/100</f>
        <v/>
      </c>
      <c r="M79" s="786">
        <f>VLOOKUP($I$1&amp;M$8,DATA!$A:$EB,작업!$A79,0)/100</f>
        <v/>
      </c>
      <c r="N79" s="786">
        <f>VLOOKUP($I$1&amp;N$8,DATA!$A:$EB,작업!$A79,0)/100</f>
        <v/>
      </c>
      <c r="O79" s="786">
        <f>VLOOKUP($I$1&amp;O$8,DATA!$A:$EB,작업!$A79,0)/100</f>
        <v/>
      </c>
      <c r="P79" s="786">
        <f>VLOOKUP($I$1&amp;P$8,DATA!$A:$EB,작업!$A79,0)/100</f>
        <v/>
      </c>
      <c r="Q79" s="786">
        <f>VLOOKUP($I$1&amp;Q$8,DATA!$A:$EB,작업!$A79,0)/100</f>
        <v/>
      </c>
      <c r="R79" s="786">
        <f>VLOOKUP($I$1&amp;R$8,DATA!$A:$EB,작업!$A79,0)/100</f>
        <v/>
      </c>
      <c r="S79" s="786">
        <f>VLOOKUP($I$1&amp;S$8,DATA!$A:$EB,작업!$A79,0)/100</f>
        <v/>
      </c>
      <c r="T79" s="786">
        <f>VLOOKUP($I$1&amp;T$8,DATA!$A:$EB,작업!$A79,0)/100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VLOOKUP($I$1&amp;I$8,DATA!$A:$EB,작업!$A80,0)/100</f>
        <v/>
      </c>
      <c r="J80" s="786">
        <f>VLOOKUP($I$1&amp;J$8,DATA!$A:$EB,작업!$A80,0)/100</f>
        <v/>
      </c>
      <c r="K80" s="786">
        <f>VLOOKUP($I$1&amp;K$8,DATA!$A:$EB,작업!$A80,0)/100</f>
        <v/>
      </c>
      <c r="L80" s="786">
        <f>VLOOKUP($I$1&amp;L$8,DATA!$A:$EB,작업!$A80,0)/100</f>
        <v/>
      </c>
      <c r="M80" s="786">
        <f>VLOOKUP($I$1&amp;M$8,DATA!$A:$EB,작업!$A80,0)/100</f>
        <v/>
      </c>
      <c r="N80" s="786">
        <f>VLOOKUP($I$1&amp;N$8,DATA!$A:$EB,작업!$A80,0)/100</f>
        <v/>
      </c>
      <c r="O80" s="786">
        <f>VLOOKUP($I$1&amp;O$8,DATA!$A:$EB,작업!$A80,0)/100</f>
        <v/>
      </c>
      <c r="P80" s="786">
        <f>VLOOKUP($I$1&amp;P$8,DATA!$A:$EB,작업!$A80,0)/100</f>
        <v/>
      </c>
      <c r="Q80" s="786">
        <f>VLOOKUP($I$1&amp;Q$8,DATA!$A:$EB,작업!$A80,0)/100</f>
        <v/>
      </c>
      <c r="R80" s="786">
        <f>VLOOKUP($I$1&amp;R$8,DATA!$A:$EB,작업!$A80,0)/100</f>
        <v/>
      </c>
      <c r="S80" s="786">
        <f>VLOOKUP($I$1&amp;S$8,DATA!$A:$EB,작업!$A80,0)/100</f>
        <v/>
      </c>
      <c r="T80" s="786">
        <f>VLOOKUP($I$1&amp;T$8,DATA!$A:$EB,작업!$A80,0)/100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VLOOKUP($I$1&amp;I$8,DATA!$A:$EB,작업!$A81,0)/100</f>
        <v/>
      </c>
      <c r="J81" s="786">
        <f>VLOOKUP($I$1&amp;J$8,DATA!$A:$EB,작업!$A81,0)/100</f>
        <v/>
      </c>
      <c r="K81" s="786">
        <f>VLOOKUP($I$1&amp;K$8,DATA!$A:$EB,작업!$A81,0)/100</f>
        <v/>
      </c>
      <c r="L81" s="786">
        <f>VLOOKUP($I$1&amp;L$8,DATA!$A:$EB,작업!$A81,0)/100</f>
        <v/>
      </c>
      <c r="M81" s="786">
        <f>VLOOKUP($I$1&amp;M$8,DATA!$A:$EB,작업!$A81,0)/100</f>
        <v/>
      </c>
      <c r="N81" s="786">
        <f>VLOOKUP($I$1&amp;N$8,DATA!$A:$EB,작업!$A81,0)/100</f>
        <v/>
      </c>
      <c r="O81" s="786">
        <f>VLOOKUP($I$1&amp;O$8,DATA!$A:$EB,작업!$A81,0)/100</f>
        <v/>
      </c>
      <c r="P81" s="786">
        <f>VLOOKUP($I$1&amp;P$8,DATA!$A:$EB,작업!$A81,0)/100</f>
        <v/>
      </c>
      <c r="Q81" s="786">
        <f>VLOOKUP($I$1&amp;Q$8,DATA!$A:$EB,작업!$A81,0)/100</f>
        <v/>
      </c>
      <c r="R81" s="786">
        <f>VLOOKUP($I$1&amp;R$8,DATA!$A:$EB,작업!$A81,0)/100</f>
        <v/>
      </c>
      <c r="S81" s="786">
        <f>VLOOKUP($I$1&amp;S$8,DATA!$A:$EB,작업!$A81,0)/100</f>
        <v/>
      </c>
      <c r="T81" s="786">
        <f>VLOOKUP($I$1&amp;T$8,DATA!$A:$EB,작업!$A81,0)/100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VLOOKUP($I$1&amp;I$8,DATA!$A:$EB,작업!$A82,0)/100</f>
        <v/>
      </c>
      <c r="J82" s="786">
        <f>VLOOKUP($I$1&amp;J$8,DATA!$A:$EB,작업!$A82,0)/100</f>
        <v/>
      </c>
      <c r="K82" s="786">
        <f>VLOOKUP($I$1&amp;K$8,DATA!$A:$EB,작업!$A82,0)/100</f>
        <v/>
      </c>
      <c r="L82" s="786">
        <f>VLOOKUP($I$1&amp;L$8,DATA!$A:$EB,작업!$A82,0)/100</f>
        <v/>
      </c>
      <c r="M82" s="786">
        <f>VLOOKUP($I$1&amp;M$8,DATA!$A:$EB,작업!$A82,0)/100</f>
        <v/>
      </c>
      <c r="N82" s="786">
        <f>VLOOKUP($I$1&amp;N$8,DATA!$A:$EB,작업!$A82,0)/100</f>
        <v/>
      </c>
      <c r="O82" s="786">
        <f>VLOOKUP($I$1&amp;O$8,DATA!$A:$EB,작업!$A82,0)/100</f>
        <v/>
      </c>
      <c r="P82" s="786">
        <f>VLOOKUP($I$1&amp;P$8,DATA!$A:$EB,작업!$A82,0)/100</f>
        <v/>
      </c>
      <c r="Q82" s="786">
        <f>VLOOKUP($I$1&amp;Q$8,DATA!$A:$EB,작업!$A82,0)/100</f>
        <v/>
      </c>
      <c r="R82" s="786">
        <f>VLOOKUP($I$1&amp;R$8,DATA!$A:$EB,작업!$A82,0)/100</f>
        <v/>
      </c>
      <c r="S82" s="786">
        <f>VLOOKUP($I$1&amp;S$8,DATA!$A:$EB,작업!$A82,0)/100</f>
        <v/>
      </c>
      <c r="T82" s="786">
        <f>VLOOKUP($I$1&amp;T$8,DATA!$A:$EB,작업!$A82,0)/100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VLOOKUP($I$1&amp;I$8,DATA!$A:$EB,작업!$A92,0)</f>
        <v/>
      </c>
      <c r="J92" s="808">
        <f>VLOOKUP($I$1&amp;J$8,DATA!$A:$EB,작업!$A92,0)</f>
        <v/>
      </c>
      <c r="K92" s="808">
        <f>VLOOKUP($I$1&amp;K$8,DATA!$A:$EB,작업!$A92,0)</f>
        <v/>
      </c>
      <c r="L92" s="808">
        <f>VLOOKUP($I$1&amp;L$8,DATA!$A:$EB,작업!$A92,0)</f>
        <v/>
      </c>
      <c r="M92" s="808">
        <f>VLOOKUP($I$1&amp;M$8,DATA!$A:$EB,작업!$A92,0)</f>
        <v/>
      </c>
      <c r="N92" s="808">
        <f>VLOOKUP($I$1&amp;N$8,DATA!$A:$EB,작업!$A92,0)</f>
        <v/>
      </c>
      <c r="O92" s="808">
        <f>VLOOKUP($I$1&amp;O$8,DATA!$A:$EB,작업!$A92,0)</f>
        <v/>
      </c>
      <c r="P92" s="808">
        <f>VLOOKUP($I$1&amp;P$8,DATA!$A:$EB,작업!$A92,0)</f>
        <v/>
      </c>
      <c r="Q92" s="808">
        <f>VLOOKUP($I$1&amp;Q$8,DATA!$A:$EB,작업!$A92,0)</f>
        <v/>
      </c>
      <c r="R92" s="808">
        <f>VLOOKUP($I$1&amp;R$8,DATA!$A:$EB,작업!$A92,0)</f>
        <v/>
      </c>
      <c r="S92" s="808">
        <f>VLOOKUP($I$1&amp;S$8,DATA!$A:$EB,작업!$A92,0)</f>
        <v/>
      </c>
      <c r="T92" s="808">
        <f>VLOOKUP($I$1&amp;T$8,DATA!$A:$EB,작업!$A92,0)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VLOOKUP($I$1&amp;I$8,DATA!$A:$EB,작업!$A93,0)/100</f>
        <v/>
      </c>
      <c r="J93" s="798">
        <f>VLOOKUP($I$1&amp;J$8,DATA!$A:$EB,작업!$A93,0)/100</f>
        <v/>
      </c>
      <c r="K93" s="798">
        <f>VLOOKUP($I$1&amp;K$8,DATA!$A:$EB,작업!$A93,0)/100</f>
        <v/>
      </c>
      <c r="L93" s="798">
        <f>VLOOKUP($I$1&amp;L$8,DATA!$A:$EB,작업!$A93,0)/100</f>
        <v/>
      </c>
      <c r="M93" s="798">
        <f>VLOOKUP($I$1&amp;M$8,DATA!$A:$EB,작업!$A93,0)/100</f>
        <v/>
      </c>
      <c r="N93" s="798">
        <f>VLOOKUP($I$1&amp;N$8,DATA!$A:$EB,작업!$A93,0)/100</f>
        <v/>
      </c>
      <c r="O93" s="799">
        <f>VLOOKUP($I$1&amp;O$8,DATA!$A:$EB,작업!$A93,0)/100</f>
        <v/>
      </c>
      <c r="P93" s="799">
        <f>VLOOKUP($I$1&amp;P$8,DATA!$A:$EB,작업!$A93,0)/100</f>
        <v/>
      </c>
      <c r="Q93" s="799">
        <f>VLOOKUP($I$1&amp;Q$8,DATA!$A:$EB,작업!$A93,0)/100</f>
        <v/>
      </c>
      <c r="R93" s="799">
        <f>VLOOKUP($I$1&amp;R$8,DATA!$A:$EB,작업!$A93,0)/100</f>
        <v/>
      </c>
      <c r="S93" s="799">
        <f>VLOOKUP($I$1&amp;S$8,DATA!$A:$EB,작업!$A93,0)/100</f>
        <v/>
      </c>
      <c r="T93" s="799">
        <f>VLOOKUP($I$1&amp;T$8,DATA!$A:$EB,작업!$A93,0)/100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VLOOKUP($I$1&amp;I$8,DATA!$A:$EB,작업!$A94,0)/100</f>
        <v/>
      </c>
      <c r="J94" s="803">
        <f>VLOOKUP($I$1&amp;J$8,DATA!$A:$EB,작업!$A94,0)/100</f>
        <v/>
      </c>
      <c r="K94" s="803">
        <f>VLOOKUP($I$1&amp;K$8,DATA!$A:$EB,작업!$A94,0)/100</f>
        <v/>
      </c>
      <c r="L94" s="803">
        <f>VLOOKUP($I$1&amp;L$8,DATA!$A:$EB,작업!$A94,0)/100</f>
        <v/>
      </c>
      <c r="M94" s="803">
        <f>VLOOKUP($I$1&amp;M$8,DATA!$A:$EB,작업!$A94,0)/100</f>
        <v/>
      </c>
      <c r="N94" s="803">
        <f>VLOOKUP($I$1&amp;N$8,DATA!$A:$EB,작업!$A94,0)/100</f>
        <v/>
      </c>
      <c r="O94" s="804">
        <f>VLOOKUP($I$1&amp;O$8,DATA!$A:$EB,작업!$A94,0)/100</f>
        <v/>
      </c>
      <c r="P94" s="804">
        <f>VLOOKUP($I$1&amp;P$8,DATA!$A:$EB,작업!$A94,0)/100</f>
        <v/>
      </c>
      <c r="Q94" s="804">
        <f>VLOOKUP($I$1&amp;Q$8,DATA!$A:$EB,작업!$A94,0)/100</f>
        <v/>
      </c>
      <c r="R94" s="804">
        <f>VLOOKUP($I$1&amp;R$8,DATA!$A:$EB,작업!$A94,0)/100</f>
        <v/>
      </c>
      <c r="S94" s="804">
        <f>VLOOKUP($I$1&amp;S$8,DATA!$A:$EB,작업!$A94,0)/100</f>
        <v/>
      </c>
      <c r="T94" s="804">
        <f>VLOOKUP($I$1&amp;T$8,DATA!$A:$EB,작업!$A94,0)/100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VLOOKUP($I$1&amp;I$8,DATA!$A:$EB,작업!$A100,0)</f>
        <v/>
      </c>
      <c r="J100" s="808">
        <f>VLOOKUP($I$1&amp;J$8,DATA!$A:$EB,작업!$A100,0)</f>
        <v/>
      </c>
      <c r="K100" s="808">
        <f>VLOOKUP($I$1&amp;K$8,DATA!$A:$EB,작업!$A100,0)</f>
        <v/>
      </c>
      <c r="L100" s="808">
        <f>VLOOKUP($I$1&amp;L$8,DATA!$A:$EB,작업!$A100,0)</f>
        <v/>
      </c>
      <c r="M100" s="808">
        <f>VLOOKUP($I$1&amp;M$8,DATA!$A:$EB,작업!$A100,0)</f>
        <v/>
      </c>
      <c r="N100" s="808">
        <f>VLOOKUP($I$1&amp;N$8,DATA!$A:$EB,작업!$A100,0)</f>
        <v/>
      </c>
      <c r="O100" s="808">
        <f>VLOOKUP($I$1&amp;O$8,DATA!$A:$EB,작업!$A100,0)</f>
        <v/>
      </c>
      <c r="P100" s="808">
        <f>VLOOKUP($I$1&amp;P$8,DATA!$A:$EB,작업!$A100,0)</f>
        <v/>
      </c>
      <c r="Q100" s="808">
        <f>VLOOKUP($I$1&amp;Q$8,DATA!$A:$EB,작업!$A100,0)</f>
        <v/>
      </c>
      <c r="R100" s="808">
        <f>VLOOKUP($I$1&amp;R$8,DATA!$A:$EB,작업!$A100,0)</f>
        <v/>
      </c>
      <c r="S100" s="808">
        <f>VLOOKUP($I$1&amp;S$8,DATA!$A:$EB,작업!$A100,0)</f>
        <v/>
      </c>
      <c r="T100" s="808">
        <f>VLOOKUP($I$1&amp;T$8,DATA!$A:$EB,작업!$A100,0)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VLOOKUP($I$1&amp;I$8,DATA!$A:$EB,작업!$A101,0)/100</f>
        <v/>
      </c>
      <c r="J101" s="798">
        <f>VLOOKUP($I$1&amp;J$8,DATA!$A:$EB,작업!$A101,0)/100</f>
        <v/>
      </c>
      <c r="K101" s="798">
        <f>VLOOKUP($I$1&amp;K$8,DATA!$A:$EB,작업!$A101,0)/100</f>
        <v/>
      </c>
      <c r="L101" s="798">
        <f>VLOOKUP($I$1&amp;L$8,DATA!$A:$EB,작업!$A101,0)/100</f>
        <v/>
      </c>
      <c r="M101" s="798">
        <f>VLOOKUP($I$1&amp;M$8,DATA!$A:$EB,작업!$A101,0)/100</f>
        <v/>
      </c>
      <c r="N101" s="798">
        <f>VLOOKUP($I$1&amp;N$8,DATA!$A:$EB,작업!$A101,0)/100</f>
        <v/>
      </c>
      <c r="O101" s="799">
        <f>VLOOKUP($I$1&amp;O$8,DATA!$A:$EB,작업!$A101,0)/100</f>
        <v/>
      </c>
      <c r="P101" s="799">
        <f>VLOOKUP($I$1&amp;P$8,DATA!$A:$EB,작업!$A101,0)/100</f>
        <v/>
      </c>
      <c r="Q101" s="799">
        <f>VLOOKUP($I$1&amp;Q$8,DATA!$A:$EB,작업!$A101,0)/100</f>
        <v/>
      </c>
      <c r="R101" s="799">
        <f>VLOOKUP($I$1&amp;R$8,DATA!$A:$EB,작업!$A101,0)/100</f>
        <v/>
      </c>
      <c r="S101" s="799">
        <f>VLOOKUP($I$1&amp;S$8,DATA!$A:$EB,작업!$A101,0)/100</f>
        <v/>
      </c>
      <c r="T101" s="799">
        <f>VLOOKUP($I$1&amp;T$8,DATA!$A:$EB,작업!$A101,0)/100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202">
        <f>VLOOKUP($I$1&amp;I$8,DATA!$A:$EB,작업!$A102,0)/100</f>
        <v/>
      </c>
      <c r="J102" s="202">
        <f>VLOOKUP($I$1&amp;J$8,DATA!$A:$EB,작업!$A102,0)/100</f>
        <v/>
      </c>
      <c r="K102" s="202">
        <f>VLOOKUP($I$1&amp;K$8,DATA!$A:$EB,작업!$A102,0)/100</f>
        <v/>
      </c>
      <c r="L102" s="202">
        <f>VLOOKUP($I$1&amp;L$8,DATA!$A:$EB,작업!$A102,0)/100</f>
        <v/>
      </c>
      <c r="M102" s="202">
        <f>VLOOKUP($I$1&amp;M$8,DATA!$A:$EB,작업!$A102,0)/100</f>
        <v/>
      </c>
      <c r="N102" s="202">
        <f>VLOOKUP($I$1&amp;N$8,DATA!$A:$EB,작업!$A102,0)/100</f>
        <v/>
      </c>
      <c r="O102" s="203">
        <f>VLOOKUP($I$1&amp;O$8,DATA!$A:$EB,작업!$A102,0)/100</f>
        <v/>
      </c>
      <c r="P102" s="203">
        <f>VLOOKUP($I$1&amp;P$8,DATA!$A:$EB,작업!$A102,0)/100</f>
        <v/>
      </c>
      <c r="Q102" s="203">
        <f>VLOOKUP($I$1&amp;Q$8,DATA!$A:$EB,작업!$A102,0)/100</f>
        <v/>
      </c>
      <c r="R102" s="203">
        <f>VLOOKUP($I$1&amp;R$8,DATA!$A:$EB,작업!$A102,0)/100</f>
        <v/>
      </c>
      <c r="S102" s="203">
        <f>VLOOKUP($I$1&amp;S$8,DATA!$A:$EB,작업!$A102,0)/100</f>
        <v/>
      </c>
      <c r="T102" s="203">
        <f>VLOOKUP($I$1&amp;T$8,DATA!$A:$EB,작업!$A102,0)/100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VLOOKUP($I$1&amp;I$8,DATA!$A:$EB,작업!$A109,0)/100</f>
        <v/>
      </c>
      <c r="J109" s="811">
        <f>VLOOKUP($I$1&amp;J$8,DATA!$A:$EB,작업!$A109,0)/100</f>
        <v/>
      </c>
      <c r="K109" s="811">
        <f>VLOOKUP($I$1&amp;K$8,DATA!$A:$EB,작업!$A109,0)/100</f>
        <v/>
      </c>
      <c r="L109" s="811">
        <f>VLOOKUP($I$1&amp;L$8,DATA!$A:$EB,작업!$A109,0)/100</f>
        <v/>
      </c>
      <c r="M109" s="811">
        <f>VLOOKUP($I$1&amp;M$8,DATA!$A:$EB,작업!$A109,0)/100</f>
        <v/>
      </c>
      <c r="N109" s="811">
        <f>VLOOKUP($I$1&amp;N$8,DATA!$A:$EB,작업!$A109,0)/100</f>
        <v/>
      </c>
      <c r="O109" s="812">
        <f>VLOOKUP($I$1&amp;O$8,DATA!$A:$EB,작업!$A109,0)/100</f>
        <v/>
      </c>
      <c r="P109" s="812">
        <f>VLOOKUP($I$1&amp;P$8,DATA!$A:$EB,작업!$A109,0)/100</f>
        <v/>
      </c>
      <c r="Q109" s="812">
        <f>VLOOKUP($I$1&amp;Q$8,DATA!$A:$EB,작업!$A109,0)/100</f>
        <v/>
      </c>
      <c r="R109" s="812">
        <f>VLOOKUP($I$1&amp;R$8,DATA!$A:$EB,작업!$A109,0)/100</f>
        <v/>
      </c>
      <c r="S109" s="812">
        <f>VLOOKUP($I$1&amp;S$8,DATA!$A:$EB,작업!$A109,0)/100</f>
        <v/>
      </c>
      <c r="T109" s="812">
        <f>VLOOKUP($I$1&amp;T$8,DATA!$A:$EB,작업!$A109,0)/100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VLOOKUP($I$1&amp;I$8,DATA!$A:$EB,작업!$A110,0)</f>
        <v/>
      </c>
      <c r="J110" s="813">
        <f>VLOOKUP($I$1&amp;J$8,DATA!$A:$EB,작업!$A110,0)</f>
        <v/>
      </c>
      <c r="K110" s="813">
        <f>VLOOKUP($I$1&amp;K$8,DATA!$A:$EB,작업!$A110,0)</f>
        <v/>
      </c>
      <c r="L110" s="813">
        <f>VLOOKUP($I$1&amp;L$8,DATA!$A:$EB,작업!$A110,0)</f>
        <v/>
      </c>
      <c r="M110" s="813">
        <f>VLOOKUP($I$1&amp;M$8,DATA!$A:$EB,작업!$A110,0)</f>
        <v/>
      </c>
      <c r="N110" s="813">
        <f>VLOOKUP($I$1&amp;N$8,DATA!$A:$EB,작업!$A110,0)</f>
        <v/>
      </c>
      <c r="O110" s="813">
        <f>VLOOKUP($I$1&amp;O$8,DATA!$A:$EB,작업!$A110,0)</f>
        <v/>
      </c>
      <c r="P110" s="813">
        <f>VLOOKUP($I$1&amp;P$8,DATA!$A:$EB,작업!$A110,0)</f>
        <v/>
      </c>
      <c r="Q110" s="813">
        <f>VLOOKUP($I$1&amp;Q$8,DATA!$A:$EB,작업!$A110,0)</f>
        <v/>
      </c>
      <c r="R110" s="813">
        <f>VLOOKUP($I$1&amp;R$8,DATA!$A:$EB,작업!$A110,0)</f>
        <v/>
      </c>
      <c r="S110" s="813">
        <f>VLOOKUP($I$1&amp;S$8,DATA!$A:$EB,작업!$A110,0)</f>
        <v/>
      </c>
      <c r="T110" s="813">
        <f>VLOOKUP($I$1&amp;T$8,DATA!$A:$EB,작업!$A110,0)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VLOOKUP($I$1&amp;I$8,DATA!$A:$EB,작업!$A111,0)</f>
        <v/>
      </c>
      <c r="J111" s="813">
        <f>VLOOKUP($I$1&amp;J$8,DATA!$A:$EB,작업!$A111,0)</f>
        <v/>
      </c>
      <c r="K111" s="813">
        <f>VLOOKUP($I$1&amp;K$8,DATA!$A:$EB,작업!$A111,0)</f>
        <v/>
      </c>
      <c r="L111" s="813">
        <f>VLOOKUP($I$1&amp;L$8,DATA!$A:$EB,작업!$A111,0)</f>
        <v/>
      </c>
      <c r="M111" s="813">
        <f>VLOOKUP($I$1&amp;M$8,DATA!$A:$EB,작업!$A111,0)</f>
        <v/>
      </c>
      <c r="N111" s="813">
        <f>VLOOKUP($I$1&amp;N$8,DATA!$A:$EB,작업!$A111,0)</f>
        <v/>
      </c>
      <c r="O111" s="813">
        <f>VLOOKUP($I$1&amp;O$8,DATA!$A:$EB,작업!$A111,0)</f>
        <v/>
      </c>
      <c r="P111" s="813">
        <f>VLOOKUP($I$1&amp;P$8,DATA!$A:$EB,작업!$A111,0)</f>
        <v/>
      </c>
      <c r="Q111" s="813">
        <f>VLOOKUP($I$1&amp;Q$8,DATA!$A:$EB,작업!$A111,0)</f>
        <v/>
      </c>
      <c r="R111" s="813">
        <f>VLOOKUP($I$1&amp;R$8,DATA!$A:$EB,작업!$A111,0)</f>
        <v/>
      </c>
      <c r="S111" s="813">
        <f>VLOOKUP($I$1&amp;S$8,DATA!$A:$EB,작업!$A111,0)</f>
        <v/>
      </c>
      <c r="T111" s="813">
        <f>VLOOKUP($I$1&amp;T$8,DATA!$A:$EB,작업!$A111,0)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VLOOKUP($I$1&amp;I$8,DATA!$A:$EB,작업!$A114,0)/100</f>
        <v/>
      </c>
      <c r="J114" s="815">
        <f>VLOOKUP($I$1&amp;J$8,DATA!$A:$EB,작업!$A114,0)/100</f>
        <v/>
      </c>
      <c r="K114" s="815">
        <f>VLOOKUP($I$1&amp;K$8,DATA!$A:$EB,작업!$A114,0)/100</f>
        <v/>
      </c>
      <c r="L114" s="815">
        <f>VLOOKUP($I$1&amp;L$8,DATA!$A:$EB,작업!$A114,0)/100</f>
        <v/>
      </c>
      <c r="M114" s="815">
        <f>VLOOKUP($I$1&amp;M$8,DATA!$A:$EB,작업!$A114,0)/100</f>
        <v/>
      </c>
      <c r="N114" s="815">
        <f>VLOOKUP($I$1&amp;N$8,DATA!$A:$EB,작업!$A114,0)/100</f>
        <v/>
      </c>
      <c r="O114" s="816">
        <f>VLOOKUP($I$1&amp;O$8,DATA!$A:$EB,작업!$A114,0)/100</f>
        <v/>
      </c>
      <c r="P114" s="816">
        <f>VLOOKUP($I$1&amp;P$8,DATA!$A:$EB,작업!$A114,0)/100</f>
        <v/>
      </c>
      <c r="Q114" s="816">
        <f>VLOOKUP($I$1&amp;Q$8,DATA!$A:$EB,작업!$A114,0)/100</f>
        <v/>
      </c>
      <c r="R114" s="816">
        <f>VLOOKUP($I$1&amp;R$8,DATA!$A:$EB,작업!$A114,0)/100</f>
        <v/>
      </c>
      <c r="S114" s="816">
        <f>VLOOKUP($I$1&amp;S$8,DATA!$A:$EB,작업!$A114,0)/100</f>
        <v/>
      </c>
      <c r="T114" s="816">
        <f>VLOOKUP($I$1&amp;T$8,DATA!$A:$EB,작업!$A114,0)/100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VLOOKUP($I$1&amp;I$8,DATA!$A:$EB,작업!$A116,0)/100</f>
        <v/>
      </c>
      <c r="J116" s="815">
        <f>VLOOKUP($I$1&amp;J$8,DATA!$A:$EB,작업!$A116,0)/100</f>
        <v/>
      </c>
      <c r="K116" s="815">
        <f>VLOOKUP($I$1&amp;K$8,DATA!$A:$EB,작업!$A116,0)/100</f>
        <v/>
      </c>
      <c r="L116" s="815">
        <f>VLOOKUP($I$1&amp;L$8,DATA!$A:$EB,작업!$A116,0)/100</f>
        <v/>
      </c>
      <c r="M116" s="815">
        <f>VLOOKUP($I$1&amp;M$8,DATA!$A:$EB,작업!$A116,0)/100</f>
        <v/>
      </c>
      <c r="N116" s="815">
        <f>VLOOKUP($I$1&amp;N$8,DATA!$A:$EB,작업!$A116,0)/100</f>
        <v/>
      </c>
      <c r="O116" s="816">
        <f>VLOOKUP($I$1&amp;O$8,DATA!$A:$EB,작업!$A116,0)/100</f>
        <v/>
      </c>
      <c r="P116" s="816">
        <f>VLOOKUP($I$1&amp;P$8,DATA!$A:$EB,작업!$A116,0)/100</f>
        <v/>
      </c>
      <c r="Q116" s="816">
        <f>VLOOKUP($I$1&amp;Q$8,DATA!$A:$EB,작업!$A116,0)/100</f>
        <v/>
      </c>
      <c r="R116" s="816">
        <f>VLOOKUP($I$1&amp;R$8,DATA!$A:$EB,작업!$A116,0)/100</f>
        <v/>
      </c>
      <c r="S116" s="816">
        <f>VLOOKUP($I$1&amp;S$8,DATA!$A:$EB,작업!$A116,0)/100</f>
        <v/>
      </c>
      <c r="T116" s="816">
        <f>VLOOKUP($I$1&amp;T$8,DATA!$A:$EB,작업!$A116,0)/100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VLOOKUP($I$1&amp;I$8,DATA!$A:$EB,작업!$A117,0)/100</f>
        <v/>
      </c>
      <c r="J117" s="819">
        <f>VLOOKUP($I$1&amp;J$8,DATA!$A:$EB,작업!$A117,0)/100</f>
        <v/>
      </c>
      <c r="K117" s="819">
        <f>VLOOKUP($I$1&amp;K$8,DATA!$A:$EB,작업!$A117,0)/100</f>
        <v/>
      </c>
      <c r="L117" s="819">
        <f>VLOOKUP($I$1&amp;L$8,DATA!$A:$EB,작업!$A117,0)/100</f>
        <v/>
      </c>
      <c r="M117" s="819">
        <f>VLOOKUP($I$1&amp;M$8,DATA!$A:$EB,작업!$A117,0)/100</f>
        <v/>
      </c>
      <c r="N117" s="819">
        <f>VLOOKUP($I$1&amp;N$8,DATA!$A:$EB,작업!$A117,0)/100</f>
        <v/>
      </c>
      <c r="O117" s="819">
        <f>VLOOKUP($I$1&amp;O$8,DATA!$A:$EB,작업!$A117,0)/100</f>
        <v/>
      </c>
      <c r="P117" s="819">
        <f>VLOOKUP($I$1&amp;P$8,DATA!$A:$EB,작업!$A117,0)/100</f>
        <v/>
      </c>
      <c r="Q117" s="819">
        <f>VLOOKUP($I$1&amp;Q$8,DATA!$A:$EB,작업!$A117,0)/100</f>
        <v/>
      </c>
      <c r="R117" s="819">
        <f>VLOOKUP($I$1&amp;R$8,DATA!$A:$EB,작업!$A117,0)/100</f>
        <v/>
      </c>
      <c r="S117" s="819">
        <f>VLOOKUP($I$1&amp;S$8,DATA!$A:$EB,작업!$A117,0)/100</f>
        <v/>
      </c>
      <c r="T117" s="819">
        <f>VLOOKUP($I$1&amp;T$8,DATA!$A:$EB,작업!$A117,0)/100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VLOOKUP($I$1&amp;I$8,DATA!$A:$EB,작업!$A118,0)/100</f>
        <v/>
      </c>
      <c r="J118" s="820">
        <f>VLOOKUP($I$1&amp;J$8,DATA!$A:$EB,작업!$A118,0)/100</f>
        <v/>
      </c>
      <c r="K118" s="820">
        <f>VLOOKUP($I$1&amp;K$8,DATA!$A:$EB,작업!$A118,0)/100</f>
        <v/>
      </c>
      <c r="L118" s="820">
        <f>VLOOKUP($I$1&amp;L$8,DATA!$A:$EB,작업!$A118,0)/100</f>
        <v/>
      </c>
      <c r="M118" s="820">
        <f>VLOOKUP($I$1&amp;M$8,DATA!$A:$EB,작업!$A118,0)/100</f>
        <v/>
      </c>
      <c r="N118" s="820">
        <f>VLOOKUP($I$1&amp;N$8,DATA!$A:$EB,작업!$A118,0)/100</f>
        <v/>
      </c>
      <c r="O118" s="820">
        <f>VLOOKUP($I$1&amp;O$8,DATA!$A:$EB,작업!$A118,0)/100</f>
        <v/>
      </c>
      <c r="P118" s="820">
        <f>VLOOKUP($I$1&amp;P$8,DATA!$A:$EB,작업!$A118,0)/100</f>
        <v/>
      </c>
      <c r="Q118" s="820">
        <f>VLOOKUP($I$1&amp;Q$8,DATA!$A:$EB,작업!$A118,0)/100</f>
        <v/>
      </c>
      <c r="R118" s="820">
        <f>VLOOKUP($I$1&amp;R$8,DATA!$A:$EB,작업!$A118,0)/100</f>
        <v/>
      </c>
      <c r="S118" s="820">
        <f>VLOOKUP($I$1&amp;S$8,DATA!$A:$EB,작업!$A118,0)/100</f>
        <v/>
      </c>
      <c r="T118" s="820">
        <f>VLOOKUP($I$1&amp;T$8,DATA!$A:$EB,작업!$A118,0)/100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VLOOKUP($I$1&amp;I$8,DATA!$A:$EB,작업!$A123,0)/100</f>
        <v/>
      </c>
      <c r="J123" s="786">
        <f>VLOOKUP($I$1&amp;J$8,DATA!$A:$EB,작업!$A123,0)/100</f>
        <v/>
      </c>
      <c r="K123" s="787">
        <f>VLOOKUP($I$1&amp;K$8,DATA!$A:$EB,작업!$A123,0)/100</f>
        <v/>
      </c>
      <c r="L123" s="787">
        <f>VLOOKUP($I$1&amp;L$8,DATA!$A:$EB,작업!$A123,0)/100</f>
        <v/>
      </c>
      <c r="M123" s="787">
        <f>VLOOKUP($I$1&amp;M$8,DATA!$A:$EB,작업!$A123,0)/100</f>
        <v/>
      </c>
      <c r="N123" s="787">
        <f>VLOOKUP($I$1&amp;N$8,DATA!$A:$EB,작업!$A123,0)/100</f>
        <v/>
      </c>
      <c r="O123" s="787">
        <f>VLOOKUP($I$1&amp;O$8,DATA!$A:$EB,작업!$A123,0)/100</f>
        <v/>
      </c>
      <c r="P123" s="787">
        <f>VLOOKUP($I$1&amp;P$8,DATA!$A:$EB,작업!$A123,0)/100</f>
        <v/>
      </c>
      <c r="Q123" s="787">
        <f>VLOOKUP($I$1&amp;Q$8,DATA!$A:$EB,작업!$A123,0)/100</f>
        <v/>
      </c>
      <c r="R123" s="787">
        <f>VLOOKUP($I$1&amp;R$8,DATA!$A:$EB,작업!$A123,0)/100</f>
        <v/>
      </c>
      <c r="S123" s="787">
        <f>VLOOKUP($I$1&amp;S$8,DATA!$A:$EB,작업!$A123,0)/100</f>
        <v/>
      </c>
      <c r="T123" s="787">
        <f>VLOOKUP($I$1&amp;T$8,DATA!$A:$EB,작업!$A123,0)/100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VLOOKUP($I$1&amp;I$8,DATA!$A:$EB,작업!$A124,0)/100</f>
        <v/>
      </c>
      <c r="J124" s="786">
        <f>VLOOKUP($I$1&amp;J$8,DATA!$A:$EB,작업!$A124,0)/100</f>
        <v/>
      </c>
      <c r="K124" s="787">
        <f>VLOOKUP($I$1&amp;K$8,DATA!$A:$EB,작업!$A124,0)/100</f>
        <v/>
      </c>
      <c r="L124" s="787">
        <f>VLOOKUP($I$1&amp;L$8,DATA!$A:$EB,작업!$A124,0)/100</f>
        <v/>
      </c>
      <c r="M124" s="787">
        <f>VLOOKUP($I$1&amp;M$8,DATA!$A:$EB,작업!$A124,0)/100</f>
        <v/>
      </c>
      <c r="N124" s="787">
        <f>VLOOKUP($I$1&amp;N$8,DATA!$A:$EB,작업!$A124,0)/100</f>
        <v/>
      </c>
      <c r="O124" s="787">
        <f>VLOOKUP($I$1&amp;O$8,DATA!$A:$EB,작업!$A124,0)/100</f>
        <v/>
      </c>
      <c r="P124" s="787">
        <f>VLOOKUP($I$1&amp;P$8,DATA!$A:$EB,작업!$A124,0)/100</f>
        <v/>
      </c>
      <c r="Q124" s="787">
        <f>VLOOKUP($I$1&amp;Q$8,DATA!$A:$EB,작업!$A124,0)/100</f>
        <v/>
      </c>
      <c r="R124" s="787">
        <f>VLOOKUP($I$1&amp;R$8,DATA!$A:$EB,작업!$A124,0)/100</f>
        <v/>
      </c>
      <c r="S124" s="787">
        <f>VLOOKUP($I$1&amp;S$8,DATA!$A:$EB,작업!$A124,0)/100</f>
        <v/>
      </c>
      <c r="T124" s="787">
        <f>VLOOKUP($I$1&amp;T$8,DATA!$A:$EB,작업!$A124,0)/100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VLOOKUP($I$1&amp;I$8,DATA!$A:$EB,작업!$A125,0)/100</f>
        <v/>
      </c>
      <c r="J125" s="786">
        <f>VLOOKUP($I$1&amp;J$8,DATA!$A:$EB,작업!$A125,0)/100</f>
        <v/>
      </c>
      <c r="K125" s="787">
        <f>VLOOKUP($I$1&amp;K$8,DATA!$A:$EB,작업!$A125,0)/100</f>
        <v/>
      </c>
      <c r="L125" s="787">
        <f>VLOOKUP($I$1&amp;L$8,DATA!$A:$EB,작업!$A125,0)/100</f>
        <v/>
      </c>
      <c r="M125" s="787">
        <f>VLOOKUP($I$1&amp;M$8,DATA!$A:$EB,작업!$A125,0)/100</f>
        <v/>
      </c>
      <c r="N125" s="787">
        <f>VLOOKUP($I$1&amp;N$8,DATA!$A:$EB,작업!$A125,0)/100</f>
        <v/>
      </c>
      <c r="O125" s="787">
        <f>VLOOKUP($I$1&amp;O$8,DATA!$A:$EB,작업!$A125,0)/100</f>
        <v/>
      </c>
      <c r="P125" s="787">
        <f>VLOOKUP($I$1&amp;P$8,DATA!$A:$EB,작업!$A125,0)/100</f>
        <v/>
      </c>
      <c r="Q125" s="787">
        <f>VLOOKUP($I$1&amp;Q$8,DATA!$A:$EB,작업!$A125,0)/100</f>
        <v/>
      </c>
      <c r="R125" s="787">
        <f>VLOOKUP($I$1&amp;R$8,DATA!$A:$EB,작업!$A125,0)/100</f>
        <v/>
      </c>
      <c r="S125" s="787">
        <f>VLOOKUP($I$1&amp;S$8,DATA!$A:$EB,작업!$A125,0)/100</f>
        <v/>
      </c>
      <c r="T125" s="787">
        <f>VLOOKUP($I$1&amp;T$8,DATA!$A:$EB,작업!$A125,0)/100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VLOOKUP($I$1&amp;I$8,DATA!$A:$EB,작업!$A126,0)/100</f>
        <v/>
      </c>
      <c r="J126" s="786">
        <f>VLOOKUP($I$1&amp;J$8,DATA!$A:$EB,작업!$A126,0)/100</f>
        <v/>
      </c>
      <c r="K126" s="787">
        <f>VLOOKUP($I$1&amp;K$8,DATA!$A:$EB,작업!$A126,0)/100</f>
        <v/>
      </c>
      <c r="L126" s="787">
        <f>VLOOKUP($I$1&amp;L$8,DATA!$A:$EB,작업!$A126,0)/100</f>
        <v/>
      </c>
      <c r="M126" s="787">
        <f>VLOOKUP($I$1&amp;M$8,DATA!$A:$EB,작업!$A126,0)/100</f>
        <v/>
      </c>
      <c r="N126" s="787">
        <f>VLOOKUP($I$1&amp;N$8,DATA!$A:$EB,작업!$A126,0)/100</f>
        <v/>
      </c>
      <c r="O126" s="787">
        <f>VLOOKUP($I$1&amp;O$8,DATA!$A:$EB,작업!$A126,0)/100</f>
        <v/>
      </c>
      <c r="P126" s="787">
        <f>VLOOKUP($I$1&amp;P$8,DATA!$A:$EB,작업!$A126,0)/100</f>
        <v/>
      </c>
      <c r="Q126" s="787">
        <f>VLOOKUP($I$1&amp;Q$8,DATA!$A:$EB,작업!$A126,0)/100</f>
        <v/>
      </c>
      <c r="R126" s="787">
        <f>VLOOKUP($I$1&amp;R$8,DATA!$A:$EB,작업!$A126,0)/100</f>
        <v/>
      </c>
      <c r="S126" s="787">
        <f>VLOOKUP($I$1&amp;S$8,DATA!$A:$EB,작업!$A126,0)/100</f>
        <v/>
      </c>
      <c r="T126" s="787">
        <f>VLOOKUP($I$1&amp;T$8,DATA!$A:$EB,작업!$A126,0)/100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VLOOKUP($I$1&amp;I$8,DATA!$A:$EB,작업!$A127,0)/100</f>
        <v/>
      </c>
      <c r="J127" s="786">
        <f>VLOOKUP($I$1&amp;J$8,DATA!$A:$EB,작업!$A127,0)/100</f>
        <v/>
      </c>
      <c r="K127" s="787">
        <f>VLOOKUP($I$1&amp;K$8,DATA!$A:$EB,작업!$A127,0)/100</f>
        <v/>
      </c>
      <c r="L127" s="787">
        <f>VLOOKUP($I$1&amp;L$8,DATA!$A:$EB,작업!$A127,0)/100</f>
        <v/>
      </c>
      <c r="M127" s="787">
        <f>VLOOKUP($I$1&amp;M$8,DATA!$A:$EB,작업!$A127,0)/100</f>
        <v/>
      </c>
      <c r="N127" s="787">
        <f>VLOOKUP($I$1&amp;N$8,DATA!$A:$EB,작업!$A127,0)/100</f>
        <v/>
      </c>
      <c r="O127" s="787">
        <f>VLOOKUP($I$1&amp;O$8,DATA!$A:$EB,작업!$A127,0)/100</f>
        <v/>
      </c>
      <c r="P127" s="787">
        <f>VLOOKUP($I$1&amp;P$8,DATA!$A:$EB,작업!$A127,0)/100</f>
        <v/>
      </c>
      <c r="Q127" s="787">
        <f>VLOOKUP($I$1&amp;Q$8,DATA!$A:$EB,작업!$A127,0)/100</f>
        <v/>
      </c>
      <c r="R127" s="787">
        <f>VLOOKUP($I$1&amp;R$8,DATA!$A:$EB,작업!$A127,0)/100</f>
        <v/>
      </c>
      <c r="S127" s="787">
        <f>VLOOKUP($I$1&amp;S$8,DATA!$A:$EB,작업!$A127,0)/100</f>
        <v/>
      </c>
      <c r="T127" s="787">
        <f>VLOOKUP($I$1&amp;T$8,DATA!$A:$EB,작업!$A127,0)/100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VLOOKUP($I$1&amp;I$8,DATA!$A:$EB,작업!$A133,0)/100</f>
        <v/>
      </c>
      <c r="J133" s="821">
        <f>VLOOKUP($I$1&amp;J$8,DATA!$A:$EB,작업!$A133,0)/100</f>
        <v/>
      </c>
      <c r="K133" s="821">
        <f>VLOOKUP($I$1&amp;K$8,DATA!$A:$EB,작업!$A133,0)/100</f>
        <v/>
      </c>
      <c r="L133" s="821">
        <f>VLOOKUP($I$1&amp;L$8,DATA!$A:$EB,작업!$A133,0)/100</f>
        <v/>
      </c>
      <c r="M133" s="821">
        <f>VLOOKUP($I$1&amp;M$8,DATA!$A:$EB,작업!$A133,0)/100</f>
        <v/>
      </c>
      <c r="N133" s="821">
        <f>VLOOKUP($I$1&amp;N$8,DATA!$A:$EB,작업!$A133,0)/100</f>
        <v/>
      </c>
      <c r="O133" s="819">
        <f>VLOOKUP($I$1&amp;O$8,DATA!$A:$EB,작업!$A133,0)/100</f>
        <v/>
      </c>
      <c r="P133" s="819">
        <f>VLOOKUP($I$1&amp;P$8,DATA!$A:$EB,작업!$A133,0)/100</f>
        <v/>
      </c>
      <c r="Q133" s="819">
        <f>VLOOKUP($I$1&amp;Q$8,DATA!$A:$EB,작업!$A133,0)/100</f>
        <v/>
      </c>
      <c r="R133" s="819">
        <f>VLOOKUP($I$1&amp;R$8,DATA!$A:$EB,작업!$A133,0)/100</f>
        <v/>
      </c>
      <c r="S133" s="819">
        <f>VLOOKUP($I$1&amp;S$8,DATA!$A:$EB,작업!$A133,0)/100</f>
        <v/>
      </c>
      <c r="T133" s="819">
        <f>VLOOKUP($I$1&amp;T$8,DATA!$A:$EB,작업!$A133,0)/100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VLOOKUP($I$1&amp;I$8,DATA!$A:$EB,작업!$A136,0)/100</f>
        <v/>
      </c>
      <c r="J136" s="821">
        <f>VLOOKUP($I$1&amp;J$8,DATA!$A:$EB,작업!$A136,0)/100</f>
        <v/>
      </c>
      <c r="K136" s="819">
        <f>VLOOKUP($I$1&amp;K$8,DATA!$A:$EB,작업!$A136,0)/100</f>
        <v/>
      </c>
      <c r="L136" s="819">
        <f>VLOOKUP($I$1&amp;L$8,DATA!$A:$EB,작업!$A136,0)/100</f>
        <v/>
      </c>
      <c r="M136" s="819">
        <f>VLOOKUP($I$1&amp;M$8,DATA!$A:$EB,작업!$A136,0)/100</f>
        <v/>
      </c>
      <c r="N136" s="819">
        <f>VLOOKUP($I$1&amp;N$8,DATA!$A:$EB,작업!$A136,0)/100</f>
        <v/>
      </c>
      <c r="O136" s="819">
        <f>VLOOKUP($I$1&amp;O$8,DATA!$A:$EB,작업!$A136,0)/100</f>
        <v/>
      </c>
      <c r="P136" s="819">
        <f>VLOOKUP($I$1&amp;P$8,DATA!$A:$EB,작업!$A136,0)/100</f>
        <v/>
      </c>
      <c r="Q136" s="819">
        <f>VLOOKUP($I$1&amp;Q$8,DATA!$A:$EB,작업!$A136,0)/100</f>
        <v/>
      </c>
      <c r="R136" s="819">
        <f>VLOOKUP($I$1&amp;R$8,DATA!$A:$EB,작업!$A136,0)/100</f>
        <v/>
      </c>
      <c r="S136" s="819">
        <f>VLOOKUP($I$1&amp;S$8,DATA!$A:$EB,작업!$A136,0)/100</f>
        <v/>
      </c>
      <c r="T136" s="819">
        <f>VLOOKUP($I$1&amp;T$8,DATA!$A:$EB,작업!$A136,0)/100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VLOOKUP($I$1&amp;I$8,DATA!$A:$EB,작업!$A137,0)/100</f>
        <v/>
      </c>
      <c r="J137" s="823">
        <f>VLOOKUP($I$1&amp;J$8,DATA!$A:$EB,작업!$A137,0)/100</f>
        <v/>
      </c>
      <c r="K137" s="822">
        <f>VLOOKUP($I$1&amp;K$8,DATA!$A:$EB,작업!$A137,0)/100</f>
        <v/>
      </c>
      <c r="L137" s="822">
        <f>VLOOKUP($I$1&amp;L$8,DATA!$A:$EB,작업!$A137,0)/100</f>
        <v/>
      </c>
      <c r="M137" s="822">
        <f>VLOOKUP($I$1&amp;M$8,DATA!$A:$EB,작업!$A137,0)/100</f>
        <v/>
      </c>
      <c r="N137" s="822">
        <f>VLOOKUP($I$1&amp;N$8,DATA!$A:$EB,작업!$A137,0)/100</f>
        <v/>
      </c>
      <c r="O137" s="822">
        <f>VLOOKUP($I$1&amp;O$8,DATA!$A:$EB,작업!$A137,0)/100</f>
        <v/>
      </c>
      <c r="P137" s="822">
        <f>VLOOKUP($I$1&amp;P$8,DATA!$A:$EB,작업!$A137,0)/100</f>
        <v/>
      </c>
      <c r="Q137" s="822">
        <f>VLOOKUP($I$1&amp;Q$8,DATA!$A:$EB,작업!$A137,0)/100</f>
        <v/>
      </c>
      <c r="R137" s="822">
        <f>VLOOKUP($I$1&amp;R$8,DATA!$A:$EB,작업!$A137,0)/100</f>
        <v/>
      </c>
      <c r="S137" s="822">
        <f>VLOOKUP($I$1&amp;S$8,DATA!$A:$EB,작업!$A137,0)/100</f>
        <v/>
      </c>
      <c r="T137" s="822">
        <f>VLOOKUP($I$1&amp;T$8,DATA!$A:$EB,작업!$A137,0)/100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VLOOKUP($I$1&amp;I$8,DATA!$A:$EB,작업!$A140,0)/100</f>
        <v/>
      </c>
      <c r="J140" s="828">
        <f>VLOOKUP($I$1&amp;J$8,DATA!$A:$EB,작업!$A140,0)/100</f>
        <v/>
      </c>
      <c r="K140" s="827">
        <f>VLOOKUP($I$1&amp;K$8,DATA!$A:$EB,작업!$A140,0)/100</f>
        <v/>
      </c>
      <c r="L140" s="827">
        <f>VLOOKUP($I$1&amp;L$8,DATA!$A:$EB,작업!$A140,0)/100</f>
        <v/>
      </c>
      <c r="M140" s="827">
        <f>VLOOKUP($I$1&amp;M$8,DATA!$A:$EB,작업!$A140,0)/100</f>
        <v/>
      </c>
      <c r="N140" s="827">
        <f>VLOOKUP($I$1&amp;N$8,DATA!$A:$EB,작업!$A140,0)/100</f>
        <v/>
      </c>
      <c r="O140" s="827">
        <f>VLOOKUP($I$1&amp;O$8,DATA!$A:$EB,작업!$A140,0)/100</f>
        <v/>
      </c>
      <c r="P140" s="827">
        <f>VLOOKUP($I$1&amp;P$8,DATA!$A:$EB,작업!$A140,0)/100</f>
        <v/>
      </c>
      <c r="Q140" s="827">
        <f>VLOOKUP($I$1&amp;Q$8,DATA!$A:$EB,작업!$A140,0)/100</f>
        <v/>
      </c>
      <c r="R140" s="827">
        <f>VLOOKUP($I$1&amp;R$8,DATA!$A:$EB,작업!$A140,0)/100</f>
        <v/>
      </c>
      <c r="S140" s="827">
        <f>VLOOKUP($I$1&amp;S$8,DATA!$A:$EB,작업!$A140,0)/100</f>
        <v/>
      </c>
      <c r="T140" s="827">
        <f>VLOOKUP($I$1&amp;T$8,DATA!$A:$EB,작업!$A140,0)/100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VLOOKUP($I$1&amp;I$8,DATA!$A:$EB,작업!$A141,0)/100+VLOOKUP($I$1&amp;I$8,DATA!$A:$EB,작업!$A141+1,0)/100</f>
        <v/>
      </c>
      <c r="J141" s="830">
        <f>VLOOKUP($I$1&amp;J$8,DATA!$A:$EB,작업!$A141,0)/100+VLOOKUP($I$1&amp;J$8,DATA!$A:$EB,작업!$A141+1,0)/100</f>
        <v/>
      </c>
      <c r="K141" s="829">
        <f>VLOOKUP($I$1&amp;K$8,DATA!$A:$EB,작업!$A141,0)/100+VLOOKUP($I$1&amp;K$8,DATA!$A:$EB,작업!$A141+1,0)/100</f>
        <v/>
      </c>
      <c r="L141" s="829">
        <f>VLOOKUP($I$1&amp;L$8,DATA!$A:$EB,작업!$A141,0)/100+VLOOKUP($I$1&amp;L$8,DATA!$A:$EB,작업!$A141+1,0)/100</f>
        <v/>
      </c>
      <c r="M141" s="829">
        <f>VLOOKUP($I$1&amp;M$8,DATA!$A:$EB,작업!$A141,0)/100+VLOOKUP($I$1&amp;M$8,DATA!$A:$EB,작업!$A141+1,0)/100</f>
        <v/>
      </c>
      <c r="N141" s="829">
        <f>VLOOKUP($I$1&amp;N$8,DATA!$A:$EB,작업!$A141,0)/100+VLOOKUP($I$1&amp;N$8,DATA!$A:$EB,작업!$A141+1,0)/100</f>
        <v/>
      </c>
      <c r="O141" s="829">
        <f>VLOOKUP($I$1&amp;O$8,DATA!$A:$EB,작업!$A141,0)/100+VLOOKUP($I$1&amp;O$8,DATA!$A:$EB,작업!$A141+1,0)/100</f>
        <v/>
      </c>
      <c r="P141" s="829">
        <f>VLOOKUP($I$1&amp;P$8,DATA!$A:$EB,작업!$A141,0)/100+VLOOKUP($I$1&amp;P$8,DATA!$A:$EB,작업!$A141+1,0)/100</f>
        <v/>
      </c>
      <c r="Q141" s="829">
        <f>VLOOKUP($I$1&amp;Q$8,DATA!$A:$EB,작업!$A141,0)/100+VLOOKUP($I$1&amp;Q$8,DATA!$A:$EB,작업!$A141+1,0)/100</f>
        <v/>
      </c>
      <c r="R141" s="829">
        <f>VLOOKUP($I$1&amp;R$8,DATA!$A:$EB,작업!$A141,0)/100+VLOOKUP($I$1&amp;R$8,DATA!$A:$EB,작업!$A141+1,0)/100</f>
        <v/>
      </c>
      <c r="S141" s="829">
        <f>VLOOKUP($I$1&amp;S$8,DATA!$A:$EB,작업!$A141,0)/100+VLOOKUP($I$1&amp;S$8,DATA!$A:$EB,작업!$A141+1,0)/100</f>
        <v/>
      </c>
      <c r="T141" s="829">
        <f>VLOOKUP($I$1&amp;T$8,DATA!$A:$EB,작업!$A141,0)/100+VLOOKUP($I$1&amp;T$8,DATA!$A:$EB,작업!$A141+1,0)/100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VLOOKUP($I$1&amp;I$8,DATA!$A:$EB,작업!$A142,0)/100</f>
        <v/>
      </c>
      <c r="J142" s="831">
        <f>VLOOKUP($I$1&amp;J$8,DATA!$A:$EB,작업!$A142,0)/100</f>
        <v/>
      </c>
      <c r="K142" s="829">
        <f>VLOOKUP($I$1&amp;K$8,DATA!$A:$EB,작업!$A142,0)/100</f>
        <v/>
      </c>
      <c r="L142" s="829">
        <f>VLOOKUP($I$1&amp;L$8,DATA!$A:$EB,작업!$A142,0)/100</f>
        <v/>
      </c>
      <c r="M142" s="829">
        <f>VLOOKUP($I$1&amp;M$8,DATA!$A:$EB,작업!$A142,0)/100</f>
        <v/>
      </c>
      <c r="N142" s="829">
        <f>VLOOKUP($I$1&amp;N$8,DATA!$A:$EB,작업!$A142,0)/100</f>
        <v/>
      </c>
      <c r="O142" s="829">
        <f>VLOOKUP($I$1&amp;O$8,DATA!$A:$EB,작업!$A142,0)/100</f>
        <v/>
      </c>
      <c r="P142" s="831">
        <f>VLOOKUP($I$1&amp;P$8,DATA!$A:$EB,작업!$A142,0)/100</f>
        <v/>
      </c>
      <c r="Q142" s="829">
        <f>VLOOKUP($I$1&amp;Q$8,DATA!$A:$EB,작업!$A142,0)/100</f>
        <v/>
      </c>
      <c r="R142" s="829">
        <f>VLOOKUP($I$1&amp;R$8,DATA!$A:$EB,작업!$A142,0)/100</f>
        <v/>
      </c>
      <c r="S142" s="829">
        <f>VLOOKUP($I$1&amp;S$8,DATA!$A:$EB,작업!$A142,0)/100</f>
        <v/>
      </c>
      <c r="T142" s="829">
        <f>VLOOKUP($I$1&amp;T$8,DATA!$A:$EB,작업!$A142,0)/100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VLOOKUP($I$1&amp;I$8,DATA!$A:$EB,작업!$A143,0)/100</f>
        <v/>
      </c>
      <c r="J143" s="678" t="n"/>
      <c r="K143" s="832">
        <f>VLOOKUP($I$1&amp;K$8,DATA!$A:$EB,작업!$A143,0)/100</f>
        <v/>
      </c>
      <c r="L143" s="832">
        <f>VLOOKUP($I$1&amp;L$8,DATA!$A:$EB,작업!$A143,0)/100</f>
        <v/>
      </c>
      <c r="M143" s="832">
        <f>VLOOKUP($I$1&amp;M$8,DATA!$A:$EB,작업!$A143,0)/100</f>
        <v/>
      </c>
      <c r="N143" s="832">
        <f>VLOOKUP($I$1&amp;N$8,DATA!$A:$EB,작업!$A143,0)/100</f>
        <v/>
      </c>
      <c r="O143" s="832">
        <f>VLOOKUP($I$1&amp;O$8,DATA!$A:$EB,작업!$A143,0)/100</f>
        <v/>
      </c>
      <c r="P143" s="678" t="n"/>
      <c r="Q143" s="832">
        <f>VLOOKUP($I$1&amp;Q$8,DATA!$A:$EB,작업!$A143,0)/100</f>
        <v/>
      </c>
      <c r="R143" s="832">
        <f>VLOOKUP($I$1&amp;R$8,DATA!$A:$EB,작업!$A143,0)/100</f>
        <v/>
      </c>
      <c r="S143" s="832">
        <f>VLOOKUP($I$1&amp;S$8,DATA!$A:$EB,작업!$A143,0)/100</f>
        <v/>
      </c>
      <c r="T143" s="832">
        <f>VLOOKUP($I$1&amp;T$8,DATA!$A:$EB,작업!$A143,0)/100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VLOOKUP($I$1&amp;I$8,DATA!$A:$EB,작업!$A147,0)/100</f>
        <v/>
      </c>
      <c r="J147" s="786">
        <f>VLOOKUP($I$1&amp;J$8,DATA!$A:$EB,작업!$A147,0)/100</f>
        <v/>
      </c>
      <c r="K147" s="787">
        <f>VLOOKUP($I$1&amp;K$8,DATA!$A:$EB,작업!$A147,0)/100</f>
        <v/>
      </c>
      <c r="L147" s="787">
        <f>VLOOKUP($I$1&amp;L$8,DATA!$A:$EB,작업!$A147,0)/100</f>
        <v/>
      </c>
      <c r="M147" s="787">
        <f>VLOOKUP($I$1&amp;M$8,DATA!$A:$EB,작업!$A147,0)/100</f>
        <v/>
      </c>
      <c r="N147" s="787">
        <f>VLOOKUP($I$1&amp;N$8,DATA!$A:$EB,작업!$A147,0)/100</f>
        <v/>
      </c>
      <c r="O147" s="787">
        <f>VLOOKUP($I$1&amp;O$8,DATA!$A:$EB,작업!$A147,0)/100</f>
        <v/>
      </c>
      <c r="P147" s="787">
        <f>VLOOKUP($I$1&amp;P$8,DATA!$A:$EB,작업!$A147,0)/100</f>
        <v/>
      </c>
      <c r="Q147" s="787">
        <f>VLOOKUP($I$1&amp;Q$8,DATA!$A:$EB,작업!$A147,0)/100</f>
        <v/>
      </c>
      <c r="R147" s="787">
        <f>VLOOKUP($I$1&amp;R$8,DATA!$A:$EB,작업!$A147,0)/100</f>
        <v/>
      </c>
      <c r="S147" s="787">
        <f>VLOOKUP($I$1&amp;S$8,DATA!$A:$EB,작업!$A147,0)/100</f>
        <v/>
      </c>
      <c r="T147" s="787">
        <f>VLOOKUP($I$1&amp;T$8,DATA!$A:$EB,작업!$A147,0)/100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VLOOKUP($I$1&amp;I$8,DATA!$A:$EB,작업!$A149,0)/100</f>
        <v/>
      </c>
      <c r="J149" s="834">
        <f>VLOOKUP($I$1&amp;J$8,DATA!$A:$EB,작업!$A149,0)/100</f>
        <v/>
      </c>
      <c r="K149" s="835">
        <f>VLOOKUP($I$1&amp;K$8,DATA!$A:$EB,작업!$A149,0)/100</f>
        <v/>
      </c>
      <c r="L149" s="835">
        <f>VLOOKUP($I$1&amp;L$8,DATA!$A:$EB,작업!$A149,0)/100</f>
        <v/>
      </c>
      <c r="M149" s="835">
        <f>VLOOKUP($I$1&amp;M$8,DATA!$A:$EB,작업!$A149,0)/100</f>
        <v/>
      </c>
      <c r="N149" s="835">
        <f>VLOOKUP($I$1&amp;N$8,DATA!$A:$EB,작업!$A149,0)/100</f>
        <v/>
      </c>
      <c r="O149" s="835">
        <f>VLOOKUP($I$1&amp;O$8,DATA!$A:$EB,작업!$A149,0)/100</f>
        <v/>
      </c>
      <c r="P149" s="835">
        <f>VLOOKUP($I$1&amp;P$8,DATA!$A:$EB,작업!$A149,0)/100</f>
        <v/>
      </c>
      <c r="Q149" s="835">
        <f>VLOOKUP($I$1&amp;Q$8,DATA!$A:$EB,작업!$A149,0)/100</f>
        <v/>
      </c>
      <c r="R149" s="835">
        <f>VLOOKUP($I$1&amp;R$8,DATA!$A:$EB,작업!$A149,0)/100</f>
        <v/>
      </c>
      <c r="S149" s="835">
        <f>VLOOKUP($I$1&amp;S$8,DATA!$A:$EB,작업!$A149,0)/100</f>
        <v/>
      </c>
      <c r="T149" s="835">
        <f>VLOOKUP($I$1&amp;T$8,DATA!$A:$EB,작업!$A149,0)/100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+I136/(I102*130%)*(4/$J$1)</f>
        <v/>
      </c>
      <c r="J155" s="794">
        <f>+J136/(J102*130%)*(4/$J$1)</f>
        <v/>
      </c>
      <c r="K155" s="794">
        <f>+K136/(K102*130%)*(4/$J$1)</f>
        <v/>
      </c>
      <c r="L155" s="794">
        <f>+L136/(L102*130%)*(4/$J$1)</f>
        <v/>
      </c>
      <c r="M155" s="794">
        <f>+M136/(M102*130%)*(4/$J$1)</f>
        <v/>
      </c>
      <c r="N155" s="794">
        <f>+N136/(N102*130%)*(4/$J$1)</f>
        <v/>
      </c>
      <c r="O155" s="797">
        <f>+O136/(O102*130%)*(4/$J$1)</f>
        <v/>
      </c>
      <c r="P155" s="797">
        <f>+P136/(P102*130%)*(4/$J$1)</f>
        <v/>
      </c>
      <c r="Q155" s="797">
        <f>+Q136/(Q102*130%)*(4/$J$1)</f>
        <v/>
      </c>
      <c r="R155" s="797">
        <f>+R136/(R102*130%)*(4/$J$1)</f>
        <v/>
      </c>
      <c r="S155" s="797">
        <f>+S136/(S102*130%)*(4/$J$1)</f>
        <v/>
      </c>
      <c r="T155" s="797">
        <f>+T136/(T102*130%)*(4/$J$1)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(요구자본x130%)</t>
        </is>
      </c>
      <c r="F157" s="663" t="n"/>
      <c r="G157" s="663" t="n"/>
      <c r="H157" s="664" t="n"/>
      <c r="I157" s="839">
        <f>I133/(I102*130%)</f>
        <v/>
      </c>
      <c r="J157" s="839">
        <f>J133/(J102*130%)</f>
        <v/>
      </c>
      <c r="K157" s="839">
        <f>K133/(K102*130%)</f>
        <v/>
      </c>
      <c r="L157" s="839">
        <f>L133/(L102*130%)</f>
        <v/>
      </c>
      <c r="M157" s="839">
        <f>M133/(M102*130%)</f>
        <v/>
      </c>
      <c r="N157" s="839">
        <f>N133/(N102*130%)</f>
        <v/>
      </c>
      <c r="O157" s="839">
        <f>O133/(O102*130%)</f>
        <v/>
      </c>
      <c r="P157" s="839">
        <f>P133/(P102*130%)</f>
        <v/>
      </c>
      <c r="Q157" s="839">
        <f>Q133/(Q102*130%)</f>
        <v/>
      </c>
      <c r="R157" s="839">
        <f>R133/(R102*130%)</f>
        <v/>
      </c>
      <c r="S157" s="839">
        <f>S133/(S102*130%)</f>
        <v/>
      </c>
      <c r="T157" s="839">
        <f>T133/(T102*130%)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(요구자본x150%)</t>
        </is>
      </c>
      <c r="F158" s="659" t="n"/>
      <c r="G158" s="659" t="n"/>
      <c r="H158" s="660" t="n"/>
      <c r="I158" s="840">
        <f>I133/(I102*150%)</f>
        <v/>
      </c>
      <c r="J158" s="840">
        <f>J133/(J102*150%)</f>
        <v/>
      </c>
      <c r="K158" s="840">
        <f>K133/(K102*150%)</f>
        <v/>
      </c>
      <c r="L158" s="840">
        <f>L133/(L102*150%)</f>
        <v/>
      </c>
      <c r="M158" s="840">
        <f>M133/(M102*150%)</f>
        <v/>
      </c>
      <c r="N158" s="840">
        <f>N133/(N102*150%)</f>
        <v/>
      </c>
      <c r="O158" s="840">
        <f>O133/(O102*150%)</f>
        <v/>
      </c>
      <c r="P158" s="840">
        <f>P133/(P102*150%)</f>
        <v/>
      </c>
      <c r="Q158" s="840">
        <f>Q133/(Q102*150%)</f>
        <v/>
      </c>
      <c r="R158" s="840">
        <f>R133/(R102*150%)</f>
        <v/>
      </c>
      <c r="S158" s="840">
        <f>S133/(S102*150%)</f>
        <v/>
      </c>
      <c r="T158" s="840">
        <f>T133/(T102*150%)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(요구자본x130%)</t>
        </is>
      </c>
      <c r="F160" s="663" t="n"/>
      <c r="G160" s="663" t="n"/>
      <c r="H160" s="664" t="n"/>
      <c r="I160" s="839">
        <f>I137/(I102*130%)*(4/$J$1)</f>
        <v/>
      </c>
      <c r="J160" s="839">
        <f>J137/(J102*130%)*(4/$J$1)</f>
        <v/>
      </c>
      <c r="K160" s="839">
        <f>K137/(K102*130%)*(4/$J$1)</f>
        <v/>
      </c>
      <c r="L160" s="839">
        <f>L137/(L102*130%)*(4/$J$1)</f>
        <v/>
      </c>
      <c r="M160" s="839">
        <f>M137/(M102*130%)*(4/$J$1)</f>
        <v/>
      </c>
      <c r="N160" s="839">
        <f>N137/(N102*130%)*(4/$J$1)</f>
        <v/>
      </c>
      <c r="O160" s="839">
        <f>O137/(O102*130%)*(4/$J$1)</f>
        <v/>
      </c>
      <c r="P160" s="839">
        <f>P137/(P102*130%)*(4/$J$1)</f>
        <v/>
      </c>
      <c r="Q160" s="839">
        <f>Q137/(Q102*130%)*(4/$J$1)</f>
        <v/>
      </c>
      <c r="R160" s="839">
        <f>R137/(R102*130%)*(4/$J$1)</f>
        <v/>
      </c>
      <c r="S160" s="839">
        <f>S137/(S102*130%)*(4/$J$1)</f>
        <v/>
      </c>
      <c r="T160" s="839">
        <f>T137/(T102*130%)*(4/$J$1)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(요구자본x150%)</t>
        </is>
      </c>
      <c r="F161" s="659" t="n"/>
      <c r="G161" s="659" t="n"/>
      <c r="H161" s="660" t="n"/>
      <c r="I161" s="840">
        <f>I137/(I102*150%)*(4/$J$1)</f>
        <v/>
      </c>
      <c r="J161" s="840">
        <f>J137/(J102*150%)*(4/$J$1)</f>
        <v/>
      </c>
      <c r="K161" s="840">
        <f>K137/(K102*150%)*(4/$J$1)</f>
        <v/>
      </c>
      <c r="L161" s="840">
        <f>L137/(L102*150%)*(4/$J$1)</f>
        <v/>
      </c>
      <c r="M161" s="840">
        <f>M137/(M102*150%)*(4/$J$1)</f>
        <v/>
      </c>
      <c r="N161" s="840">
        <f>N137/(N102*150%)*(4/$J$1)</f>
        <v/>
      </c>
      <c r="O161" s="840">
        <f>O137/(O102*150%)*(4/$J$1)</f>
        <v/>
      </c>
      <c r="P161" s="840">
        <f>P137/(P102*150%)*(4/$J$1)</f>
        <v/>
      </c>
      <c r="Q161" s="840">
        <f>Q137/(Q102*150%)*(4/$J$1)</f>
        <v/>
      </c>
      <c r="R161" s="840">
        <f>R137/(R102*150%)*(4/$J$1)</f>
        <v/>
      </c>
      <c r="S161" s="840">
        <f>S137/(S102*150%)*(4/$J$1)</f>
        <v/>
      </c>
      <c r="T161" s="840">
        <f>T137/(T102*150%)*(4/$J$1)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VLOOKUP($I$1&amp;I$8,DATA!$A:$EB,작업!$A164,0)/100</f>
        <v/>
      </c>
      <c r="J164" s="786">
        <f>VLOOKUP($I$1&amp;J$8,DATA!$A:$EB,작업!$A164,0)/100</f>
        <v/>
      </c>
      <c r="K164" s="787">
        <f>VLOOKUP($I$1&amp;K$8,DATA!$A:$EB,작업!$A164,0)/100</f>
        <v/>
      </c>
      <c r="L164" s="787">
        <f>VLOOKUP($I$1&amp;L$8,DATA!$A:$EB,작업!$A164,0)/100</f>
        <v/>
      </c>
      <c r="M164" s="787">
        <f>VLOOKUP($I$1&amp;M$8,DATA!$A:$EB,작업!$A164,0)/100</f>
        <v/>
      </c>
      <c r="N164" s="787">
        <f>VLOOKUP($I$1&amp;N$8,DATA!$A:$EB,작업!$A164,0)/100</f>
        <v/>
      </c>
      <c r="O164" s="787">
        <f>VLOOKUP($I$1&amp;O$8,DATA!$A:$EB,작업!$A164,0)/100</f>
        <v/>
      </c>
      <c r="P164" s="787">
        <f>VLOOKUP($I$1&amp;P$8,DATA!$A:$EB,작업!$A164,0)/100</f>
        <v/>
      </c>
      <c r="Q164" s="787">
        <f>VLOOKUP($I$1&amp;Q$8,DATA!$A:$EB,작업!$A164,0)/100</f>
        <v/>
      </c>
      <c r="R164" s="787">
        <f>VLOOKUP($I$1&amp;R$8,DATA!$A:$EB,작업!$A164,0)/100</f>
        <v/>
      </c>
      <c r="S164" s="787">
        <f>VLOOKUP($I$1&amp;S$8,DATA!$A:$EB,작업!$A164,0)/100</f>
        <v/>
      </c>
      <c r="T164" s="787">
        <f>VLOOKUP($I$1&amp;T$8,DATA!$A:$EB,작업!$A164,0)/100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VLOOKUP($I$1&amp;I$8,DATA!$A:$EB,작업!$A165,0)/100</f>
        <v/>
      </c>
      <c r="J165" s="786">
        <f>VLOOKUP($I$1&amp;J$8,DATA!$A:$EB,작업!$A165,0)/100</f>
        <v/>
      </c>
      <c r="K165" s="787">
        <f>VLOOKUP($I$1&amp;K$8,DATA!$A:$EB,작업!$A165,0)/100</f>
        <v/>
      </c>
      <c r="L165" s="787">
        <f>VLOOKUP($I$1&amp;L$8,DATA!$A:$EB,작업!$A165,0)/100</f>
        <v/>
      </c>
      <c r="M165" s="787">
        <f>VLOOKUP($I$1&amp;M$8,DATA!$A:$EB,작업!$A165,0)/100</f>
        <v/>
      </c>
      <c r="N165" s="787">
        <f>VLOOKUP($I$1&amp;N$8,DATA!$A:$EB,작업!$A165,0)/100</f>
        <v/>
      </c>
      <c r="O165" s="787">
        <f>VLOOKUP($I$1&amp;O$8,DATA!$A:$EB,작업!$A165,0)/100</f>
        <v/>
      </c>
      <c r="P165" s="787">
        <f>VLOOKUP($I$1&amp;P$8,DATA!$A:$EB,작업!$A165,0)/100</f>
        <v/>
      </c>
      <c r="Q165" s="787">
        <f>VLOOKUP($I$1&amp;Q$8,DATA!$A:$EB,작업!$A165,0)/100</f>
        <v/>
      </c>
      <c r="R165" s="787">
        <f>VLOOKUP($I$1&amp;R$8,DATA!$A:$EB,작업!$A165,0)/100</f>
        <v/>
      </c>
      <c r="S165" s="787">
        <f>VLOOKUP($I$1&amp;S$8,DATA!$A:$EB,작업!$A165,0)/100</f>
        <v/>
      </c>
      <c r="T165" s="787">
        <f>VLOOKUP($I$1&amp;T$8,DATA!$A:$EB,작업!$A165,0)/100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 t="n"/>
      <c r="J168" s="785" t="n"/>
      <c r="K168" s="842" t="n"/>
      <c r="L168" s="842" t="n"/>
      <c r="M168" s="842" t="n"/>
      <c r="N168" s="842" t="n"/>
      <c r="O168" s="785" t="n"/>
      <c r="P168" s="785" t="n"/>
      <c r="Q168" s="785" t="n"/>
      <c r="R168" s="785" t="n"/>
      <c r="S168" s="785" t="n"/>
      <c r="T168" s="785" t="n"/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  <row r="198" ht="16.5" customHeight="1" s="760">
      <c r="C198" s="650" t="inlineStr">
        <is>
          <t>구분</t>
        </is>
      </c>
      <c r="D198" s="648" t="n"/>
      <c r="E198" s="648" t="n"/>
      <c r="F198" s="648" t="n"/>
      <c r="G198" s="648" t="n"/>
      <c r="H198" s="649" t="n"/>
      <c r="I198" s="8" t="inlineStr">
        <is>
          <t>미래에셋생명</t>
        </is>
      </c>
      <c r="J198" s="8" t="inlineStr">
        <is>
          <t>삼성생명</t>
        </is>
      </c>
      <c r="K198" s="8" t="inlineStr">
        <is>
          <t>교보생명</t>
        </is>
      </c>
      <c r="L198" s="8" t="inlineStr">
        <is>
          <t>한화생명</t>
        </is>
      </c>
      <c r="M198" s="8" t="inlineStr">
        <is>
          <t>신한라이프</t>
        </is>
      </c>
      <c r="N198" s="8" t="inlineStr">
        <is>
          <t>동양생명</t>
        </is>
      </c>
      <c r="O198" s="9" t="inlineStr">
        <is>
          <t>KB라이프</t>
        </is>
      </c>
      <c r="P198" s="9" t="inlineStr">
        <is>
          <t>삼성화재</t>
        </is>
      </c>
      <c r="Q198" s="9" t="inlineStr">
        <is>
          <t>현대해상</t>
        </is>
      </c>
      <c r="R198" s="9" t="inlineStr">
        <is>
          <t>메리츠화재</t>
        </is>
      </c>
      <c r="S198" s="9" t="inlineStr">
        <is>
          <t>KB손보</t>
        </is>
      </c>
      <c r="T198" s="9" t="inlineStr">
        <is>
          <t>DB손보</t>
        </is>
      </c>
    </row>
    <row r="199">
      <c r="A199" s="766" t="n"/>
      <c r="C199" s="642" t="inlineStr">
        <is>
          <t>CSM조정액</t>
        </is>
      </c>
      <c r="I199" s="786">
        <f>SUM(I200:I205)</f>
        <v/>
      </c>
      <c r="J199" s="786">
        <f>SUM(J200:J205)</f>
        <v/>
      </c>
      <c r="K199" s="787">
        <f>SUM(K200:K205)</f>
        <v/>
      </c>
      <c r="L199" s="787">
        <f>SUM(L200:L205)</f>
        <v/>
      </c>
      <c r="M199" s="787">
        <f>SUM(M200:M205)</f>
        <v/>
      </c>
      <c r="N199" s="787">
        <f>SUM(N200:N205)</f>
        <v/>
      </c>
      <c r="O199" s="787">
        <f>SUM(O200:O205)</f>
        <v/>
      </c>
      <c r="P199" s="787">
        <f>SUM(P200:P205)</f>
        <v/>
      </c>
      <c r="Q199" s="787">
        <f>SUM(Q200:Q205)</f>
        <v/>
      </c>
      <c r="R199" s="787">
        <f>SUM(R200:R205)</f>
        <v/>
      </c>
      <c r="S199" s="787">
        <f>SUM(S200:S205)</f>
        <v/>
      </c>
      <c r="T199" s="787">
        <f>SUM(T200:T205)</f>
        <v/>
      </c>
    </row>
    <row r="200">
      <c r="A200" s="642">
        <f>DATA!$EW$1</f>
        <v/>
      </c>
      <c r="D200" s="642" t="inlineStr">
        <is>
          <t>해지율</t>
        </is>
      </c>
      <c r="I200" s="786">
        <f>VLOOKUP($I$1&amp;I$8,DATA!$A:$FZ,작업!$A200,0)/100</f>
        <v/>
      </c>
      <c r="J200" s="786">
        <f>VLOOKUP($I$1&amp;J$8,DATA!$A:$FZ,작업!$A200,0)/100</f>
        <v/>
      </c>
      <c r="K200" s="787">
        <f>VLOOKUP($I$1&amp;K$8,DATA!$A:$FZ,작업!$A200,0)/100</f>
        <v/>
      </c>
      <c r="L200" s="787">
        <f>VLOOKUP($I$1&amp;L$8,DATA!$A:$FZ,작업!$A200,0)/100</f>
        <v/>
      </c>
      <c r="M200" s="787">
        <f>VLOOKUP($I$1&amp;M$8,DATA!$A:$FZ,작업!$A200,0)/100</f>
        <v/>
      </c>
      <c r="N200" s="787">
        <f>VLOOKUP($I$1&amp;N$8,DATA!$A:$FZ,작업!$A200,0)/100</f>
        <v/>
      </c>
      <c r="O200" s="787">
        <f>VLOOKUP($I$1&amp;O$8,DATA!$A:$FZ,작업!$A200,0)/100</f>
        <v/>
      </c>
      <c r="P200" s="787">
        <f>VLOOKUP($I$1&amp;P$8,DATA!$A:$FZ,작업!$A200,0)/100</f>
        <v/>
      </c>
      <c r="Q200" s="787">
        <f>VLOOKUP($I$1&amp;Q$8,DATA!$A:$FZ,작업!$A200,0)/100</f>
        <v/>
      </c>
      <c r="R200" s="787">
        <f>VLOOKUP($I$1&amp;R$8,DATA!$A:$FZ,작업!$A200,0)/100</f>
        <v/>
      </c>
      <c r="S200" s="787">
        <f>VLOOKUP($I$1&amp;S$8,DATA!$A:$FZ,작업!$A200,0)/100</f>
        <v/>
      </c>
      <c r="T200" s="787">
        <f>VLOOKUP($I$1&amp;T$8,DATA!$A:$FZ,작업!$A200,0)/100</f>
        <v/>
      </c>
    </row>
    <row r="201">
      <c r="A201" s="642">
        <f>DATA!$EX$1</f>
        <v/>
      </c>
      <c r="D201" s="642" t="inlineStr">
        <is>
          <t>위험률</t>
        </is>
      </c>
      <c r="I201" s="786">
        <f>VLOOKUP($I$1&amp;I$8,DATA!$A:$FZ,작업!$A201,0)/100</f>
        <v/>
      </c>
      <c r="J201" s="786">
        <f>VLOOKUP($I$1&amp;J$8,DATA!$A:$FZ,작업!$A201,0)/100</f>
        <v/>
      </c>
      <c r="K201" s="787">
        <f>VLOOKUP($I$1&amp;K$8,DATA!$A:$FZ,작업!$A201,0)/100</f>
        <v/>
      </c>
      <c r="L201" s="787">
        <f>VLOOKUP($I$1&amp;L$8,DATA!$A:$FZ,작업!$A201,0)/100</f>
        <v/>
      </c>
      <c r="M201" s="787">
        <f>VLOOKUP($I$1&amp;M$8,DATA!$A:$FZ,작업!$A201,0)/100</f>
        <v/>
      </c>
      <c r="N201" s="787">
        <f>VLOOKUP($I$1&amp;N$8,DATA!$A:$FZ,작업!$A201,0)/100</f>
        <v/>
      </c>
      <c r="O201" s="787">
        <f>VLOOKUP($I$1&amp;O$8,DATA!$A:$FZ,작업!$A201,0)/100</f>
        <v/>
      </c>
      <c r="P201" s="787">
        <f>VLOOKUP($I$1&amp;P$8,DATA!$A:$FZ,작업!$A201,0)/100</f>
        <v/>
      </c>
      <c r="Q201" s="787">
        <f>VLOOKUP($I$1&amp;Q$8,DATA!$A:$FZ,작업!$A201,0)/100</f>
        <v/>
      </c>
      <c r="R201" s="787">
        <f>VLOOKUP($I$1&amp;R$8,DATA!$A:$FZ,작업!$A201,0)/100</f>
        <v/>
      </c>
      <c r="S201" s="787">
        <f>VLOOKUP($I$1&amp;S$8,DATA!$A:$FZ,작업!$A201,0)/100</f>
        <v/>
      </c>
      <c r="T201" s="787">
        <f>VLOOKUP($I$1&amp;T$8,DATA!$A:$FZ,작업!$A201,0)/100</f>
        <v/>
      </c>
    </row>
    <row r="202">
      <c r="A202" s="642">
        <f>DATA!$EY$1</f>
        <v/>
      </c>
      <c r="D202" s="642" t="inlineStr">
        <is>
          <t>사업비율</t>
        </is>
      </c>
      <c r="I202" s="786">
        <f>VLOOKUP($I$1&amp;I$8,DATA!$A:$FZ,작업!$A202,0)/100</f>
        <v/>
      </c>
      <c r="J202" s="786">
        <f>VLOOKUP($I$1&amp;J$8,DATA!$A:$FZ,작업!$A202,0)/100</f>
        <v/>
      </c>
      <c r="K202" s="787">
        <f>VLOOKUP($I$1&amp;K$8,DATA!$A:$FZ,작업!$A202,0)/100</f>
        <v/>
      </c>
      <c r="L202" s="787">
        <f>VLOOKUP($I$1&amp;L$8,DATA!$A:$FZ,작업!$A202,0)/100</f>
        <v/>
      </c>
      <c r="M202" s="787">
        <f>VLOOKUP($I$1&amp;M$8,DATA!$A:$FZ,작업!$A202,0)/100</f>
        <v/>
      </c>
      <c r="N202" s="787">
        <f>VLOOKUP($I$1&amp;N$8,DATA!$A:$FZ,작업!$A202,0)/100</f>
        <v/>
      </c>
      <c r="O202" s="787">
        <f>VLOOKUP($I$1&amp;O$8,DATA!$A:$FZ,작업!$A202,0)/100</f>
        <v/>
      </c>
      <c r="P202" s="787">
        <f>VLOOKUP($I$1&amp;P$8,DATA!$A:$FZ,작업!$A202,0)/100</f>
        <v/>
      </c>
      <c r="Q202" s="787">
        <f>VLOOKUP($I$1&amp;Q$8,DATA!$A:$FZ,작업!$A202,0)/100</f>
        <v/>
      </c>
      <c r="R202" s="787">
        <f>VLOOKUP($I$1&amp;R$8,DATA!$A:$FZ,작업!$A202,0)/100</f>
        <v/>
      </c>
      <c r="S202" s="787">
        <f>VLOOKUP($I$1&amp;S$8,DATA!$A:$FZ,작업!$A202,0)/100</f>
        <v/>
      </c>
      <c r="T202" s="787">
        <f>VLOOKUP($I$1&amp;T$8,DATA!$A:$FZ,작업!$A202,0)/100</f>
        <v/>
      </c>
    </row>
    <row r="203">
      <c r="A203" s="642">
        <f>DATA!$EZ$1</f>
        <v/>
      </c>
      <c r="D203" s="642" t="inlineStr">
        <is>
          <t>기타가정</t>
        </is>
      </c>
      <c r="I203" s="786">
        <f>VLOOKUP($I$1&amp;I$8,DATA!$A:$FZ,작업!$A203,0)/100</f>
        <v/>
      </c>
      <c r="J203" s="786">
        <f>VLOOKUP($I$1&amp;J$8,DATA!$A:$FZ,작업!$A203,0)/100</f>
        <v/>
      </c>
      <c r="K203" s="787">
        <f>VLOOKUP($I$1&amp;K$8,DATA!$A:$FZ,작업!$A203,0)/100</f>
        <v/>
      </c>
      <c r="L203" s="787">
        <f>VLOOKUP($I$1&amp;L$8,DATA!$A:$FZ,작업!$A203,0)/100</f>
        <v/>
      </c>
      <c r="M203" s="787">
        <f>VLOOKUP($I$1&amp;M$8,DATA!$A:$FZ,작업!$A203,0)/100</f>
        <v/>
      </c>
      <c r="N203" s="787">
        <f>VLOOKUP($I$1&amp;N$8,DATA!$A:$FZ,작업!$A203,0)/100</f>
        <v/>
      </c>
      <c r="O203" s="787">
        <f>VLOOKUP($I$1&amp;O$8,DATA!$A:$FZ,작업!$A203,0)/100</f>
        <v/>
      </c>
      <c r="P203" s="787">
        <f>VLOOKUP($I$1&amp;P$8,DATA!$A:$FZ,작업!$A203,0)/100</f>
        <v/>
      </c>
      <c r="Q203" s="787">
        <f>VLOOKUP($I$1&amp;Q$8,DATA!$A:$FZ,작업!$A203,0)/100</f>
        <v/>
      </c>
      <c r="R203" s="787">
        <f>VLOOKUP($I$1&amp;R$8,DATA!$A:$FZ,작업!$A203,0)/100</f>
        <v/>
      </c>
      <c r="S203" s="787">
        <f>VLOOKUP($I$1&amp;S$8,DATA!$A:$FZ,작업!$A203,0)/100</f>
        <v/>
      </c>
      <c r="T203" s="787">
        <f>VLOOKUP($I$1&amp;T$8,DATA!$A:$FZ,작업!$A203,0)/100</f>
        <v/>
      </c>
    </row>
    <row r="204">
      <c r="A204" s="642">
        <f>DATA!$FA$1</f>
        <v/>
      </c>
      <c r="D204" s="642" t="inlineStr">
        <is>
          <t>물량,예실차 등</t>
        </is>
      </c>
      <c r="I204" s="786">
        <f>VLOOKUP($I$1&amp;I$8,DATA!$A:$FZ,작업!$A204,0)/100</f>
        <v/>
      </c>
      <c r="J204" s="786">
        <f>VLOOKUP($I$1&amp;J$8,DATA!$A:$FZ,작업!$A204,0)/100</f>
        <v/>
      </c>
      <c r="K204" s="787">
        <f>VLOOKUP($I$1&amp;K$8,DATA!$A:$FZ,작업!$A204,0)/100</f>
        <v/>
      </c>
      <c r="L204" s="787">
        <f>VLOOKUP($I$1&amp;L$8,DATA!$A:$FZ,작업!$A204,0)/100</f>
        <v/>
      </c>
      <c r="M204" s="787">
        <f>VLOOKUP($I$1&amp;M$8,DATA!$A:$FZ,작업!$A204,0)/100</f>
        <v/>
      </c>
      <c r="N204" s="787">
        <f>VLOOKUP($I$1&amp;N$8,DATA!$A:$FZ,작업!$A204,0)/100</f>
        <v/>
      </c>
      <c r="O204" s="787">
        <f>VLOOKUP($I$1&amp;O$8,DATA!$A:$FZ,작업!$A204,0)/100</f>
        <v/>
      </c>
      <c r="P204" s="787">
        <f>VLOOKUP($I$1&amp;P$8,DATA!$A:$FZ,작업!$A204,0)/100</f>
        <v/>
      </c>
      <c r="Q204" s="787">
        <f>VLOOKUP($I$1&amp;Q$8,DATA!$A:$FZ,작업!$A204,0)/100</f>
        <v/>
      </c>
      <c r="R204" s="787">
        <f>VLOOKUP($I$1&amp;R$8,DATA!$A:$FZ,작업!$A204,0)/100</f>
        <v/>
      </c>
      <c r="S204" s="787">
        <f>VLOOKUP($I$1&amp;S$8,DATA!$A:$FZ,작업!$A204,0)/100</f>
        <v/>
      </c>
      <c r="T204" s="787">
        <f>VLOOKUP($I$1&amp;T$8,DATA!$A:$FZ,작업!$A204,0)/100</f>
        <v/>
      </c>
    </row>
    <row r="205">
      <c r="A205" s="642">
        <f>DATA!$FB$1</f>
        <v/>
      </c>
      <c r="D205" s="642" t="inlineStr">
        <is>
          <t>손실요소</t>
        </is>
      </c>
      <c r="I205" s="786">
        <f>VLOOKUP($I$1&amp;I$8,DATA!$A:$FZ,작업!$A205,0)/100</f>
        <v/>
      </c>
      <c r="J205" s="786">
        <f>VLOOKUP($I$1&amp;J$8,DATA!$A:$FZ,작업!$A205,0)/100</f>
        <v/>
      </c>
      <c r="K205" s="787">
        <f>VLOOKUP($I$1&amp;K$8,DATA!$A:$FZ,작업!$A205,0)/100</f>
        <v/>
      </c>
      <c r="L205" s="787">
        <f>VLOOKUP($I$1&amp;L$8,DATA!$A:$FZ,작업!$A205,0)/100</f>
        <v/>
      </c>
      <c r="M205" s="787">
        <f>VLOOKUP($I$1&amp;M$8,DATA!$A:$FZ,작업!$A205,0)/100</f>
        <v/>
      </c>
      <c r="N205" s="787">
        <f>VLOOKUP($I$1&amp;N$8,DATA!$A:$FZ,작업!$A205,0)/100</f>
        <v/>
      </c>
      <c r="O205" s="787">
        <f>VLOOKUP($I$1&amp;O$8,DATA!$A:$FZ,작업!$A205,0)/100</f>
        <v/>
      </c>
      <c r="P205" s="787">
        <f>VLOOKUP($I$1&amp;P$8,DATA!$A:$FZ,작업!$A205,0)/100</f>
        <v/>
      </c>
      <c r="Q205" s="787">
        <f>VLOOKUP($I$1&amp;Q$8,DATA!$A:$FZ,작업!$A205,0)/100</f>
        <v/>
      </c>
      <c r="R205" s="787">
        <f>VLOOKUP($I$1&amp;R$8,DATA!$A:$FZ,작업!$A205,0)/100</f>
        <v/>
      </c>
      <c r="S205" s="787">
        <f>VLOOKUP($I$1&amp;S$8,DATA!$A:$FZ,작업!$A205,0)/100</f>
        <v/>
      </c>
      <c r="T205" s="787">
        <f>VLOOKUP($I$1&amp;T$8,DATA!$A:$FZ,작업!$A205,0)/100</f>
        <v/>
      </c>
    </row>
    <row r="206">
      <c r="I206" s="786" t="n"/>
      <c r="J206" s="786" t="n"/>
      <c r="K206" s="787" t="n"/>
      <c r="L206" s="787" t="n"/>
      <c r="M206" s="787" t="n"/>
      <c r="N206" s="787" t="n"/>
      <c r="O206" s="787" t="n"/>
      <c r="P206" s="787" t="n"/>
      <c r="Q206" s="787" t="n"/>
      <c r="R206" s="787" t="n"/>
      <c r="S206" s="787" t="n"/>
      <c r="T206" s="787" t="n"/>
    </row>
    <row r="207">
      <c r="I207" s="786" t="n"/>
      <c r="J207" s="786" t="n"/>
      <c r="K207" s="787" t="n"/>
      <c r="L207" s="787" t="n"/>
      <c r="M207" s="787" t="n"/>
      <c r="N207" s="787" t="n"/>
      <c r="O207" s="787" t="n"/>
      <c r="P207" s="787" t="n"/>
      <c r="Q207" s="787" t="n"/>
      <c r="R207" s="787" t="n"/>
      <c r="S207" s="787" t="n"/>
      <c r="T207" s="787" t="n"/>
    </row>
    <row r="208">
      <c r="I208" s="786" t="n"/>
      <c r="J208" s="786" t="n"/>
      <c r="K208" s="787" t="n"/>
      <c r="L208" s="787" t="n"/>
      <c r="M208" s="787" t="n"/>
      <c r="N208" s="787" t="n"/>
      <c r="O208" s="787" t="n"/>
      <c r="P208" s="787" t="n"/>
      <c r="Q208" s="787" t="n"/>
      <c r="R208" s="787" t="n"/>
      <c r="S208" s="787" t="n"/>
      <c r="T208" s="787" t="n"/>
    </row>
    <row r="209">
      <c r="I209" s="786" t="n"/>
      <c r="J209" s="786" t="n"/>
      <c r="K209" s="787" t="n"/>
      <c r="L209" s="787" t="n"/>
      <c r="M209" s="787" t="n"/>
      <c r="N209" s="787" t="n"/>
      <c r="O209" s="787" t="n"/>
      <c r="P209" s="787" t="n"/>
      <c r="Q209" s="787" t="n"/>
      <c r="R209" s="787" t="n"/>
      <c r="S209" s="787" t="n"/>
      <c r="T209" s="787" t="n"/>
    </row>
    <row r="210">
      <c r="I210" s="786" t="n"/>
      <c r="J210" s="786" t="n"/>
      <c r="K210" s="787" t="n"/>
      <c r="L210" s="787" t="n"/>
      <c r="M210" s="787" t="n"/>
      <c r="N210" s="787" t="n"/>
      <c r="O210" s="787" t="n"/>
      <c r="P210" s="787" t="n"/>
      <c r="Q210" s="787" t="n"/>
      <c r="R210" s="787" t="n"/>
      <c r="S210" s="787" t="n"/>
      <c r="T210" s="787" t="n"/>
    </row>
  </sheetData>
  <mergeCells count="93">
    <mergeCell ref="C25:H25"/>
    <mergeCell ref="C85:H85"/>
    <mergeCell ref="C117:H117"/>
    <mergeCell ref="C99:H99"/>
    <mergeCell ref="E179:H179"/>
    <mergeCell ref="C9:H9"/>
    <mergeCell ref="C176:D177"/>
    <mergeCell ref="C118:H118"/>
    <mergeCell ref="C75:H75"/>
    <mergeCell ref="C133:H133"/>
    <mergeCell ref="C198:H198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24:H24"/>
    <mergeCell ref="C156:D157"/>
    <mergeCell ref="C116:H116"/>
    <mergeCell ref="E157:H157"/>
    <mergeCell ref="C26:H26"/>
    <mergeCell ref="C63:H63"/>
    <mergeCell ref="F113:H113"/>
    <mergeCell ref="C10:H10"/>
    <mergeCell ref="C16:H16"/>
    <mergeCell ref="C134:H134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C62:H62"/>
    <mergeCell ref="F112:H11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66:H66"/>
    <mergeCell ref="C155:H155"/>
    <mergeCell ref="C102:H102"/>
    <mergeCell ref="C68:H68"/>
    <mergeCell ref="E161:H161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109:H109"/>
    <mergeCell ref="C65:H65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0" topLeftCell="A118" workbookViewId="0">
      <selection activeCell="A164" sqref="A164:A165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VLOOKUP($I$1&amp;I$8,DATA!$A:$EB,'2412'!$A9,0)/100</f>
        <v/>
      </c>
      <c r="J9" s="765">
        <f>VLOOKUP($I$1&amp;J$8,DATA!$A:$EB,'2412'!$A9,0)/100</f>
        <v/>
      </c>
      <c r="K9" s="765">
        <f>VLOOKUP($I$1&amp;K$8,DATA!$A:$EB,'2412'!$A9,0)/100</f>
        <v/>
      </c>
      <c r="L9" s="765">
        <f>VLOOKUP($I$1&amp;L$8,DATA!$A:$EB,'2412'!$A9,0)/100</f>
        <v/>
      </c>
      <c r="M9" s="765">
        <f>VLOOKUP($I$1&amp;M$8,DATA!$A:$EB,'2412'!$A9,0)/100</f>
        <v/>
      </c>
      <c r="N9" s="765">
        <f>VLOOKUP($I$1&amp;N$8,DATA!$A:$EB,'2412'!$A9,0)/100</f>
        <v/>
      </c>
      <c r="O9" s="765">
        <f>VLOOKUP($I$1&amp;O$8,DATA!$A:$EB,'2412'!$A9,0)/100</f>
        <v/>
      </c>
      <c r="P9" s="765">
        <f>VLOOKUP($I$1&amp;P$8,DATA!$A:$EB,'2412'!$A9,0)/100</f>
        <v/>
      </c>
      <c r="Q9" s="765">
        <f>VLOOKUP($I$1&amp;Q$8,DATA!$A:$EB,'2412'!$A9,0)/100</f>
        <v/>
      </c>
      <c r="R9" s="765">
        <f>VLOOKUP($I$1&amp;R$8,DATA!$A:$EB,'2412'!$A9,0)/100</f>
        <v/>
      </c>
      <c r="S9" s="765">
        <f>VLOOKUP($I$1&amp;S$8,DATA!$A:$EB,'2412'!$A9,0)/100</f>
        <v/>
      </c>
      <c r="T9" s="764">
        <f>VLOOKUP($I$1&amp;T$8,DATA!$A:$EB,'2412'!$A9,0)/100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VLOOKUP($I$1&amp;I$8,DATA!$A:$EB,'2412'!$A10,0)/100</f>
        <v/>
      </c>
      <c r="J10" s="768">
        <f>VLOOKUP($I$1&amp;J$8,DATA!$A:$EB,'2412'!$A10,0)/100</f>
        <v/>
      </c>
      <c r="K10" s="768">
        <f>VLOOKUP($I$1&amp;K$8,DATA!$A:$EB,'2412'!$A10,0)/100</f>
        <v/>
      </c>
      <c r="L10" s="768">
        <f>VLOOKUP($I$1&amp;L$8,DATA!$A:$EB,'2412'!$A10,0)/100</f>
        <v/>
      </c>
      <c r="M10" s="768">
        <f>VLOOKUP($I$1&amp;M$8,DATA!$A:$EB,'2412'!$A10,0)/100</f>
        <v/>
      </c>
      <c r="N10" s="768">
        <f>VLOOKUP($I$1&amp;N$8,DATA!$A:$EB,'2412'!$A10,0)/100</f>
        <v/>
      </c>
      <c r="O10" s="768">
        <f>VLOOKUP($I$1&amp;O$8,DATA!$A:$EB,'2412'!$A10,0)/100</f>
        <v/>
      </c>
      <c r="P10" s="768">
        <f>VLOOKUP($I$1&amp;P$8,DATA!$A:$EB,'2412'!$A10,0)/100</f>
        <v/>
      </c>
      <c r="Q10" s="768">
        <f>VLOOKUP($I$1&amp;Q$8,DATA!$A:$EB,'2412'!$A10,0)/100</f>
        <v/>
      </c>
      <c r="R10" s="768">
        <f>VLOOKUP($I$1&amp;R$8,DATA!$A:$EB,'2412'!$A10,0)/100</f>
        <v/>
      </c>
      <c r="S10" s="768">
        <f>VLOOKUP($I$1&amp;S$8,DATA!$A:$EB,'2412'!$A10,0)/100</f>
        <v/>
      </c>
      <c r="T10" s="767">
        <f>VLOOKUP($I$1&amp;T$8,DATA!$A:$EB,'2412'!$A10,0)/100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VLOOKUP($I$1&amp;I$8,DATA!$A:$EB,'2412'!$A12,0)/100</f>
        <v/>
      </c>
      <c r="J12" s="768">
        <f>VLOOKUP($I$1&amp;J$8,DATA!$A:$EB,'2412'!$A12,0)/100</f>
        <v/>
      </c>
      <c r="K12" s="768">
        <f>VLOOKUP($I$1&amp;K$8,DATA!$A:$EB,'2412'!$A12,0)/100</f>
        <v/>
      </c>
      <c r="L12" s="768">
        <f>VLOOKUP($I$1&amp;L$8,DATA!$A:$EB,'2412'!$A12,0)/100</f>
        <v/>
      </c>
      <c r="M12" s="768">
        <f>VLOOKUP($I$1&amp;M$8,DATA!$A:$EB,'2412'!$A12,0)/100</f>
        <v/>
      </c>
      <c r="N12" s="768">
        <f>VLOOKUP($I$1&amp;N$8,DATA!$A:$EB,'2412'!$A12,0)/100</f>
        <v/>
      </c>
      <c r="O12" s="768">
        <f>VLOOKUP($I$1&amp;O$8,DATA!$A:$EB,'2412'!$A12,0)/100</f>
        <v/>
      </c>
      <c r="P12" s="768">
        <f>VLOOKUP($I$1&amp;P$8,DATA!$A:$EB,'2412'!$A12,0)/100</f>
        <v/>
      </c>
      <c r="Q12" s="768">
        <f>VLOOKUP($I$1&amp;Q$8,DATA!$A:$EB,'2412'!$A12,0)/100</f>
        <v/>
      </c>
      <c r="R12" s="768">
        <f>VLOOKUP($I$1&amp;R$8,DATA!$A:$EB,'2412'!$A12,0)/100</f>
        <v/>
      </c>
      <c r="S12" s="768">
        <f>VLOOKUP($I$1&amp;S$8,DATA!$A:$EB,'2412'!$A12,0)/100</f>
        <v/>
      </c>
      <c r="T12" s="767">
        <f>VLOOKUP($I$1&amp;T$8,DATA!$A:$EB,'2412'!$A12,0)/100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VLOOKUP($I$1&amp;I$8,DATA!$A:$EB,'2412'!$A13,0)/100</f>
        <v/>
      </c>
      <c r="J13" s="772">
        <f>VLOOKUP($I$1&amp;J$8,DATA!$A:$EB,'2412'!$A13,0)/100</f>
        <v/>
      </c>
      <c r="K13" s="772">
        <f>VLOOKUP($I$1&amp;K$8,DATA!$A:$EB,'2412'!$A13,0)/100</f>
        <v/>
      </c>
      <c r="L13" s="772">
        <f>VLOOKUP($I$1&amp;L$8,DATA!$A:$EB,'2412'!$A13,0)/100</f>
        <v/>
      </c>
      <c r="M13" s="772">
        <f>VLOOKUP($I$1&amp;M$8,DATA!$A:$EB,'2412'!$A13,0)/100</f>
        <v/>
      </c>
      <c r="N13" s="772">
        <f>VLOOKUP($I$1&amp;N$8,DATA!$A:$EB,'2412'!$A13,0)/100</f>
        <v/>
      </c>
      <c r="O13" s="772">
        <f>VLOOKUP($I$1&amp;O$8,DATA!$A:$EB,'2412'!$A13,0)/100</f>
        <v/>
      </c>
      <c r="P13" s="772">
        <f>VLOOKUP($I$1&amp;P$8,DATA!$A:$EB,'2412'!$A13,0)/100</f>
        <v/>
      </c>
      <c r="Q13" s="772">
        <f>VLOOKUP($I$1&amp;Q$8,DATA!$A:$EB,'2412'!$A13,0)/100</f>
        <v/>
      </c>
      <c r="R13" s="772">
        <f>VLOOKUP($I$1&amp;R$8,DATA!$A:$EB,'2412'!$A13,0)/100</f>
        <v/>
      </c>
      <c r="S13" s="772">
        <f>VLOOKUP($I$1&amp;S$8,DATA!$A:$EB,'2412'!$A13,0)/100</f>
        <v/>
      </c>
      <c r="T13" s="771">
        <f>VLOOKUP($I$1&amp;T$8,DATA!$A:$EB,'2412'!$A13,0)/100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VLOOKUP($I$1&amp;I$8,DATA!$A:$EB,'2412'!$A14,0)/100</f>
        <v/>
      </c>
      <c r="J14" s="765">
        <f>VLOOKUP($I$1&amp;J$8,DATA!$A:$EB,'2412'!$A14,0)/100</f>
        <v/>
      </c>
      <c r="K14" s="765">
        <f>VLOOKUP($I$1&amp;K$8,DATA!$A:$EB,'2412'!$A14,0)/100</f>
        <v/>
      </c>
      <c r="L14" s="765">
        <f>VLOOKUP($I$1&amp;L$8,DATA!$A:$EB,'2412'!$A14,0)/100</f>
        <v/>
      </c>
      <c r="M14" s="765">
        <f>VLOOKUP($I$1&amp;M$8,DATA!$A:$EB,'2412'!$A14,0)/100</f>
        <v/>
      </c>
      <c r="N14" s="765">
        <f>VLOOKUP($I$1&amp;N$8,DATA!$A:$EB,'2412'!$A14,0)/100</f>
        <v/>
      </c>
      <c r="O14" s="765">
        <f>VLOOKUP($I$1&amp;O$8,DATA!$A:$EB,'2412'!$A14,0)/100</f>
        <v/>
      </c>
      <c r="P14" s="765">
        <f>VLOOKUP($I$1&amp;P$8,DATA!$A:$EB,'2412'!$A14,0)/100</f>
        <v/>
      </c>
      <c r="Q14" s="765">
        <f>VLOOKUP($I$1&amp;Q$8,DATA!$A:$EB,'2412'!$A14,0)/100</f>
        <v/>
      </c>
      <c r="R14" s="765">
        <f>VLOOKUP($I$1&amp;R$8,DATA!$A:$EB,'2412'!$A14,0)/100</f>
        <v/>
      </c>
      <c r="S14" s="765">
        <f>VLOOKUP($I$1&amp;S$8,DATA!$A:$EB,'2412'!$A14,0)/100</f>
        <v/>
      </c>
      <c r="T14" s="764">
        <f>VLOOKUP($I$1&amp;T$8,DATA!$A:$EB,'2412'!$A14,0)/100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VLOOKUP($I$1&amp;I$8,DATA!$A:$EB,'2412'!$A15,0)/100</f>
        <v/>
      </c>
      <c r="J15" s="768">
        <f>VLOOKUP($I$1&amp;J$8,DATA!$A:$EB,'2412'!$A15,0)/100</f>
        <v/>
      </c>
      <c r="K15" s="768">
        <f>VLOOKUP($I$1&amp;K$8,DATA!$A:$EB,'2412'!$A15,0)/100</f>
        <v/>
      </c>
      <c r="L15" s="768">
        <f>VLOOKUP($I$1&amp;L$8,DATA!$A:$EB,'2412'!$A15,0)/100</f>
        <v/>
      </c>
      <c r="M15" s="768">
        <f>VLOOKUP($I$1&amp;M$8,DATA!$A:$EB,'2412'!$A15,0)/100</f>
        <v/>
      </c>
      <c r="N15" s="768">
        <f>VLOOKUP($I$1&amp;N$8,DATA!$A:$EB,'2412'!$A15,0)/100</f>
        <v/>
      </c>
      <c r="O15" s="768">
        <f>VLOOKUP($I$1&amp;O$8,DATA!$A:$EB,'2412'!$A15,0)/100</f>
        <v/>
      </c>
      <c r="P15" s="768">
        <f>VLOOKUP($I$1&amp;P$8,DATA!$A:$EB,'2412'!$A15,0)/100</f>
        <v/>
      </c>
      <c r="Q15" s="768">
        <f>VLOOKUP($I$1&amp;Q$8,DATA!$A:$EB,'2412'!$A15,0)/100</f>
        <v/>
      </c>
      <c r="R15" s="768">
        <f>VLOOKUP($I$1&amp;R$8,DATA!$A:$EB,'2412'!$A15,0)/100</f>
        <v/>
      </c>
      <c r="S15" s="768">
        <f>VLOOKUP($I$1&amp;S$8,DATA!$A:$EB,'2412'!$A15,0)/100</f>
        <v/>
      </c>
      <c r="T15" s="767">
        <f>VLOOKUP($I$1&amp;T$8,DATA!$A:$EB,'2412'!$A15,0)/100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VLOOKUP($I$1&amp;I$8,DATA!$A:$EB,'2412'!$A16,0)/100</f>
        <v/>
      </c>
      <c r="J16" s="844">
        <f>VLOOKUP($I$1&amp;J$8,DATA!$A:$EB,'2412'!$A16,0)/100</f>
        <v/>
      </c>
      <c r="K16" s="768">
        <f>VLOOKUP($I$1&amp;K$8,DATA!$A:$EB,'2412'!$A16,0)/100</f>
        <v/>
      </c>
      <c r="L16" s="768">
        <f>VLOOKUP($I$1&amp;L$8,DATA!$A:$EB,'2412'!$A16,0)/100</f>
        <v/>
      </c>
      <c r="M16" s="768">
        <f>VLOOKUP($I$1&amp;M$8,DATA!$A:$EB,'2412'!$A16,0)/100</f>
        <v/>
      </c>
      <c r="N16" s="768">
        <f>VLOOKUP($I$1&amp;N$8,DATA!$A:$EB,'2412'!$A16,0)/100</f>
        <v/>
      </c>
      <c r="O16" s="768">
        <f>VLOOKUP($I$1&amp;O$8,DATA!$A:$EB,'2412'!$A16,0)/100</f>
        <v/>
      </c>
      <c r="P16" s="768">
        <f>VLOOKUP($I$1&amp;P$8,DATA!$A:$EB,'2412'!$A16,0)/100</f>
        <v/>
      </c>
      <c r="Q16" s="768">
        <f>VLOOKUP($I$1&amp;Q$8,DATA!$A:$EB,'2412'!$A16,0)/100</f>
        <v/>
      </c>
      <c r="R16" s="768">
        <f>VLOOKUP($I$1&amp;R$8,DATA!$A:$EB,'2412'!$A16,0)/100</f>
        <v/>
      </c>
      <c r="S16" s="768">
        <f>VLOOKUP($I$1&amp;S$8,DATA!$A:$EB,'2412'!$A16,0)/100</f>
        <v/>
      </c>
      <c r="T16" s="767">
        <f>VLOOKUP($I$1&amp;T$8,DATA!$A:$EB,'2412'!$A16,0)/100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VLOOKUP($I$1&amp;I$8,DATA!$A:$EB,'2412'!$A18,0)/100</f>
        <v/>
      </c>
      <c r="J18" s="772">
        <f>VLOOKUP($I$1&amp;J$8,DATA!$A:$EB,'2412'!$A18,0)/100</f>
        <v/>
      </c>
      <c r="K18" s="772">
        <f>VLOOKUP($I$1&amp;K$8,DATA!$A:$EB,'2412'!$A18,0)/100</f>
        <v/>
      </c>
      <c r="L18" s="772">
        <f>VLOOKUP($I$1&amp;L$8,DATA!$A:$EB,'2412'!$A18,0)/100</f>
        <v/>
      </c>
      <c r="M18" s="772">
        <f>VLOOKUP($I$1&amp;M$8,DATA!$A:$EB,'2412'!$A18,0)/100</f>
        <v/>
      </c>
      <c r="N18" s="772">
        <f>VLOOKUP($I$1&amp;N$8,DATA!$A:$EB,'2412'!$A18,0)/100</f>
        <v/>
      </c>
      <c r="O18" s="772">
        <f>VLOOKUP($I$1&amp;O$8,DATA!$A:$EB,'2412'!$A18,0)/100</f>
        <v/>
      </c>
      <c r="P18" s="772">
        <f>VLOOKUP($I$1&amp;P$8,DATA!$A:$EB,'2412'!$A18,0)/100</f>
        <v/>
      </c>
      <c r="Q18" s="772">
        <f>VLOOKUP($I$1&amp;Q$8,DATA!$A:$EB,'2412'!$A18,0)/100</f>
        <v/>
      </c>
      <c r="R18" s="772">
        <f>VLOOKUP($I$1&amp;R$8,DATA!$A:$EB,'2412'!$A18,0)/100</f>
        <v/>
      </c>
      <c r="S18" s="772">
        <f>VLOOKUP($I$1&amp;S$8,DATA!$A:$EB,'2412'!$A18,0)/100</f>
        <v/>
      </c>
      <c r="T18" s="771">
        <f>VLOOKUP($I$1&amp;T$8,DATA!$A:$EB,'2412'!$A18,0)/100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VLOOKUP($I$1&amp;I$8,DATA!$A:$EB,'2412'!$A19,0)/100</f>
        <v/>
      </c>
      <c r="J19" s="765">
        <f>VLOOKUP($I$1&amp;J$8,DATA!$A:$EB,'2412'!$A19,0)/100</f>
        <v/>
      </c>
      <c r="K19" s="765">
        <f>VLOOKUP($I$1&amp;K$8,DATA!$A:$EB,'2412'!$A19,0)/100</f>
        <v/>
      </c>
      <c r="L19" s="765">
        <f>VLOOKUP($I$1&amp;L$8,DATA!$A:$EB,'2412'!$A19,0)/100</f>
        <v/>
      </c>
      <c r="M19" s="765">
        <f>VLOOKUP($I$1&amp;M$8,DATA!$A:$EB,'2412'!$A19,0)/100</f>
        <v/>
      </c>
      <c r="N19" s="765">
        <f>VLOOKUP($I$1&amp;N$8,DATA!$A:$EB,'2412'!$A19,0)/100</f>
        <v/>
      </c>
      <c r="O19" s="765">
        <f>VLOOKUP($I$1&amp;O$8,DATA!$A:$EB,'2412'!$A19,0)/100</f>
        <v/>
      </c>
      <c r="P19" s="765">
        <f>VLOOKUP($I$1&amp;P$8,DATA!$A:$EB,'2412'!$A19,0)/100</f>
        <v/>
      </c>
      <c r="Q19" s="765">
        <f>VLOOKUP($I$1&amp;Q$8,DATA!$A:$EB,'2412'!$A19,0)/100</f>
        <v/>
      </c>
      <c r="R19" s="765">
        <f>VLOOKUP($I$1&amp;R$8,DATA!$A:$EB,'2412'!$A19,0)/100</f>
        <v/>
      </c>
      <c r="S19" s="765">
        <f>VLOOKUP($I$1&amp;S$8,DATA!$A:$EB,'2412'!$A19,0)/100</f>
        <v/>
      </c>
      <c r="T19" s="764">
        <f>VLOOKUP($I$1&amp;T$8,DATA!$A:$EB,'2412'!$A19,0)/100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VLOOKUP($I$1&amp;I$8,DATA!$A:$EB,'2412'!$A22,0)/100</f>
        <v/>
      </c>
      <c r="J22" s="768">
        <f>VLOOKUP($I$1&amp;J$8,DATA!$A:$EB,'2412'!$A22,0)/100</f>
        <v/>
      </c>
      <c r="K22" s="768">
        <f>VLOOKUP($I$1&amp;K$8,DATA!$A:$EB,'2412'!$A22,0)/100</f>
        <v/>
      </c>
      <c r="L22" s="768">
        <f>VLOOKUP($I$1&amp;L$8,DATA!$A:$EB,'2412'!$A22,0)/100</f>
        <v/>
      </c>
      <c r="M22" s="768">
        <f>VLOOKUP($I$1&amp;M$8,DATA!$A:$EB,'2412'!$A22,0)/100</f>
        <v/>
      </c>
      <c r="N22" s="768">
        <f>VLOOKUP($I$1&amp;N$8,DATA!$A:$EB,'2412'!$A22,0)/100</f>
        <v/>
      </c>
      <c r="O22" s="768">
        <f>VLOOKUP($I$1&amp;O$8,DATA!$A:$EB,'2412'!$A22,0)/100</f>
        <v/>
      </c>
      <c r="P22" s="768">
        <f>VLOOKUP($I$1&amp;P$8,DATA!$A:$EB,'2412'!$A22,0)/100</f>
        <v/>
      </c>
      <c r="Q22" s="768">
        <f>VLOOKUP($I$1&amp;Q$8,DATA!$A:$EB,'2412'!$A22,0)/100</f>
        <v/>
      </c>
      <c r="R22" s="768">
        <f>VLOOKUP($I$1&amp;R$8,DATA!$A:$EB,'2412'!$A22,0)/100</f>
        <v/>
      </c>
      <c r="S22" s="768">
        <f>VLOOKUP($I$1&amp;S$8,DATA!$A:$EB,'2412'!$A22,0)/100</f>
        <v/>
      </c>
      <c r="T22" s="767">
        <f>VLOOKUP($I$1&amp;T$8,DATA!$A:$EB,'2412'!$A22,0)/100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VLOOKUP($I$1&amp;I$8,DATA!$A:$EB,'2412'!$A23,0)/100</f>
        <v/>
      </c>
      <c r="J23" s="772">
        <f>VLOOKUP($I$1&amp;J$8,DATA!$A:$EB,'2412'!$A23,0)/100</f>
        <v/>
      </c>
      <c r="K23" s="772">
        <f>VLOOKUP($I$1&amp;K$8,DATA!$A:$EB,'2412'!$A23,0)/100</f>
        <v/>
      </c>
      <c r="L23" s="772">
        <f>VLOOKUP($I$1&amp;L$8,DATA!$A:$EB,'2412'!$A23,0)/100</f>
        <v/>
      </c>
      <c r="M23" s="772">
        <f>VLOOKUP($I$1&amp;M$8,DATA!$A:$EB,'2412'!$A23,0)/100</f>
        <v/>
      </c>
      <c r="N23" s="772">
        <f>VLOOKUP($I$1&amp;N$8,DATA!$A:$EB,'2412'!$A23,0)/100</f>
        <v/>
      </c>
      <c r="O23" s="772">
        <f>VLOOKUP($I$1&amp;O$8,DATA!$A:$EB,'2412'!$A23,0)/100</f>
        <v/>
      </c>
      <c r="P23" s="772">
        <f>VLOOKUP($I$1&amp;P$8,DATA!$A:$EB,'2412'!$A23,0)/100</f>
        <v/>
      </c>
      <c r="Q23" s="772">
        <f>VLOOKUP($I$1&amp;Q$8,DATA!$A:$EB,'2412'!$A23,0)/100</f>
        <v/>
      </c>
      <c r="R23" s="772">
        <f>VLOOKUP($I$1&amp;R$8,DATA!$A:$EB,'2412'!$A23,0)/100</f>
        <v/>
      </c>
      <c r="S23" s="772">
        <f>VLOOKUP($I$1&amp;S$8,DATA!$A:$EB,'2412'!$A23,0)/100</f>
        <v/>
      </c>
      <c r="T23" s="771">
        <f>VLOOKUP($I$1&amp;T$8,DATA!$A:$EB,'2412'!$A23,0)/100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VLOOKUP($I$1&amp;I$8,DATA!$A:$EB,'2412'!$A29,0)/100</f>
        <v/>
      </c>
      <c r="J29" s="765">
        <f>VLOOKUP($I$1&amp;J$8,DATA!$A:$EB,'2412'!$A29,0)/100</f>
        <v/>
      </c>
      <c r="K29" s="765">
        <f>VLOOKUP($I$1&amp;K$8,DATA!$A:$EB,'2412'!$A29,0)/100</f>
        <v/>
      </c>
      <c r="L29" s="765">
        <f>VLOOKUP($I$1&amp;L$8,DATA!$A:$EB,'2412'!$A29,0)/100</f>
        <v/>
      </c>
      <c r="M29" s="765">
        <f>VLOOKUP($I$1&amp;M$8,DATA!$A:$EB,'2412'!$A29,0)/100</f>
        <v/>
      </c>
      <c r="N29" s="765">
        <f>VLOOKUP($I$1&amp;N$8,DATA!$A:$EB,'2412'!$A29,0)/100</f>
        <v/>
      </c>
      <c r="O29" s="765">
        <f>VLOOKUP($I$1&amp;O$8,DATA!$A:$EB,'2412'!$A29,0)/100</f>
        <v/>
      </c>
      <c r="P29" s="765">
        <f>VLOOKUP($I$1&amp;P$8,DATA!$A:$EB,'2412'!$A29,0)/100</f>
        <v/>
      </c>
      <c r="Q29" s="765">
        <f>VLOOKUP($I$1&amp;Q$8,DATA!$A:$EB,'2412'!$A29,0)/100</f>
        <v/>
      </c>
      <c r="R29" s="765">
        <f>VLOOKUP($I$1&amp;R$8,DATA!$A:$EB,'2412'!$A29,0)/100</f>
        <v/>
      </c>
      <c r="S29" s="765">
        <f>VLOOKUP($I$1&amp;S$8,DATA!$A:$EB,'2412'!$A29,0)/100</f>
        <v/>
      </c>
      <c r="T29" s="764">
        <f>VLOOKUP($I$1&amp;T$8,DATA!$A:$EB,'2412'!$A29,0)/100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VLOOKUP($I$1&amp;I$8,DATA!$A:$EB,'2412'!$A36,0)/100</f>
        <v/>
      </c>
      <c r="J36" s="786">
        <f>VLOOKUP($I$1&amp;J$8,DATA!$A:$EB,'2412'!$A36,0)/100</f>
        <v/>
      </c>
      <c r="K36" s="787">
        <f>VLOOKUP($I$1&amp;K$8,DATA!$A:$EB,'2412'!$A36,0)/100</f>
        <v/>
      </c>
      <c r="L36" s="787">
        <f>VLOOKUP($I$1&amp;L$8,DATA!$A:$EB,'2412'!$A36,0)/100</f>
        <v/>
      </c>
      <c r="M36" s="787">
        <f>VLOOKUP($I$1&amp;M$8,DATA!$A:$EB,'2412'!$A36,0)/100</f>
        <v/>
      </c>
      <c r="N36" s="787">
        <f>VLOOKUP($I$1&amp;N$8,DATA!$A:$EB,'2412'!$A36,0)/100</f>
        <v/>
      </c>
      <c r="O36" s="787">
        <f>VLOOKUP($I$1&amp;O$8,DATA!$A:$EB,'2412'!$A36,0)/100</f>
        <v/>
      </c>
      <c r="P36" s="787">
        <f>VLOOKUP($I$1&amp;P$8,DATA!$A:$EB,'2412'!$A36,0)/100</f>
        <v/>
      </c>
      <c r="Q36" s="787">
        <f>VLOOKUP($I$1&amp;Q$8,DATA!$A:$EB,'2412'!$A36,0)/100</f>
        <v/>
      </c>
      <c r="R36" s="787">
        <f>VLOOKUP($I$1&amp;R$8,DATA!$A:$EB,'2412'!$A36,0)/100</f>
        <v/>
      </c>
      <c r="S36" s="787">
        <f>VLOOKUP($I$1&amp;S$8,DATA!$A:$EB,'2412'!$A36,0)/100</f>
        <v/>
      </c>
      <c r="T36" s="787">
        <f>VLOOKUP($I$1&amp;T$8,DATA!$A:$EB,'2412'!$A36,0)/100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VLOOKUP($I$1&amp;I$8,DATA!$A:$EB,'2412'!$A38,0)/100</f>
        <v/>
      </c>
      <c r="J38" s="786">
        <f>VLOOKUP($I$1&amp;J$8,DATA!$A:$EB,'2412'!$A38,0)/100</f>
        <v/>
      </c>
      <c r="K38" s="786">
        <f>VLOOKUP($I$1&amp;K$8,DATA!$A:$EB,'2412'!$A38,0)/100</f>
        <v/>
      </c>
      <c r="L38" s="786">
        <f>VLOOKUP($I$1&amp;L$8,DATA!$A:$EB,'2412'!$A38,0)/100</f>
        <v/>
      </c>
      <c r="M38" s="786">
        <f>VLOOKUP($I$1&amp;M$8,DATA!$A:$EB,'2412'!$A38,0)/100</f>
        <v/>
      </c>
      <c r="N38" s="786">
        <f>VLOOKUP($I$1&amp;N$8,DATA!$A:$EB,'2412'!$A38,0)/100</f>
        <v/>
      </c>
      <c r="O38" s="786">
        <f>VLOOKUP($I$1&amp;O$8,DATA!$A:$EB,'2412'!$A38,0)/100</f>
        <v/>
      </c>
      <c r="P38" s="786">
        <f>VLOOKUP($I$1&amp;P$8,DATA!$A:$EB,'2412'!$A38,0)/100</f>
        <v/>
      </c>
      <c r="Q38" s="786">
        <f>VLOOKUP($I$1&amp;Q$8,DATA!$A:$EB,'2412'!$A38,0)/100</f>
        <v/>
      </c>
      <c r="R38" s="786">
        <f>VLOOKUP($I$1&amp;R$8,DATA!$A:$EB,'2412'!$A38,0)/100</f>
        <v/>
      </c>
      <c r="S38" s="786">
        <f>VLOOKUP($I$1&amp;S$8,DATA!$A:$EB,'2412'!$A38,0)/100</f>
        <v/>
      </c>
      <c r="T38" s="786">
        <f>VLOOKUP($I$1&amp;T$8,DATA!$A:$EB,'2412'!$A38,0)/100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VLOOKUP($I$1&amp;I$8,DATA!$A:$EB,'2412'!$A39,0)/100</f>
        <v/>
      </c>
      <c r="J39" s="786">
        <f>VLOOKUP($I$1&amp;J$8,DATA!$A:$EB,'2412'!$A39,0)/100</f>
        <v/>
      </c>
      <c r="K39" s="786">
        <f>VLOOKUP($I$1&amp;K$8,DATA!$A:$EB,'2412'!$A39,0)/100</f>
        <v/>
      </c>
      <c r="L39" s="786">
        <f>VLOOKUP($I$1&amp;L$8,DATA!$A:$EB,'2412'!$A39,0)/100</f>
        <v/>
      </c>
      <c r="M39" s="786">
        <f>VLOOKUP($I$1&amp;M$8,DATA!$A:$EB,'2412'!$A39,0)/100</f>
        <v/>
      </c>
      <c r="N39" s="786">
        <f>VLOOKUP($I$1&amp;N$8,DATA!$A:$EB,'2412'!$A39,0)/100</f>
        <v/>
      </c>
      <c r="O39" s="786">
        <f>VLOOKUP($I$1&amp;O$8,DATA!$A:$EB,'2412'!$A39,0)/100</f>
        <v/>
      </c>
      <c r="P39" s="786">
        <f>VLOOKUP($I$1&amp;P$8,DATA!$A:$EB,'2412'!$A39,0)/100</f>
        <v/>
      </c>
      <c r="Q39" s="786">
        <f>VLOOKUP($I$1&amp;Q$8,DATA!$A:$EB,'2412'!$A39,0)/100</f>
        <v/>
      </c>
      <c r="R39" s="786">
        <f>VLOOKUP($I$1&amp;R$8,DATA!$A:$EB,'2412'!$A39,0)/100</f>
        <v/>
      </c>
      <c r="S39" s="786">
        <f>VLOOKUP($I$1&amp;S$8,DATA!$A:$EB,'2412'!$A39,0)/100</f>
        <v/>
      </c>
      <c r="T39" s="786">
        <f>VLOOKUP($I$1&amp;T$8,DATA!$A:$EB,'2412'!$A39,0)/100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VLOOKUP($I$1&amp;I$8,DATA!$A:$EB,'2412'!$A40,0)/100</f>
        <v/>
      </c>
      <c r="J40" s="786">
        <f>VLOOKUP($I$1&amp;J$8,DATA!$A:$EB,'2412'!$A40,0)/100</f>
        <v/>
      </c>
      <c r="K40" s="786">
        <f>VLOOKUP($I$1&amp;K$8,DATA!$A:$EB,'2412'!$A40,0)/100</f>
        <v/>
      </c>
      <c r="L40" s="786">
        <f>VLOOKUP($I$1&amp;L$8,DATA!$A:$EB,'2412'!$A40,0)/100</f>
        <v/>
      </c>
      <c r="M40" s="786">
        <f>VLOOKUP($I$1&amp;M$8,DATA!$A:$EB,'2412'!$A40,0)/100</f>
        <v/>
      </c>
      <c r="N40" s="786">
        <f>VLOOKUP($I$1&amp;N$8,DATA!$A:$EB,'2412'!$A40,0)/100</f>
        <v/>
      </c>
      <c r="O40" s="786">
        <f>VLOOKUP($I$1&amp;O$8,DATA!$A:$EB,'2412'!$A40,0)/100</f>
        <v/>
      </c>
      <c r="P40" s="786">
        <f>VLOOKUP($I$1&amp;P$8,DATA!$A:$EB,'2412'!$A40,0)/100</f>
        <v/>
      </c>
      <c r="Q40" s="786">
        <f>VLOOKUP($I$1&amp;Q$8,DATA!$A:$EB,'2412'!$A40,0)/100</f>
        <v/>
      </c>
      <c r="R40" s="786">
        <f>VLOOKUP($I$1&amp;R$8,DATA!$A:$EB,'2412'!$A40,0)/100</f>
        <v/>
      </c>
      <c r="S40" s="786">
        <f>VLOOKUP($I$1&amp;S$8,DATA!$A:$EB,'2412'!$A40,0)/100</f>
        <v/>
      </c>
      <c r="T40" s="786">
        <f>VLOOKUP($I$1&amp;T$8,DATA!$A:$EB,'2412'!$A40,0)/100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VLOOKUP($I$1&amp;I$8,DATA!$A:$EB,'2412'!$A46,0)/100</f>
        <v/>
      </c>
      <c r="J46" s="786">
        <f>VLOOKUP($I$1&amp;J$8,DATA!$A:$EB,'2412'!$A46,0)/100</f>
        <v/>
      </c>
      <c r="K46" s="786">
        <f>VLOOKUP($I$1&amp;K$8,DATA!$A:$EB,'2412'!$A46,0)/100</f>
        <v/>
      </c>
      <c r="L46" s="786">
        <f>VLOOKUP($I$1&amp;L$8,DATA!$A:$EB,'2412'!$A46,0)/100</f>
        <v/>
      </c>
      <c r="M46" s="786">
        <f>VLOOKUP($I$1&amp;M$8,DATA!$A:$EB,'2412'!$A46,0)/100</f>
        <v/>
      </c>
      <c r="N46" s="786">
        <f>VLOOKUP($I$1&amp;N$8,DATA!$A:$EB,'2412'!$A46,0)/100</f>
        <v/>
      </c>
      <c r="O46" s="786">
        <f>VLOOKUP($I$1&amp;O$8,DATA!$A:$EB,'2412'!$A46,0)/100</f>
        <v/>
      </c>
      <c r="P46" s="786">
        <f>VLOOKUP($I$1&amp;P$8,DATA!$A:$EB,'2412'!$A46,0)/100</f>
        <v/>
      </c>
      <c r="Q46" s="786">
        <f>VLOOKUP($I$1&amp;Q$8,DATA!$A:$EB,'2412'!$A46,0)/100</f>
        <v/>
      </c>
      <c r="R46" s="786">
        <f>VLOOKUP($I$1&amp;R$8,DATA!$A:$EB,'2412'!$A46,0)/100</f>
        <v/>
      </c>
      <c r="S46" s="786">
        <f>VLOOKUP($I$1&amp;S$8,DATA!$A:$EB,'2412'!$A46,0)/100</f>
        <v/>
      </c>
      <c r="T46" s="786">
        <f>VLOOKUP($I$1&amp;T$8,DATA!$A:$EB,'2412'!$A46,0)/100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VLOOKUP($I$1&amp;I$8,DATA!$A:$EB,'2412'!$A55,0)/100</f>
        <v/>
      </c>
      <c r="J55" s="786">
        <f>VLOOKUP($I$1&amp;J$8,DATA!$A:$EB,'2412'!$A55,0)/100</f>
        <v/>
      </c>
      <c r="K55" s="786">
        <f>VLOOKUP($I$1&amp;K$8,DATA!$A:$EB,'2412'!$A55,0)/100</f>
        <v/>
      </c>
      <c r="L55" s="786">
        <f>VLOOKUP($I$1&amp;L$8,DATA!$A:$EB,'2412'!$A55,0)/100</f>
        <v/>
      </c>
      <c r="M55" s="786">
        <f>VLOOKUP($I$1&amp;M$8,DATA!$A:$EB,'2412'!$A55,0)/100</f>
        <v/>
      </c>
      <c r="N55" s="786">
        <f>VLOOKUP($I$1&amp;N$8,DATA!$A:$EB,'2412'!$A55,0)/100</f>
        <v/>
      </c>
      <c r="O55" s="786">
        <f>VLOOKUP($I$1&amp;O$8,DATA!$A:$EB,'2412'!$A55,0)/100</f>
        <v/>
      </c>
      <c r="P55" s="786">
        <f>VLOOKUP($I$1&amp;P$8,DATA!$A:$EB,'2412'!$A55,0)/100</f>
        <v/>
      </c>
      <c r="Q55" s="786">
        <f>VLOOKUP($I$1&amp;Q$8,DATA!$A:$EB,'2412'!$A55,0)/100</f>
        <v/>
      </c>
      <c r="R55" s="786">
        <f>VLOOKUP($I$1&amp;R$8,DATA!$A:$EB,'2412'!$A55,0)/100</f>
        <v/>
      </c>
      <c r="S55" s="786">
        <f>VLOOKUP($I$1&amp;S$8,DATA!$A:$EB,'2412'!$A55,0)/100</f>
        <v/>
      </c>
      <c r="T55" s="786">
        <f>VLOOKUP($I$1&amp;T$8,DATA!$A:$EB,'2412'!$A55,0)/100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>
        <f>I22-'2406'!I20</f>
        <v/>
      </c>
      <c r="J57" s="786">
        <f>J22-'2406'!J20</f>
        <v/>
      </c>
      <c r="K57" s="786">
        <f>K22-'2406'!K20</f>
        <v/>
      </c>
      <c r="L57" s="786">
        <f>L22-'2406'!L20</f>
        <v/>
      </c>
      <c r="M57" s="786">
        <f>M22-'2406'!M20</f>
        <v/>
      </c>
      <c r="N57" s="786">
        <f>N22-'2406'!N20</f>
        <v/>
      </c>
      <c r="O57" s="786">
        <f>O22-'2406'!O20</f>
        <v/>
      </c>
      <c r="P57" s="786">
        <f>P22-'2406'!P20</f>
        <v/>
      </c>
      <c r="Q57" s="786">
        <f>Q22-'2406'!Q20</f>
        <v/>
      </c>
      <c r="R57" s="786">
        <f>R22-'2406'!R20</f>
        <v/>
      </c>
      <c r="S57" s="786">
        <f>S22-'2406'!S20</f>
        <v/>
      </c>
      <c r="T57" s="786">
        <f>T22-'2406'!T20</f>
        <v/>
      </c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VLOOKUP($I$1&amp;I$8,DATA!$A:$EB,'2412'!$A64,0)/100</f>
        <v/>
      </c>
      <c r="J64" s="792">
        <f>VLOOKUP($I$1&amp;J$8,DATA!$A:$EB,'2412'!$A64,0)/100</f>
        <v/>
      </c>
      <c r="K64" s="792">
        <f>VLOOKUP($I$1&amp;K$8,DATA!$A:$EB,'2412'!$A64,0)/100</f>
        <v/>
      </c>
      <c r="L64" s="792">
        <f>VLOOKUP($I$1&amp;L$8,DATA!$A:$EB,'2412'!$A64,0)/100</f>
        <v/>
      </c>
      <c r="M64" s="792">
        <f>VLOOKUP($I$1&amp;M$8,DATA!$A:$EB,'2412'!$A64,0)/100</f>
        <v/>
      </c>
      <c r="N64" s="792">
        <f>VLOOKUP($I$1&amp;N$8,DATA!$A:$EB,'2412'!$A64,0)/100</f>
        <v/>
      </c>
      <c r="O64" s="793">
        <f>VLOOKUP($I$1&amp;O$8,DATA!$A:$EB,'2412'!$A64,0)/100</f>
        <v/>
      </c>
      <c r="P64" s="793">
        <f>VLOOKUP($I$1&amp;P$8,DATA!$A:$EB,'2412'!$A64,0)/100</f>
        <v/>
      </c>
      <c r="Q64" s="793">
        <f>VLOOKUP($I$1&amp;Q$8,DATA!$A:$EB,'2412'!$A64,0)/100</f>
        <v/>
      </c>
      <c r="R64" s="793">
        <f>VLOOKUP($I$1&amp;R$8,DATA!$A:$EB,'2412'!$A64,0)/100</f>
        <v/>
      </c>
      <c r="S64" s="793">
        <f>VLOOKUP($I$1&amp;S$8,DATA!$A:$EB,'2412'!$A64,0)/100</f>
        <v/>
      </c>
      <c r="T64" s="793">
        <f>VLOOKUP($I$1&amp;T$8,DATA!$A:$EB,'2412'!$A64,0)/100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VLOOKUP($I$1&amp;I$8,DATA!$A:$EB,'2412'!$A67,0)/100</f>
        <v/>
      </c>
      <c r="J67" s="790">
        <f>VLOOKUP($I$1&amp;J$8,DATA!$A:$EB,'2412'!$A67,0)/100</f>
        <v/>
      </c>
      <c r="K67" s="790">
        <f>VLOOKUP($I$1&amp;K$8,DATA!$A:$EB,'2412'!$A67,0)/100</f>
        <v/>
      </c>
      <c r="L67" s="790">
        <f>VLOOKUP($I$1&amp;L$8,DATA!$A:$EB,'2412'!$A67,0)/100</f>
        <v/>
      </c>
      <c r="M67" s="790">
        <f>VLOOKUP($I$1&amp;M$8,DATA!$A:$EB,'2412'!$A67,0)/100</f>
        <v/>
      </c>
      <c r="N67" s="790">
        <f>VLOOKUP($I$1&amp;N$8,DATA!$A:$EB,'2412'!$A67,0)/100</f>
        <v/>
      </c>
      <c r="O67" s="790">
        <f>VLOOKUP($I$1&amp;O$8,DATA!$A:$EB,'2412'!$A67,0)/100</f>
        <v/>
      </c>
      <c r="P67" s="790">
        <f>VLOOKUP($I$1&amp;P$8,DATA!$A:$EB,'2412'!$A67,0)/100</f>
        <v/>
      </c>
      <c r="Q67" s="790">
        <f>VLOOKUP($I$1&amp;Q$8,DATA!$A:$EB,'2412'!$A67,0)/100</f>
        <v/>
      </c>
      <c r="R67" s="790">
        <f>VLOOKUP($I$1&amp;R$8,DATA!$A:$EB,'2412'!$A67,0)/100</f>
        <v/>
      </c>
      <c r="S67" s="790">
        <f>VLOOKUP($I$1&amp;S$8,DATA!$A:$EB,'2412'!$A67,0)/100</f>
        <v/>
      </c>
      <c r="T67" s="791">
        <f>VLOOKUP($I$1&amp;T$8,DATA!$A:$EB,'2412'!$A67,0)/100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VLOOKUP($I$1&amp;I$8,DATA!$A:$EB,'2412'!$A74,0)/100</f>
        <v/>
      </c>
      <c r="J74" s="790">
        <f>VLOOKUP($I$1&amp;J$8,DATA!$A:$EB,'2412'!$A74,0)/100</f>
        <v/>
      </c>
      <c r="K74" s="790">
        <f>VLOOKUP($I$1&amp;K$8,DATA!$A:$EB,'2412'!$A74,0)/100</f>
        <v/>
      </c>
      <c r="L74" s="790">
        <f>VLOOKUP($I$1&amp;L$8,DATA!$A:$EB,'2412'!$A74,0)/100</f>
        <v/>
      </c>
      <c r="M74" s="790">
        <f>VLOOKUP($I$1&amp;M$8,DATA!$A:$EB,'2412'!$A74,0)/100</f>
        <v/>
      </c>
      <c r="N74" s="790">
        <f>VLOOKUP($I$1&amp;N$8,DATA!$A:$EB,'2412'!$A74,0)/100</f>
        <v/>
      </c>
      <c r="O74" s="790">
        <f>VLOOKUP($I$1&amp;O$8,DATA!$A:$EB,'2412'!$A74,0)/100</f>
        <v/>
      </c>
      <c r="P74" s="790">
        <f>VLOOKUP($I$1&amp;P$8,DATA!$A:$EB,'2412'!$A74,0)/100</f>
        <v/>
      </c>
      <c r="Q74" s="790">
        <f>VLOOKUP($I$1&amp;Q$8,DATA!$A:$EB,'2412'!$A74,0)/100</f>
        <v/>
      </c>
      <c r="R74" s="790">
        <f>VLOOKUP($I$1&amp;R$8,DATA!$A:$EB,'2412'!$A74,0)/100</f>
        <v/>
      </c>
      <c r="S74" s="790">
        <f>VLOOKUP($I$1&amp;S$8,DATA!$A:$EB,'2412'!$A74,0)/100</f>
        <v/>
      </c>
      <c r="T74" s="791">
        <f>VLOOKUP($I$1&amp;T$8,DATA!$A:$EB,'2412'!$A74,0)/100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I74/I19</f>
        <v/>
      </c>
      <c r="J75" s="805">
        <f>J74/J19</f>
        <v/>
      </c>
      <c r="K75" s="805">
        <f>K74/K19</f>
        <v/>
      </c>
      <c r="L75" s="805">
        <f>L74/L19</f>
        <v/>
      </c>
      <c r="M75" s="805">
        <f>M74/M19</f>
        <v/>
      </c>
      <c r="N75" s="805">
        <f>N74/N19</f>
        <v/>
      </c>
      <c r="O75" s="805">
        <f>O74/O19</f>
        <v/>
      </c>
      <c r="P75" s="805">
        <f>P74/P19</f>
        <v/>
      </c>
      <c r="Q75" s="805">
        <f>Q74/Q19</f>
        <v/>
      </c>
      <c r="R75" s="805">
        <f>R74/R19</f>
        <v/>
      </c>
      <c r="S75" s="805">
        <f>S74/S19</f>
        <v/>
      </c>
      <c r="T75" s="806">
        <f>T74/T19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VLOOKUP($I$1&amp;I$8,DATA!$A:$EB,'2412'!$A79,0)/100</f>
        <v/>
      </c>
      <c r="J79" s="786">
        <f>VLOOKUP($I$1&amp;J$8,DATA!$A:$EB,'2412'!$A79,0)/100</f>
        <v/>
      </c>
      <c r="K79" s="786">
        <f>VLOOKUP($I$1&amp;K$8,DATA!$A:$EB,'2412'!$A79,0)/100</f>
        <v/>
      </c>
      <c r="L79" s="786">
        <f>VLOOKUP($I$1&amp;L$8,DATA!$A:$EB,'2412'!$A79,0)/100</f>
        <v/>
      </c>
      <c r="M79" s="786">
        <f>VLOOKUP($I$1&amp;M$8,DATA!$A:$EB,'2412'!$A79,0)/100</f>
        <v/>
      </c>
      <c r="N79" s="786">
        <f>VLOOKUP($I$1&amp;N$8,DATA!$A:$EB,'2412'!$A79,0)/100</f>
        <v/>
      </c>
      <c r="O79" s="786">
        <f>VLOOKUP($I$1&amp;O$8,DATA!$A:$EB,'2412'!$A79,0)/100</f>
        <v/>
      </c>
      <c r="P79" s="786">
        <f>VLOOKUP($I$1&amp;P$8,DATA!$A:$EB,'2412'!$A79,0)/100</f>
        <v/>
      </c>
      <c r="Q79" s="786">
        <f>VLOOKUP($I$1&amp;Q$8,DATA!$A:$EB,'2412'!$A79,0)/100</f>
        <v/>
      </c>
      <c r="R79" s="786">
        <f>VLOOKUP($I$1&amp;R$8,DATA!$A:$EB,'2412'!$A79,0)/100</f>
        <v/>
      </c>
      <c r="S79" s="786">
        <f>VLOOKUP($I$1&amp;S$8,DATA!$A:$EB,'2412'!$A79,0)/100</f>
        <v/>
      </c>
      <c r="T79" s="786">
        <f>VLOOKUP($I$1&amp;T$8,DATA!$A:$EB,'2412'!$A79,0)/100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VLOOKUP($I$1&amp;I$8,DATA!$A:$EB,'2412'!$A80,0)/100</f>
        <v/>
      </c>
      <c r="J80" s="786">
        <f>VLOOKUP($I$1&amp;J$8,DATA!$A:$EB,'2412'!$A80,0)/100</f>
        <v/>
      </c>
      <c r="K80" s="786">
        <f>VLOOKUP($I$1&amp;K$8,DATA!$A:$EB,'2412'!$A80,0)/100</f>
        <v/>
      </c>
      <c r="L80" s="786">
        <f>VLOOKUP($I$1&amp;L$8,DATA!$A:$EB,'2412'!$A80,0)/100</f>
        <v/>
      </c>
      <c r="M80" s="786">
        <f>VLOOKUP($I$1&amp;M$8,DATA!$A:$EB,'2412'!$A80,0)/100</f>
        <v/>
      </c>
      <c r="N80" s="786">
        <f>VLOOKUP($I$1&amp;N$8,DATA!$A:$EB,'2412'!$A80,0)/100</f>
        <v/>
      </c>
      <c r="O80" s="786">
        <f>VLOOKUP($I$1&amp;O$8,DATA!$A:$EB,'2412'!$A80,0)/100</f>
        <v/>
      </c>
      <c r="P80" s="786">
        <f>VLOOKUP($I$1&amp;P$8,DATA!$A:$EB,'2412'!$A80,0)/100</f>
        <v/>
      </c>
      <c r="Q80" s="786">
        <f>VLOOKUP($I$1&amp;Q$8,DATA!$A:$EB,'2412'!$A80,0)/100</f>
        <v/>
      </c>
      <c r="R80" s="786">
        <f>VLOOKUP($I$1&amp;R$8,DATA!$A:$EB,'2412'!$A80,0)/100</f>
        <v/>
      </c>
      <c r="S80" s="786">
        <f>VLOOKUP($I$1&amp;S$8,DATA!$A:$EB,'2412'!$A80,0)/100</f>
        <v/>
      </c>
      <c r="T80" s="786">
        <f>VLOOKUP($I$1&amp;T$8,DATA!$A:$EB,'2412'!$A80,0)/100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VLOOKUP($I$1&amp;I$8,DATA!$A:$EB,'2412'!$A81,0)/100</f>
        <v/>
      </c>
      <c r="J81" s="786">
        <f>VLOOKUP($I$1&amp;J$8,DATA!$A:$EB,'2412'!$A81,0)/100</f>
        <v/>
      </c>
      <c r="K81" s="786">
        <f>VLOOKUP($I$1&amp;K$8,DATA!$A:$EB,'2412'!$A81,0)/100</f>
        <v/>
      </c>
      <c r="L81" s="786">
        <f>VLOOKUP($I$1&amp;L$8,DATA!$A:$EB,'2412'!$A81,0)/100</f>
        <v/>
      </c>
      <c r="M81" s="786">
        <f>VLOOKUP($I$1&amp;M$8,DATA!$A:$EB,'2412'!$A81,0)/100</f>
        <v/>
      </c>
      <c r="N81" s="786">
        <f>VLOOKUP($I$1&amp;N$8,DATA!$A:$EB,'2412'!$A81,0)/100</f>
        <v/>
      </c>
      <c r="O81" s="786">
        <f>VLOOKUP($I$1&amp;O$8,DATA!$A:$EB,'2412'!$A81,0)/100</f>
        <v/>
      </c>
      <c r="P81" s="786">
        <f>VLOOKUP($I$1&amp;P$8,DATA!$A:$EB,'2412'!$A81,0)/100</f>
        <v/>
      </c>
      <c r="Q81" s="786">
        <f>VLOOKUP($I$1&amp;Q$8,DATA!$A:$EB,'2412'!$A81,0)/100</f>
        <v/>
      </c>
      <c r="R81" s="786">
        <f>VLOOKUP($I$1&amp;R$8,DATA!$A:$EB,'2412'!$A81,0)/100</f>
        <v/>
      </c>
      <c r="S81" s="786">
        <f>VLOOKUP($I$1&amp;S$8,DATA!$A:$EB,'2412'!$A81,0)/100</f>
        <v/>
      </c>
      <c r="T81" s="786">
        <f>VLOOKUP($I$1&amp;T$8,DATA!$A:$EB,'2412'!$A81,0)/100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VLOOKUP($I$1&amp;I$8,DATA!$A:$EB,'2412'!$A82,0)/100</f>
        <v/>
      </c>
      <c r="J82" s="786">
        <f>VLOOKUP($I$1&amp;J$8,DATA!$A:$EB,'2412'!$A82,0)/100</f>
        <v/>
      </c>
      <c r="K82" s="786">
        <f>VLOOKUP($I$1&amp;K$8,DATA!$A:$EB,'2412'!$A82,0)/100</f>
        <v/>
      </c>
      <c r="L82" s="786">
        <f>VLOOKUP($I$1&amp;L$8,DATA!$A:$EB,'2412'!$A82,0)/100</f>
        <v/>
      </c>
      <c r="M82" s="786">
        <f>VLOOKUP($I$1&amp;M$8,DATA!$A:$EB,'2412'!$A82,0)/100</f>
        <v/>
      </c>
      <c r="N82" s="786">
        <f>VLOOKUP($I$1&amp;N$8,DATA!$A:$EB,'2412'!$A82,0)/100</f>
        <v/>
      </c>
      <c r="O82" s="786">
        <f>VLOOKUP($I$1&amp;O$8,DATA!$A:$EB,'2412'!$A82,0)/100</f>
        <v/>
      </c>
      <c r="P82" s="786">
        <f>VLOOKUP($I$1&amp;P$8,DATA!$A:$EB,'2412'!$A82,0)/100</f>
        <v/>
      </c>
      <c r="Q82" s="786">
        <f>VLOOKUP($I$1&amp;Q$8,DATA!$A:$EB,'2412'!$A82,0)/100</f>
        <v/>
      </c>
      <c r="R82" s="786">
        <f>VLOOKUP($I$1&amp;R$8,DATA!$A:$EB,'2412'!$A82,0)/100</f>
        <v/>
      </c>
      <c r="S82" s="786">
        <f>VLOOKUP($I$1&amp;S$8,DATA!$A:$EB,'2412'!$A82,0)/100</f>
        <v/>
      </c>
      <c r="T82" s="786">
        <f>VLOOKUP($I$1&amp;T$8,DATA!$A:$EB,'2412'!$A82,0)/100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VLOOKUP($I$1&amp;I$8,DATA!$A:$EB,'2412'!$A92,0)</f>
        <v/>
      </c>
      <c r="J92" s="808">
        <f>VLOOKUP($I$1&amp;J$8,DATA!$A:$EB,'2412'!$A92,0)</f>
        <v/>
      </c>
      <c r="K92" s="808">
        <f>VLOOKUP($I$1&amp;K$8,DATA!$A:$EB,'2412'!$A92,0)</f>
        <v/>
      </c>
      <c r="L92" s="808">
        <f>VLOOKUP($I$1&amp;L$8,DATA!$A:$EB,'2412'!$A92,0)</f>
        <v/>
      </c>
      <c r="M92" s="808">
        <f>VLOOKUP($I$1&amp;M$8,DATA!$A:$EB,'2412'!$A92,0)</f>
        <v/>
      </c>
      <c r="N92" s="808">
        <f>VLOOKUP($I$1&amp;N$8,DATA!$A:$EB,'2412'!$A92,0)</f>
        <v/>
      </c>
      <c r="O92" s="808">
        <f>VLOOKUP($I$1&amp;O$8,DATA!$A:$EB,'2412'!$A92,0)</f>
        <v/>
      </c>
      <c r="P92" s="808">
        <f>VLOOKUP($I$1&amp;P$8,DATA!$A:$EB,'2412'!$A92,0)</f>
        <v/>
      </c>
      <c r="Q92" s="808">
        <f>VLOOKUP($I$1&amp;Q$8,DATA!$A:$EB,'2412'!$A92,0)</f>
        <v/>
      </c>
      <c r="R92" s="808">
        <f>VLOOKUP($I$1&amp;R$8,DATA!$A:$EB,'2412'!$A92,0)</f>
        <v/>
      </c>
      <c r="S92" s="808">
        <f>VLOOKUP($I$1&amp;S$8,DATA!$A:$EB,'2412'!$A92,0)</f>
        <v/>
      </c>
      <c r="T92" s="808">
        <f>VLOOKUP($I$1&amp;T$8,DATA!$A:$EB,'2412'!$A92,0)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VLOOKUP($I$1&amp;I$8,DATA!$A:$EB,'2412'!$A93,0)/100</f>
        <v/>
      </c>
      <c r="J93" s="798">
        <f>VLOOKUP($I$1&amp;J$8,DATA!$A:$EB,'2412'!$A93,0)/100</f>
        <v/>
      </c>
      <c r="K93" s="798">
        <f>VLOOKUP($I$1&amp;K$8,DATA!$A:$EB,'2412'!$A93,0)/100</f>
        <v/>
      </c>
      <c r="L93" s="798">
        <f>VLOOKUP($I$1&amp;L$8,DATA!$A:$EB,'2412'!$A93,0)/100</f>
        <v/>
      </c>
      <c r="M93" s="798">
        <f>VLOOKUP($I$1&amp;M$8,DATA!$A:$EB,'2412'!$A93,0)/100</f>
        <v/>
      </c>
      <c r="N93" s="798">
        <f>VLOOKUP($I$1&amp;N$8,DATA!$A:$EB,'2412'!$A93,0)/100</f>
        <v/>
      </c>
      <c r="O93" s="799">
        <f>VLOOKUP($I$1&amp;O$8,DATA!$A:$EB,'2412'!$A93,0)/100</f>
        <v/>
      </c>
      <c r="P93" s="799">
        <f>VLOOKUP($I$1&amp;P$8,DATA!$A:$EB,'2412'!$A93,0)/100</f>
        <v/>
      </c>
      <c r="Q93" s="799">
        <f>VLOOKUP($I$1&amp;Q$8,DATA!$A:$EB,'2412'!$A93,0)/100</f>
        <v/>
      </c>
      <c r="R93" s="799">
        <f>VLOOKUP($I$1&amp;R$8,DATA!$A:$EB,'2412'!$A93,0)/100</f>
        <v/>
      </c>
      <c r="S93" s="799">
        <f>VLOOKUP($I$1&amp;S$8,DATA!$A:$EB,'2412'!$A93,0)/100</f>
        <v/>
      </c>
      <c r="T93" s="799">
        <f>VLOOKUP($I$1&amp;T$8,DATA!$A:$EB,'2412'!$A93,0)/100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VLOOKUP($I$1&amp;I$8,DATA!$A:$EB,'2412'!$A94,0)/100</f>
        <v/>
      </c>
      <c r="J94" s="803">
        <f>VLOOKUP($I$1&amp;J$8,DATA!$A:$EB,'2412'!$A94,0)/100</f>
        <v/>
      </c>
      <c r="K94" s="803">
        <f>VLOOKUP($I$1&amp;K$8,DATA!$A:$EB,'2412'!$A94,0)/100</f>
        <v/>
      </c>
      <c r="L94" s="803">
        <f>VLOOKUP($I$1&amp;L$8,DATA!$A:$EB,'2412'!$A94,0)/100</f>
        <v/>
      </c>
      <c r="M94" s="803">
        <f>VLOOKUP($I$1&amp;M$8,DATA!$A:$EB,'2412'!$A94,0)/100</f>
        <v/>
      </c>
      <c r="N94" s="803">
        <f>VLOOKUP($I$1&amp;N$8,DATA!$A:$EB,'2412'!$A94,0)/100</f>
        <v/>
      </c>
      <c r="O94" s="804">
        <f>VLOOKUP($I$1&amp;O$8,DATA!$A:$EB,'2412'!$A94,0)/100</f>
        <v/>
      </c>
      <c r="P94" s="804">
        <f>VLOOKUP($I$1&amp;P$8,DATA!$A:$EB,'2412'!$A94,0)/100</f>
        <v/>
      </c>
      <c r="Q94" s="804">
        <f>VLOOKUP($I$1&amp;Q$8,DATA!$A:$EB,'2412'!$A94,0)/100</f>
        <v/>
      </c>
      <c r="R94" s="804">
        <f>VLOOKUP($I$1&amp;R$8,DATA!$A:$EB,'2412'!$A94,0)/100</f>
        <v/>
      </c>
      <c r="S94" s="804">
        <f>VLOOKUP($I$1&amp;S$8,DATA!$A:$EB,'2412'!$A94,0)/100</f>
        <v/>
      </c>
      <c r="T94" s="804">
        <f>VLOOKUP($I$1&amp;T$8,DATA!$A:$EB,'2412'!$A94,0)/100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VLOOKUP($I$1&amp;I$8,DATA!$A:$EB,'2412'!$A100,0)</f>
        <v/>
      </c>
      <c r="J100" s="808">
        <f>VLOOKUP($I$1&amp;J$8,DATA!$A:$EB,'2412'!$A100,0)</f>
        <v/>
      </c>
      <c r="K100" s="808">
        <f>VLOOKUP($I$1&amp;K$8,DATA!$A:$EB,'2412'!$A100,0)</f>
        <v/>
      </c>
      <c r="L100" s="808">
        <f>VLOOKUP($I$1&amp;L$8,DATA!$A:$EB,'2412'!$A100,0)</f>
        <v/>
      </c>
      <c r="M100" s="808">
        <f>VLOOKUP($I$1&amp;M$8,DATA!$A:$EB,'2412'!$A100,0)</f>
        <v/>
      </c>
      <c r="N100" s="808">
        <f>VLOOKUP($I$1&amp;N$8,DATA!$A:$EB,'2412'!$A100,0)</f>
        <v/>
      </c>
      <c r="O100" s="808">
        <f>VLOOKUP($I$1&amp;O$8,DATA!$A:$EB,'2412'!$A100,0)</f>
        <v/>
      </c>
      <c r="P100" s="808">
        <f>VLOOKUP($I$1&amp;P$8,DATA!$A:$EB,'2412'!$A100,0)</f>
        <v/>
      </c>
      <c r="Q100" s="808">
        <f>VLOOKUP($I$1&amp;Q$8,DATA!$A:$EB,'2412'!$A100,0)</f>
        <v/>
      </c>
      <c r="R100" s="808">
        <f>VLOOKUP($I$1&amp;R$8,DATA!$A:$EB,'2412'!$A100,0)</f>
        <v/>
      </c>
      <c r="S100" s="808">
        <f>VLOOKUP($I$1&amp;S$8,DATA!$A:$EB,'2412'!$A100,0)</f>
        <v/>
      </c>
      <c r="T100" s="808">
        <f>VLOOKUP($I$1&amp;T$8,DATA!$A:$EB,'2412'!$A100,0)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VLOOKUP($I$1&amp;I$8,DATA!$A:$EB,'2412'!$A101,0)/100</f>
        <v/>
      </c>
      <c r="J101" s="798">
        <f>VLOOKUP($I$1&amp;J$8,DATA!$A:$EB,'2412'!$A101,0)/100</f>
        <v/>
      </c>
      <c r="K101" s="798">
        <f>VLOOKUP($I$1&amp;K$8,DATA!$A:$EB,'2412'!$A101,0)/100</f>
        <v/>
      </c>
      <c r="L101" s="798">
        <f>VLOOKUP($I$1&amp;L$8,DATA!$A:$EB,'2412'!$A101,0)/100</f>
        <v/>
      </c>
      <c r="M101" s="798">
        <f>VLOOKUP($I$1&amp;M$8,DATA!$A:$EB,'2412'!$A101,0)/100</f>
        <v/>
      </c>
      <c r="N101" s="798">
        <f>VLOOKUP($I$1&amp;N$8,DATA!$A:$EB,'2412'!$A101,0)/100</f>
        <v/>
      </c>
      <c r="O101" s="799">
        <f>VLOOKUP($I$1&amp;O$8,DATA!$A:$EB,'2412'!$A101,0)/100</f>
        <v/>
      </c>
      <c r="P101" s="799">
        <f>VLOOKUP($I$1&amp;P$8,DATA!$A:$EB,'2412'!$A101,0)/100</f>
        <v/>
      </c>
      <c r="Q101" s="799">
        <f>VLOOKUP($I$1&amp;Q$8,DATA!$A:$EB,'2412'!$A101,0)/100</f>
        <v/>
      </c>
      <c r="R101" s="799">
        <f>VLOOKUP($I$1&amp;R$8,DATA!$A:$EB,'2412'!$A101,0)/100</f>
        <v/>
      </c>
      <c r="S101" s="799">
        <f>VLOOKUP($I$1&amp;S$8,DATA!$A:$EB,'2412'!$A101,0)/100</f>
        <v/>
      </c>
      <c r="T101" s="799">
        <f>VLOOKUP($I$1&amp;T$8,DATA!$A:$EB,'2412'!$A101,0)/100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803">
        <f>VLOOKUP($I$1&amp;I$8,DATA!$A:$EB,'2412'!$A102,0)/100</f>
        <v/>
      </c>
      <c r="J102" s="803">
        <f>VLOOKUP($I$1&amp;J$8,DATA!$A:$EB,'2412'!$A102,0)/100</f>
        <v/>
      </c>
      <c r="K102" s="803">
        <f>VLOOKUP($I$1&amp;K$8,DATA!$A:$EB,'2412'!$A102,0)/100</f>
        <v/>
      </c>
      <c r="L102" s="803">
        <f>VLOOKUP($I$1&amp;L$8,DATA!$A:$EB,'2412'!$A102,0)/100</f>
        <v/>
      </c>
      <c r="M102" s="803">
        <f>VLOOKUP($I$1&amp;M$8,DATA!$A:$EB,'2412'!$A102,0)/100</f>
        <v/>
      </c>
      <c r="N102" s="803">
        <f>VLOOKUP($I$1&amp;N$8,DATA!$A:$EB,'2412'!$A102,0)/100</f>
        <v/>
      </c>
      <c r="O102" s="804">
        <f>VLOOKUP($I$1&amp;O$8,DATA!$A:$EB,'2412'!$A102,0)/100</f>
        <v/>
      </c>
      <c r="P102" s="804">
        <f>VLOOKUP($I$1&amp;P$8,DATA!$A:$EB,'2412'!$A102,0)/100</f>
        <v/>
      </c>
      <c r="Q102" s="804">
        <f>VLOOKUP($I$1&amp;Q$8,DATA!$A:$EB,'2412'!$A102,0)/100</f>
        <v/>
      </c>
      <c r="R102" s="804">
        <f>VLOOKUP($I$1&amp;R$8,DATA!$A:$EB,'2412'!$A102,0)/100</f>
        <v/>
      </c>
      <c r="S102" s="804">
        <f>VLOOKUP($I$1&amp;S$8,DATA!$A:$EB,'2412'!$A102,0)/100</f>
        <v/>
      </c>
      <c r="T102" s="804">
        <f>VLOOKUP($I$1&amp;T$8,DATA!$A:$EB,'2412'!$A102,0)/100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VLOOKUP($I$1&amp;I$8,DATA!$A:$EB,'2412'!$A109,0)/100</f>
        <v/>
      </c>
      <c r="J109" s="811">
        <f>VLOOKUP($I$1&amp;J$8,DATA!$A:$EB,'2412'!$A109,0)/100</f>
        <v/>
      </c>
      <c r="K109" s="811">
        <f>VLOOKUP($I$1&amp;K$8,DATA!$A:$EB,'2412'!$A109,0)/100</f>
        <v/>
      </c>
      <c r="L109" s="811">
        <f>VLOOKUP($I$1&amp;L$8,DATA!$A:$EB,'2412'!$A109,0)/100</f>
        <v/>
      </c>
      <c r="M109" s="811">
        <f>VLOOKUP($I$1&amp;M$8,DATA!$A:$EB,'2412'!$A109,0)/100</f>
        <v/>
      </c>
      <c r="N109" s="811">
        <f>VLOOKUP($I$1&amp;N$8,DATA!$A:$EB,'2412'!$A109,0)/100</f>
        <v/>
      </c>
      <c r="O109" s="812">
        <f>VLOOKUP($I$1&amp;O$8,DATA!$A:$EB,'2412'!$A109,0)/100</f>
        <v/>
      </c>
      <c r="P109" s="812">
        <f>VLOOKUP($I$1&amp;P$8,DATA!$A:$EB,'2412'!$A109,0)/100</f>
        <v/>
      </c>
      <c r="Q109" s="812">
        <f>VLOOKUP($I$1&amp;Q$8,DATA!$A:$EB,'2412'!$A109,0)/100</f>
        <v/>
      </c>
      <c r="R109" s="812">
        <f>VLOOKUP($I$1&amp;R$8,DATA!$A:$EB,'2412'!$A109,0)/100</f>
        <v/>
      </c>
      <c r="S109" s="812">
        <f>VLOOKUP($I$1&amp;S$8,DATA!$A:$EB,'2412'!$A109,0)/100</f>
        <v/>
      </c>
      <c r="T109" s="812">
        <f>VLOOKUP($I$1&amp;T$8,DATA!$A:$EB,'2412'!$A109,0)/100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VLOOKUP($I$1&amp;I$8,DATA!$A:$EB,'2412'!$A110,0)</f>
        <v/>
      </c>
      <c r="J110" s="813">
        <f>VLOOKUP($I$1&amp;J$8,DATA!$A:$EB,'2412'!$A110,0)</f>
        <v/>
      </c>
      <c r="K110" s="813">
        <f>VLOOKUP($I$1&amp;K$8,DATA!$A:$EB,'2412'!$A110,0)</f>
        <v/>
      </c>
      <c r="L110" s="813">
        <f>VLOOKUP($I$1&amp;L$8,DATA!$A:$EB,'2412'!$A110,0)</f>
        <v/>
      </c>
      <c r="M110" s="813">
        <f>VLOOKUP($I$1&amp;M$8,DATA!$A:$EB,'2412'!$A110,0)</f>
        <v/>
      </c>
      <c r="N110" s="813">
        <f>VLOOKUP($I$1&amp;N$8,DATA!$A:$EB,'2412'!$A110,0)</f>
        <v/>
      </c>
      <c r="O110" s="813">
        <f>VLOOKUP($I$1&amp;O$8,DATA!$A:$EB,'2412'!$A110,0)</f>
        <v/>
      </c>
      <c r="P110" s="813">
        <f>VLOOKUP($I$1&amp;P$8,DATA!$A:$EB,'2412'!$A110,0)</f>
        <v/>
      </c>
      <c r="Q110" s="813">
        <f>VLOOKUP($I$1&amp;Q$8,DATA!$A:$EB,'2412'!$A110,0)</f>
        <v/>
      </c>
      <c r="R110" s="813">
        <f>VLOOKUP($I$1&amp;R$8,DATA!$A:$EB,'2412'!$A110,0)</f>
        <v/>
      </c>
      <c r="S110" s="813">
        <f>VLOOKUP($I$1&amp;S$8,DATA!$A:$EB,'2412'!$A110,0)</f>
        <v/>
      </c>
      <c r="T110" s="813">
        <f>VLOOKUP($I$1&amp;T$8,DATA!$A:$EB,'2412'!$A110,0)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VLOOKUP($I$1&amp;I$8,DATA!$A:$EB,'2412'!$A111,0)</f>
        <v/>
      </c>
      <c r="J111" s="813">
        <f>VLOOKUP($I$1&amp;J$8,DATA!$A:$EB,'2412'!$A111,0)</f>
        <v/>
      </c>
      <c r="K111" s="813">
        <f>VLOOKUP($I$1&amp;K$8,DATA!$A:$EB,'2412'!$A111,0)</f>
        <v/>
      </c>
      <c r="L111" s="813">
        <f>VLOOKUP($I$1&amp;L$8,DATA!$A:$EB,'2412'!$A111,0)</f>
        <v/>
      </c>
      <c r="M111" s="813">
        <f>VLOOKUP($I$1&amp;M$8,DATA!$A:$EB,'2412'!$A111,0)</f>
        <v/>
      </c>
      <c r="N111" s="813">
        <f>VLOOKUP($I$1&amp;N$8,DATA!$A:$EB,'2412'!$A111,0)</f>
        <v/>
      </c>
      <c r="O111" s="813">
        <f>VLOOKUP($I$1&amp;O$8,DATA!$A:$EB,'2412'!$A111,0)</f>
        <v/>
      </c>
      <c r="P111" s="813">
        <f>VLOOKUP($I$1&amp;P$8,DATA!$A:$EB,'2412'!$A111,0)</f>
        <v/>
      </c>
      <c r="Q111" s="813">
        <f>VLOOKUP($I$1&amp;Q$8,DATA!$A:$EB,'2412'!$A111,0)</f>
        <v/>
      </c>
      <c r="R111" s="813">
        <f>VLOOKUP($I$1&amp;R$8,DATA!$A:$EB,'2412'!$A111,0)</f>
        <v/>
      </c>
      <c r="S111" s="813">
        <f>VLOOKUP($I$1&amp;S$8,DATA!$A:$EB,'2412'!$A111,0)</f>
        <v/>
      </c>
      <c r="T111" s="813">
        <f>VLOOKUP($I$1&amp;T$8,DATA!$A:$EB,'2412'!$A111,0)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VLOOKUP($I$1&amp;I$8,DATA!$A:$EB,'2412'!$A114,0)/100</f>
        <v/>
      </c>
      <c r="J114" s="815">
        <f>VLOOKUP($I$1&amp;J$8,DATA!$A:$EB,'2412'!$A114,0)/100</f>
        <v/>
      </c>
      <c r="K114" s="815">
        <f>VLOOKUP($I$1&amp;K$8,DATA!$A:$EB,'2412'!$A114,0)/100</f>
        <v/>
      </c>
      <c r="L114" s="815">
        <f>VLOOKUP($I$1&amp;L$8,DATA!$A:$EB,'2412'!$A114,0)/100</f>
        <v/>
      </c>
      <c r="M114" s="815">
        <f>VLOOKUP($I$1&amp;M$8,DATA!$A:$EB,'2412'!$A114,0)/100</f>
        <v/>
      </c>
      <c r="N114" s="815">
        <f>VLOOKUP($I$1&amp;N$8,DATA!$A:$EB,'2412'!$A114,0)/100</f>
        <v/>
      </c>
      <c r="O114" s="816">
        <f>VLOOKUP($I$1&amp;O$8,DATA!$A:$EB,'2412'!$A114,0)/100</f>
        <v/>
      </c>
      <c r="P114" s="816">
        <f>VLOOKUP($I$1&amp;P$8,DATA!$A:$EB,'2412'!$A114,0)/100</f>
        <v/>
      </c>
      <c r="Q114" s="816">
        <f>VLOOKUP($I$1&amp;Q$8,DATA!$A:$EB,'2412'!$A114,0)/100</f>
        <v/>
      </c>
      <c r="R114" s="816">
        <f>VLOOKUP($I$1&amp;R$8,DATA!$A:$EB,'2412'!$A114,0)/100</f>
        <v/>
      </c>
      <c r="S114" s="816">
        <f>VLOOKUP($I$1&amp;S$8,DATA!$A:$EB,'2412'!$A114,0)/100</f>
        <v/>
      </c>
      <c r="T114" s="816">
        <f>VLOOKUP($I$1&amp;T$8,DATA!$A:$EB,'2412'!$A114,0)/100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VLOOKUP($I$1&amp;I$8,DATA!$A:$EB,'2412'!$A116,0)/100</f>
        <v/>
      </c>
      <c r="J116" s="815">
        <f>VLOOKUP($I$1&amp;J$8,DATA!$A:$EB,'2412'!$A116,0)/100</f>
        <v/>
      </c>
      <c r="K116" s="815">
        <f>VLOOKUP($I$1&amp;K$8,DATA!$A:$EB,'2412'!$A116,0)/100</f>
        <v/>
      </c>
      <c r="L116" s="815">
        <f>VLOOKUP($I$1&amp;L$8,DATA!$A:$EB,'2412'!$A116,0)/100</f>
        <v/>
      </c>
      <c r="M116" s="815">
        <f>VLOOKUP($I$1&amp;M$8,DATA!$A:$EB,'2412'!$A116,0)/100</f>
        <v/>
      </c>
      <c r="N116" s="815">
        <f>VLOOKUP($I$1&amp;N$8,DATA!$A:$EB,'2412'!$A116,0)/100</f>
        <v/>
      </c>
      <c r="O116" s="816">
        <f>VLOOKUP($I$1&amp;O$8,DATA!$A:$EB,'2412'!$A116,0)/100</f>
        <v/>
      </c>
      <c r="P116" s="816">
        <f>VLOOKUP($I$1&amp;P$8,DATA!$A:$EB,'2412'!$A116,0)/100</f>
        <v/>
      </c>
      <c r="Q116" s="816">
        <f>VLOOKUP($I$1&amp;Q$8,DATA!$A:$EB,'2412'!$A116,0)/100</f>
        <v/>
      </c>
      <c r="R116" s="816">
        <f>VLOOKUP($I$1&amp;R$8,DATA!$A:$EB,'2412'!$A116,0)/100</f>
        <v/>
      </c>
      <c r="S116" s="816">
        <f>VLOOKUP($I$1&amp;S$8,DATA!$A:$EB,'2412'!$A116,0)/100</f>
        <v/>
      </c>
      <c r="T116" s="816">
        <f>VLOOKUP($I$1&amp;T$8,DATA!$A:$EB,'2412'!$A116,0)/100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VLOOKUP($I$1&amp;I$8,DATA!$A:$EB,'2412'!$A117,0)/100</f>
        <v/>
      </c>
      <c r="J117" s="819">
        <f>VLOOKUP($I$1&amp;J$8,DATA!$A:$EB,'2412'!$A117,0)/100</f>
        <v/>
      </c>
      <c r="K117" s="819">
        <f>VLOOKUP($I$1&amp;K$8,DATA!$A:$EB,'2412'!$A117,0)/100</f>
        <v/>
      </c>
      <c r="L117" s="819">
        <f>VLOOKUP($I$1&amp;L$8,DATA!$A:$EB,'2412'!$A117,0)/100</f>
        <v/>
      </c>
      <c r="M117" s="819">
        <f>VLOOKUP($I$1&amp;M$8,DATA!$A:$EB,'2412'!$A117,0)/100</f>
        <v/>
      </c>
      <c r="N117" s="819">
        <f>VLOOKUP($I$1&amp;N$8,DATA!$A:$EB,'2412'!$A117,0)/100</f>
        <v/>
      </c>
      <c r="O117" s="819">
        <f>VLOOKUP($I$1&amp;O$8,DATA!$A:$EB,'2412'!$A117,0)/100</f>
        <v/>
      </c>
      <c r="P117" s="819">
        <f>VLOOKUP($I$1&amp;P$8,DATA!$A:$EB,'2412'!$A117,0)/100</f>
        <v/>
      </c>
      <c r="Q117" s="819">
        <f>VLOOKUP($I$1&amp;Q$8,DATA!$A:$EB,'2412'!$A117,0)/100</f>
        <v/>
      </c>
      <c r="R117" s="819">
        <f>VLOOKUP($I$1&amp;R$8,DATA!$A:$EB,'2412'!$A117,0)/100</f>
        <v/>
      </c>
      <c r="S117" s="819">
        <f>VLOOKUP($I$1&amp;S$8,DATA!$A:$EB,'2412'!$A117,0)/100</f>
        <v/>
      </c>
      <c r="T117" s="819">
        <f>VLOOKUP($I$1&amp;T$8,DATA!$A:$EB,'2412'!$A117,0)/100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VLOOKUP($I$1&amp;I$8,DATA!$A:$EB,'2412'!$A118,0)/100</f>
        <v/>
      </c>
      <c r="J118" s="820">
        <f>VLOOKUP($I$1&amp;J$8,DATA!$A:$EB,'2412'!$A118,0)/100</f>
        <v/>
      </c>
      <c r="K118" s="820">
        <f>VLOOKUP($I$1&amp;K$8,DATA!$A:$EB,'2412'!$A118,0)/100</f>
        <v/>
      </c>
      <c r="L118" s="820">
        <f>VLOOKUP($I$1&amp;L$8,DATA!$A:$EB,'2412'!$A118,0)/100</f>
        <v/>
      </c>
      <c r="M118" s="820">
        <f>VLOOKUP($I$1&amp;M$8,DATA!$A:$EB,'2412'!$A118,0)/100</f>
        <v/>
      </c>
      <c r="N118" s="820">
        <f>VLOOKUP($I$1&amp;N$8,DATA!$A:$EB,'2412'!$A118,0)/100</f>
        <v/>
      </c>
      <c r="O118" s="820">
        <f>VLOOKUP($I$1&amp;O$8,DATA!$A:$EB,'2412'!$A118,0)/100</f>
        <v/>
      </c>
      <c r="P118" s="820">
        <f>VLOOKUP($I$1&amp;P$8,DATA!$A:$EB,'2412'!$A118,0)/100</f>
        <v/>
      </c>
      <c r="Q118" s="820">
        <f>VLOOKUP($I$1&amp;Q$8,DATA!$A:$EB,'2412'!$A118,0)/100</f>
        <v/>
      </c>
      <c r="R118" s="820">
        <f>VLOOKUP($I$1&amp;R$8,DATA!$A:$EB,'2412'!$A118,0)/100</f>
        <v/>
      </c>
      <c r="S118" s="820">
        <f>VLOOKUP($I$1&amp;S$8,DATA!$A:$EB,'2412'!$A118,0)/100</f>
        <v/>
      </c>
      <c r="T118" s="820">
        <f>VLOOKUP($I$1&amp;T$8,DATA!$A:$EB,'2412'!$A118,0)/100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VLOOKUP($I$1&amp;I$8,DATA!$A:$EB,'2412'!$A123,0)/100</f>
        <v/>
      </c>
      <c r="J123" s="786">
        <f>VLOOKUP($I$1&amp;J$8,DATA!$A:$EB,'2412'!$A123,0)/100</f>
        <v/>
      </c>
      <c r="K123" s="787">
        <f>VLOOKUP($I$1&amp;K$8,DATA!$A:$EB,'2412'!$A123,0)/100</f>
        <v/>
      </c>
      <c r="L123" s="787">
        <f>VLOOKUP($I$1&amp;L$8,DATA!$A:$EB,'2412'!$A123,0)/100</f>
        <v/>
      </c>
      <c r="M123" s="787">
        <f>VLOOKUP($I$1&amp;M$8,DATA!$A:$EB,'2412'!$A123,0)/100</f>
        <v/>
      </c>
      <c r="N123" s="787">
        <f>VLOOKUP($I$1&amp;N$8,DATA!$A:$EB,'2412'!$A123,0)/100</f>
        <v/>
      </c>
      <c r="O123" s="787">
        <f>VLOOKUP($I$1&amp;O$8,DATA!$A:$EB,'2412'!$A123,0)/100</f>
        <v/>
      </c>
      <c r="P123" s="787">
        <f>VLOOKUP($I$1&amp;P$8,DATA!$A:$EB,'2412'!$A123,0)/100</f>
        <v/>
      </c>
      <c r="Q123" s="787">
        <f>VLOOKUP($I$1&amp;Q$8,DATA!$A:$EB,'2412'!$A123,0)/100</f>
        <v/>
      </c>
      <c r="R123" s="787">
        <f>VLOOKUP($I$1&amp;R$8,DATA!$A:$EB,'2412'!$A123,0)/100</f>
        <v/>
      </c>
      <c r="S123" s="787">
        <f>VLOOKUP($I$1&amp;S$8,DATA!$A:$EB,'2412'!$A123,0)/100</f>
        <v/>
      </c>
      <c r="T123" s="787">
        <f>VLOOKUP($I$1&amp;T$8,DATA!$A:$EB,'2412'!$A123,0)/100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VLOOKUP($I$1&amp;I$8,DATA!$A:$EB,'2412'!$A124,0)/100</f>
        <v/>
      </c>
      <c r="J124" s="786">
        <f>VLOOKUP($I$1&amp;J$8,DATA!$A:$EB,'2412'!$A124,0)/100</f>
        <v/>
      </c>
      <c r="K124" s="787">
        <f>VLOOKUP($I$1&amp;K$8,DATA!$A:$EB,'2412'!$A124,0)/100</f>
        <v/>
      </c>
      <c r="L124" s="787">
        <f>VLOOKUP($I$1&amp;L$8,DATA!$A:$EB,'2412'!$A124,0)/100</f>
        <v/>
      </c>
      <c r="M124" s="787">
        <f>VLOOKUP($I$1&amp;M$8,DATA!$A:$EB,'2412'!$A124,0)/100</f>
        <v/>
      </c>
      <c r="N124" s="787">
        <f>VLOOKUP($I$1&amp;N$8,DATA!$A:$EB,'2412'!$A124,0)/100</f>
        <v/>
      </c>
      <c r="O124" s="787">
        <f>VLOOKUP($I$1&amp;O$8,DATA!$A:$EB,'2412'!$A124,0)/100</f>
        <v/>
      </c>
      <c r="P124" s="787">
        <f>VLOOKUP($I$1&amp;P$8,DATA!$A:$EB,'2412'!$A124,0)/100</f>
        <v/>
      </c>
      <c r="Q124" s="787">
        <f>VLOOKUP($I$1&amp;Q$8,DATA!$A:$EB,'2412'!$A124,0)/100</f>
        <v/>
      </c>
      <c r="R124" s="787">
        <f>VLOOKUP($I$1&amp;R$8,DATA!$A:$EB,'2412'!$A124,0)/100</f>
        <v/>
      </c>
      <c r="S124" s="787">
        <f>VLOOKUP($I$1&amp;S$8,DATA!$A:$EB,'2412'!$A124,0)/100</f>
        <v/>
      </c>
      <c r="T124" s="787">
        <f>VLOOKUP($I$1&amp;T$8,DATA!$A:$EB,'2412'!$A124,0)/100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VLOOKUP($I$1&amp;I$8,DATA!$A:$EB,'2412'!$A125,0)/100</f>
        <v/>
      </c>
      <c r="J125" s="786">
        <f>VLOOKUP($I$1&amp;J$8,DATA!$A:$EB,'2412'!$A125,0)/100</f>
        <v/>
      </c>
      <c r="K125" s="787">
        <f>VLOOKUP($I$1&amp;K$8,DATA!$A:$EB,'2412'!$A125,0)/100</f>
        <v/>
      </c>
      <c r="L125" s="787">
        <f>VLOOKUP($I$1&amp;L$8,DATA!$A:$EB,'2412'!$A125,0)/100</f>
        <v/>
      </c>
      <c r="M125" s="787">
        <f>VLOOKUP($I$1&amp;M$8,DATA!$A:$EB,'2412'!$A125,0)/100</f>
        <v/>
      </c>
      <c r="N125" s="787">
        <f>VLOOKUP($I$1&amp;N$8,DATA!$A:$EB,'2412'!$A125,0)/100</f>
        <v/>
      </c>
      <c r="O125" s="787">
        <f>VLOOKUP($I$1&amp;O$8,DATA!$A:$EB,'2412'!$A125,0)/100</f>
        <v/>
      </c>
      <c r="P125" s="787">
        <f>VLOOKUP($I$1&amp;P$8,DATA!$A:$EB,'2412'!$A125,0)/100</f>
        <v/>
      </c>
      <c r="Q125" s="787">
        <f>VLOOKUP($I$1&amp;Q$8,DATA!$A:$EB,'2412'!$A125,0)/100</f>
        <v/>
      </c>
      <c r="R125" s="787">
        <f>VLOOKUP($I$1&amp;R$8,DATA!$A:$EB,'2412'!$A125,0)/100</f>
        <v/>
      </c>
      <c r="S125" s="787">
        <f>VLOOKUP($I$1&amp;S$8,DATA!$A:$EB,'2412'!$A125,0)/100</f>
        <v/>
      </c>
      <c r="T125" s="787">
        <f>VLOOKUP($I$1&amp;T$8,DATA!$A:$EB,'2412'!$A125,0)/100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VLOOKUP($I$1&amp;I$8,DATA!$A:$EB,'2412'!$A126,0)/100</f>
        <v/>
      </c>
      <c r="J126" s="786">
        <f>VLOOKUP($I$1&amp;J$8,DATA!$A:$EB,'2412'!$A126,0)/100</f>
        <v/>
      </c>
      <c r="K126" s="787">
        <f>VLOOKUP($I$1&amp;K$8,DATA!$A:$EB,'2412'!$A126,0)/100</f>
        <v/>
      </c>
      <c r="L126" s="787">
        <f>VLOOKUP($I$1&amp;L$8,DATA!$A:$EB,'2412'!$A126,0)/100</f>
        <v/>
      </c>
      <c r="M126" s="787">
        <f>VLOOKUP($I$1&amp;M$8,DATA!$A:$EB,'2412'!$A126,0)/100</f>
        <v/>
      </c>
      <c r="N126" s="787">
        <f>VLOOKUP($I$1&amp;N$8,DATA!$A:$EB,'2412'!$A126,0)/100</f>
        <v/>
      </c>
      <c r="O126" s="787">
        <f>VLOOKUP($I$1&amp;O$8,DATA!$A:$EB,'2412'!$A126,0)/100</f>
        <v/>
      </c>
      <c r="P126" s="787">
        <f>VLOOKUP($I$1&amp;P$8,DATA!$A:$EB,'2412'!$A126,0)/100</f>
        <v/>
      </c>
      <c r="Q126" s="787">
        <f>VLOOKUP($I$1&amp;Q$8,DATA!$A:$EB,'2412'!$A126,0)/100</f>
        <v/>
      </c>
      <c r="R126" s="787">
        <f>VLOOKUP($I$1&amp;R$8,DATA!$A:$EB,'2412'!$A126,0)/100</f>
        <v/>
      </c>
      <c r="S126" s="787">
        <f>VLOOKUP($I$1&amp;S$8,DATA!$A:$EB,'2412'!$A126,0)/100</f>
        <v/>
      </c>
      <c r="T126" s="787">
        <f>VLOOKUP($I$1&amp;T$8,DATA!$A:$EB,'2412'!$A126,0)/100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VLOOKUP($I$1&amp;I$8,DATA!$A:$EB,'2412'!$A127,0)/100</f>
        <v/>
      </c>
      <c r="J127" s="786">
        <f>VLOOKUP($I$1&amp;J$8,DATA!$A:$EB,'2412'!$A127,0)/100</f>
        <v/>
      </c>
      <c r="K127" s="787">
        <f>VLOOKUP($I$1&amp;K$8,DATA!$A:$EB,'2412'!$A127,0)/100</f>
        <v/>
      </c>
      <c r="L127" s="787">
        <f>VLOOKUP($I$1&amp;L$8,DATA!$A:$EB,'2412'!$A127,0)/100</f>
        <v/>
      </c>
      <c r="M127" s="787">
        <f>VLOOKUP($I$1&amp;M$8,DATA!$A:$EB,'2412'!$A127,0)/100</f>
        <v/>
      </c>
      <c r="N127" s="787">
        <f>VLOOKUP($I$1&amp;N$8,DATA!$A:$EB,'2412'!$A127,0)/100</f>
        <v/>
      </c>
      <c r="O127" s="787">
        <f>VLOOKUP($I$1&amp;O$8,DATA!$A:$EB,'2412'!$A127,0)/100</f>
        <v/>
      </c>
      <c r="P127" s="787">
        <f>VLOOKUP($I$1&amp;P$8,DATA!$A:$EB,'2412'!$A127,0)/100</f>
        <v/>
      </c>
      <c r="Q127" s="787">
        <f>VLOOKUP($I$1&amp;Q$8,DATA!$A:$EB,'2412'!$A127,0)/100</f>
        <v/>
      </c>
      <c r="R127" s="787">
        <f>VLOOKUP($I$1&amp;R$8,DATA!$A:$EB,'2412'!$A127,0)/100</f>
        <v/>
      </c>
      <c r="S127" s="787">
        <f>VLOOKUP($I$1&amp;S$8,DATA!$A:$EB,'2412'!$A127,0)/100</f>
        <v/>
      </c>
      <c r="T127" s="787">
        <f>VLOOKUP($I$1&amp;T$8,DATA!$A:$EB,'2412'!$A127,0)/100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VLOOKUP($I$1&amp;I$8,DATA!$A:$EB,'2412'!$A133,0)/100</f>
        <v/>
      </c>
      <c r="J133" s="821">
        <f>VLOOKUP($I$1&amp;J$8,DATA!$A:$EB,'2412'!$A133,0)/100</f>
        <v/>
      </c>
      <c r="K133" s="821">
        <f>VLOOKUP($I$1&amp;K$8,DATA!$A:$EB,'2412'!$A133,0)/100</f>
        <v/>
      </c>
      <c r="L133" s="821">
        <f>VLOOKUP($I$1&amp;L$8,DATA!$A:$EB,'2412'!$A133,0)/100</f>
        <v/>
      </c>
      <c r="M133" s="821">
        <f>VLOOKUP($I$1&amp;M$8,DATA!$A:$EB,'2412'!$A133,0)/100</f>
        <v/>
      </c>
      <c r="N133" s="821">
        <f>VLOOKUP($I$1&amp;N$8,DATA!$A:$EB,'2412'!$A133,0)/100</f>
        <v/>
      </c>
      <c r="O133" s="819">
        <f>VLOOKUP($I$1&amp;O$8,DATA!$A:$EB,'2412'!$A133,0)/100</f>
        <v/>
      </c>
      <c r="P133" s="819">
        <f>VLOOKUP($I$1&amp;P$8,DATA!$A:$EB,'2412'!$A133,0)/100</f>
        <v/>
      </c>
      <c r="Q133" s="819">
        <f>VLOOKUP($I$1&amp;Q$8,DATA!$A:$EB,'2412'!$A133,0)/100</f>
        <v/>
      </c>
      <c r="R133" s="819">
        <f>VLOOKUP($I$1&amp;R$8,DATA!$A:$EB,'2412'!$A133,0)/100</f>
        <v/>
      </c>
      <c r="S133" s="819">
        <f>VLOOKUP($I$1&amp;S$8,DATA!$A:$EB,'2412'!$A133,0)/100</f>
        <v/>
      </c>
      <c r="T133" s="819">
        <f>VLOOKUP($I$1&amp;T$8,DATA!$A:$EB,'2412'!$A133,0)/100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VLOOKUP($I$1&amp;I$8,DATA!$A:$EB,'2412'!$A136,0)/100</f>
        <v/>
      </c>
      <c r="J136" s="821">
        <f>VLOOKUP($I$1&amp;J$8,DATA!$A:$EB,'2412'!$A136,0)/100</f>
        <v/>
      </c>
      <c r="K136" s="819">
        <f>VLOOKUP($I$1&amp;K$8,DATA!$A:$EB,'2412'!$A136,0)/100</f>
        <v/>
      </c>
      <c r="L136" s="819">
        <f>VLOOKUP($I$1&amp;L$8,DATA!$A:$EB,'2412'!$A136,0)/100</f>
        <v/>
      </c>
      <c r="M136" s="819">
        <f>VLOOKUP($I$1&amp;M$8,DATA!$A:$EB,'2412'!$A136,0)/100</f>
        <v/>
      </c>
      <c r="N136" s="819">
        <f>VLOOKUP($I$1&amp;N$8,DATA!$A:$EB,'2412'!$A136,0)/100</f>
        <v/>
      </c>
      <c r="O136" s="819">
        <f>VLOOKUP($I$1&amp;O$8,DATA!$A:$EB,'2412'!$A136,0)/100</f>
        <v/>
      </c>
      <c r="P136" s="819">
        <f>VLOOKUP($I$1&amp;P$8,DATA!$A:$EB,'2412'!$A136,0)/100</f>
        <v/>
      </c>
      <c r="Q136" s="819">
        <f>VLOOKUP($I$1&amp;Q$8,DATA!$A:$EB,'2412'!$A136,0)/100</f>
        <v/>
      </c>
      <c r="R136" s="819">
        <f>VLOOKUP($I$1&amp;R$8,DATA!$A:$EB,'2412'!$A136,0)/100</f>
        <v/>
      </c>
      <c r="S136" s="819">
        <f>VLOOKUP($I$1&amp;S$8,DATA!$A:$EB,'2412'!$A136,0)/100</f>
        <v/>
      </c>
      <c r="T136" s="819">
        <f>VLOOKUP($I$1&amp;T$8,DATA!$A:$EB,'2412'!$A136,0)/100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VLOOKUP($I$1&amp;I$8,DATA!$A:$EB,'2412'!$A137,0)/100</f>
        <v/>
      </c>
      <c r="J137" s="823">
        <f>VLOOKUP($I$1&amp;J$8,DATA!$A:$EB,'2412'!$A137,0)/100</f>
        <v/>
      </c>
      <c r="K137" s="822">
        <f>VLOOKUP($I$1&amp;K$8,DATA!$A:$EB,'2412'!$A137,0)/100</f>
        <v/>
      </c>
      <c r="L137" s="822">
        <f>VLOOKUP($I$1&amp;L$8,DATA!$A:$EB,'2412'!$A137,0)/100</f>
        <v/>
      </c>
      <c r="M137" s="822">
        <f>VLOOKUP($I$1&amp;M$8,DATA!$A:$EB,'2412'!$A137,0)/100</f>
        <v/>
      </c>
      <c r="N137" s="822">
        <f>VLOOKUP($I$1&amp;N$8,DATA!$A:$EB,'2412'!$A137,0)/100</f>
        <v/>
      </c>
      <c r="O137" s="822">
        <f>VLOOKUP($I$1&amp;O$8,DATA!$A:$EB,'2412'!$A137,0)/100</f>
        <v/>
      </c>
      <c r="P137" s="822">
        <f>VLOOKUP($I$1&amp;P$8,DATA!$A:$EB,'2412'!$A137,0)/100</f>
        <v/>
      </c>
      <c r="Q137" s="822">
        <f>VLOOKUP($I$1&amp;Q$8,DATA!$A:$EB,'2412'!$A137,0)/100</f>
        <v/>
      </c>
      <c r="R137" s="822">
        <f>VLOOKUP($I$1&amp;R$8,DATA!$A:$EB,'2412'!$A137,0)/100</f>
        <v/>
      </c>
      <c r="S137" s="822">
        <f>VLOOKUP($I$1&amp;S$8,DATA!$A:$EB,'2412'!$A137,0)/100</f>
        <v/>
      </c>
      <c r="T137" s="822">
        <f>VLOOKUP($I$1&amp;T$8,DATA!$A:$EB,'2412'!$A137,0)/100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VLOOKUP($I$1&amp;I$8,DATA!$A:$EB,'2412'!$A140,0)/100</f>
        <v/>
      </c>
      <c r="J140" s="828">
        <f>VLOOKUP($I$1&amp;J$8,DATA!$A:$EB,'2412'!$A140,0)/100</f>
        <v/>
      </c>
      <c r="K140" s="827">
        <f>VLOOKUP($I$1&amp;K$8,DATA!$A:$EB,'2412'!$A140,0)/100</f>
        <v/>
      </c>
      <c r="L140" s="827">
        <f>VLOOKUP($I$1&amp;L$8,DATA!$A:$EB,'2412'!$A140,0)/100</f>
        <v/>
      </c>
      <c r="M140" s="827">
        <f>VLOOKUP($I$1&amp;M$8,DATA!$A:$EB,'2412'!$A140,0)/100</f>
        <v/>
      </c>
      <c r="N140" s="827">
        <f>VLOOKUP($I$1&amp;N$8,DATA!$A:$EB,'2412'!$A140,0)/100</f>
        <v/>
      </c>
      <c r="O140" s="827">
        <f>VLOOKUP($I$1&amp;O$8,DATA!$A:$EB,'2412'!$A140,0)/100</f>
        <v/>
      </c>
      <c r="P140" s="827">
        <f>VLOOKUP($I$1&amp;P$8,DATA!$A:$EB,'2412'!$A140,0)/100</f>
        <v/>
      </c>
      <c r="Q140" s="827">
        <f>VLOOKUP($I$1&amp;Q$8,DATA!$A:$EB,'2412'!$A140,0)/100</f>
        <v/>
      </c>
      <c r="R140" s="827">
        <f>VLOOKUP($I$1&amp;R$8,DATA!$A:$EB,'2412'!$A140,0)/100</f>
        <v/>
      </c>
      <c r="S140" s="827">
        <f>VLOOKUP($I$1&amp;S$8,DATA!$A:$EB,'2412'!$A140,0)/100</f>
        <v/>
      </c>
      <c r="T140" s="827">
        <f>VLOOKUP($I$1&amp;T$8,DATA!$A:$EB,'2412'!$A140,0)/100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VLOOKUP($I$1&amp;I$8,DATA!$A:$EB,'2412'!$A141,0)/100+VLOOKUP($I$1&amp;I$8,DATA!$A:$EB,'2412'!$A141+1,0)/100</f>
        <v/>
      </c>
      <c r="J141" s="830">
        <f>VLOOKUP($I$1&amp;J$8,DATA!$A:$EB,'2412'!$A141,0)/100+VLOOKUP($I$1&amp;J$8,DATA!$A:$EB,'2412'!$A141+1,0)/100</f>
        <v/>
      </c>
      <c r="K141" s="829">
        <f>VLOOKUP($I$1&amp;K$8,DATA!$A:$EB,'2412'!$A141,0)/100+VLOOKUP($I$1&amp;K$8,DATA!$A:$EB,'2412'!$A141+1,0)/100</f>
        <v/>
      </c>
      <c r="L141" s="829">
        <f>VLOOKUP($I$1&amp;L$8,DATA!$A:$EB,'2412'!$A141,0)/100+VLOOKUP($I$1&amp;L$8,DATA!$A:$EB,'2412'!$A141+1,0)/100</f>
        <v/>
      </c>
      <c r="M141" s="829">
        <f>VLOOKUP($I$1&amp;M$8,DATA!$A:$EB,'2412'!$A141,0)/100+VLOOKUP($I$1&amp;M$8,DATA!$A:$EB,'2412'!$A141+1,0)/100</f>
        <v/>
      </c>
      <c r="N141" s="829">
        <f>VLOOKUP($I$1&amp;N$8,DATA!$A:$EB,'2412'!$A141,0)/100+VLOOKUP($I$1&amp;N$8,DATA!$A:$EB,'2412'!$A141+1,0)/100</f>
        <v/>
      </c>
      <c r="O141" s="829">
        <f>VLOOKUP($I$1&amp;O$8,DATA!$A:$EB,'2412'!$A141,0)/100+VLOOKUP($I$1&amp;O$8,DATA!$A:$EB,'2412'!$A141+1,0)/100</f>
        <v/>
      </c>
      <c r="P141" s="829">
        <f>VLOOKUP($I$1&amp;P$8,DATA!$A:$EB,'2412'!$A141,0)/100+VLOOKUP($I$1&amp;P$8,DATA!$A:$EB,'2412'!$A141+1,0)/100</f>
        <v/>
      </c>
      <c r="Q141" s="829">
        <f>VLOOKUP($I$1&amp;Q$8,DATA!$A:$EB,'2412'!$A141,0)/100+VLOOKUP($I$1&amp;Q$8,DATA!$A:$EB,'2412'!$A141+1,0)/100</f>
        <v/>
      </c>
      <c r="R141" s="829">
        <f>VLOOKUP($I$1&amp;R$8,DATA!$A:$EB,'2412'!$A141,0)/100+VLOOKUP($I$1&amp;R$8,DATA!$A:$EB,'2412'!$A141+1,0)/100</f>
        <v/>
      </c>
      <c r="S141" s="829">
        <f>VLOOKUP($I$1&amp;S$8,DATA!$A:$EB,'2412'!$A141,0)/100+VLOOKUP($I$1&amp;S$8,DATA!$A:$EB,'2412'!$A141+1,0)/100</f>
        <v/>
      </c>
      <c r="T141" s="829">
        <f>VLOOKUP($I$1&amp;T$8,DATA!$A:$EB,'2412'!$A141,0)/100+VLOOKUP($I$1&amp;T$8,DATA!$A:$EB,'2412'!$A141+1,0)/100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VLOOKUP($I$1&amp;I$8,DATA!$A:$EB,'2412'!$A142,0)/100</f>
        <v/>
      </c>
      <c r="J142" s="831">
        <f>VLOOKUP($I$1&amp;J$8,DATA!$A:$EB,'2412'!$A142,0)/100</f>
        <v/>
      </c>
      <c r="K142" s="829">
        <f>VLOOKUP($I$1&amp;K$8,DATA!$A:$EB,'2412'!$A142,0)/100</f>
        <v/>
      </c>
      <c r="L142" s="829">
        <f>VLOOKUP($I$1&amp;L$8,DATA!$A:$EB,'2412'!$A142,0)/100</f>
        <v/>
      </c>
      <c r="M142" s="829">
        <f>VLOOKUP($I$1&amp;M$8,DATA!$A:$EB,'2412'!$A142,0)/100</f>
        <v/>
      </c>
      <c r="N142" s="829">
        <f>VLOOKUP($I$1&amp;N$8,DATA!$A:$EB,'2412'!$A142,0)/100</f>
        <v/>
      </c>
      <c r="O142" s="829">
        <f>VLOOKUP($I$1&amp;O$8,DATA!$A:$EB,'2412'!$A142,0)/100</f>
        <v/>
      </c>
      <c r="P142" s="831">
        <f>VLOOKUP($I$1&amp;P$8,DATA!$A:$EB,'2412'!$A142,0)/100</f>
        <v/>
      </c>
      <c r="Q142" s="829">
        <f>VLOOKUP($I$1&amp;Q$8,DATA!$A:$EB,'2412'!$A142,0)/100</f>
        <v/>
      </c>
      <c r="R142" s="829">
        <f>VLOOKUP($I$1&amp;R$8,DATA!$A:$EB,'2412'!$A142,0)/100</f>
        <v/>
      </c>
      <c r="S142" s="829">
        <f>VLOOKUP($I$1&amp;S$8,DATA!$A:$EB,'2412'!$A142,0)/100</f>
        <v/>
      </c>
      <c r="T142" s="829">
        <f>VLOOKUP($I$1&amp;T$8,DATA!$A:$EB,'2412'!$A142,0)/100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VLOOKUP($I$1&amp;I$8,DATA!$A:$EB,'2412'!$A143,0)/100</f>
        <v/>
      </c>
      <c r="J143" s="678" t="n"/>
      <c r="K143" s="832">
        <f>VLOOKUP($I$1&amp;K$8,DATA!$A:$EB,'2412'!$A143,0)/100</f>
        <v/>
      </c>
      <c r="L143" s="832">
        <f>VLOOKUP($I$1&amp;L$8,DATA!$A:$EB,'2412'!$A143,0)/100</f>
        <v/>
      </c>
      <c r="M143" s="832">
        <f>VLOOKUP($I$1&amp;M$8,DATA!$A:$EB,'2412'!$A143,0)/100</f>
        <v/>
      </c>
      <c r="N143" s="832">
        <f>VLOOKUP($I$1&amp;N$8,DATA!$A:$EB,'2412'!$A143,0)/100</f>
        <v/>
      </c>
      <c r="O143" s="832">
        <f>VLOOKUP($I$1&amp;O$8,DATA!$A:$EB,'2412'!$A143,0)/100</f>
        <v/>
      </c>
      <c r="P143" s="678" t="n"/>
      <c r="Q143" s="832">
        <f>VLOOKUP($I$1&amp;Q$8,DATA!$A:$EB,'2412'!$A143,0)/100</f>
        <v/>
      </c>
      <c r="R143" s="832">
        <f>VLOOKUP($I$1&amp;R$8,DATA!$A:$EB,'2412'!$A143,0)/100</f>
        <v/>
      </c>
      <c r="S143" s="832">
        <f>VLOOKUP($I$1&amp;S$8,DATA!$A:$EB,'2412'!$A143,0)/100</f>
        <v/>
      </c>
      <c r="T143" s="832">
        <f>VLOOKUP($I$1&amp;T$8,DATA!$A:$EB,'2412'!$A143,0)/100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VLOOKUP($I$1&amp;I$8,DATA!$A:$EB,'2412'!$A147,0)/100</f>
        <v/>
      </c>
      <c r="J147" s="786">
        <f>VLOOKUP($I$1&amp;J$8,DATA!$A:$EB,'2412'!$A147,0)/100</f>
        <v/>
      </c>
      <c r="K147" s="787">
        <f>VLOOKUP($I$1&amp;K$8,DATA!$A:$EB,'2412'!$A147,0)/100</f>
        <v/>
      </c>
      <c r="L147" s="787">
        <f>VLOOKUP($I$1&amp;L$8,DATA!$A:$EB,'2412'!$A147,0)/100</f>
        <v/>
      </c>
      <c r="M147" s="787">
        <f>VLOOKUP($I$1&amp;M$8,DATA!$A:$EB,'2412'!$A147,0)/100</f>
        <v/>
      </c>
      <c r="N147" s="787">
        <f>VLOOKUP($I$1&amp;N$8,DATA!$A:$EB,'2412'!$A147,0)/100</f>
        <v/>
      </c>
      <c r="O147" s="787">
        <f>VLOOKUP($I$1&amp;O$8,DATA!$A:$EB,'2412'!$A147,0)/100</f>
        <v/>
      </c>
      <c r="P147" s="787">
        <f>VLOOKUP($I$1&amp;P$8,DATA!$A:$EB,'2412'!$A147,0)/100</f>
        <v/>
      </c>
      <c r="Q147" s="787">
        <f>VLOOKUP($I$1&amp;Q$8,DATA!$A:$EB,'2412'!$A147,0)/100</f>
        <v/>
      </c>
      <c r="R147" s="787">
        <f>VLOOKUP($I$1&amp;R$8,DATA!$A:$EB,'2412'!$A147,0)/100</f>
        <v/>
      </c>
      <c r="S147" s="787">
        <f>VLOOKUP($I$1&amp;S$8,DATA!$A:$EB,'2412'!$A147,0)/100</f>
        <v/>
      </c>
      <c r="T147" s="787">
        <f>VLOOKUP($I$1&amp;T$8,DATA!$A:$EB,'2412'!$A147,0)/100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VLOOKUP($I$1&amp;I$8,DATA!$A:$EB,'2412'!$A149,0)/100</f>
        <v/>
      </c>
      <c r="J149" s="834">
        <f>VLOOKUP($I$1&amp;J$8,DATA!$A:$EB,'2412'!$A149,0)/100</f>
        <v/>
      </c>
      <c r="K149" s="835">
        <f>VLOOKUP($I$1&amp;K$8,DATA!$A:$EB,'2412'!$A149,0)/100</f>
        <v/>
      </c>
      <c r="L149" s="835">
        <f>VLOOKUP($I$1&amp;L$8,DATA!$A:$EB,'2412'!$A149,0)/100</f>
        <v/>
      </c>
      <c r="M149" s="835">
        <f>VLOOKUP($I$1&amp;M$8,DATA!$A:$EB,'2412'!$A149,0)/100</f>
        <v/>
      </c>
      <c r="N149" s="835">
        <f>VLOOKUP($I$1&amp;N$8,DATA!$A:$EB,'2412'!$A149,0)/100</f>
        <v/>
      </c>
      <c r="O149" s="835">
        <f>VLOOKUP($I$1&amp;O$8,DATA!$A:$EB,'2412'!$A149,0)/100</f>
        <v/>
      </c>
      <c r="P149" s="835">
        <f>VLOOKUP($I$1&amp;P$8,DATA!$A:$EB,'2412'!$A149,0)/100</f>
        <v/>
      </c>
      <c r="Q149" s="835">
        <f>VLOOKUP($I$1&amp;Q$8,DATA!$A:$EB,'2412'!$A149,0)/100</f>
        <v/>
      </c>
      <c r="R149" s="835">
        <f>VLOOKUP($I$1&amp;R$8,DATA!$A:$EB,'2412'!$A149,0)/100</f>
        <v/>
      </c>
      <c r="S149" s="835">
        <f>VLOOKUP($I$1&amp;S$8,DATA!$A:$EB,'2412'!$A149,0)/100</f>
        <v/>
      </c>
      <c r="T149" s="835">
        <f>VLOOKUP($I$1&amp;T$8,DATA!$A:$EB,'2412'!$A149,0)/100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+I136/(I102*150%)*(4/$J$1)</f>
        <v/>
      </c>
      <c r="J155" s="794">
        <f>+J136/(J102*150%)*(4/$J$1)</f>
        <v/>
      </c>
      <c r="K155" s="794">
        <f>+K136/(K102*150%)*(4/$J$1)</f>
        <v/>
      </c>
      <c r="L155" s="794">
        <f>+L136/(L102*150%)*(4/$J$1)</f>
        <v/>
      </c>
      <c r="M155" s="794">
        <f>+M136/(M102*150%)*(4/$J$1)</f>
        <v/>
      </c>
      <c r="N155" s="794">
        <f>+N136/(N102*150%)*(4/$J$1)</f>
        <v/>
      </c>
      <c r="O155" s="797">
        <f>+O136/(O102*150%)*(4/$J$1)</f>
        <v/>
      </c>
      <c r="P155" s="797">
        <f>+P136/(P102*150%)*(4/$J$1)</f>
        <v/>
      </c>
      <c r="Q155" s="797">
        <f>+Q136/(Q102*150%)*(4/$J$1)</f>
        <v/>
      </c>
      <c r="R155" s="797">
        <f>+R136/(R102*150%)*(4/$J$1)</f>
        <v/>
      </c>
      <c r="S155" s="797">
        <f>+S136/(S102*150%)*(4/$J$1)</f>
        <v/>
      </c>
      <c r="T155" s="797">
        <f>+T136/(T102*150%)*(4/$J$1)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(요구자본x150%)</t>
        </is>
      </c>
      <c r="F157" s="663" t="n"/>
      <c r="G157" s="663" t="n"/>
      <c r="H157" s="664" t="n"/>
      <c r="I157" s="839">
        <f>I133/(I102*150%)</f>
        <v/>
      </c>
      <c r="J157" s="839">
        <f>J133/(J102*150%)</f>
        <v/>
      </c>
      <c r="K157" s="839">
        <f>K133/(K102*150%)</f>
        <v/>
      </c>
      <c r="L157" s="839">
        <f>L133/(L102*150%)</f>
        <v/>
      </c>
      <c r="M157" s="839">
        <f>M133/(M102*150%)</f>
        <v/>
      </c>
      <c r="N157" s="839">
        <f>N133/(N102*150%)</f>
        <v/>
      </c>
      <c r="O157" s="839">
        <f>O133/(O102*150%)</f>
        <v/>
      </c>
      <c r="P157" s="839">
        <f>P133/(P102*150%)</f>
        <v/>
      </c>
      <c r="Q157" s="839">
        <f>Q133/(Q102*150%)</f>
        <v/>
      </c>
      <c r="R157" s="839">
        <f>R133/(R102*150%)</f>
        <v/>
      </c>
      <c r="S157" s="839">
        <f>S133/(S102*150%)</f>
        <v/>
      </c>
      <c r="T157" s="839">
        <f>T133/(T102*150%)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(요구자본x180%)</t>
        </is>
      </c>
      <c r="F158" s="659" t="n"/>
      <c r="G158" s="659" t="n"/>
      <c r="H158" s="660" t="n"/>
      <c r="I158" s="840">
        <f>I133/(I102*180%)</f>
        <v/>
      </c>
      <c r="J158" s="840">
        <f>J133/(J102*180%)</f>
        <v/>
      </c>
      <c r="K158" s="840">
        <f>K133/(K102*180%)</f>
        <v/>
      </c>
      <c r="L158" s="840">
        <f>L133/(L102*180%)</f>
        <v/>
      </c>
      <c r="M158" s="840">
        <f>M133/(M102*180%)</f>
        <v/>
      </c>
      <c r="N158" s="840">
        <f>N133/(N102*180%)</f>
        <v/>
      </c>
      <c r="O158" s="840">
        <f>O133/(O102*180%)</f>
        <v/>
      </c>
      <c r="P158" s="840">
        <f>P133/(P102*180%)</f>
        <v/>
      </c>
      <c r="Q158" s="840">
        <f>Q133/(Q102*180%)</f>
        <v/>
      </c>
      <c r="R158" s="840">
        <f>R133/(R102*180%)</f>
        <v/>
      </c>
      <c r="S158" s="840">
        <f>S133/(S102*180%)</f>
        <v/>
      </c>
      <c r="T158" s="840">
        <f>T133/(T102*180%)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(요구자본x150%)</t>
        </is>
      </c>
      <c r="F160" s="663" t="n"/>
      <c r="G160" s="663" t="n"/>
      <c r="H160" s="664" t="n"/>
      <c r="I160" s="839">
        <f>I137/(I102*150%)*(4/$J$1)</f>
        <v/>
      </c>
      <c r="J160" s="839">
        <f>J137/(J102*150%)*(4/$J$1)</f>
        <v/>
      </c>
      <c r="K160" s="839">
        <f>K137/(K102*150%)*(4/$J$1)</f>
        <v/>
      </c>
      <c r="L160" s="839">
        <f>L137/(L102*150%)*(4/$J$1)</f>
        <v/>
      </c>
      <c r="M160" s="839">
        <f>M137/(M102*150%)*(4/$J$1)</f>
        <v/>
      </c>
      <c r="N160" s="839">
        <f>N137/(N102*150%)*(4/$J$1)</f>
        <v/>
      </c>
      <c r="O160" s="839">
        <f>O137/(O102*150%)*(4/$J$1)</f>
        <v/>
      </c>
      <c r="P160" s="839">
        <f>P137/(P102*150%)*(4/$J$1)</f>
        <v/>
      </c>
      <c r="Q160" s="839">
        <f>Q137/(Q102*150%)*(4/$J$1)</f>
        <v/>
      </c>
      <c r="R160" s="839">
        <f>R137/(R102*150%)*(4/$J$1)</f>
        <v/>
      </c>
      <c r="S160" s="839">
        <f>S137/(S102*150%)*(4/$J$1)</f>
        <v/>
      </c>
      <c r="T160" s="839">
        <f>T137/(T102*150%)*(4/$J$1)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(요구자본x180%)</t>
        </is>
      </c>
      <c r="F161" s="659" t="n"/>
      <c r="G161" s="659" t="n"/>
      <c r="H161" s="660" t="n"/>
      <c r="I161" s="840">
        <f>I137/(I102*180%)*(4/$J$1)</f>
        <v/>
      </c>
      <c r="J161" s="840">
        <f>J137/(J102*180%)*(4/$J$1)</f>
        <v/>
      </c>
      <c r="K161" s="840">
        <f>K137/(K102*180%)*(4/$J$1)</f>
        <v/>
      </c>
      <c r="L161" s="840">
        <f>L137/(L102*180%)*(4/$J$1)</f>
        <v/>
      </c>
      <c r="M161" s="840">
        <f>M137/(M102*180%)*(4/$J$1)</f>
        <v/>
      </c>
      <c r="N161" s="840">
        <f>N137/(N102*180%)*(4/$J$1)</f>
        <v/>
      </c>
      <c r="O161" s="840">
        <f>O137/(O102*180%)*(4/$J$1)</f>
        <v/>
      </c>
      <c r="P161" s="840">
        <f>P137/(P102*180%)*(4/$J$1)</f>
        <v/>
      </c>
      <c r="Q161" s="840">
        <f>Q137/(Q102*180%)*(4/$J$1)</f>
        <v/>
      </c>
      <c r="R161" s="840">
        <f>R137/(R102*180%)*(4/$J$1)</f>
        <v/>
      </c>
      <c r="S161" s="840">
        <f>S137/(S102*180%)*(4/$J$1)</f>
        <v/>
      </c>
      <c r="T161" s="840">
        <f>T137/(T102*180%)*(4/$J$1)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VLOOKUP($I$1&amp;I$8,DATA!$A:$EB,'2412'!$A164,0)/100</f>
        <v/>
      </c>
      <c r="J164" s="786">
        <f>VLOOKUP($I$1&amp;J$8,DATA!$A:$EB,'2412'!$A164,0)/100</f>
        <v/>
      </c>
      <c r="K164" s="787">
        <f>VLOOKUP($I$1&amp;K$8,DATA!$A:$EB,'2412'!$A164,0)/100</f>
        <v/>
      </c>
      <c r="L164" s="787">
        <f>VLOOKUP($I$1&amp;L$8,DATA!$A:$EB,'2412'!$A164,0)/100</f>
        <v/>
      </c>
      <c r="M164" s="787">
        <f>VLOOKUP($I$1&amp;M$8,DATA!$A:$EB,'2412'!$A164,0)/100</f>
        <v/>
      </c>
      <c r="N164" s="787">
        <f>VLOOKUP($I$1&amp;N$8,DATA!$A:$EB,'2412'!$A164,0)/100</f>
        <v/>
      </c>
      <c r="O164" s="787">
        <f>VLOOKUP($I$1&amp;O$8,DATA!$A:$EB,'2412'!$A164,0)/100</f>
        <v/>
      </c>
      <c r="P164" s="787">
        <f>VLOOKUP($I$1&amp;P$8,DATA!$A:$EB,'2412'!$A164,0)/100</f>
        <v/>
      </c>
      <c r="Q164" s="787">
        <f>VLOOKUP($I$1&amp;Q$8,DATA!$A:$EB,'2412'!$A164,0)/100</f>
        <v/>
      </c>
      <c r="R164" s="787">
        <f>VLOOKUP($I$1&amp;R$8,DATA!$A:$EB,'2412'!$A164,0)/100</f>
        <v/>
      </c>
      <c r="S164" s="787">
        <f>VLOOKUP($I$1&amp;S$8,DATA!$A:$EB,'2412'!$A164,0)/100</f>
        <v/>
      </c>
      <c r="T164" s="787">
        <f>VLOOKUP($I$1&amp;T$8,DATA!$A:$EB,'2412'!$A164,0)/100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VLOOKUP($I$1&amp;I$8,DATA!$A:$EB,'2412'!$A165,0)/100</f>
        <v/>
      </c>
      <c r="J165" s="786">
        <f>VLOOKUP($I$1&amp;J$8,DATA!$A:$EB,'2412'!$A165,0)/100</f>
        <v/>
      </c>
      <c r="K165" s="787">
        <f>VLOOKUP($I$1&amp;K$8,DATA!$A:$EB,'2412'!$A165,0)/100</f>
        <v/>
      </c>
      <c r="L165" s="787">
        <f>VLOOKUP($I$1&amp;L$8,DATA!$A:$EB,'2412'!$A165,0)/100</f>
        <v/>
      </c>
      <c r="M165" s="787">
        <f>VLOOKUP($I$1&amp;M$8,DATA!$A:$EB,'2412'!$A165,0)/100</f>
        <v/>
      </c>
      <c r="N165" s="787">
        <f>VLOOKUP($I$1&amp;N$8,DATA!$A:$EB,'2412'!$A165,0)/100</f>
        <v/>
      </c>
      <c r="O165" s="787">
        <f>VLOOKUP($I$1&amp;O$8,DATA!$A:$EB,'2412'!$A165,0)/100</f>
        <v/>
      </c>
      <c r="P165" s="787">
        <f>VLOOKUP($I$1&amp;P$8,DATA!$A:$EB,'2412'!$A165,0)/100</f>
        <v/>
      </c>
      <c r="Q165" s="787">
        <f>VLOOKUP($I$1&amp;Q$8,DATA!$A:$EB,'2412'!$A165,0)/100</f>
        <v/>
      </c>
      <c r="R165" s="787">
        <f>VLOOKUP($I$1&amp;R$8,DATA!$A:$EB,'2412'!$A165,0)/100</f>
        <v/>
      </c>
      <c r="S165" s="787">
        <f>VLOOKUP($I$1&amp;S$8,DATA!$A:$EB,'2412'!$A165,0)/100</f>
        <v/>
      </c>
      <c r="T165" s="787">
        <f>VLOOKUP($I$1&amp;T$8,DATA!$A:$EB,'2412'!$A165,0)/100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>
        <f>'2403'!I110</f>
        <v/>
      </c>
      <c r="J168" s="785">
        <f>'2403'!J110</f>
        <v/>
      </c>
      <c r="K168" s="842">
        <f>'2403'!K110</f>
        <v/>
      </c>
      <c r="L168" s="842">
        <f>'2403'!L110</f>
        <v/>
      </c>
      <c r="M168" s="842">
        <f>'2403'!M110</f>
        <v/>
      </c>
      <c r="N168" s="842">
        <f>'2403'!N110</f>
        <v/>
      </c>
      <c r="O168" s="785">
        <f>'2403'!O110</f>
        <v/>
      </c>
      <c r="P168" s="785">
        <f>'2403'!P110</f>
        <v/>
      </c>
      <c r="Q168" s="785">
        <f>'2403'!Q110</f>
        <v/>
      </c>
      <c r="R168" s="785">
        <f>'2403'!R110</f>
        <v/>
      </c>
      <c r="S168" s="785">
        <f>'2403'!S110</f>
        <v/>
      </c>
      <c r="T168" s="785">
        <f>'2403'!T110</f>
        <v/>
      </c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</sheetData>
  <mergeCells count="92">
    <mergeCell ref="C25:H25"/>
    <mergeCell ref="C85:H85"/>
    <mergeCell ref="C117:H117"/>
    <mergeCell ref="C99:H99"/>
    <mergeCell ref="E179:H179"/>
    <mergeCell ref="C9:H9"/>
    <mergeCell ref="C176:D177"/>
    <mergeCell ref="C118:H118"/>
    <mergeCell ref="C133:H133"/>
    <mergeCell ref="C75:H75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10:H10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F112:H112"/>
    <mergeCell ref="C62:H6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0" topLeftCell="A123" workbookViewId="0">
      <selection activeCell="A164" sqref="A164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2312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VLOOKUP($I$1&amp;I$8,DATA!$A:$EB,'2312'!$A9,0)/100</f>
        <v/>
      </c>
      <c r="J9" s="765">
        <f>VLOOKUP($I$1&amp;J$8,DATA!$A:$EB,'2312'!$A9,0)/100</f>
        <v/>
      </c>
      <c r="K9" s="765">
        <f>VLOOKUP($I$1&amp;K$8,DATA!$A:$EB,'2312'!$A9,0)/100</f>
        <v/>
      </c>
      <c r="L9" s="765">
        <f>VLOOKUP($I$1&amp;L$8,DATA!$A:$EB,'2312'!$A9,0)/100</f>
        <v/>
      </c>
      <c r="M9" s="765">
        <f>VLOOKUP($I$1&amp;M$8,DATA!$A:$EB,'2312'!$A9,0)/100</f>
        <v/>
      </c>
      <c r="N9" s="765">
        <f>VLOOKUP($I$1&amp;N$8,DATA!$A:$EB,'2312'!$A9,0)/100</f>
        <v/>
      </c>
      <c r="O9" s="765">
        <f>VLOOKUP($I$1&amp;O$8,DATA!$A:$EB,'2312'!$A9,0)/100</f>
        <v/>
      </c>
      <c r="P9" s="765">
        <f>VLOOKUP($I$1&amp;P$8,DATA!$A:$EB,'2312'!$A9,0)/100</f>
        <v/>
      </c>
      <c r="Q9" s="765">
        <f>VLOOKUP($I$1&amp;Q$8,DATA!$A:$EB,'2312'!$A9,0)/100</f>
        <v/>
      </c>
      <c r="R9" s="765">
        <f>VLOOKUP($I$1&amp;R$8,DATA!$A:$EB,'2312'!$A9,0)/100</f>
        <v/>
      </c>
      <c r="S9" s="765">
        <f>VLOOKUP($I$1&amp;S$8,DATA!$A:$EB,'2312'!$A9,0)/100</f>
        <v/>
      </c>
      <c r="T9" s="764">
        <f>VLOOKUP($I$1&amp;T$8,DATA!$A:$EB,'2312'!$A9,0)/100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VLOOKUP($I$1&amp;I$8,DATA!$A:$EB,'2312'!$A10,0)/100</f>
        <v/>
      </c>
      <c r="J10" s="768">
        <f>VLOOKUP($I$1&amp;J$8,DATA!$A:$EB,'2312'!$A10,0)/100</f>
        <v/>
      </c>
      <c r="K10" s="768">
        <f>VLOOKUP($I$1&amp;K$8,DATA!$A:$EB,'2312'!$A10,0)/100</f>
        <v/>
      </c>
      <c r="L10" s="768">
        <f>VLOOKUP($I$1&amp;L$8,DATA!$A:$EB,'2312'!$A10,0)/100</f>
        <v/>
      </c>
      <c r="M10" s="768">
        <f>VLOOKUP($I$1&amp;M$8,DATA!$A:$EB,'2312'!$A10,0)/100</f>
        <v/>
      </c>
      <c r="N10" s="768">
        <f>VLOOKUP($I$1&amp;N$8,DATA!$A:$EB,'2312'!$A10,0)/100</f>
        <v/>
      </c>
      <c r="O10" s="768">
        <f>VLOOKUP($I$1&amp;O$8,DATA!$A:$EB,'2312'!$A10,0)/100</f>
        <v/>
      </c>
      <c r="P10" s="768">
        <f>VLOOKUP($I$1&amp;P$8,DATA!$A:$EB,'2312'!$A10,0)/100</f>
        <v/>
      </c>
      <c r="Q10" s="768">
        <f>VLOOKUP($I$1&amp;Q$8,DATA!$A:$EB,'2312'!$A10,0)/100</f>
        <v/>
      </c>
      <c r="R10" s="768">
        <f>VLOOKUP($I$1&amp;R$8,DATA!$A:$EB,'2312'!$A10,0)/100</f>
        <v/>
      </c>
      <c r="S10" s="768">
        <f>VLOOKUP($I$1&amp;S$8,DATA!$A:$EB,'2312'!$A10,0)/100</f>
        <v/>
      </c>
      <c r="T10" s="767">
        <f>VLOOKUP($I$1&amp;T$8,DATA!$A:$EB,'2312'!$A10,0)/100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VLOOKUP($I$1&amp;I$8,DATA!$A:$EB,'2312'!$A12,0)/100</f>
        <v/>
      </c>
      <c r="J12" s="768">
        <f>VLOOKUP($I$1&amp;J$8,DATA!$A:$EB,'2312'!$A12,0)/100</f>
        <v/>
      </c>
      <c r="K12" s="768">
        <f>VLOOKUP($I$1&amp;K$8,DATA!$A:$EB,'2312'!$A12,0)/100</f>
        <v/>
      </c>
      <c r="L12" s="768">
        <f>VLOOKUP($I$1&amp;L$8,DATA!$A:$EB,'2312'!$A12,0)/100</f>
        <v/>
      </c>
      <c r="M12" s="768">
        <f>VLOOKUP($I$1&amp;M$8,DATA!$A:$EB,'2312'!$A12,0)/100</f>
        <v/>
      </c>
      <c r="N12" s="768">
        <f>VLOOKUP($I$1&amp;N$8,DATA!$A:$EB,'2312'!$A12,0)/100</f>
        <v/>
      </c>
      <c r="O12" s="768">
        <f>VLOOKUP($I$1&amp;O$8,DATA!$A:$EB,'2312'!$A12,0)/100</f>
        <v/>
      </c>
      <c r="P12" s="768">
        <f>VLOOKUP($I$1&amp;P$8,DATA!$A:$EB,'2312'!$A12,0)/100</f>
        <v/>
      </c>
      <c r="Q12" s="768">
        <f>VLOOKUP($I$1&amp;Q$8,DATA!$A:$EB,'2312'!$A12,0)/100</f>
        <v/>
      </c>
      <c r="R12" s="768">
        <f>VLOOKUP($I$1&amp;R$8,DATA!$A:$EB,'2312'!$A12,0)/100</f>
        <v/>
      </c>
      <c r="S12" s="768">
        <f>VLOOKUP($I$1&amp;S$8,DATA!$A:$EB,'2312'!$A12,0)/100</f>
        <v/>
      </c>
      <c r="T12" s="767">
        <f>VLOOKUP($I$1&amp;T$8,DATA!$A:$EB,'2312'!$A12,0)/100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VLOOKUP($I$1&amp;I$8,DATA!$A:$EB,'2312'!$A13,0)/100</f>
        <v/>
      </c>
      <c r="J13" s="772">
        <f>VLOOKUP($I$1&amp;J$8,DATA!$A:$EB,'2312'!$A13,0)/100</f>
        <v/>
      </c>
      <c r="K13" s="772">
        <f>VLOOKUP($I$1&amp;K$8,DATA!$A:$EB,'2312'!$A13,0)/100</f>
        <v/>
      </c>
      <c r="L13" s="772">
        <f>VLOOKUP($I$1&amp;L$8,DATA!$A:$EB,'2312'!$A13,0)/100</f>
        <v/>
      </c>
      <c r="M13" s="772">
        <f>VLOOKUP($I$1&amp;M$8,DATA!$A:$EB,'2312'!$A13,0)/100</f>
        <v/>
      </c>
      <c r="N13" s="772">
        <f>VLOOKUP($I$1&amp;N$8,DATA!$A:$EB,'2312'!$A13,0)/100</f>
        <v/>
      </c>
      <c r="O13" s="772">
        <f>VLOOKUP($I$1&amp;O$8,DATA!$A:$EB,'2312'!$A13,0)/100</f>
        <v/>
      </c>
      <c r="P13" s="772">
        <f>VLOOKUP($I$1&amp;P$8,DATA!$A:$EB,'2312'!$A13,0)/100</f>
        <v/>
      </c>
      <c r="Q13" s="772">
        <f>VLOOKUP($I$1&amp;Q$8,DATA!$A:$EB,'2312'!$A13,0)/100</f>
        <v/>
      </c>
      <c r="R13" s="772">
        <f>VLOOKUP($I$1&amp;R$8,DATA!$A:$EB,'2312'!$A13,0)/100</f>
        <v/>
      </c>
      <c r="S13" s="772">
        <f>VLOOKUP($I$1&amp;S$8,DATA!$A:$EB,'2312'!$A13,0)/100</f>
        <v/>
      </c>
      <c r="T13" s="771">
        <f>VLOOKUP($I$1&amp;T$8,DATA!$A:$EB,'2312'!$A13,0)/100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VLOOKUP($I$1&amp;I$8,DATA!$A:$EB,'2312'!$A14,0)/100</f>
        <v/>
      </c>
      <c r="J14" s="765">
        <f>VLOOKUP($I$1&amp;J$8,DATA!$A:$EB,'2312'!$A14,0)/100</f>
        <v/>
      </c>
      <c r="K14" s="765">
        <f>VLOOKUP($I$1&amp;K$8,DATA!$A:$EB,'2312'!$A14,0)/100</f>
        <v/>
      </c>
      <c r="L14" s="765">
        <f>VLOOKUP($I$1&amp;L$8,DATA!$A:$EB,'2312'!$A14,0)/100</f>
        <v/>
      </c>
      <c r="M14" s="765">
        <f>VLOOKUP($I$1&amp;M$8,DATA!$A:$EB,'2312'!$A14,0)/100</f>
        <v/>
      </c>
      <c r="N14" s="765">
        <f>VLOOKUP($I$1&amp;N$8,DATA!$A:$EB,'2312'!$A14,0)/100</f>
        <v/>
      </c>
      <c r="O14" s="765">
        <f>VLOOKUP($I$1&amp;O$8,DATA!$A:$EB,'2312'!$A14,0)/100</f>
        <v/>
      </c>
      <c r="P14" s="765">
        <f>VLOOKUP($I$1&amp;P$8,DATA!$A:$EB,'2312'!$A14,0)/100</f>
        <v/>
      </c>
      <c r="Q14" s="765">
        <f>VLOOKUP($I$1&amp;Q$8,DATA!$A:$EB,'2312'!$A14,0)/100</f>
        <v/>
      </c>
      <c r="R14" s="765">
        <f>VLOOKUP($I$1&amp;R$8,DATA!$A:$EB,'2312'!$A14,0)/100</f>
        <v/>
      </c>
      <c r="S14" s="765">
        <f>VLOOKUP($I$1&amp;S$8,DATA!$A:$EB,'2312'!$A14,0)/100</f>
        <v/>
      </c>
      <c r="T14" s="764">
        <f>VLOOKUP($I$1&amp;T$8,DATA!$A:$EB,'2312'!$A14,0)/100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VLOOKUP($I$1&amp;I$8,DATA!$A:$EB,'2312'!$A15,0)/100</f>
        <v/>
      </c>
      <c r="J15" s="768">
        <f>VLOOKUP($I$1&amp;J$8,DATA!$A:$EB,'2312'!$A15,0)/100</f>
        <v/>
      </c>
      <c r="K15" s="768">
        <f>VLOOKUP($I$1&amp;K$8,DATA!$A:$EB,'2312'!$A15,0)/100</f>
        <v/>
      </c>
      <c r="L15" s="768">
        <f>VLOOKUP($I$1&amp;L$8,DATA!$A:$EB,'2312'!$A15,0)/100</f>
        <v/>
      </c>
      <c r="M15" s="768">
        <f>VLOOKUP($I$1&amp;M$8,DATA!$A:$EB,'2312'!$A15,0)/100</f>
        <v/>
      </c>
      <c r="N15" s="768">
        <f>VLOOKUP($I$1&amp;N$8,DATA!$A:$EB,'2312'!$A15,0)/100</f>
        <v/>
      </c>
      <c r="O15" s="768">
        <f>VLOOKUP($I$1&amp;O$8,DATA!$A:$EB,'2312'!$A15,0)/100</f>
        <v/>
      </c>
      <c r="P15" s="768">
        <f>VLOOKUP($I$1&amp;P$8,DATA!$A:$EB,'2312'!$A15,0)/100</f>
        <v/>
      </c>
      <c r="Q15" s="768">
        <f>VLOOKUP($I$1&amp;Q$8,DATA!$A:$EB,'2312'!$A15,0)/100</f>
        <v/>
      </c>
      <c r="R15" s="768">
        <f>VLOOKUP($I$1&amp;R$8,DATA!$A:$EB,'2312'!$A15,0)/100</f>
        <v/>
      </c>
      <c r="S15" s="768">
        <f>VLOOKUP($I$1&amp;S$8,DATA!$A:$EB,'2312'!$A15,0)/100</f>
        <v/>
      </c>
      <c r="T15" s="767">
        <f>VLOOKUP($I$1&amp;T$8,DATA!$A:$EB,'2312'!$A15,0)/100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VLOOKUP($I$1&amp;I$8,DATA!$A:$EB,'2312'!$A16,0)/100</f>
        <v/>
      </c>
      <c r="J16" s="844">
        <f>VLOOKUP($I$1&amp;J$8,DATA!$A:$EB,'2312'!$A16,0)/100</f>
        <v/>
      </c>
      <c r="K16" s="768">
        <f>VLOOKUP($I$1&amp;K$8,DATA!$A:$EB,'2312'!$A16,0)/100</f>
        <v/>
      </c>
      <c r="L16" s="768">
        <f>VLOOKUP($I$1&amp;L$8,DATA!$A:$EB,'2312'!$A16,0)/100</f>
        <v/>
      </c>
      <c r="M16" s="768">
        <f>VLOOKUP($I$1&amp;M$8,DATA!$A:$EB,'2312'!$A16,0)/100</f>
        <v/>
      </c>
      <c r="N16" s="768">
        <f>VLOOKUP($I$1&amp;N$8,DATA!$A:$EB,'2312'!$A16,0)/100</f>
        <v/>
      </c>
      <c r="O16" s="768">
        <f>VLOOKUP($I$1&amp;O$8,DATA!$A:$EB,'2312'!$A16,0)/100</f>
        <v/>
      </c>
      <c r="P16" s="768">
        <f>VLOOKUP($I$1&amp;P$8,DATA!$A:$EB,'2312'!$A16,0)/100</f>
        <v/>
      </c>
      <c r="Q16" s="768">
        <f>VLOOKUP($I$1&amp;Q$8,DATA!$A:$EB,'2312'!$A16,0)/100</f>
        <v/>
      </c>
      <c r="R16" s="768">
        <f>VLOOKUP($I$1&amp;R$8,DATA!$A:$EB,'2312'!$A16,0)/100</f>
        <v/>
      </c>
      <c r="S16" s="768">
        <f>VLOOKUP($I$1&amp;S$8,DATA!$A:$EB,'2312'!$A16,0)/100</f>
        <v/>
      </c>
      <c r="T16" s="767">
        <f>VLOOKUP($I$1&amp;T$8,DATA!$A:$EB,'2312'!$A16,0)/100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VLOOKUP($I$1&amp;I$8,DATA!$A:$EB,'2312'!$A18,0)/100</f>
        <v/>
      </c>
      <c r="J18" s="772">
        <f>VLOOKUP($I$1&amp;J$8,DATA!$A:$EB,'2312'!$A18,0)/100</f>
        <v/>
      </c>
      <c r="K18" s="772">
        <f>VLOOKUP($I$1&amp;K$8,DATA!$A:$EB,'2312'!$A18,0)/100</f>
        <v/>
      </c>
      <c r="L18" s="772">
        <f>VLOOKUP($I$1&amp;L$8,DATA!$A:$EB,'2312'!$A18,0)/100</f>
        <v/>
      </c>
      <c r="M18" s="772">
        <f>VLOOKUP($I$1&amp;M$8,DATA!$A:$EB,'2312'!$A18,0)/100</f>
        <v/>
      </c>
      <c r="N18" s="772">
        <f>VLOOKUP($I$1&amp;N$8,DATA!$A:$EB,'2312'!$A18,0)/100</f>
        <v/>
      </c>
      <c r="O18" s="772">
        <f>VLOOKUP($I$1&amp;O$8,DATA!$A:$EB,'2312'!$A18,0)/100</f>
        <v/>
      </c>
      <c r="P18" s="772">
        <f>VLOOKUP($I$1&amp;P$8,DATA!$A:$EB,'2312'!$A18,0)/100</f>
        <v/>
      </c>
      <c r="Q18" s="772">
        <f>VLOOKUP($I$1&amp;Q$8,DATA!$A:$EB,'2312'!$A18,0)/100</f>
        <v/>
      </c>
      <c r="R18" s="772">
        <f>VLOOKUP($I$1&amp;R$8,DATA!$A:$EB,'2312'!$A18,0)/100</f>
        <v/>
      </c>
      <c r="S18" s="772">
        <f>VLOOKUP($I$1&amp;S$8,DATA!$A:$EB,'2312'!$A18,0)/100</f>
        <v/>
      </c>
      <c r="T18" s="771">
        <f>VLOOKUP($I$1&amp;T$8,DATA!$A:$EB,'2312'!$A18,0)/100</f>
        <v/>
      </c>
    </row>
    <row r="19" ht="16.5" customHeight="1" s="760">
      <c r="A19" s="642">
        <f>DATA!N1</f>
        <v/>
      </c>
      <c r="C19" s="654" t="inlineStr">
        <is>
          <t>자기자본_신종자본증권제외</t>
        </is>
      </c>
      <c r="D19" s="648" t="n"/>
      <c r="E19" s="648" t="n"/>
      <c r="F19" s="648" t="n"/>
      <c r="G19" s="648" t="n"/>
      <c r="H19" s="649" t="n"/>
      <c r="I19" s="764">
        <f>VLOOKUP($I$1&amp;I$8,DATA!$A:$EB,'2312'!$A19,0)/100</f>
        <v/>
      </c>
      <c r="J19" s="765">
        <f>VLOOKUP($I$1&amp;J$8,DATA!$A:$EB,'2312'!$A19,0)/100</f>
        <v/>
      </c>
      <c r="K19" s="765">
        <f>VLOOKUP($I$1&amp;K$8,DATA!$A:$EB,'2312'!$A19,0)/100</f>
        <v/>
      </c>
      <c r="L19" s="765">
        <f>VLOOKUP($I$1&amp;L$8,DATA!$A:$EB,'2312'!$A19,0)/100</f>
        <v/>
      </c>
      <c r="M19" s="765">
        <f>VLOOKUP($I$1&amp;M$8,DATA!$A:$EB,'2312'!$A19,0)/100</f>
        <v/>
      </c>
      <c r="N19" s="765">
        <f>VLOOKUP($I$1&amp;N$8,DATA!$A:$EB,'2312'!$A19,0)/100</f>
        <v/>
      </c>
      <c r="O19" s="765">
        <f>VLOOKUP($I$1&amp;O$8,DATA!$A:$EB,'2312'!$A19,0)/100</f>
        <v/>
      </c>
      <c r="P19" s="765">
        <f>VLOOKUP($I$1&amp;P$8,DATA!$A:$EB,'2312'!$A19,0)/100</f>
        <v/>
      </c>
      <c r="Q19" s="765">
        <f>VLOOKUP($I$1&amp;Q$8,DATA!$A:$EB,'2312'!$A19,0)/100</f>
        <v/>
      </c>
      <c r="R19" s="765">
        <f>VLOOKUP($I$1&amp;R$8,DATA!$A:$EB,'2312'!$A19,0)/100</f>
        <v/>
      </c>
      <c r="S19" s="765">
        <f>VLOOKUP($I$1&amp;S$8,DATA!$A:$EB,'2312'!$A19,0)/100</f>
        <v/>
      </c>
      <c r="T19" s="764">
        <f>VLOOKUP($I$1&amp;T$8,DATA!$A:$EB,'2312'!$A19,0)/100</f>
        <v/>
      </c>
    </row>
    <row r="20" ht="16.5" customHeight="1" s="760">
      <c r="C20" s="690" t="inlineStr">
        <is>
          <t>(전기자본 대비)</t>
        </is>
      </c>
      <c r="H20" s="643" t="n"/>
      <c r="I20" s="773">
        <f>+I37</f>
        <v/>
      </c>
      <c r="J20" s="774">
        <f>+J37</f>
        <v/>
      </c>
      <c r="K20" s="774">
        <f>+K37</f>
        <v/>
      </c>
      <c r="L20" s="774">
        <f>+L37</f>
        <v/>
      </c>
      <c r="M20" s="774">
        <f>+M37</f>
        <v/>
      </c>
      <c r="N20" s="774">
        <f>+N37</f>
        <v/>
      </c>
      <c r="O20" s="774">
        <f>+O37</f>
        <v/>
      </c>
      <c r="P20" s="774">
        <f>+P37</f>
        <v/>
      </c>
      <c r="Q20" s="774">
        <f>+Q37</f>
        <v/>
      </c>
      <c r="R20" s="774">
        <f>+R37</f>
        <v/>
      </c>
      <c r="S20" s="774">
        <f>+S37</f>
        <v/>
      </c>
      <c r="T20" s="773">
        <f>+T37</f>
        <v/>
      </c>
    </row>
    <row r="21" ht="16.5" customHeight="1" s="760">
      <c r="C21" s="690" t="inlineStr">
        <is>
          <t>(자본증감율)</t>
        </is>
      </c>
      <c r="H21" s="643" t="n"/>
      <c r="I21" s="775">
        <f>+I20/(I19-I20)</f>
        <v/>
      </c>
      <c r="J21" s="776">
        <f>+J20/(J19-J20)</f>
        <v/>
      </c>
      <c r="K21" s="776">
        <f>+K20/(K19-K20)</f>
        <v/>
      </c>
      <c r="L21" s="776">
        <f>+L20/(L19-L20)</f>
        <v/>
      </c>
      <c r="M21" s="776">
        <f>+M20/(M19-M20)</f>
        <v/>
      </c>
      <c r="N21" s="776">
        <f>+N20/(N19-N20)</f>
        <v/>
      </c>
      <c r="O21" s="776">
        <f>+O20/(O19-O20)</f>
        <v/>
      </c>
      <c r="P21" s="776">
        <f>+P20/(P19-P20)</f>
        <v/>
      </c>
      <c r="Q21" s="776">
        <f>+Q20/(Q19-Q20)</f>
        <v/>
      </c>
      <c r="R21" s="776">
        <f>+R20/(R19-R20)</f>
        <v/>
      </c>
      <c r="S21" s="776">
        <f>+S20/(S19-S20)</f>
        <v/>
      </c>
      <c r="T21" s="775">
        <f>+T20/(T19-T20)</f>
        <v/>
      </c>
    </row>
    <row r="22" ht="16.5" customHeight="1" s="760">
      <c r="A22" s="642">
        <f>DATA!R1</f>
        <v/>
      </c>
      <c r="C22" s="656" t="inlineStr">
        <is>
          <t>이익잉여금</t>
        </is>
      </c>
      <c r="H22" s="643" t="n"/>
      <c r="I22" s="767">
        <f>VLOOKUP($I$1&amp;I$8,DATA!$A:$EB,'2312'!$A22,0)/100</f>
        <v/>
      </c>
      <c r="J22" s="768">
        <f>VLOOKUP($I$1&amp;J$8,DATA!$A:$EB,'2312'!$A22,0)/100</f>
        <v/>
      </c>
      <c r="K22" s="768">
        <f>VLOOKUP($I$1&amp;K$8,DATA!$A:$EB,'2312'!$A22,0)/100</f>
        <v/>
      </c>
      <c r="L22" s="768">
        <f>VLOOKUP($I$1&amp;L$8,DATA!$A:$EB,'2312'!$A22,0)/100</f>
        <v/>
      </c>
      <c r="M22" s="768">
        <f>VLOOKUP($I$1&amp;M$8,DATA!$A:$EB,'2312'!$A22,0)/100</f>
        <v/>
      </c>
      <c r="N22" s="768">
        <f>VLOOKUP($I$1&amp;N$8,DATA!$A:$EB,'2312'!$A22,0)/100</f>
        <v/>
      </c>
      <c r="O22" s="768">
        <f>VLOOKUP($I$1&amp;O$8,DATA!$A:$EB,'2312'!$A22,0)/100</f>
        <v/>
      </c>
      <c r="P22" s="768">
        <f>VLOOKUP($I$1&amp;P$8,DATA!$A:$EB,'2312'!$A22,0)/100</f>
        <v/>
      </c>
      <c r="Q22" s="768">
        <f>VLOOKUP($I$1&amp;Q$8,DATA!$A:$EB,'2312'!$A22,0)/100</f>
        <v/>
      </c>
      <c r="R22" s="768">
        <f>VLOOKUP($I$1&amp;R$8,DATA!$A:$EB,'2312'!$A22,0)/100</f>
        <v/>
      </c>
      <c r="S22" s="768">
        <f>VLOOKUP($I$1&amp;S$8,DATA!$A:$EB,'2312'!$A22,0)/100</f>
        <v/>
      </c>
      <c r="T22" s="767">
        <f>VLOOKUP($I$1&amp;T$8,DATA!$A:$EB,'2312'!$A22,0)/100</f>
        <v/>
      </c>
    </row>
    <row r="23" ht="16.5" customHeight="1" s="760">
      <c r="A23" s="642">
        <f>DATA!Q1</f>
        <v/>
      </c>
      <c r="C23" s="661" t="inlineStr">
        <is>
          <t>기타포괄</t>
        </is>
      </c>
      <c r="D23" s="645" t="n"/>
      <c r="E23" s="645" t="n"/>
      <c r="F23" s="645" t="n"/>
      <c r="G23" s="645" t="n"/>
      <c r="H23" s="646" t="n"/>
      <c r="I23" s="771">
        <f>VLOOKUP($I$1&amp;I$8,DATA!$A:$EB,'2312'!$A23,0)/100</f>
        <v/>
      </c>
      <c r="J23" s="772">
        <f>VLOOKUP($I$1&amp;J$8,DATA!$A:$EB,'2312'!$A23,0)/100</f>
        <v/>
      </c>
      <c r="K23" s="772">
        <f>VLOOKUP($I$1&amp;K$8,DATA!$A:$EB,'2312'!$A23,0)/100</f>
        <v/>
      </c>
      <c r="L23" s="772">
        <f>VLOOKUP($I$1&amp;L$8,DATA!$A:$EB,'2312'!$A23,0)/100</f>
        <v/>
      </c>
      <c r="M23" s="772">
        <f>VLOOKUP($I$1&amp;M$8,DATA!$A:$EB,'2312'!$A23,0)/100</f>
        <v/>
      </c>
      <c r="N23" s="772">
        <f>VLOOKUP($I$1&amp;N$8,DATA!$A:$EB,'2312'!$A23,0)/100</f>
        <v/>
      </c>
      <c r="O23" s="772">
        <f>VLOOKUP($I$1&amp;O$8,DATA!$A:$EB,'2312'!$A23,0)/100</f>
        <v/>
      </c>
      <c r="P23" s="772">
        <f>VLOOKUP($I$1&amp;P$8,DATA!$A:$EB,'2312'!$A23,0)/100</f>
        <v/>
      </c>
      <c r="Q23" s="772">
        <f>VLOOKUP($I$1&amp;Q$8,DATA!$A:$EB,'2312'!$A23,0)/100</f>
        <v/>
      </c>
      <c r="R23" s="772">
        <f>VLOOKUP($I$1&amp;R$8,DATA!$A:$EB,'2312'!$A23,0)/100</f>
        <v/>
      </c>
      <c r="S23" s="772">
        <f>VLOOKUP($I$1&amp;S$8,DATA!$A:$EB,'2312'!$A23,0)/100</f>
        <v/>
      </c>
      <c r="T23" s="771">
        <f>VLOOKUP($I$1&amp;T$8,DATA!$A:$EB,'2312'!$A23,0)/100</f>
        <v/>
      </c>
    </row>
    <row r="24" ht="16.5" customHeight="1" s="760">
      <c r="C24" s="666" t="inlineStr">
        <is>
          <t>(기타포괄손익 증감)</t>
        </is>
      </c>
      <c r="H24" s="643" t="n"/>
      <c r="I24" s="777">
        <f>I23-I38</f>
        <v/>
      </c>
      <c r="J24" s="778">
        <f>J23-J38</f>
        <v/>
      </c>
      <c r="K24" s="778">
        <f>K23-K38</f>
        <v/>
      </c>
      <c r="L24" s="778">
        <f>L23-L38</f>
        <v/>
      </c>
      <c r="M24" s="778">
        <f>M23-M38</f>
        <v/>
      </c>
      <c r="N24" s="778">
        <f>N23-N38</f>
        <v/>
      </c>
      <c r="O24" s="778">
        <f>O23-O38</f>
        <v/>
      </c>
      <c r="P24" s="778">
        <f>P23-P38</f>
        <v/>
      </c>
      <c r="Q24" s="778">
        <f>Q23-Q38</f>
        <v/>
      </c>
      <c r="R24" s="778">
        <f>R23-R38</f>
        <v/>
      </c>
      <c r="S24" s="778">
        <f>S23-S38</f>
        <v/>
      </c>
      <c r="T24" s="777">
        <f>T23-T38</f>
        <v/>
      </c>
    </row>
    <row r="25" ht="33.75" customHeight="1" s="760">
      <c r="C25" s="641" t="inlineStr">
        <is>
          <t>(자기자본 대비 
기타포괄손익 증감율)</t>
        </is>
      </c>
      <c r="H25" s="643" t="n"/>
      <c r="I25" s="779">
        <f>I24/I36</f>
        <v/>
      </c>
      <c r="J25" s="780">
        <f>J24/J36</f>
        <v/>
      </c>
      <c r="K25" s="780">
        <f>K24/K36</f>
        <v/>
      </c>
      <c r="L25" s="780">
        <f>L24/L36</f>
        <v/>
      </c>
      <c r="M25" s="780">
        <f>M24/M36</f>
        <v/>
      </c>
      <c r="N25" s="780">
        <f>N24/N36</f>
        <v/>
      </c>
      <c r="O25" s="780">
        <f>O24/O36</f>
        <v/>
      </c>
      <c r="P25" s="780">
        <f>P24/P36</f>
        <v/>
      </c>
      <c r="Q25" s="780">
        <f>Q24/Q36</f>
        <v/>
      </c>
      <c r="R25" s="780">
        <f>R24/R36</f>
        <v/>
      </c>
      <c r="S25" s="780">
        <f>S24/S36</f>
        <v/>
      </c>
      <c r="T25" s="779">
        <f>T24/T36</f>
        <v/>
      </c>
    </row>
    <row r="26" ht="31.5" customHeight="1" s="760">
      <c r="C26" s="668" t="inlineStr">
        <is>
          <t>(보험계약부채대비 
기타포괄손익 증감율)</t>
        </is>
      </c>
      <c r="D26" s="645" t="n"/>
      <c r="E26" s="645" t="n"/>
      <c r="F26" s="645" t="n"/>
      <c r="G26" s="645" t="n"/>
      <c r="H26" s="646" t="n"/>
      <c r="I26" s="781">
        <f>I24/I45</f>
        <v/>
      </c>
      <c r="J26" s="782">
        <f>J24/J45</f>
        <v/>
      </c>
      <c r="K26" s="782">
        <f>K24/K45</f>
        <v/>
      </c>
      <c r="L26" s="782">
        <f>L24/L45</f>
        <v/>
      </c>
      <c r="M26" s="782">
        <f>M24/M45</f>
        <v/>
      </c>
      <c r="N26" s="782">
        <f>N24/N45</f>
        <v/>
      </c>
      <c r="O26" s="782">
        <f>O24/O45</f>
        <v/>
      </c>
      <c r="P26" s="782">
        <f>P24/P45</f>
        <v/>
      </c>
      <c r="Q26" s="782">
        <f>Q24/Q45</f>
        <v/>
      </c>
      <c r="R26" s="782">
        <f>R24/R45</f>
        <v/>
      </c>
      <c r="S26" s="782">
        <f>S24/S45</f>
        <v/>
      </c>
      <c r="T26" s="781">
        <f>T24/T45</f>
        <v/>
      </c>
    </row>
    <row r="27">
      <c r="C27" s="212" t="n"/>
      <c r="D27" s="212" t="n"/>
      <c r="E27" s="212" t="n"/>
      <c r="F27" s="212" t="n"/>
      <c r="G27" s="212" t="n"/>
      <c r="H27" s="212" t="n"/>
      <c r="I27" s="783" t="n"/>
      <c r="J27" s="783" t="n"/>
      <c r="K27" s="783" t="n"/>
      <c r="L27" s="783" t="n"/>
      <c r="M27" s="783" t="n"/>
      <c r="N27" s="783" t="n"/>
      <c r="O27" s="783" t="n"/>
      <c r="P27" s="783" t="n"/>
      <c r="Q27" s="783" t="n"/>
      <c r="R27" s="783" t="n"/>
      <c r="S27" s="783" t="n"/>
      <c r="T27" s="783" t="n"/>
    </row>
    <row r="28">
      <c r="C28" s="212" t="n"/>
      <c r="D28" s="212" t="n"/>
      <c r="E28" s="212" t="n"/>
      <c r="F28" s="212" t="n"/>
      <c r="G28" s="212" t="n"/>
      <c r="H28" s="212" t="n"/>
      <c r="I28" s="784" t="n"/>
      <c r="J28" s="784" t="n"/>
      <c r="K28" s="784" t="n"/>
      <c r="L28" s="784" t="n"/>
      <c r="M28" s="784" t="n"/>
      <c r="N28" s="784" t="n"/>
      <c r="O28" s="784" t="n"/>
      <c r="P28" s="784" t="n"/>
      <c r="Q28" s="784" t="n"/>
      <c r="R28" s="784" t="n"/>
      <c r="S28" s="784" t="n"/>
      <c r="T28" s="784" t="n"/>
    </row>
    <row r="29" ht="16.5" customHeight="1" s="760">
      <c r="A29" s="642">
        <f>DATA!O1</f>
        <v/>
      </c>
      <c r="C29" s="654" t="inlineStr">
        <is>
          <t>자기자본</t>
        </is>
      </c>
      <c r="D29" s="648" t="n"/>
      <c r="E29" s="648" t="n"/>
      <c r="F29" s="648" t="n"/>
      <c r="G29" s="648" t="n"/>
      <c r="H29" s="649" t="n"/>
      <c r="I29" s="764">
        <f>VLOOKUP($I$1&amp;I$8,DATA!$A:$EB,'2312'!$A29,0)/100</f>
        <v/>
      </c>
      <c r="J29" s="765">
        <f>VLOOKUP($I$1&amp;J$8,DATA!$A:$EB,'2312'!$A29,0)/100</f>
        <v/>
      </c>
      <c r="K29" s="765">
        <f>VLOOKUP($I$1&amp;K$8,DATA!$A:$EB,'2312'!$A29,0)/100</f>
        <v/>
      </c>
      <c r="L29" s="765">
        <f>VLOOKUP($I$1&amp;L$8,DATA!$A:$EB,'2312'!$A29,0)/100</f>
        <v/>
      </c>
      <c r="M29" s="765">
        <f>VLOOKUP($I$1&amp;M$8,DATA!$A:$EB,'2312'!$A29,0)/100</f>
        <v/>
      </c>
      <c r="N29" s="765">
        <f>VLOOKUP($I$1&amp;N$8,DATA!$A:$EB,'2312'!$A29,0)/100</f>
        <v/>
      </c>
      <c r="O29" s="765">
        <f>VLOOKUP($I$1&amp;O$8,DATA!$A:$EB,'2312'!$A29,0)/100</f>
        <v/>
      </c>
      <c r="P29" s="765">
        <f>VLOOKUP($I$1&amp;P$8,DATA!$A:$EB,'2312'!$A29,0)/100</f>
        <v/>
      </c>
      <c r="Q29" s="765">
        <f>VLOOKUP($I$1&amp;Q$8,DATA!$A:$EB,'2312'!$A29,0)/100</f>
        <v/>
      </c>
      <c r="R29" s="765">
        <f>VLOOKUP($I$1&amp;R$8,DATA!$A:$EB,'2312'!$A29,0)/100</f>
        <v/>
      </c>
      <c r="S29" s="765">
        <f>VLOOKUP($I$1&amp;S$8,DATA!$A:$EB,'2312'!$A29,0)/100</f>
        <v/>
      </c>
      <c r="T29" s="764">
        <f>VLOOKUP($I$1&amp;T$8,DATA!$A:$EB,'2312'!$A29,0)/100</f>
        <v/>
      </c>
    </row>
    <row r="30">
      <c r="C30" s="212" t="n"/>
      <c r="D30" s="212" t="n"/>
      <c r="E30" s="212" t="n"/>
      <c r="F30" s="212" t="n"/>
      <c r="G30" s="212" t="n"/>
      <c r="H30" s="212" t="n"/>
      <c r="I30" s="783" t="n"/>
      <c r="J30" s="783" t="n"/>
      <c r="K30" s="783" t="n"/>
      <c r="L30" s="783" t="n"/>
      <c r="M30" s="783" t="n"/>
      <c r="N30" s="783" t="n"/>
      <c r="O30" s="783" t="n"/>
      <c r="P30" s="783" t="n"/>
      <c r="Q30" s="783" t="n"/>
      <c r="R30" s="783" t="n"/>
      <c r="S30" s="783" t="n"/>
      <c r="T30" s="783" t="n"/>
    </row>
    <row r="31">
      <c r="C31" s="212" t="n"/>
      <c r="D31" s="212" t="n"/>
      <c r="E31" s="212" t="n"/>
      <c r="F31" s="212" t="n"/>
      <c r="G31" s="212" t="n"/>
      <c r="H31" s="212" t="n"/>
      <c r="I31" s="783" t="n"/>
      <c r="J31" s="783" t="n"/>
      <c r="K31" s="783" t="n"/>
      <c r="L31" s="783" t="n"/>
      <c r="M31" s="783" t="n"/>
      <c r="N31" s="783" t="n"/>
      <c r="O31" s="783" t="n"/>
      <c r="P31" s="783" t="n"/>
      <c r="Q31" s="783" t="n"/>
      <c r="R31" s="783" t="n"/>
      <c r="S31" s="783" t="n"/>
      <c r="T31" s="783" t="n"/>
    </row>
    <row r="32">
      <c r="C32" s="212" t="n"/>
      <c r="D32" s="212" t="n"/>
      <c r="E32" s="212" t="n"/>
      <c r="F32" s="212" t="n"/>
      <c r="G32" s="212" t="n"/>
      <c r="H32" s="212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</row>
    <row r="33">
      <c r="C33" s="5" t="inlineStr">
        <is>
          <t xml:space="preserve">  - 금융자산비중</t>
        </is>
      </c>
      <c r="D33" s="5" t="n"/>
      <c r="E33" s="5" t="n"/>
      <c r="F33" s="5" t="n"/>
      <c r="G33" s="5" t="n"/>
      <c r="H33" s="5" t="n"/>
      <c r="I33" s="785">
        <f>+I22/I9</f>
        <v/>
      </c>
      <c r="J33" s="785">
        <f>+J22/J9</f>
        <v/>
      </c>
      <c r="K33" s="785">
        <f>+K22/K9</f>
        <v/>
      </c>
      <c r="L33" s="785">
        <f>+L22/L9</f>
        <v/>
      </c>
      <c r="M33" s="785">
        <f>+M22/M9</f>
        <v/>
      </c>
      <c r="N33" s="785">
        <f>+N22/N9</f>
        <v/>
      </c>
      <c r="O33" s="785">
        <f>+O22/O9</f>
        <v/>
      </c>
      <c r="P33" s="785">
        <f>+P22/P9</f>
        <v/>
      </c>
      <c r="Q33" s="785">
        <f>+Q22/Q9</f>
        <v/>
      </c>
      <c r="R33" s="785">
        <f>+R22/R9</f>
        <v/>
      </c>
      <c r="S33" s="785">
        <f>+S22/S9</f>
        <v/>
      </c>
      <c r="T33" s="785">
        <f>+T22/T9</f>
        <v/>
      </c>
    </row>
    <row r="34">
      <c r="C34" s="5" t="n"/>
      <c r="D34" s="5" t="n"/>
      <c r="E34" s="5" t="n"/>
      <c r="F34" s="5" t="n"/>
      <c r="G34" s="5" t="n"/>
      <c r="H34" s="5" t="n"/>
      <c r="I34" s="785" t="n"/>
      <c r="J34" s="785" t="n"/>
      <c r="K34" s="785" t="n"/>
      <c r="L34" s="785" t="n"/>
      <c r="M34" s="785" t="n"/>
      <c r="N34" s="785" t="n"/>
      <c r="O34" s="785" t="n"/>
      <c r="P34" s="785" t="n"/>
      <c r="Q34" s="785" t="n"/>
      <c r="R34" s="785" t="n"/>
      <c r="S34" s="785" t="n"/>
      <c r="T34" s="785" t="n"/>
    </row>
    <row r="35">
      <c r="C35" s="5" t="n"/>
      <c r="D35" s="5" t="n"/>
      <c r="E35" s="5" t="n"/>
      <c r="F35" s="5" t="n"/>
      <c r="G35" s="5" t="n"/>
      <c r="H35" s="5" t="n"/>
      <c r="I35" s="785" t="n"/>
      <c r="J35" s="785" t="n"/>
      <c r="K35" s="785" t="n"/>
      <c r="L35" s="785" t="n"/>
      <c r="M35" s="785" t="n"/>
      <c r="N35" s="785" t="n"/>
      <c r="O35" s="785" t="n"/>
      <c r="P35" s="785" t="n"/>
      <c r="Q35" s="785" t="n"/>
      <c r="R35" s="785" t="n"/>
      <c r="S35" s="785" t="n"/>
      <c r="T35" s="785" t="n"/>
    </row>
    <row r="36" ht="16.5" customHeight="1" s="760">
      <c r="A36" s="642">
        <f>DATA!T1</f>
        <v/>
      </c>
      <c r="C36" s="5" t="inlineStr">
        <is>
          <t>* 전기자기자본</t>
        </is>
      </c>
      <c r="D36" s="13" t="n"/>
      <c r="F36" s="13" t="n"/>
      <c r="G36" s="13" t="n"/>
      <c r="H36" s="13" t="n"/>
      <c r="I36" s="786">
        <f>VLOOKUP($I$1&amp;I$8,DATA!$A:$EB,'2312'!$A36,0)/100</f>
        <v/>
      </c>
      <c r="J36" s="786">
        <f>VLOOKUP($I$1&amp;J$8,DATA!$A:$EB,'2312'!$A36,0)/100</f>
        <v/>
      </c>
      <c r="K36" s="787">
        <f>VLOOKUP($I$1&amp;K$8,DATA!$A:$EB,'2312'!$A36,0)/100</f>
        <v/>
      </c>
      <c r="L36" s="787">
        <f>VLOOKUP($I$1&amp;L$8,DATA!$A:$EB,'2312'!$A36,0)/100</f>
        <v/>
      </c>
      <c r="M36" s="787">
        <f>VLOOKUP($I$1&amp;M$8,DATA!$A:$EB,'2312'!$A36,0)/100</f>
        <v/>
      </c>
      <c r="N36" s="787">
        <f>VLOOKUP($I$1&amp;N$8,DATA!$A:$EB,'2312'!$A36,0)/100</f>
        <v/>
      </c>
      <c r="O36" s="787">
        <f>VLOOKUP($I$1&amp;O$8,DATA!$A:$EB,'2312'!$A36,0)/100</f>
        <v/>
      </c>
      <c r="P36" s="787">
        <f>VLOOKUP($I$1&amp;P$8,DATA!$A:$EB,'2312'!$A36,0)/100</f>
        <v/>
      </c>
      <c r="Q36" s="787">
        <f>VLOOKUP($I$1&amp;Q$8,DATA!$A:$EB,'2312'!$A36,0)/100</f>
        <v/>
      </c>
      <c r="R36" s="787">
        <f>VLOOKUP($I$1&amp;R$8,DATA!$A:$EB,'2312'!$A36,0)/100</f>
        <v/>
      </c>
      <c r="S36" s="787">
        <f>VLOOKUP($I$1&amp;S$8,DATA!$A:$EB,'2312'!$A36,0)/100</f>
        <v/>
      </c>
      <c r="T36" s="787">
        <f>VLOOKUP($I$1&amp;T$8,DATA!$A:$EB,'2312'!$A36,0)/100</f>
        <v/>
      </c>
    </row>
    <row r="37" ht="16.5" customHeight="1" s="760">
      <c r="C37" s="5" t="inlineStr">
        <is>
          <t xml:space="preserve"> - 전기대비 증감</t>
        </is>
      </c>
      <c r="D37" s="13" t="n"/>
      <c r="F37" s="13" t="n"/>
      <c r="G37" s="13" t="n"/>
      <c r="H37" s="13" t="n"/>
      <c r="I37" s="786">
        <f>I19-I36</f>
        <v/>
      </c>
      <c r="J37" s="786">
        <f>J19-J36</f>
        <v/>
      </c>
      <c r="K37" s="786">
        <f>K19-K36</f>
        <v/>
      </c>
      <c r="L37" s="786">
        <f>L19-L36</f>
        <v/>
      </c>
      <c r="M37" s="786">
        <f>M19-M36</f>
        <v/>
      </c>
      <c r="N37" s="786">
        <f>N19-N36</f>
        <v/>
      </c>
      <c r="O37" s="786">
        <f>O19-O36</f>
        <v/>
      </c>
      <c r="P37" s="786">
        <f>P19-P36</f>
        <v/>
      </c>
      <c r="Q37" s="786">
        <f>Q19-Q36</f>
        <v/>
      </c>
      <c r="R37" s="786">
        <f>R19-R36</f>
        <v/>
      </c>
      <c r="S37" s="786">
        <f>S19-S36</f>
        <v/>
      </c>
      <c r="T37" s="786">
        <f>T19-T36</f>
        <v/>
      </c>
    </row>
    <row r="38">
      <c r="A38" s="642">
        <f>DATA!BC1</f>
        <v/>
      </c>
      <c r="C38" s="5" t="inlineStr">
        <is>
          <t>* 전기기타포괄</t>
        </is>
      </c>
      <c r="I38" s="786">
        <f>VLOOKUP($I$1&amp;I$8,DATA!$A:$EB,'2312'!$A38,0)/100</f>
        <v/>
      </c>
      <c r="J38" s="786">
        <f>VLOOKUP($I$1&amp;J$8,DATA!$A:$EB,'2312'!$A38,0)/100</f>
        <v/>
      </c>
      <c r="K38" s="786">
        <f>VLOOKUP($I$1&amp;K$8,DATA!$A:$EB,'2312'!$A38,0)/100</f>
        <v/>
      </c>
      <c r="L38" s="786">
        <f>VLOOKUP($I$1&amp;L$8,DATA!$A:$EB,'2312'!$A38,0)/100</f>
        <v/>
      </c>
      <c r="M38" s="786">
        <f>VLOOKUP($I$1&amp;M$8,DATA!$A:$EB,'2312'!$A38,0)/100</f>
        <v/>
      </c>
      <c r="N38" s="786">
        <f>VLOOKUP($I$1&amp;N$8,DATA!$A:$EB,'2312'!$A38,0)/100</f>
        <v/>
      </c>
      <c r="O38" s="786">
        <f>VLOOKUP($I$1&amp;O$8,DATA!$A:$EB,'2312'!$A38,0)/100</f>
        <v/>
      </c>
      <c r="P38" s="786">
        <f>VLOOKUP($I$1&amp;P$8,DATA!$A:$EB,'2312'!$A38,0)/100</f>
        <v/>
      </c>
      <c r="Q38" s="786">
        <f>VLOOKUP($I$1&amp;Q$8,DATA!$A:$EB,'2312'!$A38,0)/100</f>
        <v/>
      </c>
      <c r="R38" s="786">
        <f>VLOOKUP($I$1&amp;R$8,DATA!$A:$EB,'2312'!$A38,0)/100</f>
        <v/>
      </c>
      <c r="S38" s="786">
        <f>VLOOKUP($I$1&amp;S$8,DATA!$A:$EB,'2312'!$A38,0)/100</f>
        <v/>
      </c>
      <c r="T38" s="786">
        <f>VLOOKUP($I$1&amp;T$8,DATA!$A:$EB,'2312'!$A38,0)/100</f>
        <v/>
      </c>
    </row>
    <row r="39">
      <c r="A39" s="642">
        <f>DATA!BN1</f>
        <v/>
      </c>
      <c r="C39" s="5" t="inlineStr">
        <is>
          <t>1) 결산배당</t>
        </is>
      </c>
      <c r="I39" s="786">
        <f>VLOOKUP($I$1&amp;I$8,DATA!$A:$EB,'2312'!$A39,0)/100</f>
        <v/>
      </c>
      <c r="J39" s="786">
        <f>VLOOKUP($I$1&amp;J$8,DATA!$A:$EB,'2312'!$A39,0)/100</f>
        <v/>
      </c>
      <c r="K39" s="786">
        <f>VLOOKUP($I$1&amp;K$8,DATA!$A:$EB,'2312'!$A39,0)/100</f>
        <v/>
      </c>
      <c r="L39" s="786">
        <f>VLOOKUP($I$1&amp;L$8,DATA!$A:$EB,'2312'!$A39,0)/100</f>
        <v/>
      </c>
      <c r="M39" s="786">
        <f>VLOOKUP($I$1&amp;M$8,DATA!$A:$EB,'2312'!$A39,0)/100</f>
        <v/>
      </c>
      <c r="N39" s="786">
        <f>VLOOKUP($I$1&amp;N$8,DATA!$A:$EB,'2312'!$A39,0)/100</f>
        <v/>
      </c>
      <c r="O39" s="786">
        <f>VLOOKUP($I$1&amp;O$8,DATA!$A:$EB,'2312'!$A39,0)/100</f>
        <v/>
      </c>
      <c r="P39" s="786">
        <f>VLOOKUP($I$1&amp;P$8,DATA!$A:$EB,'2312'!$A39,0)/100</f>
        <v/>
      </c>
      <c r="Q39" s="786">
        <f>VLOOKUP($I$1&amp;Q$8,DATA!$A:$EB,'2312'!$A39,0)/100</f>
        <v/>
      </c>
      <c r="R39" s="786">
        <f>VLOOKUP($I$1&amp;R$8,DATA!$A:$EB,'2312'!$A39,0)/100</f>
        <v/>
      </c>
      <c r="S39" s="786">
        <f>VLOOKUP($I$1&amp;S$8,DATA!$A:$EB,'2312'!$A39,0)/100</f>
        <v/>
      </c>
      <c r="T39" s="786">
        <f>VLOOKUP($I$1&amp;T$8,DATA!$A:$EB,'2312'!$A39,0)/100</f>
        <v/>
      </c>
    </row>
    <row r="40">
      <c r="A40" s="642">
        <f>DATA!BR1</f>
        <v/>
      </c>
      <c r="C40" s="5" t="inlineStr">
        <is>
          <t>2) 기타배당</t>
        </is>
      </c>
      <c r="I40" s="786">
        <f>VLOOKUP($I$1&amp;I$8,DATA!$A:$EB,'2312'!$A40,0)/100</f>
        <v/>
      </c>
      <c r="J40" s="786">
        <f>VLOOKUP($I$1&amp;J$8,DATA!$A:$EB,'2312'!$A40,0)/100</f>
        <v/>
      </c>
      <c r="K40" s="786">
        <f>VLOOKUP($I$1&amp;K$8,DATA!$A:$EB,'2312'!$A40,0)/100</f>
        <v/>
      </c>
      <c r="L40" s="786">
        <f>VLOOKUP($I$1&amp;L$8,DATA!$A:$EB,'2312'!$A40,0)/100</f>
        <v/>
      </c>
      <c r="M40" s="786">
        <f>VLOOKUP($I$1&amp;M$8,DATA!$A:$EB,'2312'!$A40,0)/100</f>
        <v/>
      </c>
      <c r="N40" s="786">
        <f>VLOOKUP($I$1&amp;N$8,DATA!$A:$EB,'2312'!$A40,0)/100</f>
        <v/>
      </c>
      <c r="O40" s="786">
        <f>VLOOKUP($I$1&amp;O$8,DATA!$A:$EB,'2312'!$A40,0)/100</f>
        <v/>
      </c>
      <c r="P40" s="786">
        <f>VLOOKUP($I$1&amp;P$8,DATA!$A:$EB,'2312'!$A40,0)/100</f>
        <v/>
      </c>
      <c r="Q40" s="786">
        <f>VLOOKUP($I$1&amp;Q$8,DATA!$A:$EB,'2312'!$A40,0)/100</f>
        <v/>
      </c>
      <c r="R40" s="786">
        <f>VLOOKUP($I$1&amp;R$8,DATA!$A:$EB,'2312'!$A40,0)/100</f>
        <v/>
      </c>
      <c r="S40" s="786">
        <f>VLOOKUP($I$1&amp;S$8,DATA!$A:$EB,'2312'!$A40,0)/100</f>
        <v/>
      </c>
      <c r="T40" s="786">
        <f>VLOOKUP($I$1&amp;T$8,DATA!$A:$EB,'2312'!$A40,0)/100</f>
        <v/>
      </c>
    </row>
    <row r="41">
      <c r="C41" s="5" t="inlineStr">
        <is>
          <t>배당합계</t>
        </is>
      </c>
      <c r="I41" s="786">
        <f>I39+I40</f>
        <v/>
      </c>
      <c r="J41" s="786">
        <f>J39+J40</f>
        <v/>
      </c>
      <c r="K41" s="786">
        <f>K39+K40</f>
        <v/>
      </c>
      <c r="L41" s="786">
        <f>L39+L40</f>
        <v/>
      </c>
      <c r="M41" s="786">
        <f>M39+M40</f>
        <v/>
      </c>
      <c r="N41" s="786">
        <f>N39+N40</f>
        <v/>
      </c>
      <c r="O41" s="786">
        <f>O39+O40</f>
        <v/>
      </c>
      <c r="P41" s="786">
        <f>P39+P40</f>
        <v/>
      </c>
      <c r="Q41" s="786">
        <f>Q39+Q40</f>
        <v/>
      </c>
      <c r="R41" s="786">
        <f>R39+R40</f>
        <v/>
      </c>
      <c r="S41" s="786">
        <f>S39+S40</f>
        <v/>
      </c>
      <c r="T41" s="786">
        <f>T39+T40</f>
        <v/>
      </c>
    </row>
    <row r="42">
      <c r="C42" s="32" t="inlineStr">
        <is>
          <t xml:space="preserve"> 배당제외 자본증가금액</t>
        </is>
      </c>
      <c r="I42" s="786">
        <f>I37-I41</f>
        <v/>
      </c>
      <c r="J42" s="786">
        <f>J37-J41</f>
        <v/>
      </c>
      <c r="K42" s="786">
        <f>K37-K41</f>
        <v/>
      </c>
      <c r="L42" s="786">
        <f>L37-L41</f>
        <v/>
      </c>
      <c r="M42" s="786">
        <f>M37-M41</f>
        <v/>
      </c>
      <c r="N42" s="786">
        <f>N37-N41</f>
        <v/>
      </c>
      <c r="O42" s="786">
        <f>O37-O41</f>
        <v/>
      </c>
      <c r="P42" s="786">
        <f>P37-P41</f>
        <v/>
      </c>
      <c r="Q42" s="786">
        <f>Q37-Q41</f>
        <v/>
      </c>
      <c r="R42" s="786">
        <f>R37-R41</f>
        <v/>
      </c>
      <c r="S42" s="786">
        <f>S37-S41</f>
        <v/>
      </c>
      <c r="T42" s="786">
        <f>T37-T41</f>
        <v/>
      </c>
    </row>
    <row r="43">
      <c r="C43" s="642" t="inlineStr">
        <is>
          <t xml:space="preserve">    - 배당제외 기준 자본증가율</t>
        </is>
      </c>
      <c r="I43" s="788">
        <f>I42/I36</f>
        <v/>
      </c>
      <c r="J43" s="788">
        <f>J42/J36</f>
        <v/>
      </c>
      <c r="K43" s="788">
        <f>K42/K36</f>
        <v/>
      </c>
      <c r="L43" s="788">
        <f>L42/L36</f>
        <v/>
      </c>
      <c r="M43" s="788">
        <f>M42/M36</f>
        <v/>
      </c>
      <c r="N43" s="788">
        <f>N42/N36</f>
        <v/>
      </c>
      <c r="O43" s="788">
        <f>O42/O36</f>
        <v/>
      </c>
      <c r="P43" s="788">
        <f>P42/P36</f>
        <v/>
      </c>
      <c r="Q43" s="788">
        <f>Q42/Q36</f>
        <v/>
      </c>
      <c r="R43" s="788">
        <f>R42/R36</f>
        <v/>
      </c>
      <c r="S43" s="788">
        <f>S42/S36</f>
        <v/>
      </c>
      <c r="T43" s="788">
        <f>T42/T36</f>
        <v/>
      </c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C45" s="642" t="inlineStr">
        <is>
          <t>* 전기 BEL+RA+CSM</t>
        </is>
      </c>
      <c r="I45" s="766">
        <f>전기말!I6</f>
        <v/>
      </c>
      <c r="J45" s="766">
        <f>전기말!J6</f>
        <v/>
      </c>
      <c r="K45" s="766">
        <f>전기말!K6</f>
        <v/>
      </c>
      <c r="L45" s="766">
        <f>전기말!L6</f>
        <v/>
      </c>
      <c r="M45" s="766">
        <f>전기말!M6</f>
        <v/>
      </c>
      <c r="N45" s="766">
        <f>전기말!N6</f>
        <v/>
      </c>
      <c r="O45" s="766">
        <f>전기말!O6</f>
        <v/>
      </c>
      <c r="P45" s="766">
        <f>전기말!P6</f>
        <v/>
      </c>
      <c r="Q45" s="766">
        <f>전기말!Q6</f>
        <v/>
      </c>
      <c r="R45" s="766">
        <f>전기말!R6</f>
        <v/>
      </c>
      <c r="S45" s="766">
        <f>전기말!S6</f>
        <v/>
      </c>
      <c r="T45" s="766">
        <f>전기말!T6</f>
        <v/>
      </c>
    </row>
    <row r="46">
      <c r="A46" s="642">
        <f>DATA!M1</f>
        <v/>
      </c>
      <c r="C46" s="642" t="inlineStr">
        <is>
          <t>보험계약부채</t>
        </is>
      </c>
      <c r="I46" s="786">
        <f>VLOOKUP($I$1&amp;I$8,DATA!$A:$EB,'2312'!$A46,0)/100</f>
        <v/>
      </c>
      <c r="J46" s="786">
        <f>VLOOKUP($I$1&amp;J$8,DATA!$A:$EB,'2312'!$A46,0)/100</f>
        <v/>
      </c>
      <c r="K46" s="786">
        <f>VLOOKUP($I$1&amp;K$8,DATA!$A:$EB,'2312'!$A46,0)/100</f>
        <v/>
      </c>
      <c r="L46" s="786">
        <f>VLOOKUP($I$1&amp;L$8,DATA!$A:$EB,'2312'!$A46,0)/100</f>
        <v/>
      </c>
      <c r="M46" s="786">
        <f>VLOOKUP($I$1&amp;M$8,DATA!$A:$EB,'2312'!$A46,0)/100</f>
        <v/>
      </c>
      <c r="N46" s="786">
        <f>VLOOKUP($I$1&amp;N$8,DATA!$A:$EB,'2312'!$A46,0)/100</f>
        <v/>
      </c>
      <c r="O46" s="786">
        <f>VLOOKUP($I$1&amp;O$8,DATA!$A:$EB,'2312'!$A46,0)/100</f>
        <v/>
      </c>
      <c r="P46" s="786">
        <f>VLOOKUP($I$1&amp;P$8,DATA!$A:$EB,'2312'!$A46,0)/100</f>
        <v/>
      </c>
      <c r="Q46" s="786">
        <f>VLOOKUP($I$1&amp;Q$8,DATA!$A:$EB,'2312'!$A46,0)/100</f>
        <v/>
      </c>
      <c r="R46" s="786">
        <f>VLOOKUP($I$1&amp;R$8,DATA!$A:$EB,'2312'!$A46,0)/100</f>
        <v/>
      </c>
      <c r="S46" s="786">
        <f>VLOOKUP($I$1&amp;S$8,DATA!$A:$EB,'2312'!$A46,0)/100</f>
        <v/>
      </c>
      <c r="T46" s="786">
        <f>VLOOKUP($I$1&amp;T$8,DATA!$A:$EB,'2312'!$A46,0)/100</f>
        <v/>
      </c>
    </row>
    <row r="47">
      <c r="I47" s="136">
        <f>I23/I46</f>
        <v/>
      </c>
      <c r="J47" s="136">
        <f>J23/J46</f>
        <v/>
      </c>
      <c r="K47" s="136">
        <f>K23/K46</f>
        <v/>
      </c>
      <c r="L47" s="136">
        <f>L23/L46</f>
        <v/>
      </c>
      <c r="M47" s="136">
        <f>M23/M46</f>
        <v/>
      </c>
      <c r="N47" s="136">
        <f>N23/N46</f>
        <v/>
      </c>
      <c r="O47" s="136">
        <f>O23/O46</f>
        <v/>
      </c>
      <c r="P47" s="136">
        <f>P23/P46</f>
        <v/>
      </c>
      <c r="Q47" s="136">
        <f>Q23/Q46</f>
        <v/>
      </c>
      <c r="R47" s="136">
        <f>R23/R46</f>
        <v/>
      </c>
      <c r="S47" s="136">
        <f>S23/S46</f>
        <v/>
      </c>
      <c r="T47" s="136">
        <f>T23/T46</f>
        <v/>
      </c>
    </row>
    <row r="48">
      <c r="I48" s="785">
        <f>I72/I46</f>
        <v/>
      </c>
      <c r="J48" s="785">
        <f>J72/J46</f>
        <v/>
      </c>
      <c r="K48" s="785">
        <f>K72/K46</f>
        <v/>
      </c>
      <c r="L48" s="785">
        <f>L72/L46</f>
        <v/>
      </c>
      <c r="M48" s="785">
        <f>M72/M46</f>
        <v/>
      </c>
      <c r="N48" s="785">
        <f>N72/N46</f>
        <v/>
      </c>
      <c r="O48" s="785">
        <f>O72/O46</f>
        <v/>
      </c>
      <c r="P48" s="785">
        <f>P72/P46</f>
        <v/>
      </c>
      <c r="Q48" s="785">
        <f>Q72/Q46</f>
        <v/>
      </c>
      <c r="R48" s="785">
        <f>R72/R46</f>
        <v/>
      </c>
      <c r="S48" s="785">
        <f>S72/S46</f>
        <v/>
      </c>
      <c r="T48" s="785">
        <f>T72/T46</f>
        <v/>
      </c>
    </row>
    <row r="49">
      <c r="C49" s="642" t="inlineStr">
        <is>
          <t>*전기보험계약부채</t>
        </is>
      </c>
      <c r="I49" s="788" t="n"/>
      <c r="J49" s="788" t="n"/>
      <c r="K49" s="788" t="n"/>
      <c r="L49" s="788" t="n"/>
      <c r="M49" s="788" t="n"/>
      <c r="N49" s="788" t="n"/>
      <c r="O49" s="788" t="n"/>
      <c r="P49" s="788" t="n"/>
      <c r="Q49" s="788" t="n"/>
      <c r="R49" s="788" t="n"/>
      <c r="S49" s="788" t="n"/>
      <c r="T49" s="788" t="n"/>
    </row>
    <row r="50">
      <c r="I50" s="786" t="n"/>
      <c r="J50" s="786" t="n"/>
      <c r="K50" s="786" t="n"/>
      <c r="L50" s="786" t="n"/>
      <c r="M50" s="786" t="n"/>
      <c r="N50" s="786" t="n"/>
      <c r="O50" s="786" t="n"/>
      <c r="P50" s="786" t="n"/>
      <c r="Q50" s="786" t="n"/>
      <c r="R50" s="786" t="n"/>
      <c r="S50" s="786" t="n"/>
      <c r="T50" s="786" t="n"/>
    </row>
    <row r="51">
      <c r="I51" s="788" t="n"/>
      <c r="J51" s="788" t="n"/>
      <c r="K51" s="788" t="n"/>
      <c r="L51" s="788" t="n"/>
      <c r="M51" s="788" t="n"/>
      <c r="N51" s="788" t="n"/>
      <c r="O51" s="788" t="n"/>
      <c r="P51" s="788" t="n"/>
      <c r="Q51" s="788" t="n"/>
      <c r="R51" s="788" t="n"/>
      <c r="S51" s="788" t="n"/>
      <c r="T51" s="788" t="n"/>
    </row>
    <row r="52">
      <c r="I52" s="786" t="n"/>
      <c r="J52" s="786" t="n"/>
      <c r="K52" s="786" t="n"/>
      <c r="L52" s="786" t="n"/>
      <c r="M52" s="786" t="n"/>
      <c r="N52" s="786" t="n"/>
      <c r="O52" s="786" t="n"/>
      <c r="P52" s="786" t="n"/>
      <c r="Q52" s="786" t="n"/>
      <c r="R52" s="786" t="n"/>
      <c r="S52" s="786" t="n"/>
      <c r="T52" s="786" t="n"/>
    </row>
    <row r="53">
      <c r="I53" s="788" t="n"/>
      <c r="J53" s="788" t="n"/>
      <c r="K53" s="788" t="n"/>
      <c r="L53" s="788" t="n"/>
      <c r="M53" s="788" t="n"/>
      <c r="N53" s="788" t="n"/>
      <c r="O53" s="788" t="n"/>
      <c r="P53" s="788" t="n"/>
      <c r="Q53" s="788" t="n"/>
      <c r="R53" s="788" t="n"/>
      <c r="S53" s="788" t="n"/>
      <c r="T53" s="788" t="n"/>
    </row>
    <row r="54">
      <c r="I54" s="788" t="n"/>
      <c r="J54" s="788" t="n"/>
      <c r="K54" s="788" t="n"/>
      <c r="L54" s="788" t="n"/>
      <c r="M54" s="788" t="n"/>
      <c r="N54" s="788" t="n"/>
      <c r="O54" s="788" t="n"/>
      <c r="P54" s="788" t="n"/>
      <c r="Q54" s="788" t="n"/>
      <c r="R54" s="788" t="n"/>
      <c r="S54" s="788" t="n"/>
      <c r="T54" s="788" t="n"/>
    </row>
    <row r="55">
      <c r="A55" s="642">
        <f>DATA!BM1</f>
        <v/>
      </c>
      <c r="C55" s="642" t="inlineStr">
        <is>
          <t>* 전기말 이익잉여금</t>
        </is>
      </c>
      <c r="I55" s="786">
        <f>VLOOKUP($I$1&amp;I$8,DATA!$A:$EB,'2312'!$A55,0)/100</f>
        <v/>
      </c>
      <c r="J55" s="786">
        <f>VLOOKUP($I$1&amp;J$8,DATA!$A:$EB,'2312'!$A55,0)/100</f>
        <v/>
      </c>
      <c r="K55" s="786">
        <f>VLOOKUP($I$1&amp;K$8,DATA!$A:$EB,'2312'!$A55,0)/100</f>
        <v/>
      </c>
      <c r="L55" s="786">
        <f>VLOOKUP($I$1&amp;L$8,DATA!$A:$EB,'2312'!$A55,0)/100</f>
        <v/>
      </c>
      <c r="M55" s="786">
        <f>VLOOKUP($I$1&amp;M$8,DATA!$A:$EB,'2312'!$A55,0)/100</f>
        <v/>
      </c>
      <c r="N55" s="786">
        <f>VLOOKUP($I$1&amp;N$8,DATA!$A:$EB,'2312'!$A55,0)/100</f>
        <v/>
      </c>
      <c r="O55" s="786">
        <f>VLOOKUP($I$1&amp;O$8,DATA!$A:$EB,'2312'!$A55,0)/100</f>
        <v/>
      </c>
      <c r="P55" s="786">
        <f>VLOOKUP($I$1&amp;P$8,DATA!$A:$EB,'2312'!$A55,0)/100</f>
        <v/>
      </c>
      <c r="Q55" s="786">
        <f>VLOOKUP($I$1&amp;Q$8,DATA!$A:$EB,'2312'!$A55,0)/100</f>
        <v/>
      </c>
      <c r="R55" s="786">
        <f>VLOOKUP($I$1&amp;R$8,DATA!$A:$EB,'2312'!$A55,0)/100</f>
        <v/>
      </c>
      <c r="S55" s="786">
        <f>VLOOKUP($I$1&amp;S$8,DATA!$A:$EB,'2312'!$A55,0)/100</f>
        <v/>
      </c>
      <c r="T55" s="786">
        <f>VLOOKUP($I$1&amp;T$8,DATA!$A:$EB,'2312'!$A55,0)/100</f>
        <v/>
      </c>
    </row>
    <row r="56">
      <c r="D56" s="642" t="inlineStr">
        <is>
          <t>전기말 대비</t>
        </is>
      </c>
      <c r="I56" s="789">
        <f>+I22-I55</f>
        <v/>
      </c>
      <c r="J56" s="789">
        <f>+J22-J55</f>
        <v/>
      </c>
      <c r="K56" s="789">
        <f>+K22-K55</f>
        <v/>
      </c>
      <c r="L56" s="789">
        <f>+L22-L55</f>
        <v/>
      </c>
      <c r="M56" s="789">
        <f>+M22-M55</f>
        <v/>
      </c>
      <c r="N56" s="789">
        <f>+N22-N55</f>
        <v/>
      </c>
      <c r="O56" s="789">
        <f>+O22-O55</f>
        <v/>
      </c>
      <c r="P56" s="789">
        <f>+P22-P55</f>
        <v/>
      </c>
      <c r="Q56" s="789">
        <f>+Q22-Q55</f>
        <v/>
      </c>
      <c r="R56" s="789">
        <f>+R22-R55</f>
        <v/>
      </c>
      <c r="S56" s="789">
        <f>+S22-S55</f>
        <v/>
      </c>
      <c r="T56" s="789">
        <f>+T22-T55</f>
        <v/>
      </c>
    </row>
    <row r="57">
      <c r="I57" s="786">
        <f>I22-'2406'!I20</f>
        <v/>
      </c>
      <c r="J57" s="786">
        <f>J22-'2406'!J20</f>
        <v/>
      </c>
      <c r="K57" s="786">
        <f>K22-'2406'!K20</f>
        <v/>
      </c>
      <c r="L57" s="786">
        <f>L22-'2406'!L20</f>
        <v/>
      </c>
      <c r="M57" s="786">
        <f>M22-'2406'!M20</f>
        <v/>
      </c>
      <c r="N57" s="786">
        <f>N22-'2406'!N20</f>
        <v/>
      </c>
      <c r="O57" s="786">
        <f>O22-'2406'!O20</f>
        <v/>
      </c>
      <c r="P57" s="786">
        <f>P22-'2406'!P20</f>
        <v/>
      </c>
      <c r="Q57" s="786">
        <f>Q22-'2406'!Q20</f>
        <v/>
      </c>
      <c r="R57" s="786">
        <f>R22-'2406'!R20</f>
        <v/>
      </c>
      <c r="S57" s="786">
        <f>S22-'2406'!S20</f>
        <v/>
      </c>
      <c r="T57" s="786">
        <f>T22-'2406'!T20</f>
        <v/>
      </c>
    </row>
    <row r="58">
      <c r="I58" s="788" t="n"/>
      <c r="J58" s="788" t="n"/>
      <c r="K58" s="788" t="n"/>
      <c r="L58" s="788" t="n"/>
      <c r="M58" s="788" t="n"/>
      <c r="N58" s="788" t="n"/>
      <c r="O58" s="788" t="n"/>
      <c r="P58" s="788" t="n"/>
      <c r="Q58" s="788" t="n"/>
      <c r="R58" s="788" t="n"/>
      <c r="S58" s="788" t="n"/>
      <c r="T58" s="788" t="n"/>
    </row>
    <row r="59">
      <c r="I59" s="788" t="n"/>
      <c r="J59" s="788" t="n"/>
      <c r="K59" s="788" t="n"/>
      <c r="L59" s="788" t="n"/>
      <c r="M59" s="788" t="n"/>
      <c r="N59" s="788" t="n"/>
      <c r="O59" s="788" t="n"/>
      <c r="P59" s="788" t="n"/>
      <c r="Q59" s="788" t="n"/>
      <c r="R59" s="788" t="n"/>
      <c r="S59" s="788" t="n"/>
      <c r="T59" s="788" t="n"/>
    </row>
    <row r="60" ht="16.5" customHeight="1" s="760">
      <c r="C60" s="6" t="inlineStr">
        <is>
          <t>2. 자본 세부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</row>
    <row r="61" ht="16.5" customHeight="1" s="760"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  <c r="M61" s="111" t="n"/>
      <c r="N61" s="111" t="n"/>
      <c r="O61" s="13" t="n"/>
      <c r="P61" s="111" t="n"/>
      <c r="Q61" s="111" t="n"/>
      <c r="R61" s="13" t="n"/>
      <c r="S61" s="13" t="n"/>
      <c r="T61" s="7" t="inlineStr">
        <is>
          <t>(단위 : 억원)</t>
        </is>
      </c>
    </row>
    <row r="62" ht="21.75" customHeight="1" s="760">
      <c r="C62" s="650" t="inlineStr">
        <is>
          <t>구분</t>
        </is>
      </c>
      <c r="D62" s="648" t="n"/>
      <c r="E62" s="648" t="n"/>
      <c r="F62" s="648" t="n"/>
      <c r="G62" s="648" t="n"/>
      <c r="H62" s="649" t="n"/>
      <c r="I62" s="8" t="inlineStr">
        <is>
          <t>미래에셋생명</t>
        </is>
      </c>
      <c r="J62" s="8" t="inlineStr">
        <is>
          <t>삼성생명</t>
        </is>
      </c>
      <c r="K62" s="8" t="inlineStr">
        <is>
          <t>교보생명</t>
        </is>
      </c>
      <c r="L62" s="8" t="inlineStr">
        <is>
          <t>한화생명</t>
        </is>
      </c>
      <c r="M62" s="8" t="inlineStr">
        <is>
          <t>신한라이프</t>
        </is>
      </c>
      <c r="N62" s="8" t="inlineStr">
        <is>
          <t>동양생명</t>
        </is>
      </c>
      <c r="O62" s="9" t="inlineStr">
        <is>
          <t>KB라이프</t>
        </is>
      </c>
      <c r="P62" s="9" t="inlineStr">
        <is>
          <t>삼성화재</t>
        </is>
      </c>
      <c r="Q62" s="9" t="inlineStr">
        <is>
          <t>현대해상</t>
        </is>
      </c>
      <c r="R62" s="9" t="inlineStr">
        <is>
          <t>메리츠화재</t>
        </is>
      </c>
      <c r="S62" s="9" t="inlineStr">
        <is>
          <t>KB손보</t>
        </is>
      </c>
      <c r="T62" s="9" t="inlineStr">
        <is>
          <t>DB손보</t>
        </is>
      </c>
    </row>
    <row r="63" ht="21.75" customHeight="1" s="760">
      <c r="C63" s="647" t="inlineStr">
        <is>
          <t>이익잉여금</t>
        </is>
      </c>
      <c r="D63" s="648" t="n"/>
      <c r="E63" s="648" t="n"/>
      <c r="F63" s="648" t="n"/>
      <c r="G63" s="648" t="n"/>
      <c r="H63" s="649" t="n"/>
      <c r="I63" s="790">
        <f>I22</f>
        <v/>
      </c>
      <c r="J63" s="790">
        <f>J22</f>
        <v/>
      </c>
      <c r="K63" s="790">
        <f>K22</f>
        <v/>
      </c>
      <c r="L63" s="790">
        <f>L22</f>
        <v/>
      </c>
      <c r="M63" s="790">
        <f>M22</f>
        <v/>
      </c>
      <c r="N63" s="790">
        <f>N22</f>
        <v/>
      </c>
      <c r="O63" s="790">
        <f>O22</f>
        <v/>
      </c>
      <c r="P63" s="790">
        <f>P22</f>
        <v/>
      </c>
      <c r="Q63" s="790">
        <f>Q22</f>
        <v/>
      </c>
      <c r="R63" s="790">
        <f>R22</f>
        <v/>
      </c>
      <c r="S63" s="790">
        <f>S22</f>
        <v/>
      </c>
      <c r="T63" s="791">
        <f>T22</f>
        <v/>
      </c>
    </row>
    <row r="64" ht="21.75" customHeight="1" s="760">
      <c r="A64" s="642">
        <f>DATA!CU1</f>
        <v/>
      </c>
      <c r="C64" s="665" t="inlineStr">
        <is>
          <t>해약환급금준비금</t>
        </is>
      </c>
      <c r="D64" s="648" t="n"/>
      <c r="E64" s="648" t="n"/>
      <c r="F64" s="648" t="n"/>
      <c r="G64" s="648" t="n"/>
      <c r="H64" s="649" t="n"/>
      <c r="I64" s="792">
        <f>VLOOKUP($I$1&amp;I$8,DATA!$A:$EB,'2312'!$A64,0)/100</f>
        <v/>
      </c>
      <c r="J64" s="792">
        <f>VLOOKUP($I$1&amp;J$8,DATA!$A:$EB,'2312'!$A64,0)/100</f>
        <v/>
      </c>
      <c r="K64" s="792">
        <f>VLOOKUP($I$1&amp;K$8,DATA!$A:$EB,'2312'!$A64,0)/100</f>
        <v/>
      </c>
      <c r="L64" s="792">
        <f>VLOOKUP($I$1&amp;L$8,DATA!$A:$EB,'2312'!$A64,0)/100</f>
        <v/>
      </c>
      <c r="M64" s="792">
        <f>VLOOKUP($I$1&amp;M$8,DATA!$A:$EB,'2312'!$A64,0)/100</f>
        <v/>
      </c>
      <c r="N64" s="792">
        <f>VLOOKUP($I$1&amp;N$8,DATA!$A:$EB,'2312'!$A64,0)/100</f>
        <v/>
      </c>
      <c r="O64" s="793">
        <f>VLOOKUP($I$1&amp;O$8,DATA!$A:$EB,'2312'!$A64,0)/100</f>
        <v/>
      </c>
      <c r="P64" s="793">
        <f>VLOOKUP($I$1&amp;P$8,DATA!$A:$EB,'2312'!$A64,0)/100</f>
        <v/>
      </c>
      <c r="Q64" s="793">
        <f>VLOOKUP($I$1&amp;Q$8,DATA!$A:$EB,'2312'!$A64,0)/100</f>
        <v/>
      </c>
      <c r="R64" s="793">
        <f>VLOOKUP($I$1&amp;R$8,DATA!$A:$EB,'2312'!$A64,0)/100</f>
        <v/>
      </c>
      <c r="S64" s="793">
        <f>VLOOKUP($I$1&amp;S$8,DATA!$A:$EB,'2312'!$A64,0)/100</f>
        <v/>
      </c>
      <c r="T64" s="793">
        <f>VLOOKUP($I$1&amp;T$8,DATA!$A:$EB,'2312'!$A64,0)/100</f>
        <v/>
      </c>
    </row>
    <row r="65" ht="21.75" customHeight="1" s="760">
      <c r="C65" s="666" t="inlineStr">
        <is>
          <t>(이익잉여금 대비 해약환급금 준비금 비율)</t>
        </is>
      </c>
      <c r="H65" s="643" t="n"/>
      <c r="I65" s="794">
        <f>I64/I63</f>
        <v/>
      </c>
      <c r="J65" s="794">
        <f>J64/J63</f>
        <v/>
      </c>
      <c r="K65" s="794">
        <f>K64/K63</f>
        <v/>
      </c>
      <c r="L65" s="794">
        <f>L64/L63</f>
        <v/>
      </c>
      <c r="M65" s="794">
        <f>M64/M63</f>
        <v/>
      </c>
      <c r="N65" s="794">
        <f>N64/N63</f>
        <v/>
      </c>
      <c r="O65" s="795">
        <f>O64/O63</f>
        <v/>
      </c>
      <c r="P65" s="795">
        <f>P64/P63</f>
        <v/>
      </c>
      <c r="Q65" s="795">
        <f>Q64/Q63</f>
        <v/>
      </c>
      <c r="R65" s="795">
        <f>R64/R63</f>
        <v/>
      </c>
      <c r="S65" s="795">
        <f>S64/S63</f>
        <v/>
      </c>
      <c r="T65" s="795">
        <f>T64/T63</f>
        <v/>
      </c>
    </row>
    <row r="66" ht="21.75" customHeight="1" s="760">
      <c r="C66" s="644" t="inlineStr">
        <is>
          <t>(자기자본 대비 해약환급금 준비금 비율)</t>
        </is>
      </c>
      <c r="D66" s="645" t="n"/>
      <c r="E66" s="645" t="n"/>
      <c r="F66" s="645" t="n"/>
      <c r="G66" s="645" t="n"/>
      <c r="H66" s="646" t="n"/>
      <c r="I66" s="796">
        <f>I64/I19</f>
        <v/>
      </c>
      <c r="J66" s="796">
        <f>J64/J19</f>
        <v/>
      </c>
      <c r="K66" s="796">
        <f>K64/K19</f>
        <v/>
      </c>
      <c r="L66" s="796">
        <f>L64/L19</f>
        <v/>
      </c>
      <c r="M66" s="796">
        <f>M64/M19</f>
        <v/>
      </c>
      <c r="N66" s="796">
        <f>N64/N19</f>
        <v/>
      </c>
      <c r="O66" s="797">
        <f>O64/O19</f>
        <v/>
      </c>
      <c r="P66" s="797">
        <f>P64/P19</f>
        <v/>
      </c>
      <c r="Q66" s="797">
        <f>Q64/Q19</f>
        <v/>
      </c>
      <c r="R66" s="797">
        <f>R64/R19</f>
        <v/>
      </c>
      <c r="S66" s="797">
        <f>S64/S19</f>
        <v/>
      </c>
      <c r="T66" s="797">
        <f>T64/T19</f>
        <v/>
      </c>
    </row>
    <row r="67" ht="21.75" customHeight="1" s="760">
      <c r="A67" s="642">
        <f>DATA!X1</f>
        <v/>
      </c>
      <c r="C67" s="647" t="inlineStr">
        <is>
          <t>기타포괄손익</t>
        </is>
      </c>
      <c r="D67" s="648" t="n"/>
      <c r="E67" s="648" t="n"/>
      <c r="F67" s="648" t="n"/>
      <c r="G67" s="648" t="n"/>
      <c r="H67" s="649" t="n"/>
      <c r="I67" s="790">
        <f>VLOOKUP($I$1&amp;I$8,DATA!$A:$EB,'2312'!$A67,0)/100</f>
        <v/>
      </c>
      <c r="J67" s="790">
        <f>VLOOKUP($I$1&amp;J$8,DATA!$A:$EB,'2312'!$A67,0)/100</f>
        <v/>
      </c>
      <c r="K67" s="790">
        <f>VLOOKUP($I$1&amp;K$8,DATA!$A:$EB,'2312'!$A67,0)/100</f>
        <v/>
      </c>
      <c r="L67" s="790">
        <f>VLOOKUP($I$1&amp;L$8,DATA!$A:$EB,'2312'!$A67,0)/100</f>
        <v/>
      </c>
      <c r="M67" s="790">
        <f>VLOOKUP($I$1&amp;M$8,DATA!$A:$EB,'2312'!$A67,0)/100</f>
        <v/>
      </c>
      <c r="N67" s="790">
        <f>VLOOKUP($I$1&amp;N$8,DATA!$A:$EB,'2312'!$A67,0)/100</f>
        <v/>
      </c>
      <c r="O67" s="790">
        <f>VLOOKUP($I$1&amp;O$8,DATA!$A:$EB,'2312'!$A67,0)/100</f>
        <v/>
      </c>
      <c r="P67" s="790">
        <f>VLOOKUP($I$1&amp;P$8,DATA!$A:$EB,'2312'!$A67,0)/100</f>
        <v/>
      </c>
      <c r="Q67" s="790">
        <f>VLOOKUP($I$1&amp;Q$8,DATA!$A:$EB,'2312'!$A67,0)/100</f>
        <v/>
      </c>
      <c r="R67" s="790">
        <f>VLOOKUP($I$1&amp;R$8,DATA!$A:$EB,'2312'!$A67,0)/100</f>
        <v/>
      </c>
      <c r="S67" s="790">
        <f>VLOOKUP($I$1&amp;S$8,DATA!$A:$EB,'2312'!$A67,0)/100</f>
        <v/>
      </c>
      <c r="T67" s="791">
        <f>VLOOKUP($I$1&amp;T$8,DATA!$A:$EB,'2312'!$A67,0)/100</f>
        <v/>
      </c>
    </row>
    <row r="68" ht="36.75" customHeight="1" s="760">
      <c r="C68" s="641" t="inlineStr">
        <is>
          <t>FVOCI평가손익
(현금흐름위험회피파생평가손익 포함)</t>
        </is>
      </c>
      <c r="H68" s="643" t="n"/>
      <c r="I68" s="798">
        <f>I79+I80</f>
        <v/>
      </c>
      <c r="J68" s="798">
        <f>J79+J80</f>
        <v/>
      </c>
      <c r="K68" s="798">
        <f>K79+K80</f>
        <v/>
      </c>
      <c r="L68" s="798">
        <f>L79+L80</f>
        <v/>
      </c>
      <c r="M68" s="798">
        <f>M79+M80</f>
        <v/>
      </c>
      <c r="N68" s="798">
        <f>N79+N80</f>
        <v/>
      </c>
      <c r="O68" s="798">
        <f>O79+O80</f>
        <v/>
      </c>
      <c r="P68" s="798">
        <f>P79+P80</f>
        <v/>
      </c>
      <c r="Q68" s="798">
        <f>Q79+Q80</f>
        <v/>
      </c>
      <c r="R68" s="798">
        <f>R79+R80</f>
        <v/>
      </c>
      <c r="S68" s="798">
        <f>S79+S80</f>
        <v/>
      </c>
      <c r="T68" s="799">
        <f>T79+T80</f>
        <v/>
      </c>
    </row>
    <row r="69" ht="21.75" customHeight="1" s="760">
      <c r="C69" s="113" t="n"/>
      <c r="D69" s="681" t="inlineStr">
        <is>
          <t>전기대비</t>
        </is>
      </c>
      <c r="H69" s="643" t="n"/>
      <c r="I69" s="800">
        <f>+I68-I84</f>
        <v/>
      </c>
      <c r="J69" s="800">
        <f>+J68-J84</f>
        <v/>
      </c>
      <c r="K69" s="800">
        <f>+K68-K84</f>
        <v/>
      </c>
      <c r="L69" s="800">
        <f>+L68-L84</f>
        <v/>
      </c>
      <c r="M69" s="800">
        <f>+M68-M84</f>
        <v/>
      </c>
      <c r="N69" s="800">
        <f>+N68-N84</f>
        <v/>
      </c>
      <c r="O69" s="800">
        <f>+O68-O84</f>
        <v/>
      </c>
      <c r="P69" s="800">
        <f>+P68-P84</f>
        <v/>
      </c>
      <c r="Q69" s="800">
        <f>+Q68-Q84</f>
        <v/>
      </c>
      <c r="R69" s="800">
        <f>+R68-R84</f>
        <v/>
      </c>
      <c r="S69" s="800">
        <f>+S68-S84</f>
        <v/>
      </c>
      <c r="T69" s="801">
        <f>+T68-T84</f>
        <v/>
      </c>
    </row>
    <row r="70" ht="21.75" customHeight="1" s="760">
      <c r="C70" s="113" t="n"/>
      <c r="D70" s="214" t="n"/>
      <c r="E70" s="212" t="inlineStr">
        <is>
          <t>운용자산대비 증감율</t>
        </is>
      </c>
      <c r="F70" s="212" t="n"/>
      <c r="G70" s="212" t="n"/>
      <c r="H70" s="656" t="n"/>
      <c r="I70" s="802">
        <f>I69/I77</f>
        <v/>
      </c>
      <c r="J70" s="802">
        <f>J69/J77</f>
        <v/>
      </c>
      <c r="K70" s="802">
        <f>K69/K77</f>
        <v/>
      </c>
      <c r="L70" s="802">
        <f>L69/L77</f>
        <v/>
      </c>
      <c r="M70" s="802">
        <f>M69/M77</f>
        <v/>
      </c>
      <c r="N70" s="802">
        <f>N69/N77</f>
        <v/>
      </c>
      <c r="O70" s="802">
        <f>O69/O77</f>
        <v/>
      </c>
      <c r="P70" s="802">
        <f>P69/P77</f>
        <v/>
      </c>
      <c r="Q70" s="802">
        <f>Q69/Q77</f>
        <v/>
      </c>
      <c r="R70" s="802">
        <f>R69/R77</f>
        <v/>
      </c>
      <c r="S70" s="802">
        <f>S69/S77</f>
        <v/>
      </c>
      <c r="T70" s="802">
        <f>T69/T77</f>
        <v/>
      </c>
    </row>
    <row r="71" ht="21.75" customHeight="1" s="760">
      <c r="C71" s="666" t="inlineStr">
        <is>
          <t>보험부채순금융손익(재보포함)</t>
        </is>
      </c>
      <c r="H71" s="643" t="n"/>
      <c r="I71" s="798">
        <f>+I81+I82</f>
        <v/>
      </c>
      <c r="J71" s="798">
        <f>+J81+J82</f>
        <v/>
      </c>
      <c r="K71" s="798">
        <f>+K81+K82</f>
        <v/>
      </c>
      <c r="L71" s="798">
        <f>+L81+L82</f>
        <v/>
      </c>
      <c r="M71" s="798">
        <f>+M81+M82</f>
        <v/>
      </c>
      <c r="N71" s="798">
        <f>+N81+N82</f>
        <v/>
      </c>
      <c r="O71" s="798">
        <f>+O81+O82</f>
        <v/>
      </c>
      <c r="P71" s="798">
        <f>+P81+P82</f>
        <v/>
      </c>
      <c r="Q71" s="798">
        <f>+Q81+Q82</f>
        <v/>
      </c>
      <c r="R71" s="798">
        <f>+R81+R82</f>
        <v/>
      </c>
      <c r="S71" s="798">
        <f>+S81+S82</f>
        <v/>
      </c>
      <c r="T71" s="799">
        <f>+T81+T82</f>
        <v/>
      </c>
    </row>
    <row r="72" ht="21.75" customHeight="1" s="760">
      <c r="C72" s="112" t="n"/>
      <c r="D72" s="689" t="inlineStr">
        <is>
          <t>전기대비</t>
        </is>
      </c>
      <c r="E72" s="645" t="n"/>
      <c r="F72" s="645" t="n"/>
      <c r="G72" s="645" t="n"/>
      <c r="H72" s="646" t="n"/>
      <c r="I72" s="803">
        <f>I71-I85</f>
        <v/>
      </c>
      <c r="J72" s="803">
        <f>J71-J85</f>
        <v/>
      </c>
      <c r="K72" s="803">
        <f>K71-K85</f>
        <v/>
      </c>
      <c r="L72" s="803">
        <f>L71-L85</f>
        <v/>
      </c>
      <c r="M72" s="803">
        <f>M71-M85</f>
        <v/>
      </c>
      <c r="N72" s="803">
        <f>N71-N85</f>
        <v/>
      </c>
      <c r="O72" s="803">
        <f>O71-O85</f>
        <v/>
      </c>
      <c r="P72" s="803">
        <f>P71-P85</f>
        <v/>
      </c>
      <c r="Q72" s="803">
        <f>Q71-Q85</f>
        <v/>
      </c>
      <c r="R72" s="803">
        <f>R71-R85</f>
        <v/>
      </c>
      <c r="S72" s="803">
        <f>S71-S85</f>
        <v/>
      </c>
      <c r="T72" s="804">
        <f>T71-T85</f>
        <v/>
      </c>
    </row>
    <row r="73" ht="21.75" customHeight="1" s="760">
      <c r="C73" s="114" t="n"/>
      <c r="D73" s="208" t="inlineStr">
        <is>
          <t>보험부채대비 증감율</t>
        </is>
      </c>
      <c r="E73" s="209" t="n"/>
      <c r="F73" s="209" t="n"/>
      <c r="G73" s="209" t="n"/>
      <c r="H73" s="666" t="n"/>
      <c r="I73" s="802">
        <f>I72/I45</f>
        <v/>
      </c>
      <c r="J73" s="802">
        <f>J72/J45</f>
        <v/>
      </c>
      <c r="K73" s="802">
        <f>K72/K45</f>
        <v/>
      </c>
      <c r="L73" s="802">
        <f>L72/L45</f>
        <v/>
      </c>
      <c r="M73" s="802">
        <f>M72/M45</f>
        <v/>
      </c>
      <c r="N73" s="802">
        <f>N72/N45</f>
        <v/>
      </c>
      <c r="O73" s="802">
        <f>O72/O45</f>
        <v/>
      </c>
      <c r="P73" s="802">
        <f>P72/P45</f>
        <v/>
      </c>
      <c r="Q73" s="802">
        <f>Q72/Q45</f>
        <v/>
      </c>
      <c r="R73" s="802">
        <f>R72/R45</f>
        <v/>
      </c>
      <c r="S73" s="802">
        <f>S72/S45</f>
        <v/>
      </c>
      <c r="T73" s="802">
        <f>T72/T45</f>
        <v/>
      </c>
    </row>
    <row r="74" ht="21.75" customHeight="1" s="760">
      <c r="A74" s="642">
        <f>DATA!V1</f>
        <v/>
      </c>
      <c r="C74" s="647" t="inlineStr">
        <is>
          <t>운용자산</t>
        </is>
      </c>
      <c r="D74" s="648" t="n"/>
      <c r="E74" s="648" t="n"/>
      <c r="F74" s="648" t="n"/>
      <c r="G74" s="648" t="n"/>
      <c r="H74" s="649" t="n"/>
      <c r="I74" s="790">
        <f>VLOOKUP($I$1&amp;I$8,DATA!$A:$EB,'2312'!$A74,0)/100</f>
        <v/>
      </c>
      <c r="J74" s="790">
        <f>VLOOKUP($I$1&amp;J$8,DATA!$A:$EB,'2312'!$A74,0)/100</f>
        <v/>
      </c>
      <c r="K74" s="790">
        <f>VLOOKUP($I$1&amp;K$8,DATA!$A:$EB,'2312'!$A74,0)/100</f>
        <v/>
      </c>
      <c r="L74" s="790">
        <f>VLOOKUP($I$1&amp;L$8,DATA!$A:$EB,'2312'!$A74,0)/100</f>
        <v/>
      </c>
      <c r="M74" s="790">
        <f>VLOOKUP($I$1&amp;M$8,DATA!$A:$EB,'2312'!$A74,0)/100</f>
        <v/>
      </c>
      <c r="N74" s="790">
        <f>VLOOKUP($I$1&amp;N$8,DATA!$A:$EB,'2312'!$A74,0)/100</f>
        <v/>
      </c>
      <c r="O74" s="790">
        <f>VLOOKUP($I$1&amp;O$8,DATA!$A:$EB,'2312'!$A74,0)/100</f>
        <v/>
      </c>
      <c r="P74" s="790">
        <f>VLOOKUP($I$1&amp;P$8,DATA!$A:$EB,'2312'!$A74,0)/100</f>
        <v/>
      </c>
      <c r="Q74" s="790">
        <f>VLOOKUP($I$1&amp;Q$8,DATA!$A:$EB,'2312'!$A74,0)/100</f>
        <v/>
      </c>
      <c r="R74" s="790">
        <f>VLOOKUP($I$1&amp;R$8,DATA!$A:$EB,'2312'!$A74,0)/100</f>
        <v/>
      </c>
      <c r="S74" s="790">
        <f>VLOOKUP($I$1&amp;S$8,DATA!$A:$EB,'2312'!$A74,0)/100</f>
        <v/>
      </c>
      <c r="T74" s="791">
        <f>VLOOKUP($I$1&amp;T$8,DATA!$A:$EB,'2312'!$A74,0)/100</f>
        <v/>
      </c>
    </row>
    <row r="75" ht="21.75" customHeight="1" s="760">
      <c r="C75" s="647" t="inlineStr">
        <is>
          <t>레버리지비율(운용자산/자본)</t>
        </is>
      </c>
      <c r="D75" s="648" t="n"/>
      <c r="E75" s="648" t="n"/>
      <c r="F75" s="648" t="n"/>
      <c r="G75" s="648" t="n"/>
      <c r="H75" s="649" t="n"/>
      <c r="I75" s="805">
        <f>I74/I19</f>
        <v/>
      </c>
      <c r="J75" s="805">
        <f>J74/J19</f>
        <v/>
      </c>
      <c r="K75" s="805">
        <f>K74/K19</f>
        <v/>
      </c>
      <c r="L75" s="805">
        <f>L74/L19</f>
        <v/>
      </c>
      <c r="M75" s="805">
        <f>M74/M19</f>
        <v/>
      </c>
      <c r="N75" s="805">
        <f>N74/N19</f>
        <v/>
      </c>
      <c r="O75" s="805">
        <f>O74/O19</f>
        <v/>
      </c>
      <c r="P75" s="805">
        <f>P74/P19</f>
        <v/>
      </c>
      <c r="Q75" s="805">
        <f>Q74/Q19</f>
        <v/>
      </c>
      <c r="R75" s="805">
        <f>R74/R19</f>
        <v/>
      </c>
      <c r="S75" s="805">
        <f>S74/S19</f>
        <v/>
      </c>
      <c r="T75" s="806">
        <f>T74/T19</f>
        <v/>
      </c>
    </row>
    <row r="76" ht="21.75" customHeight="1" s="760">
      <c r="C76" s="111" t="n"/>
      <c r="D76" s="209" t="n"/>
      <c r="E76" s="209" t="n"/>
      <c r="F76" s="209" t="n"/>
      <c r="G76" s="209" t="n"/>
      <c r="H76" s="209" t="n"/>
      <c r="I76" s="807" t="n"/>
      <c r="J76" s="807" t="n"/>
      <c r="K76" s="807" t="n"/>
      <c r="L76" s="807" t="n"/>
      <c r="M76" s="807" t="n"/>
      <c r="N76" s="807" t="n"/>
      <c r="O76" s="807" t="n"/>
      <c r="P76" s="807" t="n"/>
      <c r="Q76" s="807" t="n"/>
      <c r="R76" s="807" t="n"/>
      <c r="S76" s="807" t="n"/>
      <c r="T76" s="807" t="n"/>
    </row>
    <row r="77" ht="21.75" customHeight="1" s="760">
      <c r="C77" s="111" t="n"/>
      <c r="D77" s="209" t="inlineStr">
        <is>
          <t>전기운용자산</t>
        </is>
      </c>
      <c r="E77" s="209" t="n"/>
      <c r="F77" s="209" t="n"/>
      <c r="G77" s="209" t="n"/>
      <c r="H77" s="209" t="n"/>
      <c r="I77" s="807">
        <f>전기말!I18</f>
        <v/>
      </c>
      <c r="J77" s="807">
        <f>전기말!J18</f>
        <v/>
      </c>
      <c r="K77" s="807">
        <f>전기말!K18</f>
        <v/>
      </c>
      <c r="L77" s="807">
        <f>전기말!L18</f>
        <v/>
      </c>
      <c r="M77" s="807">
        <f>전기말!M18</f>
        <v/>
      </c>
      <c r="N77" s="807">
        <f>전기말!N18</f>
        <v/>
      </c>
      <c r="O77" s="807">
        <f>전기말!O18</f>
        <v/>
      </c>
      <c r="P77" s="807">
        <f>전기말!P18</f>
        <v/>
      </c>
      <c r="Q77" s="807">
        <f>전기말!Q18</f>
        <v/>
      </c>
      <c r="R77" s="807">
        <f>전기말!R18</f>
        <v/>
      </c>
      <c r="S77" s="807">
        <f>전기말!S18</f>
        <v/>
      </c>
      <c r="T77" s="807">
        <f>전기말!T18</f>
        <v/>
      </c>
    </row>
    <row r="78">
      <c r="I78" s="786" t="n"/>
      <c r="J78" s="786" t="n"/>
      <c r="K78" s="786" t="n"/>
      <c r="L78" s="786" t="n"/>
      <c r="M78" s="786" t="n"/>
      <c r="N78" s="786" t="n"/>
      <c r="O78" s="786" t="n"/>
      <c r="P78" s="786" t="n"/>
      <c r="Q78" s="786" t="n"/>
      <c r="R78" s="786" t="n"/>
      <c r="S78" s="786" t="n"/>
      <c r="T78" s="786" t="n"/>
    </row>
    <row r="79">
      <c r="A79" s="642">
        <f>DATA!Y1</f>
        <v/>
      </c>
      <c r="C79" s="642" t="inlineStr">
        <is>
          <t>FVOCI평가손익</t>
        </is>
      </c>
      <c r="I79" s="786">
        <f>VLOOKUP($I$1&amp;I$8,DATA!$A:$EB,'2312'!$A79,0)/100</f>
        <v/>
      </c>
      <c r="J79" s="786">
        <f>VLOOKUP($I$1&amp;J$8,DATA!$A:$EB,'2312'!$A79,0)/100</f>
        <v/>
      </c>
      <c r="K79" s="786">
        <f>VLOOKUP($I$1&amp;K$8,DATA!$A:$EB,'2312'!$A79,0)/100</f>
        <v/>
      </c>
      <c r="L79" s="786">
        <f>VLOOKUP($I$1&amp;L$8,DATA!$A:$EB,'2312'!$A79,0)/100</f>
        <v/>
      </c>
      <c r="M79" s="786">
        <f>VLOOKUP($I$1&amp;M$8,DATA!$A:$EB,'2312'!$A79,0)/100</f>
        <v/>
      </c>
      <c r="N79" s="786">
        <f>VLOOKUP($I$1&amp;N$8,DATA!$A:$EB,'2312'!$A79,0)/100</f>
        <v/>
      </c>
      <c r="O79" s="786">
        <f>VLOOKUP($I$1&amp;O$8,DATA!$A:$EB,'2312'!$A79,0)/100</f>
        <v/>
      </c>
      <c r="P79" s="786">
        <f>VLOOKUP($I$1&amp;P$8,DATA!$A:$EB,'2312'!$A79,0)/100</f>
        <v/>
      </c>
      <c r="Q79" s="786">
        <f>VLOOKUP($I$1&amp;Q$8,DATA!$A:$EB,'2312'!$A79,0)/100</f>
        <v/>
      </c>
      <c r="R79" s="786">
        <f>VLOOKUP($I$1&amp;R$8,DATA!$A:$EB,'2312'!$A79,0)/100</f>
        <v/>
      </c>
      <c r="S79" s="786">
        <f>VLOOKUP($I$1&amp;S$8,DATA!$A:$EB,'2312'!$A79,0)/100</f>
        <v/>
      </c>
      <c r="T79" s="786">
        <f>VLOOKUP($I$1&amp;T$8,DATA!$A:$EB,'2312'!$A79,0)/100</f>
        <v/>
      </c>
    </row>
    <row r="80">
      <c r="A80" s="642">
        <f>DATA!AB1</f>
        <v/>
      </c>
      <c r="C80" s="642" t="inlineStr">
        <is>
          <t>현금흐름위험회피</t>
        </is>
      </c>
      <c r="I80" s="786">
        <f>VLOOKUP($I$1&amp;I$8,DATA!$A:$EB,'2312'!$A80,0)/100</f>
        <v/>
      </c>
      <c r="J80" s="786">
        <f>VLOOKUP($I$1&amp;J$8,DATA!$A:$EB,'2312'!$A80,0)/100</f>
        <v/>
      </c>
      <c r="K80" s="786">
        <f>VLOOKUP($I$1&amp;K$8,DATA!$A:$EB,'2312'!$A80,0)/100</f>
        <v/>
      </c>
      <c r="L80" s="786">
        <f>VLOOKUP($I$1&amp;L$8,DATA!$A:$EB,'2312'!$A80,0)/100</f>
        <v/>
      </c>
      <c r="M80" s="786">
        <f>VLOOKUP($I$1&amp;M$8,DATA!$A:$EB,'2312'!$A80,0)/100</f>
        <v/>
      </c>
      <c r="N80" s="786">
        <f>VLOOKUP($I$1&amp;N$8,DATA!$A:$EB,'2312'!$A80,0)/100</f>
        <v/>
      </c>
      <c r="O80" s="786">
        <f>VLOOKUP($I$1&amp;O$8,DATA!$A:$EB,'2312'!$A80,0)/100</f>
        <v/>
      </c>
      <c r="P80" s="786">
        <f>VLOOKUP($I$1&amp;P$8,DATA!$A:$EB,'2312'!$A80,0)/100</f>
        <v/>
      </c>
      <c r="Q80" s="786">
        <f>VLOOKUP($I$1&amp;Q$8,DATA!$A:$EB,'2312'!$A80,0)/100</f>
        <v/>
      </c>
      <c r="R80" s="786">
        <f>VLOOKUP($I$1&amp;R$8,DATA!$A:$EB,'2312'!$A80,0)/100</f>
        <v/>
      </c>
      <c r="S80" s="786">
        <f>VLOOKUP($I$1&amp;S$8,DATA!$A:$EB,'2312'!$A80,0)/100</f>
        <v/>
      </c>
      <c r="T80" s="786">
        <f>VLOOKUP($I$1&amp;T$8,DATA!$A:$EB,'2312'!$A80,0)/100</f>
        <v/>
      </c>
    </row>
    <row r="81">
      <c r="A81" s="642">
        <f>+DATA!Z1</f>
        <v/>
      </c>
      <c r="C81" s="642" t="inlineStr">
        <is>
          <t>보험계약자산(부채)순금융손익</t>
        </is>
      </c>
      <c r="I81" s="786">
        <f>VLOOKUP($I$1&amp;I$8,DATA!$A:$EB,'2312'!$A81,0)/100</f>
        <v/>
      </c>
      <c r="J81" s="786">
        <f>VLOOKUP($I$1&amp;J$8,DATA!$A:$EB,'2312'!$A81,0)/100</f>
        <v/>
      </c>
      <c r="K81" s="786">
        <f>VLOOKUP($I$1&amp;K$8,DATA!$A:$EB,'2312'!$A81,0)/100</f>
        <v/>
      </c>
      <c r="L81" s="786">
        <f>VLOOKUP($I$1&amp;L$8,DATA!$A:$EB,'2312'!$A81,0)/100</f>
        <v/>
      </c>
      <c r="M81" s="786">
        <f>VLOOKUP($I$1&amp;M$8,DATA!$A:$EB,'2312'!$A81,0)/100</f>
        <v/>
      </c>
      <c r="N81" s="786">
        <f>VLOOKUP($I$1&amp;N$8,DATA!$A:$EB,'2312'!$A81,0)/100</f>
        <v/>
      </c>
      <c r="O81" s="786">
        <f>VLOOKUP($I$1&amp;O$8,DATA!$A:$EB,'2312'!$A81,0)/100</f>
        <v/>
      </c>
      <c r="P81" s="786">
        <f>VLOOKUP($I$1&amp;P$8,DATA!$A:$EB,'2312'!$A81,0)/100</f>
        <v/>
      </c>
      <c r="Q81" s="786">
        <f>VLOOKUP($I$1&amp;Q$8,DATA!$A:$EB,'2312'!$A81,0)/100</f>
        <v/>
      </c>
      <c r="R81" s="786">
        <f>VLOOKUP($I$1&amp;R$8,DATA!$A:$EB,'2312'!$A81,0)/100</f>
        <v/>
      </c>
      <c r="S81" s="786">
        <f>VLOOKUP($I$1&amp;S$8,DATA!$A:$EB,'2312'!$A81,0)/100</f>
        <v/>
      </c>
      <c r="T81" s="786">
        <f>VLOOKUP($I$1&amp;T$8,DATA!$A:$EB,'2312'!$A81,0)/100</f>
        <v/>
      </c>
    </row>
    <row r="82">
      <c r="A82" s="642">
        <f>+DATA!AA1</f>
        <v/>
      </c>
      <c r="C82" s="642" t="inlineStr">
        <is>
          <t>재보험계약자산(부채)</t>
        </is>
      </c>
      <c r="I82" s="786">
        <f>VLOOKUP($I$1&amp;I$8,DATA!$A:$EB,'2312'!$A82,0)/100</f>
        <v/>
      </c>
      <c r="J82" s="786">
        <f>VLOOKUP($I$1&amp;J$8,DATA!$A:$EB,'2312'!$A82,0)/100</f>
        <v/>
      </c>
      <c r="K82" s="786">
        <f>VLOOKUP($I$1&amp;K$8,DATA!$A:$EB,'2312'!$A82,0)/100</f>
        <v/>
      </c>
      <c r="L82" s="786">
        <f>VLOOKUP($I$1&amp;L$8,DATA!$A:$EB,'2312'!$A82,0)/100</f>
        <v/>
      </c>
      <c r="M82" s="786">
        <f>VLOOKUP($I$1&amp;M$8,DATA!$A:$EB,'2312'!$A82,0)/100</f>
        <v/>
      </c>
      <c r="N82" s="786">
        <f>VLOOKUP($I$1&amp;N$8,DATA!$A:$EB,'2312'!$A82,0)/100</f>
        <v/>
      </c>
      <c r="O82" s="786">
        <f>VLOOKUP($I$1&amp;O$8,DATA!$A:$EB,'2312'!$A82,0)/100</f>
        <v/>
      </c>
      <c r="P82" s="786">
        <f>VLOOKUP($I$1&amp;P$8,DATA!$A:$EB,'2312'!$A82,0)/100</f>
        <v/>
      </c>
      <c r="Q82" s="786">
        <f>VLOOKUP($I$1&amp;Q$8,DATA!$A:$EB,'2312'!$A82,0)/100</f>
        <v/>
      </c>
      <c r="R82" s="786">
        <f>VLOOKUP($I$1&amp;R$8,DATA!$A:$EB,'2312'!$A82,0)/100</f>
        <v/>
      </c>
      <c r="S82" s="786">
        <f>VLOOKUP($I$1&amp;S$8,DATA!$A:$EB,'2312'!$A82,0)/100</f>
        <v/>
      </c>
      <c r="T82" s="786">
        <f>VLOOKUP($I$1&amp;T$8,DATA!$A:$EB,'2312'!$A82,0)/100</f>
        <v/>
      </c>
    </row>
    <row r="83">
      <c r="I83" s="786" t="n"/>
      <c r="J83" s="788" t="n"/>
      <c r="K83" s="788" t="n"/>
      <c r="L83" s="788" t="n"/>
      <c r="M83" s="788" t="n"/>
      <c r="N83" s="788" t="n"/>
      <c r="O83" s="788" t="n"/>
      <c r="P83" s="788" t="n"/>
      <c r="Q83" s="788" t="n"/>
      <c r="R83" s="788" t="n"/>
      <c r="S83" s="788" t="n"/>
      <c r="T83" s="788" t="n"/>
    </row>
    <row r="84" ht="31.5" customHeight="1" s="760">
      <c r="C84" s="641" t="inlineStr">
        <is>
          <t>전기 FVOCI평가손익
(현금흐름위험회피파생평가손익 포함)</t>
        </is>
      </c>
      <c r="H84" s="643" t="n"/>
      <c r="I84" s="786">
        <f>전기말!I11+전기말!I12</f>
        <v/>
      </c>
      <c r="J84" s="786">
        <f>전기말!J11+전기말!J12</f>
        <v/>
      </c>
      <c r="K84" s="786">
        <f>전기말!K11+전기말!K12</f>
        <v/>
      </c>
      <c r="L84" s="786">
        <f>전기말!L11+전기말!L12</f>
        <v/>
      </c>
      <c r="M84" s="786">
        <f>전기말!M11+전기말!M12</f>
        <v/>
      </c>
      <c r="N84" s="786">
        <f>전기말!N11+전기말!N12</f>
        <v/>
      </c>
      <c r="O84" s="786">
        <f>전기말!O11+전기말!O12</f>
        <v/>
      </c>
      <c r="P84" s="786">
        <f>전기말!P11+전기말!P12</f>
        <v/>
      </c>
      <c r="Q84" s="786">
        <f>전기말!Q11+전기말!Q12</f>
        <v/>
      </c>
      <c r="R84" s="786">
        <f>전기말!R11+전기말!R12</f>
        <v/>
      </c>
      <c r="S84" s="786">
        <f>전기말!S11+전기말!S12</f>
        <v/>
      </c>
      <c r="T84" s="786">
        <f>전기말!T11+전기말!T12</f>
        <v/>
      </c>
    </row>
    <row r="85" ht="16.5" customHeight="1" s="760">
      <c r="C85" s="644" t="inlineStr">
        <is>
          <t>전기 보험부채순금융손익(재보포함)</t>
        </is>
      </c>
      <c r="D85" s="645" t="n"/>
      <c r="E85" s="645" t="n"/>
      <c r="F85" s="645" t="n"/>
      <c r="G85" s="645" t="n"/>
      <c r="H85" s="646" t="n"/>
      <c r="I85" s="786">
        <f>+전기말!I13+전기말!I14</f>
        <v/>
      </c>
      <c r="J85" s="786">
        <f>+전기말!J13+전기말!J14</f>
        <v/>
      </c>
      <c r="K85" s="786">
        <f>+전기말!K13+전기말!K14</f>
        <v/>
      </c>
      <c r="L85" s="786">
        <f>+전기말!L13+전기말!L14</f>
        <v/>
      </c>
      <c r="M85" s="786">
        <f>+전기말!M13+전기말!M14</f>
        <v/>
      </c>
      <c r="N85" s="786">
        <f>+전기말!N13+전기말!N14</f>
        <v/>
      </c>
      <c r="O85" s="786">
        <f>+전기말!O13+전기말!O14</f>
        <v/>
      </c>
      <c r="P85" s="786">
        <f>+전기말!P13+전기말!P14</f>
        <v/>
      </c>
      <c r="Q85" s="786">
        <f>+전기말!Q13+전기말!Q14</f>
        <v/>
      </c>
      <c r="R85" s="786">
        <f>+전기말!R13+전기말!R14</f>
        <v/>
      </c>
      <c r="S85" s="786">
        <f>+전기말!S13+전기말!S14</f>
        <v/>
      </c>
      <c r="T85" s="786">
        <f>+전기말!T13+전기말!T14</f>
        <v/>
      </c>
    </row>
    <row r="86">
      <c r="I86" s="786" t="n"/>
      <c r="J86" s="788" t="n"/>
      <c r="K86" s="788" t="n"/>
      <c r="L86" s="788" t="n"/>
      <c r="M86" s="788" t="n"/>
      <c r="N86" s="788" t="n"/>
      <c r="O86" s="788" t="n"/>
      <c r="P86" s="788" t="n"/>
      <c r="Q86" s="788" t="n"/>
      <c r="R86" s="788" t="n"/>
      <c r="S86" s="788" t="n"/>
      <c r="T86" s="788" t="n"/>
    </row>
    <row r="87">
      <c r="I87" s="788" t="n"/>
      <c r="J87" s="788" t="n"/>
      <c r="K87" s="788" t="n"/>
      <c r="L87" s="788" t="n"/>
      <c r="M87" s="788" t="n"/>
      <c r="N87" s="788" t="n"/>
      <c r="O87" s="788" t="n"/>
      <c r="P87" s="788" t="n"/>
      <c r="Q87" s="788" t="n"/>
      <c r="R87" s="788" t="n"/>
      <c r="S87" s="788" t="n"/>
      <c r="T87" s="788" t="n"/>
    </row>
    <row r="88">
      <c r="I88" s="788" t="n"/>
      <c r="J88" s="788" t="n"/>
      <c r="K88" s="788" t="n"/>
      <c r="L88" s="788" t="n"/>
      <c r="M88" s="788" t="n"/>
      <c r="N88" s="788" t="n"/>
      <c r="O88" s="788" t="n"/>
      <c r="P88" s="788" t="n"/>
      <c r="Q88" s="788" t="n"/>
      <c r="R88" s="788" t="n"/>
      <c r="S88" s="788" t="n"/>
      <c r="T88" s="788" t="n"/>
    </row>
    <row r="89" ht="16.5" customHeight="1" s="760">
      <c r="C89" s="6" t="inlineStr">
        <is>
          <t>2. 재무건전성(잠정치)</t>
        </is>
      </c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</row>
    <row r="90" ht="16.5" customHeight="1" s="760"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  <c r="N90" s="111" t="n"/>
      <c r="O90" s="13" t="n"/>
      <c r="P90" s="111" t="n"/>
      <c r="Q90" s="111" t="n"/>
      <c r="R90" s="13" t="n"/>
      <c r="S90" s="13" t="n"/>
      <c r="T90" s="7" t="inlineStr">
        <is>
          <t>(단위 : 억원)</t>
        </is>
      </c>
      <c r="U90" s="13" t="n"/>
    </row>
    <row r="91" ht="16.5" customHeight="1" s="760">
      <c r="C91" s="650" t="inlineStr">
        <is>
          <t>구분</t>
        </is>
      </c>
      <c r="D91" s="648" t="n"/>
      <c r="E91" s="648" t="n"/>
      <c r="F91" s="648" t="n"/>
      <c r="G91" s="648" t="n"/>
      <c r="H91" s="649" t="n"/>
      <c r="I91" s="8" t="inlineStr">
        <is>
          <t>미래에셋생명</t>
        </is>
      </c>
      <c r="J91" s="8" t="inlineStr">
        <is>
          <t>삼성생명</t>
        </is>
      </c>
      <c r="K91" s="8" t="inlineStr">
        <is>
          <t>교보생명</t>
        </is>
      </c>
      <c r="L91" s="8" t="inlineStr">
        <is>
          <t>한화생명</t>
        </is>
      </c>
      <c r="M91" s="8" t="inlineStr">
        <is>
          <t>신한라이프</t>
        </is>
      </c>
      <c r="N91" s="8" t="inlineStr">
        <is>
          <t>동양생명</t>
        </is>
      </c>
      <c r="O91" s="9" t="inlineStr">
        <is>
          <t>KB라이프</t>
        </is>
      </c>
      <c r="P91" s="9" t="inlineStr">
        <is>
          <t>삼성화재</t>
        </is>
      </c>
      <c r="Q91" s="9" t="inlineStr">
        <is>
          <t>현대해상</t>
        </is>
      </c>
      <c r="R91" s="9" t="inlineStr">
        <is>
          <t>메리츠화재</t>
        </is>
      </c>
      <c r="S91" s="9" t="inlineStr">
        <is>
          <t>KB손보</t>
        </is>
      </c>
      <c r="T91" s="9" t="inlineStr">
        <is>
          <t>DB손보</t>
        </is>
      </c>
      <c r="U91" s="13" t="n"/>
    </row>
    <row r="92" ht="16.5" customHeight="1" s="760">
      <c r="A92" s="642">
        <f>DATA!$CN$1</f>
        <v/>
      </c>
      <c r="C92" s="647" t="inlineStr">
        <is>
          <t>K-ICS</t>
        </is>
      </c>
      <c r="D92" s="648" t="n"/>
      <c r="E92" s="648" t="n"/>
      <c r="F92" s="648" t="n"/>
      <c r="G92" s="648" t="n"/>
      <c r="H92" s="649" t="n"/>
      <c r="I92" s="808">
        <f>VLOOKUP($I$1&amp;I$8,DATA!$A:$EB,'2312'!$A92,0)</f>
        <v/>
      </c>
      <c r="J92" s="808">
        <f>VLOOKUP($I$1&amp;J$8,DATA!$A:$EB,'2312'!$A92,0)</f>
        <v/>
      </c>
      <c r="K92" s="808">
        <f>VLOOKUP($I$1&amp;K$8,DATA!$A:$EB,'2312'!$A92,0)</f>
        <v/>
      </c>
      <c r="L92" s="808">
        <f>VLOOKUP($I$1&amp;L$8,DATA!$A:$EB,'2312'!$A92,0)</f>
        <v/>
      </c>
      <c r="M92" s="808">
        <f>VLOOKUP($I$1&amp;M$8,DATA!$A:$EB,'2312'!$A92,0)</f>
        <v/>
      </c>
      <c r="N92" s="808">
        <f>VLOOKUP($I$1&amp;N$8,DATA!$A:$EB,'2312'!$A92,0)</f>
        <v/>
      </c>
      <c r="O92" s="808">
        <f>VLOOKUP($I$1&amp;O$8,DATA!$A:$EB,'2312'!$A92,0)</f>
        <v/>
      </c>
      <c r="P92" s="808">
        <f>VLOOKUP($I$1&amp;P$8,DATA!$A:$EB,'2312'!$A92,0)</f>
        <v/>
      </c>
      <c r="Q92" s="808">
        <f>VLOOKUP($I$1&amp;Q$8,DATA!$A:$EB,'2312'!$A92,0)</f>
        <v/>
      </c>
      <c r="R92" s="808">
        <f>VLOOKUP($I$1&amp;R$8,DATA!$A:$EB,'2312'!$A92,0)</f>
        <v/>
      </c>
      <c r="S92" s="808">
        <f>VLOOKUP($I$1&amp;S$8,DATA!$A:$EB,'2312'!$A92,0)</f>
        <v/>
      </c>
      <c r="T92" s="808">
        <f>VLOOKUP($I$1&amp;T$8,DATA!$A:$EB,'2312'!$A92,0)</f>
        <v/>
      </c>
      <c r="U92" s="13" t="n"/>
    </row>
    <row r="93" ht="16.5" customHeight="1" s="760">
      <c r="A93" s="642">
        <f>DATA!$CO$1</f>
        <v/>
      </c>
      <c r="C93" s="666" t="inlineStr">
        <is>
          <t>가용자본</t>
        </is>
      </c>
      <c r="H93" s="643" t="n"/>
      <c r="I93" s="798">
        <f>VLOOKUP($I$1&amp;I$8,DATA!$A:$EB,'2312'!$A93,0)/100</f>
        <v/>
      </c>
      <c r="J93" s="798">
        <f>VLOOKUP($I$1&amp;J$8,DATA!$A:$EB,'2312'!$A93,0)/100</f>
        <v/>
      </c>
      <c r="K93" s="798">
        <f>VLOOKUP($I$1&amp;K$8,DATA!$A:$EB,'2312'!$A93,0)/100</f>
        <v/>
      </c>
      <c r="L93" s="798">
        <f>VLOOKUP($I$1&amp;L$8,DATA!$A:$EB,'2312'!$A93,0)/100</f>
        <v/>
      </c>
      <c r="M93" s="798">
        <f>VLOOKUP($I$1&amp;M$8,DATA!$A:$EB,'2312'!$A93,0)/100</f>
        <v/>
      </c>
      <c r="N93" s="798">
        <f>VLOOKUP($I$1&amp;N$8,DATA!$A:$EB,'2312'!$A93,0)/100</f>
        <v/>
      </c>
      <c r="O93" s="799">
        <f>VLOOKUP($I$1&amp;O$8,DATA!$A:$EB,'2312'!$A93,0)/100</f>
        <v/>
      </c>
      <c r="P93" s="799">
        <f>VLOOKUP($I$1&amp;P$8,DATA!$A:$EB,'2312'!$A93,0)/100</f>
        <v/>
      </c>
      <c r="Q93" s="799">
        <f>VLOOKUP($I$1&amp;Q$8,DATA!$A:$EB,'2312'!$A93,0)/100</f>
        <v/>
      </c>
      <c r="R93" s="799">
        <f>VLOOKUP($I$1&amp;R$8,DATA!$A:$EB,'2312'!$A93,0)/100</f>
        <v/>
      </c>
      <c r="S93" s="799">
        <f>VLOOKUP($I$1&amp;S$8,DATA!$A:$EB,'2312'!$A93,0)/100</f>
        <v/>
      </c>
      <c r="T93" s="799">
        <f>VLOOKUP($I$1&amp;T$8,DATA!$A:$EB,'2312'!$A93,0)/100</f>
        <v/>
      </c>
      <c r="U93" s="13" t="n"/>
    </row>
    <row r="94" ht="16.5" customHeight="1" s="760">
      <c r="A94" s="642">
        <f>DATA!$CP$1</f>
        <v/>
      </c>
      <c r="C94" s="644" t="inlineStr">
        <is>
          <t>요구자본</t>
        </is>
      </c>
      <c r="D94" s="645" t="n"/>
      <c r="E94" s="645" t="n"/>
      <c r="F94" s="645" t="n"/>
      <c r="G94" s="645" t="n"/>
      <c r="H94" s="646" t="n"/>
      <c r="I94" s="803">
        <f>VLOOKUP($I$1&amp;I$8,DATA!$A:$EB,'2312'!$A94,0)/100</f>
        <v/>
      </c>
      <c r="J94" s="803">
        <f>VLOOKUP($I$1&amp;J$8,DATA!$A:$EB,'2312'!$A94,0)/100</f>
        <v/>
      </c>
      <c r="K94" s="803">
        <f>VLOOKUP($I$1&amp;K$8,DATA!$A:$EB,'2312'!$A94,0)/100</f>
        <v/>
      </c>
      <c r="L94" s="803">
        <f>VLOOKUP($I$1&amp;L$8,DATA!$A:$EB,'2312'!$A94,0)/100</f>
        <v/>
      </c>
      <c r="M94" s="803">
        <f>VLOOKUP($I$1&amp;M$8,DATA!$A:$EB,'2312'!$A94,0)/100</f>
        <v/>
      </c>
      <c r="N94" s="803">
        <f>VLOOKUP($I$1&amp;N$8,DATA!$A:$EB,'2312'!$A94,0)/100</f>
        <v/>
      </c>
      <c r="O94" s="804">
        <f>VLOOKUP($I$1&amp;O$8,DATA!$A:$EB,'2312'!$A94,0)/100</f>
        <v/>
      </c>
      <c r="P94" s="804">
        <f>VLOOKUP($I$1&amp;P$8,DATA!$A:$EB,'2312'!$A94,0)/100</f>
        <v/>
      </c>
      <c r="Q94" s="804">
        <f>VLOOKUP($I$1&amp;Q$8,DATA!$A:$EB,'2312'!$A94,0)/100</f>
        <v/>
      </c>
      <c r="R94" s="804">
        <f>VLOOKUP($I$1&amp;R$8,DATA!$A:$EB,'2312'!$A94,0)/100</f>
        <v/>
      </c>
      <c r="S94" s="804">
        <f>VLOOKUP($I$1&amp;S$8,DATA!$A:$EB,'2312'!$A94,0)/100</f>
        <v/>
      </c>
      <c r="T94" s="804">
        <f>VLOOKUP($I$1&amp;T$8,DATA!$A:$EB,'2312'!$A94,0)/100</f>
        <v/>
      </c>
      <c r="U94" s="13" t="n"/>
    </row>
    <row r="95" ht="16.5" customHeight="1" s="760">
      <c r="C95" s="12" t="inlineStr">
        <is>
          <t xml:space="preserve"> * 경과조치 전</t>
        </is>
      </c>
      <c r="D95" s="209" t="n"/>
      <c r="E95" s="809" t="n"/>
      <c r="F95" s="809" t="n"/>
      <c r="G95" s="809" t="n"/>
      <c r="H95" s="809" t="n"/>
      <c r="I95" s="809" t="n"/>
      <c r="J95" s="809" t="n"/>
      <c r="K95" s="809" t="n"/>
      <c r="L95" s="809" t="n"/>
      <c r="M95" s="809" t="n"/>
      <c r="N95" s="809" t="n"/>
      <c r="O95" s="809" t="n"/>
      <c r="P95" s="809" t="n"/>
      <c r="Q95" s="809" t="n"/>
      <c r="R95" s="809" t="n"/>
      <c r="S95" s="809" t="n"/>
      <c r="T95" s="13" t="n"/>
      <c r="U95" s="13" t="n"/>
    </row>
    <row r="96" ht="16.5" customHeight="1" s="760">
      <c r="C96" s="111" t="n"/>
      <c r="D96" s="209" t="n"/>
      <c r="E96" s="809" t="n"/>
      <c r="F96" s="809" t="n"/>
      <c r="G96" s="809" t="n"/>
      <c r="H96" s="809" t="n"/>
      <c r="I96" s="809" t="n"/>
      <c r="J96" s="809" t="n"/>
      <c r="K96" s="809" t="n"/>
      <c r="L96" s="809" t="n"/>
      <c r="M96" s="809" t="n"/>
      <c r="N96" s="809" t="n"/>
      <c r="O96" s="809" t="n"/>
      <c r="P96" s="809" t="n"/>
      <c r="Q96" s="809" t="n"/>
      <c r="R96" s="809" t="n"/>
      <c r="S96" s="809" t="n"/>
      <c r="T96" s="13" t="n"/>
      <c r="U96" s="13" t="n"/>
    </row>
    <row r="97" ht="16.5" customHeight="1" s="760">
      <c r="C97" s="6" t="inlineStr">
        <is>
          <t>3. 재무건전성(확정치)</t>
        </is>
      </c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</row>
    <row r="98" ht="16.5" customHeight="1" s="760"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  <c r="N98" s="111" t="n"/>
      <c r="O98" s="13" t="n"/>
      <c r="P98" s="111" t="n"/>
      <c r="Q98" s="111" t="n"/>
      <c r="R98" s="13" t="n"/>
      <c r="S98" s="13" t="n"/>
      <c r="T98" s="7" t="inlineStr">
        <is>
          <t>(단위 : 억원)</t>
        </is>
      </c>
      <c r="U98" s="13" t="n"/>
    </row>
    <row r="99" ht="16.5" customHeight="1" s="760">
      <c r="C99" s="650" t="inlineStr">
        <is>
          <t>구분</t>
        </is>
      </c>
      <c r="D99" s="648" t="n"/>
      <c r="E99" s="648" t="n"/>
      <c r="F99" s="648" t="n"/>
      <c r="G99" s="648" t="n"/>
      <c r="H99" s="649" t="n"/>
      <c r="I99" s="8" t="inlineStr">
        <is>
          <t>미래에셋생명</t>
        </is>
      </c>
      <c r="J99" s="8" t="inlineStr">
        <is>
          <t>삼성생명</t>
        </is>
      </c>
      <c r="K99" s="8" t="inlineStr">
        <is>
          <t>교보생명</t>
        </is>
      </c>
      <c r="L99" s="8" t="inlineStr">
        <is>
          <t>한화생명</t>
        </is>
      </c>
      <c r="M99" s="8" t="inlineStr">
        <is>
          <t>신한라이프</t>
        </is>
      </c>
      <c r="N99" s="8" t="inlineStr">
        <is>
          <t>동양생명</t>
        </is>
      </c>
      <c r="O99" s="9" t="inlineStr">
        <is>
          <t>KB라이프</t>
        </is>
      </c>
      <c r="P99" s="9" t="inlineStr">
        <is>
          <t>삼성화재</t>
        </is>
      </c>
      <c r="Q99" s="9" t="inlineStr">
        <is>
          <t>현대해상</t>
        </is>
      </c>
      <c r="R99" s="9" t="inlineStr">
        <is>
          <t>메리츠화재</t>
        </is>
      </c>
      <c r="S99" s="9" t="inlineStr">
        <is>
          <t>KB손보</t>
        </is>
      </c>
      <c r="T99" s="9" t="inlineStr">
        <is>
          <t>DB손보</t>
        </is>
      </c>
      <c r="U99" s="13" t="n"/>
    </row>
    <row r="100" ht="16.5" customHeight="1" s="760">
      <c r="A100" s="642">
        <f>DATA!$CQ$1</f>
        <v/>
      </c>
      <c r="C100" s="647" t="inlineStr">
        <is>
          <t>K-ICS</t>
        </is>
      </c>
      <c r="D100" s="648" t="n"/>
      <c r="E100" s="648" t="n"/>
      <c r="F100" s="648" t="n"/>
      <c r="G100" s="648" t="n"/>
      <c r="H100" s="649" t="n"/>
      <c r="I100" s="808">
        <f>VLOOKUP($I$1&amp;I$8,DATA!$A:$EB,'2312'!$A100,0)</f>
        <v/>
      </c>
      <c r="J100" s="808">
        <f>VLOOKUP($I$1&amp;J$8,DATA!$A:$EB,'2312'!$A100,0)</f>
        <v/>
      </c>
      <c r="K100" s="808">
        <f>VLOOKUP($I$1&amp;K$8,DATA!$A:$EB,'2312'!$A100,0)</f>
        <v/>
      </c>
      <c r="L100" s="808">
        <f>VLOOKUP($I$1&amp;L$8,DATA!$A:$EB,'2312'!$A100,0)</f>
        <v/>
      </c>
      <c r="M100" s="808">
        <f>VLOOKUP($I$1&amp;M$8,DATA!$A:$EB,'2312'!$A100,0)</f>
        <v/>
      </c>
      <c r="N100" s="808">
        <f>VLOOKUP($I$1&amp;N$8,DATA!$A:$EB,'2312'!$A100,0)</f>
        <v/>
      </c>
      <c r="O100" s="808">
        <f>VLOOKUP($I$1&amp;O$8,DATA!$A:$EB,'2312'!$A100,0)</f>
        <v/>
      </c>
      <c r="P100" s="808">
        <f>VLOOKUP($I$1&amp;P$8,DATA!$A:$EB,'2312'!$A100,0)</f>
        <v/>
      </c>
      <c r="Q100" s="808">
        <f>VLOOKUP($I$1&amp;Q$8,DATA!$A:$EB,'2312'!$A100,0)</f>
        <v/>
      </c>
      <c r="R100" s="808">
        <f>VLOOKUP($I$1&amp;R$8,DATA!$A:$EB,'2312'!$A100,0)</f>
        <v/>
      </c>
      <c r="S100" s="808">
        <f>VLOOKUP($I$1&amp;S$8,DATA!$A:$EB,'2312'!$A100,0)</f>
        <v/>
      </c>
      <c r="T100" s="808">
        <f>VLOOKUP($I$1&amp;T$8,DATA!$A:$EB,'2312'!$A100,0)</f>
        <v/>
      </c>
      <c r="U100" s="13" t="n"/>
    </row>
    <row r="101" ht="16.5" customHeight="1" s="760">
      <c r="A101" s="642">
        <f>DATA!$CR$1</f>
        <v/>
      </c>
      <c r="C101" s="666" t="inlineStr">
        <is>
          <t>가용자본</t>
        </is>
      </c>
      <c r="H101" s="643" t="n"/>
      <c r="I101" s="798">
        <f>VLOOKUP($I$1&amp;I$8,DATA!$A:$EB,'2312'!$A101,0)/100</f>
        <v/>
      </c>
      <c r="J101" s="798">
        <f>VLOOKUP($I$1&amp;J$8,DATA!$A:$EB,'2312'!$A101,0)/100</f>
        <v/>
      </c>
      <c r="K101" s="798">
        <f>VLOOKUP($I$1&amp;K$8,DATA!$A:$EB,'2312'!$A101,0)/100</f>
        <v/>
      </c>
      <c r="L101" s="798">
        <f>VLOOKUP($I$1&amp;L$8,DATA!$A:$EB,'2312'!$A101,0)/100</f>
        <v/>
      </c>
      <c r="M101" s="798">
        <f>VLOOKUP($I$1&amp;M$8,DATA!$A:$EB,'2312'!$A101,0)/100</f>
        <v/>
      </c>
      <c r="N101" s="798">
        <f>VLOOKUP($I$1&amp;N$8,DATA!$A:$EB,'2312'!$A101,0)/100</f>
        <v/>
      </c>
      <c r="O101" s="799">
        <f>VLOOKUP($I$1&amp;O$8,DATA!$A:$EB,'2312'!$A101,0)/100</f>
        <v/>
      </c>
      <c r="P101" s="799">
        <f>VLOOKUP($I$1&amp;P$8,DATA!$A:$EB,'2312'!$A101,0)/100</f>
        <v/>
      </c>
      <c r="Q101" s="799">
        <f>VLOOKUP($I$1&amp;Q$8,DATA!$A:$EB,'2312'!$A101,0)/100</f>
        <v/>
      </c>
      <c r="R101" s="799">
        <f>VLOOKUP($I$1&amp;R$8,DATA!$A:$EB,'2312'!$A101,0)/100</f>
        <v/>
      </c>
      <c r="S101" s="799">
        <f>VLOOKUP($I$1&amp;S$8,DATA!$A:$EB,'2312'!$A101,0)/100</f>
        <v/>
      </c>
      <c r="T101" s="799">
        <f>VLOOKUP($I$1&amp;T$8,DATA!$A:$EB,'2312'!$A101,0)/100</f>
        <v/>
      </c>
      <c r="U101" s="13" t="n"/>
    </row>
    <row r="102" ht="16.5" customHeight="1" s="760">
      <c r="A102" s="642">
        <f>DATA!$CS$1</f>
        <v/>
      </c>
      <c r="C102" s="644" t="inlineStr">
        <is>
          <t>요구자본</t>
        </is>
      </c>
      <c r="D102" s="645" t="n"/>
      <c r="E102" s="645" t="n"/>
      <c r="F102" s="645" t="n"/>
      <c r="G102" s="645" t="n"/>
      <c r="H102" s="646" t="n"/>
      <c r="I102" s="803">
        <f>VLOOKUP($I$1&amp;I$8,DATA!$A:$EB,'2312'!$A102,0)/100</f>
        <v/>
      </c>
      <c r="J102" s="803">
        <f>VLOOKUP($I$1&amp;J$8,DATA!$A:$EB,'2312'!$A102,0)/100</f>
        <v/>
      </c>
      <c r="K102" s="803">
        <f>VLOOKUP($I$1&amp;K$8,DATA!$A:$EB,'2312'!$A102,0)/100</f>
        <v/>
      </c>
      <c r="L102" s="803">
        <f>VLOOKUP($I$1&amp;L$8,DATA!$A:$EB,'2312'!$A102,0)/100</f>
        <v/>
      </c>
      <c r="M102" s="803">
        <f>VLOOKUP($I$1&amp;M$8,DATA!$A:$EB,'2312'!$A102,0)/100</f>
        <v/>
      </c>
      <c r="N102" s="803">
        <f>VLOOKUP($I$1&amp;N$8,DATA!$A:$EB,'2312'!$A102,0)/100</f>
        <v/>
      </c>
      <c r="O102" s="804">
        <f>VLOOKUP($I$1&amp;O$8,DATA!$A:$EB,'2312'!$A102,0)/100</f>
        <v/>
      </c>
      <c r="P102" s="804">
        <f>VLOOKUP($I$1&amp;P$8,DATA!$A:$EB,'2312'!$A102,0)/100</f>
        <v/>
      </c>
      <c r="Q102" s="804">
        <f>VLOOKUP($I$1&amp;Q$8,DATA!$A:$EB,'2312'!$A102,0)/100</f>
        <v/>
      </c>
      <c r="R102" s="804">
        <f>VLOOKUP($I$1&amp;R$8,DATA!$A:$EB,'2312'!$A102,0)/100</f>
        <v/>
      </c>
      <c r="S102" s="804">
        <f>VLOOKUP($I$1&amp;S$8,DATA!$A:$EB,'2312'!$A102,0)/100</f>
        <v/>
      </c>
      <c r="T102" s="804">
        <f>VLOOKUP($I$1&amp;T$8,DATA!$A:$EB,'2312'!$A102,0)/100</f>
        <v/>
      </c>
      <c r="U102" s="13" t="n"/>
    </row>
    <row r="103" ht="16.5" customHeight="1" s="760">
      <c r="C103" s="12" t="inlineStr">
        <is>
          <t xml:space="preserve"> * 경과조치 전</t>
        </is>
      </c>
      <c r="D103" s="209" t="n"/>
      <c r="E103" s="809" t="n"/>
      <c r="F103" s="809" t="n"/>
      <c r="G103" s="809" t="n"/>
      <c r="H103" s="809" t="n"/>
      <c r="I103" s="809" t="n"/>
      <c r="J103" s="809" t="n"/>
      <c r="K103" s="809" t="n"/>
      <c r="L103" s="809" t="n"/>
      <c r="M103" s="809" t="n"/>
      <c r="N103" s="809" t="n"/>
      <c r="O103" s="809" t="n"/>
      <c r="P103" s="809" t="n"/>
      <c r="Q103" s="809" t="n"/>
      <c r="R103" s="809" t="n"/>
      <c r="S103" s="809" t="n"/>
      <c r="T103" s="13" t="n"/>
      <c r="U103" s="13" t="n"/>
    </row>
    <row r="104" ht="16.5" customHeight="1" s="760">
      <c r="C104" s="111" t="inlineStr">
        <is>
          <t>전기말</t>
        </is>
      </c>
      <c r="D104" s="209" t="n"/>
      <c r="E104" s="809" t="n"/>
      <c r="F104" s="809" t="n"/>
      <c r="G104" s="809" t="n"/>
      <c r="H104" s="809" t="n"/>
      <c r="I104" s="809">
        <f>전기말!I16</f>
        <v/>
      </c>
      <c r="J104" s="809">
        <f>전기말!J16</f>
        <v/>
      </c>
      <c r="K104" s="809">
        <f>전기말!K16</f>
        <v/>
      </c>
      <c r="L104" s="809">
        <f>전기말!L16</f>
        <v/>
      </c>
      <c r="M104" s="809">
        <f>전기말!M16</f>
        <v/>
      </c>
      <c r="N104" s="809">
        <f>전기말!N16</f>
        <v/>
      </c>
      <c r="O104" s="809">
        <f>전기말!O16</f>
        <v/>
      </c>
      <c r="P104" s="809">
        <f>전기말!P16</f>
        <v/>
      </c>
      <c r="Q104" s="809">
        <f>전기말!Q16</f>
        <v/>
      </c>
      <c r="R104" s="809">
        <f>전기말!R16</f>
        <v/>
      </c>
      <c r="S104" s="809">
        <f>전기말!S16</f>
        <v/>
      </c>
      <c r="T104" s="809">
        <f>전기말!T16</f>
        <v/>
      </c>
      <c r="U104" s="13" t="n"/>
    </row>
    <row r="105" ht="16.5" customHeight="1" s="760">
      <c r="C105" s="111" t="n"/>
      <c r="D105" s="209" t="n"/>
      <c r="E105" s="809" t="n"/>
      <c r="F105" s="809" t="n"/>
      <c r="G105" s="809" t="n"/>
      <c r="H105" s="809" t="n"/>
      <c r="I105" s="810">
        <f>+I100-I104</f>
        <v/>
      </c>
      <c r="J105" s="810">
        <f>+J100-J104</f>
        <v/>
      </c>
      <c r="K105" s="810">
        <f>+K100-K104</f>
        <v/>
      </c>
      <c r="L105" s="810">
        <f>+L100-L104</f>
        <v/>
      </c>
      <c r="M105" s="810">
        <f>+M100-M104</f>
        <v/>
      </c>
      <c r="N105" s="810">
        <f>+N100-N104</f>
        <v/>
      </c>
      <c r="O105" s="810">
        <f>+O100-O104</f>
        <v/>
      </c>
      <c r="P105" s="810">
        <f>+P100-P104</f>
        <v/>
      </c>
      <c r="Q105" s="810">
        <f>+Q100-Q104</f>
        <v/>
      </c>
      <c r="R105" s="810">
        <f>+R100-R104</f>
        <v/>
      </c>
      <c r="S105" s="810">
        <f>+S100-S104</f>
        <v/>
      </c>
      <c r="T105" s="810">
        <f>+T100-T104</f>
        <v/>
      </c>
      <c r="U105" s="13" t="n"/>
    </row>
    <row r="106" ht="16.5" customHeight="1" s="760">
      <c r="C106" s="6" t="inlineStr">
        <is>
          <t>3. 손익현황</t>
        </is>
      </c>
      <c r="D106" s="13" t="n"/>
      <c r="E106" s="13" t="n"/>
      <c r="F106" s="13" t="n"/>
      <c r="G106" s="13" t="n"/>
      <c r="H106" s="13" t="n"/>
      <c r="I106" s="13" t="n"/>
      <c r="J106" s="809" t="n"/>
      <c r="K106" s="809" t="n"/>
      <c r="L106" s="809" t="n"/>
      <c r="M106" s="809" t="n"/>
      <c r="N106" s="809" t="n"/>
      <c r="O106" s="809" t="n"/>
      <c r="P106" s="809" t="n"/>
      <c r="Q106" s="809" t="n"/>
      <c r="R106" s="13" t="n"/>
      <c r="S106" s="13" t="n"/>
      <c r="T106" s="13" t="n"/>
      <c r="U106" s="13" t="n"/>
    </row>
    <row r="107" ht="16.5" customHeight="1" s="760">
      <c r="C107" s="11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N107" s="111" t="n"/>
      <c r="O107" s="13" t="n"/>
      <c r="P107" s="111" t="n"/>
      <c r="Q107" s="111" t="n"/>
      <c r="R107" s="13" t="n"/>
      <c r="S107" s="13" t="n"/>
      <c r="T107" s="7" t="inlineStr">
        <is>
          <t>(단위 : 억원)</t>
        </is>
      </c>
      <c r="U107" s="13" t="n"/>
    </row>
    <row r="108" ht="16.5" customHeight="1" s="760">
      <c r="C108" s="650" t="inlineStr">
        <is>
          <t>구분</t>
        </is>
      </c>
      <c r="D108" s="648" t="n"/>
      <c r="E108" s="648" t="n"/>
      <c r="F108" s="648" t="n"/>
      <c r="G108" s="648" t="n"/>
      <c r="H108" s="649" t="n"/>
      <c r="I108" s="8" t="inlineStr">
        <is>
          <t>미래에셋생명</t>
        </is>
      </c>
      <c r="J108" s="8" t="inlineStr">
        <is>
          <t>삼성생명</t>
        </is>
      </c>
      <c r="K108" s="8" t="inlineStr">
        <is>
          <t>교보생명</t>
        </is>
      </c>
      <c r="L108" s="8" t="inlineStr">
        <is>
          <t>한화생명</t>
        </is>
      </c>
      <c r="M108" s="8" t="inlineStr">
        <is>
          <t>신한라이프</t>
        </is>
      </c>
      <c r="N108" s="8" t="inlineStr">
        <is>
          <t>동양생명</t>
        </is>
      </c>
      <c r="O108" s="9" t="inlineStr">
        <is>
          <t>KB라이프</t>
        </is>
      </c>
      <c r="P108" s="9" t="inlineStr">
        <is>
          <t>삼성화재</t>
        </is>
      </c>
      <c r="Q108" s="9" t="inlineStr">
        <is>
          <t>현대해상</t>
        </is>
      </c>
      <c r="R108" s="9" t="inlineStr">
        <is>
          <t>메리츠화재</t>
        </is>
      </c>
      <c r="S108" s="9" t="inlineStr">
        <is>
          <t>KB손보</t>
        </is>
      </c>
      <c r="T108" s="9" t="inlineStr">
        <is>
          <t>DB손보</t>
        </is>
      </c>
      <c r="U108" s="13" t="n"/>
    </row>
    <row r="109" ht="16.5" customHeight="1" s="760">
      <c r="A109" s="642">
        <f>DATA!AV1</f>
        <v/>
      </c>
      <c r="C109" s="665" t="inlineStr">
        <is>
          <t>보험손익</t>
        </is>
      </c>
      <c r="D109" s="648" t="n"/>
      <c r="E109" s="648" t="n"/>
      <c r="F109" s="648" t="n"/>
      <c r="G109" s="648" t="n"/>
      <c r="H109" s="649" t="n"/>
      <c r="I109" s="811">
        <f>VLOOKUP($I$1&amp;I$8,DATA!$A:$EB,'2312'!$A109,0)/100</f>
        <v/>
      </c>
      <c r="J109" s="811">
        <f>VLOOKUP($I$1&amp;J$8,DATA!$A:$EB,'2312'!$A109,0)/100</f>
        <v/>
      </c>
      <c r="K109" s="811">
        <f>VLOOKUP($I$1&amp;K$8,DATA!$A:$EB,'2312'!$A109,0)/100</f>
        <v/>
      </c>
      <c r="L109" s="811">
        <f>VLOOKUP($I$1&amp;L$8,DATA!$A:$EB,'2312'!$A109,0)/100</f>
        <v/>
      </c>
      <c r="M109" s="811">
        <f>VLOOKUP($I$1&amp;M$8,DATA!$A:$EB,'2312'!$A109,0)/100</f>
        <v/>
      </c>
      <c r="N109" s="811">
        <f>VLOOKUP($I$1&amp;N$8,DATA!$A:$EB,'2312'!$A109,0)/100</f>
        <v/>
      </c>
      <c r="O109" s="812">
        <f>VLOOKUP($I$1&amp;O$8,DATA!$A:$EB,'2312'!$A109,0)/100</f>
        <v/>
      </c>
      <c r="P109" s="812">
        <f>VLOOKUP($I$1&amp;P$8,DATA!$A:$EB,'2312'!$A109,0)/100</f>
        <v/>
      </c>
      <c r="Q109" s="812">
        <f>VLOOKUP($I$1&amp;Q$8,DATA!$A:$EB,'2312'!$A109,0)/100</f>
        <v/>
      </c>
      <c r="R109" s="812">
        <f>VLOOKUP($I$1&amp;R$8,DATA!$A:$EB,'2312'!$A109,0)/100</f>
        <v/>
      </c>
      <c r="S109" s="812">
        <f>VLOOKUP($I$1&amp;S$8,DATA!$A:$EB,'2312'!$A109,0)/100</f>
        <v/>
      </c>
      <c r="T109" s="812">
        <f>VLOOKUP($I$1&amp;T$8,DATA!$A:$EB,'2312'!$A109,0)/100</f>
        <v/>
      </c>
      <c r="U109" s="13" t="n"/>
    </row>
    <row r="110" ht="16.5" customHeight="1" s="760">
      <c r="A110" s="642">
        <f>DATA!DC1</f>
        <v/>
      </c>
      <c r="C110" s="209" t="n"/>
      <c r="D110" s="680" t="inlineStr">
        <is>
          <t>손해율</t>
        </is>
      </c>
      <c r="E110" s="663" t="n"/>
      <c r="F110" s="663" t="n"/>
      <c r="G110" s="663" t="n"/>
      <c r="H110" s="664" t="n"/>
      <c r="I110" s="813">
        <f>VLOOKUP($I$1&amp;I$8,DATA!$A:$EB,'2312'!$A110,0)</f>
        <v/>
      </c>
      <c r="J110" s="813">
        <f>VLOOKUP($I$1&amp;J$8,DATA!$A:$EB,'2312'!$A110,0)</f>
        <v/>
      </c>
      <c r="K110" s="813">
        <f>VLOOKUP($I$1&amp;K$8,DATA!$A:$EB,'2312'!$A110,0)</f>
        <v/>
      </c>
      <c r="L110" s="813">
        <f>VLOOKUP($I$1&amp;L$8,DATA!$A:$EB,'2312'!$A110,0)</f>
        <v/>
      </c>
      <c r="M110" s="813">
        <f>VLOOKUP($I$1&amp;M$8,DATA!$A:$EB,'2312'!$A110,0)</f>
        <v/>
      </c>
      <c r="N110" s="813">
        <f>VLOOKUP($I$1&amp;N$8,DATA!$A:$EB,'2312'!$A110,0)</f>
        <v/>
      </c>
      <c r="O110" s="813">
        <f>VLOOKUP($I$1&amp;O$8,DATA!$A:$EB,'2312'!$A110,0)</f>
        <v/>
      </c>
      <c r="P110" s="813">
        <f>VLOOKUP($I$1&amp;P$8,DATA!$A:$EB,'2312'!$A110,0)</f>
        <v/>
      </c>
      <c r="Q110" s="813">
        <f>VLOOKUP($I$1&amp;Q$8,DATA!$A:$EB,'2312'!$A110,0)</f>
        <v/>
      </c>
      <c r="R110" s="813">
        <f>VLOOKUP($I$1&amp;R$8,DATA!$A:$EB,'2312'!$A110,0)</f>
        <v/>
      </c>
      <c r="S110" s="813">
        <f>VLOOKUP($I$1&amp;S$8,DATA!$A:$EB,'2312'!$A110,0)</f>
        <v/>
      </c>
      <c r="T110" s="813">
        <f>VLOOKUP($I$1&amp;T$8,DATA!$A:$EB,'2312'!$A110,0)</f>
        <v/>
      </c>
      <c r="U110" s="13" t="n"/>
    </row>
    <row r="111" ht="16.5" customHeight="1" s="760">
      <c r="A111" s="642">
        <f>DATA!CZ1</f>
        <v/>
      </c>
      <c r="C111" s="209" t="n"/>
      <c r="D111" s="683" t="inlineStr">
        <is>
          <t>실제보험금/예상보험금</t>
        </is>
      </c>
      <c r="E111" s="673" t="n"/>
      <c r="F111" s="673" t="n"/>
      <c r="G111" s="673" t="n"/>
      <c r="H111" s="674" t="n"/>
      <c r="I111" s="813">
        <f>VLOOKUP($I$1&amp;I$8,DATA!$A:$EB,'2312'!$A111,0)</f>
        <v/>
      </c>
      <c r="J111" s="813">
        <f>VLOOKUP($I$1&amp;J$8,DATA!$A:$EB,'2312'!$A111,0)</f>
        <v/>
      </c>
      <c r="K111" s="813">
        <f>VLOOKUP($I$1&amp;K$8,DATA!$A:$EB,'2312'!$A111,0)</f>
        <v/>
      </c>
      <c r="L111" s="813">
        <f>VLOOKUP($I$1&amp;L$8,DATA!$A:$EB,'2312'!$A111,0)</f>
        <v/>
      </c>
      <c r="M111" s="813">
        <f>VLOOKUP($I$1&amp;M$8,DATA!$A:$EB,'2312'!$A111,0)</f>
        <v/>
      </c>
      <c r="N111" s="813">
        <f>VLOOKUP($I$1&amp;N$8,DATA!$A:$EB,'2312'!$A111,0)</f>
        <v/>
      </c>
      <c r="O111" s="813">
        <f>VLOOKUP($I$1&amp;O$8,DATA!$A:$EB,'2312'!$A111,0)</f>
        <v/>
      </c>
      <c r="P111" s="813">
        <f>VLOOKUP($I$1&amp;P$8,DATA!$A:$EB,'2312'!$A111,0)</f>
        <v/>
      </c>
      <c r="Q111" s="813">
        <f>VLOOKUP($I$1&amp;Q$8,DATA!$A:$EB,'2312'!$A111,0)</f>
        <v/>
      </c>
      <c r="R111" s="813">
        <f>VLOOKUP($I$1&amp;R$8,DATA!$A:$EB,'2312'!$A111,0)</f>
        <v/>
      </c>
      <c r="S111" s="813">
        <f>VLOOKUP($I$1&amp;S$8,DATA!$A:$EB,'2312'!$A111,0)</f>
        <v/>
      </c>
      <c r="T111" s="813">
        <f>VLOOKUP($I$1&amp;T$8,DATA!$A:$EB,'2312'!$A111,0)</f>
        <v/>
      </c>
      <c r="U111" s="13" t="n"/>
    </row>
    <row r="112" ht="16.5" customHeight="1" s="760">
      <c r="C112" s="209" t="n"/>
      <c r="D112" s="684" t="inlineStr">
        <is>
          <t>사업비
예실차</t>
        </is>
      </c>
      <c r="E112" s="663" t="n"/>
      <c r="F112" s="680" t="inlineStr">
        <is>
          <t>예실차율</t>
        </is>
      </c>
      <c r="G112" s="663" t="n"/>
      <c r="H112" s="664" t="n"/>
      <c r="I112" s="813">
        <f>I123/I125</f>
        <v/>
      </c>
      <c r="J112" s="813">
        <f>J123/J125</f>
        <v/>
      </c>
      <c r="K112" s="813">
        <f>K123/K125</f>
        <v/>
      </c>
      <c r="L112" s="813">
        <f>L123/L125</f>
        <v/>
      </c>
      <c r="M112" s="813">
        <f>M123/M125</f>
        <v/>
      </c>
      <c r="N112" s="813">
        <f>N123/N125</f>
        <v/>
      </c>
      <c r="O112" s="813">
        <f>O123/O125</f>
        <v/>
      </c>
      <c r="P112" s="813">
        <f>P123/P125</f>
        <v/>
      </c>
      <c r="Q112" s="813">
        <f>Q123/Q125</f>
        <v/>
      </c>
      <c r="R112" s="813">
        <f>R123/R125</f>
        <v/>
      </c>
      <c r="S112" s="813">
        <f>S123/S125</f>
        <v/>
      </c>
      <c r="T112" s="813">
        <f>T123/T125</f>
        <v/>
      </c>
      <c r="U112" s="13" t="n"/>
    </row>
    <row r="113" ht="16.5" customHeight="1" s="760">
      <c r="C113" s="211" t="n"/>
      <c r="D113" s="685" t="n"/>
      <c r="E113" s="670" t="n"/>
      <c r="F113" s="669" t="inlineStr">
        <is>
          <t>÷ CSM상각액</t>
        </is>
      </c>
      <c r="G113" s="670" t="n"/>
      <c r="H113" s="671" t="n"/>
      <c r="I113" s="814">
        <f>I123/I126</f>
        <v/>
      </c>
      <c r="J113" s="814">
        <f>J123/J126</f>
        <v/>
      </c>
      <c r="K113" s="814">
        <f>K123/K126</f>
        <v/>
      </c>
      <c r="L113" s="814">
        <f>L123/L126</f>
        <v/>
      </c>
      <c r="M113" s="814">
        <f>M123/M126</f>
        <v/>
      </c>
      <c r="N113" s="814">
        <f>N123/N126</f>
        <v/>
      </c>
      <c r="O113" s="814">
        <f>O123/O126</f>
        <v/>
      </c>
      <c r="P113" s="814">
        <f>P123/P126</f>
        <v/>
      </c>
      <c r="Q113" s="814">
        <f>Q123/Q126</f>
        <v/>
      </c>
      <c r="R113" s="814">
        <f>R123/R126</f>
        <v/>
      </c>
      <c r="S113" s="814">
        <f>S123/S126</f>
        <v/>
      </c>
      <c r="T113" s="814">
        <f>T123/T126</f>
        <v/>
      </c>
      <c r="U113" s="13" t="n"/>
    </row>
    <row r="114" ht="16.5" customHeight="1" s="760">
      <c r="A114" s="642">
        <f>DATA!AW1</f>
        <v/>
      </c>
      <c r="C114" s="672" t="inlineStr">
        <is>
          <t>투자손익</t>
        </is>
      </c>
      <c r="D114" s="673" t="n"/>
      <c r="E114" s="673" t="n"/>
      <c r="F114" s="673" t="n"/>
      <c r="G114" s="673" t="n"/>
      <c r="H114" s="674" t="n"/>
      <c r="I114" s="815">
        <f>VLOOKUP($I$1&amp;I$8,DATA!$A:$EB,'2312'!$A114,0)/100</f>
        <v/>
      </c>
      <c r="J114" s="815">
        <f>VLOOKUP($I$1&amp;J$8,DATA!$A:$EB,'2312'!$A114,0)/100</f>
        <v/>
      </c>
      <c r="K114" s="815">
        <f>VLOOKUP($I$1&amp;K$8,DATA!$A:$EB,'2312'!$A114,0)/100</f>
        <v/>
      </c>
      <c r="L114" s="815">
        <f>VLOOKUP($I$1&amp;L$8,DATA!$A:$EB,'2312'!$A114,0)/100</f>
        <v/>
      </c>
      <c r="M114" s="815">
        <f>VLOOKUP($I$1&amp;M$8,DATA!$A:$EB,'2312'!$A114,0)/100</f>
        <v/>
      </c>
      <c r="N114" s="815">
        <f>VLOOKUP($I$1&amp;N$8,DATA!$A:$EB,'2312'!$A114,0)/100</f>
        <v/>
      </c>
      <c r="O114" s="816">
        <f>VLOOKUP($I$1&amp;O$8,DATA!$A:$EB,'2312'!$A114,0)/100</f>
        <v/>
      </c>
      <c r="P114" s="816">
        <f>VLOOKUP($I$1&amp;P$8,DATA!$A:$EB,'2312'!$A114,0)/100</f>
        <v/>
      </c>
      <c r="Q114" s="816">
        <f>VLOOKUP($I$1&amp;Q$8,DATA!$A:$EB,'2312'!$A114,0)/100</f>
        <v/>
      </c>
      <c r="R114" s="816">
        <f>VLOOKUP($I$1&amp;R$8,DATA!$A:$EB,'2312'!$A114,0)/100</f>
        <v/>
      </c>
      <c r="S114" s="816">
        <f>VLOOKUP($I$1&amp;S$8,DATA!$A:$EB,'2312'!$A114,0)/100</f>
        <v/>
      </c>
      <c r="T114" s="816">
        <f>VLOOKUP($I$1&amp;T$8,DATA!$A:$EB,'2312'!$A114,0)/100</f>
        <v/>
      </c>
      <c r="U114" s="13" t="n"/>
    </row>
    <row r="115" ht="16.5" customHeight="1" s="760">
      <c r="C115" s="672" t="inlineStr">
        <is>
          <t>영업이익</t>
        </is>
      </c>
      <c r="D115" s="673" t="n"/>
      <c r="E115" s="673" t="n"/>
      <c r="F115" s="673" t="n"/>
      <c r="G115" s="673" t="n"/>
      <c r="H115" s="674" t="n"/>
      <c r="I115" s="817">
        <f>I109+I114</f>
        <v/>
      </c>
      <c r="J115" s="817">
        <f>J109+J114</f>
        <v/>
      </c>
      <c r="K115" s="817">
        <f>K109+K114</f>
        <v/>
      </c>
      <c r="L115" s="817">
        <f>L109+L114</f>
        <v/>
      </c>
      <c r="M115" s="817">
        <f>M109+M114</f>
        <v/>
      </c>
      <c r="N115" s="817">
        <f>N109+N114</f>
        <v/>
      </c>
      <c r="O115" s="818">
        <f>O109+O114</f>
        <v/>
      </c>
      <c r="P115" s="818">
        <f>P109+P114</f>
        <v/>
      </c>
      <c r="Q115" s="818">
        <f>Q109+Q114</f>
        <v/>
      </c>
      <c r="R115" s="818">
        <f>R109+R114</f>
        <v/>
      </c>
      <c r="S115" s="818">
        <f>S109+S114</f>
        <v/>
      </c>
      <c r="T115" s="818">
        <f>T109+T114</f>
        <v/>
      </c>
      <c r="U115" s="13" t="n"/>
    </row>
    <row r="116" ht="16.5" customHeight="1" s="760">
      <c r="A116" s="642">
        <f>DATA!AX1</f>
        <v/>
      </c>
      <c r="C116" s="667" t="inlineStr">
        <is>
          <t>영업외손익</t>
        </is>
      </c>
      <c r="D116" s="659" t="n"/>
      <c r="E116" s="659" t="n"/>
      <c r="F116" s="659" t="n"/>
      <c r="G116" s="659" t="n"/>
      <c r="H116" s="660" t="n"/>
      <c r="I116" s="815">
        <f>VLOOKUP($I$1&amp;I$8,DATA!$A:$EB,'2312'!$A116,0)/100</f>
        <v/>
      </c>
      <c r="J116" s="815">
        <f>VLOOKUP($I$1&amp;J$8,DATA!$A:$EB,'2312'!$A116,0)/100</f>
        <v/>
      </c>
      <c r="K116" s="815">
        <f>VLOOKUP($I$1&amp;K$8,DATA!$A:$EB,'2312'!$A116,0)/100</f>
        <v/>
      </c>
      <c r="L116" s="815">
        <f>VLOOKUP($I$1&amp;L$8,DATA!$A:$EB,'2312'!$A116,0)/100</f>
        <v/>
      </c>
      <c r="M116" s="815">
        <f>VLOOKUP($I$1&amp;M$8,DATA!$A:$EB,'2312'!$A116,0)/100</f>
        <v/>
      </c>
      <c r="N116" s="815">
        <f>VLOOKUP($I$1&amp;N$8,DATA!$A:$EB,'2312'!$A116,0)/100</f>
        <v/>
      </c>
      <c r="O116" s="816">
        <f>VLOOKUP($I$1&amp;O$8,DATA!$A:$EB,'2312'!$A116,0)/100</f>
        <v/>
      </c>
      <c r="P116" s="816">
        <f>VLOOKUP($I$1&amp;P$8,DATA!$A:$EB,'2312'!$A116,0)/100</f>
        <v/>
      </c>
      <c r="Q116" s="816">
        <f>VLOOKUP($I$1&amp;Q$8,DATA!$A:$EB,'2312'!$A116,0)/100</f>
        <v/>
      </c>
      <c r="R116" s="816">
        <f>VLOOKUP($I$1&amp;R$8,DATA!$A:$EB,'2312'!$A116,0)/100</f>
        <v/>
      </c>
      <c r="S116" s="816">
        <f>VLOOKUP($I$1&amp;S$8,DATA!$A:$EB,'2312'!$A116,0)/100</f>
        <v/>
      </c>
      <c r="T116" s="816">
        <f>VLOOKUP($I$1&amp;T$8,DATA!$A:$EB,'2312'!$A116,0)/100</f>
        <v/>
      </c>
      <c r="U116" s="13" t="n"/>
    </row>
    <row r="117" ht="16.5" customHeight="1" s="760">
      <c r="A117" s="642">
        <f>DATA!AY1</f>
        <v/>
      </c>
      <c r="C117" s="647" t="inlineStr">
        <is>
          <t>세전이익</t>
        </is>
      </c>
      <c r="D117" s="648" t="n"/>
      <c r="E117" s="648" t="n"/>
      <c r="F117" s="648" t="n"/>
      <c r="G117" s="648" t="n"/>
      <c r="H117" s="649" t="n"/>
      <c r="I117" s="819">
        <f>VLOOKUP($I$1&amp;I$8,DATA!$A:$EB,'2312'!$A117,0)/100</f>
        <v/>
      </c>
      <c r="J117" s="819">
        <f>VLOOKUP($I$1&amp;J$8,DATA!$A:$EB,'2312'!$A117,0)/100</f>
        <v/>
      </c>
      <c r="K117" s="819">
        <f>VLOOKUP($I$1&amp;K$8,DATA!$A:$EB,'2312'!$A117,0)/100</f>
        <v/>
      </c>
      <c r="L117" s="819">
        <f>VLOOKUP($I$1&amp;L$8,DATA!$A:$EB,'2312'!$A117,0)/100</f>
        <v/>
      </c>
      <c r="M117" s="819">
        <f>VLOOKUP($I$1&amp;M$8,DATA!$A:$EB,'2312'!$A117,0)/100</f>
        <v/>
      </c>
      <c r="N117" s="819">
        <f>VLOOKUP($I$1&amp;N$8,DATA!$A:$EB,'2312'!$A117,0)/100</f>
        <v/>
      </c>
      <c r="O117" s="819">
        <f>VLOOKUP($I$1&amp;O$8,DATA!$A:$EB,'2312'!$A117,0)/100</f>
        <v/>
      </c>
      <c r="P117" s="819">
        <f>VLOOKUP($I$1&amp;P$8,DATA!$A:$EB,'2312'!$A117,0)/100</f>
        <v/>
      </c>
      <c r="Q117" s="819">
        <f>VLOOKUP($I$1&amp;Q$8,DATA!$A:$EB,'2312'!$A117,0)/100</f>
        <v/>
      </c>
      <c r="R117" s="819">
        <f>VLOOKUP($I$1&amp;R$8,DATA!$A:$EB,'2312'!$A117,0)/100</f>
        <v/>
      </c>
      <c r="S117" s="819">
        <f>VLOOKUP($I$1&amp;S$8,DATA!$A:$EB,'2312'!$A117,0)/100</f>
        <v/>
      </c>
      <c r="T117" s="819">
        <f>VLOOKUP($I$1&amp;T$8,DATA!$A:$EB,'2312'!$A117,0)/100</f>
        <v/>
      </c>
      <c r="U117" s="13" t="n"/>
    </row>
    <row r="118" ht="16.5" customHeight="1" s="760">
      <c r="A118" s="642">
        <f>DATA!AR1</f>
        <v/>
      </c>
      <c r="C118" s="644" t="inlineStr">
        <is>
          <t>당기순이익</t>
        </is>
      </c>
      <c r="D118" s="645" t="n"/>
      <c r="E118" s="645" t="n"/>
      <c r="F118" s="645" t="n"/>
      <c r="G118" s="645" t="n"/>
      <c r="H118" s="646" t="n"/>
      <c r="I118" s="820">
        <f>VLOOKUP($I$1&amp;I$8,DATA!$A:$EB,'2312'!$A118,0)/100</f>
        <v/>
      </c>
      <c r="J118" s="820">
        <f>VLOOKUP($I$1&amp;J$8,DATA!$A:$EB,'2312'!$A118,0)/100</f>
        <v/>
      </c>
      <c r="K118" s="820">
        <f>VLOOKUP($I$1&amp;K$8,DATA!$A:$EB,'2312'!$A118,0)/100</f>
        <v/>
      </c>
      <c r="L118" s="820">
        <f>VLOOKUP($I$1&amp;L$8,DATA!$A:$EB,'2312'!$A118,0)/100</f>
        <v/>
      </c>
      <c r="M118" s="820">
        <f>VLOOKUP($I$1&amp;M$8,DATA!$A:$EB,'2312'!$A118,0)/100</f>
        <v/>
      </c>
      <c r="N118" s="820">
        <f>VLOOKUP($I$1&amp;N$8,DATA!$A:$EB,'2312'!$A118,0)/100</f>
        <v/>
      </c>
      <c r="O118" s="820">
        <f>VLOOKUP($I$1&amp;O$8,DATA!$A:$EB,'2312'!$A118,0)/100</f>
        <v/>
      </c>
      <c r="P118" s="820">
        <f>VLOOKUP($I$1&amp;P$8,DATA!$A:$EB,'2312'!$A118,0)/100</f>
        <v/>
      </c>
      <c r="Q118" s="820">
        <f>VLOOKUP($I$1&amp;Q$8,DATA!$A:$EB,'2312'!$A118,0)/100</f>
        <v/>
      </c>
      <c r="R118" s="820">
        <f>VLOOKUP($I$1&amp;R$8,DATA!$A:$EB,'2312'!$A118,0)/100</f>
        <v/>
      </c>
      <c r="S118" s="820">
        <f>VLOOKUP($I$1&amp;S$8,DATA!$A:$EB,'2312'!$A118,0)/100</f>
        <v/>
      </c>
      <c r="T118" s="820">
        <f>VLOOKUP($I$1&amp;T$8,DATA!$A:$EB,'2312'!$A118,0)/100</f>
        <v/>
      </c>
      <c r="U118" s="13" t="n"/>
    </row>
    <row r="119" ht="16.5" customHeight="1" s="760">
      <c r="C119" s="10" t="inlineStr">
        <is>
          <t>* 예실차율(P/L 기준) = (예상-실제) / 예상,  P/L기준, 보험료배분접근법 적용 제외</t>
        </is>
      </c>
      <c r="D119" s="209" t="n"/>
      <c r="E119" s="809" t="n"/>
      <c r="F119" s="809" t="n"/>
      <c r="G119" s="809" t="n"/>
      <c r="H119" s="809" t="n"/>
      <c r="I119" s="809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C120" s="12" t="n"/>
      <c r="D120" s="209" t="n"/>
      <c r="E120" s="809" t="n"/>
      <c r="F120" s="809" t="n"/>
      <c r="G120" s="809" t="n"/>
      <c r="H120" s="809" t="n"/>
      <c r="I120" s="809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</row>
    <row r="121" ht="16.5" customHeight="1" s="760">
      <c r="C121" s="111" t="n"/>
      <c r="D121" s="209" t="n"/>
      <c r="E121" s="809" t="n"/>
      <c r="F121" s="809" t="n"/>
      <c r="G121" s="809" t="n"/>
      <c r="H121" s="809" t="n"/>
      <c r="I121" s="809" t="n"/>
      <c r="J121" s="809" t="n"/>
      <c r="K121" s="809" t="n"/>
      <c r="L121" s="809" t="n"/>
      <c r="M121" s="809" t="n"/>
      <c r="N121" s="809" t="n"/>
      <c r="O121" s="809" t="n"/>
      <c r="P121" s="809" t="n"/>
      <c r="Q121" s="809" t="n"/>
      <c r="R121" s="809" t="n"/>
      <c r="S121" s="809" t="n"/>
      <c r="T121" s="809" t="n"/>
      <c r="U121" s="13" t="n"/>
    </row>
    <row r="122" ht="16.5" customHeight="1" s="760">
      <c r="C122" s="111" t="inlineStr">
        <is>
          <t>* 예실차율</t>
        </is>
      </c>
      <c r="D122" s="209" t="n"/>
      <c r="E122" s="809" t="n"/>
      <c r="F122" s="809" t="n"/>
      <c r="G122" s="809" t="n"/>
      <c r="H122" s="809" t="n"/>
      <c r="I122" s="809" t="n"/>
      <c r="J122" s="809" t="n"/>
      <c r="K122" s="809" t="n"/>
      <c r="L122" s="809" t="n"/>
      <c r="M122" s="809" t="n"/>
      <c r="N122" s="809" t="n"/>
      <c r="O122" s="809" t="n"/>
      <c r="P122" s="809" t="n"/>
      <c r="Q122" s="809" t="n"/>
      <c r="R122" s="809" t="n"/>
      <c r="S122" s="809" t="n"/>
      <c r="T122" s="809" t="n"/>
      <c r="U122" s="13" t="n"/>
    </row>
    <row r="123" ht="16.5" customHeight="1" s="760">
      <c r="A123" s="642">
        <f>DATA!DK1</f>
        <v/>
      </c>
      <c r="C123" s="111" t="n"/>
      <c r="D123" s="209" t="n"/>
      <c r="E123" s="642" t="inlineStr">
        <is>
          <t>사업비예실차</t>
        </is>
      </c>
      <c r="I123" s="786">
        <f>VLOOKUP($I$1&amp;I$8,DATA!$A:$EB,'2312'!$A123,0)/100</f>
        <v/>
      </c>
      <c r="J123" s="786">
        <f>VLOOKUP($I$1&amp;J$8,DATA!$A:$EB,'2312'!$A123,0)/100</f>
        <v/>
      </c>
      <c r="K123" s="787">
        <f>VLOOKUP($I$1&amp;K$8,DATA!$A:$EB,'2312'!$A123,0)/100</f>
        <v/>
      </c>
      <c r="L123" s="787">
        <f>VLOOKUP($I$1&amp;L$8,DATA!$A:$EB,'2312'!$A123,0)/100</f>
        <v/>
      </c>
      <c r="M123" s="787">
        <f>VLOOKUP($I$1&amp;M$8,DATA!$A:$EB,'2312'!$A123,0)/100</f>
        <v/>
      </c>
      <c r="N123" s="787">
        <f>VLOOKUP($I$1&amp;N$8,DATA!$A:$EB,'2312'!$A123,0)/100</f>
        <v/>
      </c>
      <c r="O123" s="787">
        <f>VLOOKUP($I$1&amp;O$8,DATA!$A:$EB,'2312'!$A123,0)/100</f>
        <v/>
      </c>
      <c r="P123" s="787">
        <f>VLOOKUP($I$1&amp;P$8,DATA!$A:$EB,'2312'!$A123,0)/100</f>
        <v/>
      </c>
      <c r="Q123" s="787">
        <f>VLOOKUP($I$1&amp;Q$8,DATA!$A:$EB,'2312'!$A123,0)/100</f>
        <v/>
      </c>
      <c r="R123" s="787">
        <f>VLOOKUP($I$1&amp;R$8,DATA!$A:$EB,'2312'!$A123,0)/100</f>
        <v/>
      </c>
      <c r="S123" s="787">
        <f>VLOOKUP($I$1&amp;S$8,DATA!$A:$EB,'2312'!$A123,0)/100</f>
        <v/>
      </c>
      <c r="T123" s="787">
        <f>VLOOKUP($I$1&amp;T$8,DATA!$A:$EB,'2312'!$A123,0)/100</f>
        <v/>
      </c>
      <c r="U123" s="13" t="n"/>
    </row>
    <row r="124" ht="16.5" customHeight="1" s="760">
      <c r="A124" s="642">
        <f>DATA!DI1</f>
        <v/>
      </c>
      <c r="C124" s="111" t="n"/>
      <c r="D124" s="209" t="n"/>
      <c r="E124" s="642" t="inlineStr">
        <is>
          <t>예상보험금</t>
        </is>
      </c>
      <c r="I124" s="786">
        <f>VLOOKUP($I$1&amp;I$8,DATA!$A:$EB,'2312'!$A124,0)/100</f>
        <v/>
      </c>
      <c r="J124" s="786">
        <f>VLOOKUP($I$1&amp;J$8,DATA!$A:$EB,'2312'!$A124,0)/100</f>
        <v/>
      </c>
      <c r="K124" s="787">
        <f>VLOOKUP($I$1&amp;K$8,DATA!$A:$EB,'2312'!$A124,0)/100</f>
        <v/>
      </c>
      <c r="L124" s="787">
        <f>VLOOKUP($I$1&amp;L$8,DATA!$A:$EB,'2312'!$A124,0)/100</f>
        <v/>
      </c>
      <c r="M124" s="787">
        <f>VLOOKUP($I$1&amp;M$8,DATA!$A:$EB,'2312'!$A124,0)/100</f>
        <v/>
      </c>
      <c r="N124" s="787">
        <f>VLOOKUP($I$1&amp;N$8,DATA!$A:$EB,'2312'!$A124,0)/100</f>
        <v/>
      </c>
      <c r="O124" s="787">
        <f>VLOOKUP($I$1&amp;O$8,DATA!$A:$EB,'2312'!$A124,0)/100</f>
        <v/>
      </c>
      <c r="P124" s="787">
        <f>VLOOKUP($I$1&amp;P$8,DATA!$A:$EB,'2312'!$A124,0)/100</f>
        <v/>
      </c>
      <c r="Q124" s="787">
        <f>VLOOKUP($I$1&amp;Q$8,DATA!$A:$EB,'2312'!$A124,0)/100</f>
        <v/>
      </c>
      <c r="R124" s="787">
        <f>VLOOKUP($I$1&amp;R$8,DATA!$A:$EB,'2312'!$A124,0)/100</f>
        <v/>
      </c>
      <c r="S124" s="787">
        <f>VLOOKUP($I$1&amp;S$8,DATA!$A:$EB,'2312'!$A124,0)/100</f>
        <v/>
      </c>
      <c r="T124" s="787">
        <f>VLOOKUP($I$1&amp;T$8,DATA!$A:$EB,'2312'!$A124,0)/100</f>
        <v/>
      </c>
      <c r="U124" s="13" t="n"/>
    </row>
    <row r="125" ht="16.5" customHeight="1" s="760">
      <c r="A125" s="642">
        <f>DATA!DL1</f>
        <v/>
      </c>
      <c r="C125" s="111" t="n"/>
      <c r="D125" s="209" t="n"/>
      <c r="E125" s="642" t="inlineStr">
        <is>
          <t>예상사업비</t>
        </is>
      </c>
      <c r="I125" s="786">
        <f>VLOOKUP($I$1&amp;I$8,DATA!$A:$EB,'2312'!$A125,0)/100</f>
        <v/>
      </c>
      <c r="J125" s="786">
        <f>VLOOKUP($I$1&amp;J$8,DATA!$A:$EB,'2312'!$A125,0)/100</f>
        <v/>
      </c>
      <c r="K125" s="787">
        <f>VLOOKUP($I$1&amp;K$8,DATA!$A:$EB,'2312'!$A125,0)/100</f>
        <v/>
      </c>
      <c r="L125" s="787">
        <f>VLOOKUP($I$1&amp;L$8,DATA!$A:$EB,'2312'!$A125,0)/100</f>
        <v/>
      </c>
      <c r="M125" s="787">
        <f>VLOOKUP($I$1&amp;M$8,DATA!$A:$EB,'2312'!$A125,0)/100</f>
        <v/>
      </c>
      <c r="N125" s="787">
        <f>VLOOKUP($I$1&amp;N$8,DATA!$A:$EB,'2312'!$A125,0)/100</f>
        <v/>
      </c>
      <c r="O125" s="787">
        <f>VLOOKUP($I$1&amp;O$8,DATA!$A:$EB,'2312'!$A125,0)/100</f>
        <v/>
      </c>
      <c r="P125" s="787">
        <f>VLOOKUP($I$1&amp;P$8,DATA!$A:$EB,'2312'!$A125,0)/100</f>
        <v/>
      </c>
      <c r="Q125" s="787">
        <f>VLOOKUP($I$1&amp;Q$8,DATA!$A:$EB,'2312'!$A125,0)/100</f>
        <v/>
      </c>
      <c r="R125" s="787">
        <f>VLOOKUP($I$1&amp;R$8,DATA!$A:$EB,'2312'!$A125,0)/100</f>
        <v/>
      </c>
      <c r="S125" s="787">
        <f>VLOOKUP($I$1&amp;S$8,DATA!$A:$EB,'2312'!$A125,0)/100</f>
        <v/>
      </c>
      <c r="T125" s="787">
        <f>VLOOKUP($I$1&amp;T$8,DATA!$A:$EB,'2312'!$A125,0)/100</f>
        <v/>
      </c>
      <c r="U125" s="13" t="n"/>
    </row>
    <row r="126" ht="16.5" customHeight="1" s="760">
      <c r="A126" s="642">
        <f>DATA!BY1</f>
        <v/>
      </c>
      <c r="C126" s="111" t="n"/>
      <c r="D126" s="209" t="n"/>
      <c r="E126" s="809" t="inlineStr">
        <is>
          <t>CSM상각액</t>
        </is>
      </c>
      <c r="F126" s="809" t="n"/>
      <c r="G126" s="809" t="n"/>
      <c r="H126" s="809" t="n"/>
      <c r="I126" s="786">
        <f>VLOOKUP($I$1&amp;I$8,DATA!$A:$EB,'2312'!$A126,0)/100</f>
        <v/>
      </c>
      <c r="J126" s="786">
        <f>VLOOKUP($I$1&amp;J$8,DATA!$A:$EB,'2312'!$A126,0)/100</f>
        <v/>
      </c>
      <c r="K126" s="787">
        <f>VLOOKUP($I$1&amp;K$8,DATA!$A:$EB,'2312'!$A126,0)/100</f>
        <v/>
      </c>
      <c r="L126" s="787">
        <f>VLOOKUP($I$1&amp;L$8,DATA!$A:$EB,'2312'!$A126,0)/100</f>
        <v/>
      </c>
      <c r="M126" s="787">
        <f>VLOOKUP($I$1&amp;M$8,DATA!$A:$EB,'2312'!$A126,0)/100</f>
        <v/>
      </c>
      <c r="N126" s="787">
        <f>VLOOKUP($I$1&amp;N$8,DATA!$A:$EB,'2312'!$A126,0)/100</f>
        <v/>
      </c>
      <c r="O126" s="787">
        <f>VLOOKUP($I$1&amp;O$8,DATA!$A:$EB,'2312'!$A126,0)/100</f>
        <v/>
      </c>
      <c r="P126" s="787">
        <f>VLOOKUP($I$1&amp;P$8,DATA!$A:$EB,'2312'!$A126,0)/100</f>
        <v/>
      </c>
      <c r="Q126" s="787">
        <f>VLOOKUP($I$1&amp;Q$8,DATA!$A:$EB,'2312'!$A126,0)/100</f>
        <v/>
      </c>
      <c r="R126" s="787">
        <f>VLOOKUP($I$1&amp;R$8,DATA!$A:$EB,'2312'!$A126,0)/100</f>
        <v/>
      </c>
      <c r="S126" s="787">
        <f>VLOOKUP($I$1&amp;S$8,DATA!$A:$EB,'2312'!$A126,0)/100</f>
        <v/>
      </c>
      <c r="T126" s="787">
        <f>VLOOKUP($I$1&amp;T$8,DATA!$A:$EB,'2312'!$A126,0)/100</f>
        <v/>
      </c>
      <c r="U126" s="13" t="n"/>
    </row>
    <row r="127" ht="16.5" customHeight="1" s="760">
      <c r="A127" s="642">
        <f>DATA!DG1</f>
        <v/>
      </c>
      <c r="C127" s="111" t="n"/>
      <c r="D127" s="209" t="n"/>
      <c r="E127" s="809" t="inlineStr">
        <is>
          <t>예실차</t>
        </is>
      </c>
      <c r="F127" s="809" t="n"/>
      <c r="G127" s="809" t="n"/>
      <c r="H127" s="809" t="n"/>
      <c r="I127" s="786">
        <f>VLOOKUP($I$1&amp;I$8,DATA!$A:$EB,'2312'!$A127,0)/100</f>
        <v/>
      </c>
      <c r="J127" s="786">
        <f>VLOOKUP($I$1&amp;J$8,DATA!$A:$EB,'2312'!$A127,0)/100</f>
        <v/>
      </c>
      <c r="K127" s="787">
        <f>VLOOKUP($I$1&amp;K$8,DATA!$A:$EB,'2312'!$A127,0)/100</f>
        <v/>
      </c>
      <c r="L127" s="787">
        <f>VLOOKUP($I$1&amp;L$8,DATA!$A:$EB,'2312'!$A127,0)/100</f>
        <v/>
      </c>
      <c r="M127" s="787">
        <f>VLOOKUP($I$1&amp;M$8,DATA!$A:$EB,'2312'!$A127,0)/100</f>
        <v/>
      </c>
      <c r="N127" s="787">
        <f>VLOOKUP($I$1&amp;N$8,DATA!$A:$EB,'2312'!$A127,0)/100</f>
        <v/>
      </c>
      <c r="O127" s="787">
        <f>VLOOKUP($I$1&amp;O$8,DATA!$A:$EB,'2312'!$A127,0)/100</f>
        <v/>
      </c>
      <c r="P127" s="787">
        <f>VLOOKUP($I$1&amp;P$8,DATA!$A:$EB,'2312'!$A127,0)/100</f>
        <v/>
      </c>
      <c r="Q127" s="787">
        <f>VLOOKUP($I$1&amp;Q$8,DATA!$A:$EB,'2312'!$A127,0)/100</f>
        <v/>
      </c>
      <c r="R127" s="787">
        <f>VLOOKUP($I$1&amp;R$8,DATA!$A:$EB,'2312'!$A127,0)/100</f>
        <v/>
      </c>
      <c r="S127" s="787">
        <f>VLOOKUP($I$1&amp;S$8,DATA!$A:$EB,'2312'!$A127,0)/100</f>
        <v/>
      </c>
      <c r="T127" s="787">
        <f>VLOOKUP($I$1&amp;T$8,DATA!$A:$EB,'2312'!$A127,0)/100</f>
        <v/>
      </c>
      <c r="U127" s="13" t="n"/>
    </row>
    <row r="128" ht="16.5" customHeight="1" s="760">
      <c r="C128" s="111" t="n"/>
      <c r="D128" s="209" t="n"/>
      <c r="E128" s="809" t="n"/>
      <c r="F128" s="809" t="n"/>
      <c r="G128" s="809" t="n"/>
      <c r="H128" s="809" t="n"/>
      <c r="I128" s="809" t="n"/>
      <c r="J128" s="809" t="n"/>
      <c r="K128" s="809" t="n"/>
      <c r="L128" s="809" t="n"/>
      <c r="M128" s="809" t="n"/>
      <c r="N128" s="809" t="n"/>
      <c r="O128" s="809" t="n"/>
      <c r="P128" s="809" t="n"/>
      <c r="Q128" s="809" t="n"/>
      <c r="R128" s="809" t="n"/>
      <c r="S128" s="809" t="n"/>
      <c r="T128" s="809" t="n"/>
      <c r="U128" s="13" t="n"/>
    </row>
    <row r="129" ht="16.5" customHeight="1" s="760">
      <c r="C129" s="111" t="n"/>
      <c r="D129" s="209" t="n"/>
      <c r="E129" s="809" t="n"/>
      <c r="F129" s="809" t="n"/>
      <c r="G129" s="809" t="n"/>
      <c r="H129" s="809" t="n"/>
      <c r="I129" s="809" t="n"/>
      <c r="J129" s="809" t="n"/>
      <c r="K129" s="809" t="n"/>
      <c r="L129" s="809" t="n"/>
      <c r="M129" s="809" t="n"/>
      <c r="N129" s="809" t="n"/>
      <c r="O129" s="809" t="n"/>
      <c r="P129" s="809" t="n"/>
      <c r="Q129" s="809" t="n"/>
      <c r="R129" s="809" t="n"/>
      <c r="S129" s="809" t="n"/>
      <c r="T129" s="809" t="n"/>
      <c r="U129" s="13" t="n"/>
    </row>
    <row r="130" ht="16.5" customHeight="1" s="760">
      <c r="C130" s="6" t="inlineStr">
        <is>
          <t>3-1. CSM 현황</t>
        </is>
      </c>
      <c r="D130" s="209" t="n"/>
      <c r="E130" s="809" t="n"/>
      <c r="F130" s="809" t="n"/>
      <c r="G130" s="809" t="n"/>
      <c r="H130" s="809" t="n"/>
      <c r="I130" s="809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</row>
    <row r="131" ht="16.5" customHeight="1" s="760">
      <c r="C131" s="111" t="n"/>
      <c r="D131" s="111" t="n"/>
      <c r="E131" s="111" t="n"/>
      <c r="F131" s="111" t="n"/>
      <c r="G131" s="111" t="n"/>
      <c r="H131" s="111" t="n"/>
      <c r="I131" s="111" t="n"/>
      <c r="J131" s="111" t="n"/>
      <c r="K131" s="111" t="n"/>
      <c r="L131" s="111" t="n"/>
      <c r="M131" s="111" t="n"/>
      <c r="N131" s="111" t="n"/>
      <c r="O131" s="13" t="n"/>
      <c r="P131" s="111" t="n"/>
      <c r="Q131" s="111" t="n"/>
      <c r="R131" s="13" t="n"/>
      <c r="S131" s="13" t="n"/>
      <c r="T131" s="7" t="inlineStr">
        <is>
          <t>(단위 : 억원)</t>
        </is>
      </c>
      <c r="U131" s="13" t="n"/>
    </row>
    <row r="132" ht="16.5" customHeight="1" s="760">
      <c r="C132" s="650" t="inlineStr">
        <is>
          <t>구분</t>
        </is>
      </c>
      <c r="D132" s="648" t="n"/>
      <c r="E132" s="648" t="n"/>
      <c r="F132" s="648" t="n"/>
      <c r="G132" s="648" t="n"/>
      <c r="H132" s="649" t="n"/>
      <c r="I132" s="11" t="inlineStr">
        <is>
          <t>미래에셋생명</t>
        </is>
      </c>
      <c r="J132" s="8" t="inlineStr">
        <is>
          <t>삼성생명</t>
        </is>
      </c>
      <c r="K132" s="8" t="inlineStr">
        <is>
          <t>교보생명</t>
        </is>
      </c>
      <c r="L132" s="8" t="inlineStr">
        <is>
          <t>한화생명</t>
        </is>
      </c>
      <c r="M132" s="8" t="inlineStr">
        <is>
          <t>신한라이프</t>
        </is>
      </c>
      <c r="N132" s="8" t="inlineStr">
        <is>
          <t>동양생명</t>
        </is>
      </c>
      <c r="O132" s="9" t="inlineStr">
        <is>
          <t>KB라이프</t>
        </is>
      </c>
      <c r="P132" s="9" t="inlineStr">
        <is>
          <t>삼성화재</t>
        </is>
      </c>
      <c r="Q132" s="9" t="inlineStr">
        <is>
          <t>현대해상</t>
        </is>
      </c>
      <c r="R132" s="9" t="inlineStr">
        <is>
          <t>메리츠화재</t>
        </is>
      </c>
      <c r="S132" s="9" t="inlineStr">
        <is>
          <t>KB손보</t>
        </is>
      </c>
      <c r="T132" s="9" t="inlineStr">
        <is>
          <t>DB손보</t>
        </is>
      </c>
      <c r="U132" s="13" t="n"/>
    </row>
    <row r="133" ht="16.5" customHeight="1" s="760">
      <c r="A133" s="642">
        <f>DATA!BW1</f>
        <v/>
      </c>
      <c r="C133" s="647" t="inlineStr">
        <is>
          <t>CSM</t>
        </is>
      </c>
      <c r="D133" s="648" t="n"/>
      <c r="E133" s="648" t="n"/>
      <c r="F133" s="648" t="n"/>
      <c r="G133" s="648" t="n"/>
      <c r="H133" s="649" t="n"/>
      <c r="I133" s="819">
        <f>VLOOKUP($I$1&amp;I$8,DATA!$A:$EB,'2312'!$A133,0)/100</f>
        <v/>
      </c>
      <c r="J133" s="821">
        <f>VLOOKUP($I$1&amp;J$8,DATA!$A:$EB,'2312'!$A133,0)/100</f>
        <v/>
      </c>
      <c r="K133" s="821">
        <f>VLOOKUP($I$1&amp;K$8,DATA!$A:$EB,'2312'!$A133,0)/100</f>
        <v/>
      </c>
      <c r="L133" s="821">
        <f>VLOOKUP($I$1&amp;L$8,DATA!$A:$EB,'2312'!$A133,0)/100</f>
        <v/>
      </c>
      <c r="M133" s="821">
        <f>VLOOKUP($I$1&amp;M$8,DATA!$A:$EB,'2312'!$A133,0)/100</f>
        <v/>
      </c>
      <c r="N133" s="821">
        <f>VLOOKUP($I$1&amp;N$8,DATA!$A:$EB,'2312'!$A133,0)/100</f>
        <v/>
      </c>
      <c r="O133" s="819">
        <f>VLOOKUP($I$1&amp;O$8,DATA!$A:$EB,'2312'!$A133,0)/100</f>
        <v/>
      </c>
      <c r="P133" s="819">
        <f>VLOOKUP($I$1&amp;P$8,DATA!$A:$EB,'2312'!$A133,0)/100</f>
        <v/>
      </c>
      <c r="Q133" s="819">
        <f>VLOOKUP($I$1&amp;Q$8,DATA!$A:$EB,'2312'!$A133,0)/100</f>
        <v/>
      </c>
      <c r="R133" s="819">
        <f>VLOOKUP($I$1&amp;R$8,DATA!$A:$EB,'2312'!$A133,0)/100</f>
        <v/>
      </c>
      <c r="S133" s="819">
        <f>VLOOKUP($I$1&amp;S$8,DATA!$A:$EB,'2312'!$A133,0)/100</f>
        <v/>
      </c>
      <c r="T133" s="819">
        <f>VLOOKUP($I$1&amp;T$8,DATA!$A:$EB,'2312'!$A133,0)/100</f>
        <v/>
      </c>
      <c r="U133" s="13" t="n"/>
    </row>
    <row r="134" ht="16.5" customHeight="1" s="760">
      <c r="C134" s="666" t="inlineStr">
        <is>
          <t>전기말 대비</t>
        </is>
      </c>
      <c r="H134" s="643" t="n"/>
      <c r="I134" s="822">
        <f>+I133-I147</f>
        <v/>
      </c>
      <c r="J134" s="823">
        <f>+J133-J147</f>
        <v/>
      </c>
      <c r="K134" s="823">
        <f>+K133-K147</f>
        <v/>
      </c>
      <c r="L134" s="823">
        <f>+L133-L147</f>
        <v/>
      </c>
      <c r="M134" s="823">
        <f>+M133-M147</f>
        <v/>
      </c>
      <c r="N134" s="823">
        <f>+N133-N147</f>
        <v/>
      </c>
      <c r="O134" s="822">
        <f>+O133-O147</f>
        <v/>
      </c>
      <c r="P134" s="822">
        <f>+P133-P147</f>
        <v/>
      </c>
      <c r="Q134" s="822">
        <f>+Q133-Q147</f>
        <v/>
      </c>
      <c r="R134" s="822">
        <f>+R133-R147</f>
        <v/>
      </c>
      <c r="S134" s="822">
        <f>+S133-S147</f>
        <v/>
      </c>
      <c r="T134" s="822">
        <f>+T133-T147</f>
        <v/>
      </c>
      <c r="U134" s="13" t="n"/>
    </row>
    <row r="135" ht="16.5" customHeight="1" s="760">
      <c r="C135" s="676" t="inlineStr">
        <is>
          <t>(증가율)</t>
        </is>
      </c>
      <c r="D135" s="670" t="n"/>
      <c r="E135" s="670" t="n"/>
      <c r="F135" s="670" t="n"/>
      <c r="G135" s="670" t="n"/>
      <c r="H135" s="671" t="n"/>
      <c r="I135" s="824">
        <f>I134/(I133-I134)</f>
        <v/>
      </c>
      <c r="J135" s="825">
        <f>J134/(J133-J134)</f>
        <v/>
      </c>
      <c r="K135" s="825">
        <f>K134/(K133-K134)</f>
        <v/>
      </c>
      <c r="L135" s="825">
        <f>L134/(L133-L134)</f>
        <v/>
      </c>
      <c r="M135" s="825">
        <f>M134/(M133-M134)</f>
        <v/>
      </c>
      <c r="N135" s="825">
        <f>N134/(N133-N134)</f>
        <v/>
      </c>
      <c r="O135" s="797">
        <f>O134/(O133-O134)</f>
        <v/>
      </c>
      <c r="P135" s="797">
        <f>P134/(P133-P134)</f>
        <v/>
      </c>
      <c r="Q135" s="797">
        <f>Q134/(Q133-Q134)</f>
        <v/>
      </c>
      <c r="R135" s="797">
        <f>R134/(R133-R134)</f>
        <v/>
      </c>
      <c r="S135" s="797">
        <f>S134/(S133-S134)</f>
        <v/>
      </c>
      <c r="T135" s="797">
        <f>T134/(T133-T134)</f>
        <v/>
      </c>
      <c r="U135" s="13" t="n"/>
    </row>
    <row r="136" ht="16.5" customHeight="1" s="760">
      <c r="A136" s="642">
        <f>DATA!BX1</f>
        <v/>
      </c>
      <c r="C136" s="647" t="inlineStr">
        <is>
          <t>신계약CSM(a)</t>
        </is>
      </c>
      <c r="D136" s="648" t="n"/>
      <c r="E136" s="648" t="n"/>
      <c r="F136" s="648" t="n"/>
      <c r="G136" s="648" t="n"/>
      <c r="H136" s="649" t="n"/>
      <c r="I136" s="819">
        <f>VLOOKUP($I$1&amp;I$8,DATA!$A:$EB,'2312'!$A136,0)/100</f>
        <v/>
      </c>
      <c r="J136" s="821">
        <f>VLOOKUP($I$1&amp;J$8,DATA!$A:$EB,'2312'!$A136,0)/100</f>
        <v/>
      </c>
      <c r="K136" s="819">
        <f>VLOOKUP($I$1&amp;K$8,DATA!$A:$EB,'2312'!$A136,0)/100</f>
        <v/>
      </c>
      <c r="L136" s="819">
        <f>VLOOKUP($I$1&amp;L$8,DATA!$A:$EB,'2312'!$A136,0)/100</f>
        <v/>
      </c>
      <c r="M136" s="819">
        <f>VLOOKUP($I$1&amp;M$8,DATA!$A:$EB,'2312'!$A136,0)/100</f>
        <v/>
      </c>
      <c r="N136" s="819">
        <f>VLOOKUP($I$1&amp;N$8,DATA!$A:$EB,'2312'!$A136,0)/100</f>
        <v/>
      </c>
      <c r="O136" s="819">
        <f>VLOOKUP($I$1&amp;O$8,DATA!$A:$EB,'2312'!$A136,0)/100</f>
        <v/>
      </c>
      <c r="P136" s="819">
        <f>VLOOKUP($I$1&amp;P$8,DATA!$A:$EB,'2312'!$A136,0)/100</f>
        <v/>
      </c>
      <c r="Q136" s="819">
        <f>VLOOKUP($I$1&amp;Q$8,DATA!$A:$EB,'2312'!$A136,0)/100</f>
        <v/>
      </c>
      <c r="R136" s="819">
        <f>VLOOKUP($I$1&amp;R$8,DATA!$A:$EB,'2312'!$A136,0)/100</f>
        <v/>
      </c>
      <c r="S136" s="819">
        <f>VLOOKUP($I$1&amp;S$8,DATA!$A:$EB,'2312'!$A136,0)/100</f>
        <v/>
      </c>
      <c r="T136" s="819">
        <f>VLOOKUP($I$1&amp;T$8,DATA!$A:$EB,'2312'!$A136,0)/100</f>
        <v/>
      </c>
      <c r="U136" s="13" t="n"/>
    </row>
    <row r="137" ht="16.5" customHeight="1" s="760">
      <c r="A137" s="642">
        <f>DATA!BY1</f>
        <v/>
      </c>
      <c r="C137" s="666" t="inlineStr">
        <is>
          <t>CSM상각액(b)</t>
        </is>
      </c>
      <c r="H137" s="643" t="n"/>
      <c r="I137" s="822">
        <f>VLOOKUP($I$1&amp;I$8,DATA!$A:$EB,'2312'!$A137,0)/100</f>
        <v/>
      </c>
      <c r="J137" s="823">
        <f>VLOOKUP($I$1&amp;J$8,DATA!$A:$EB,'2312'!$A137,0)/100</f>
        <v/>
      </c>
      <c r="K137" s="822">
        <f>VLOOKUP($I$1&amp;K$8,DATA!$A:$EB,'2312'!$A137,0)/100</f>
        <v/>
      </c>
      <c r="L137" s="822">
        <f>VLOOKUP($I$1&amp;L$8,DATA!$A:$EB,'2312'!$A137,0)/100</f>
        <v/>
      </c>
      <c r="M137" s="822">
        <f>VLOOKUP($I$1&amp;M$8,DATA!$A:$EB,'2312'!$A137,0)/100</f>
        <v/>
      </c>
      <c r="N137" s="822">
        <f>VLOOKUP($I$1&amp;N$8,DATA!$A:$EB,'2312'!$A137,0)/100</f>
        <v/>
      </c>
      <c r="O137" s="822">
        <f>VLOOKUP($I$1&amp;O$8,DATA!$A:$EB,'2312'!$A137,0)/100</f>
        <v/>
      </c>
      <c r="P137" s="822">
        <f>VLOOKUP($I$1&amp;P$8,DATA!$A:$EB,'2312'!$A137,0)/100</f>
        <v/>
      </c>
      <c r="Q137" s="822">
        <f>VLOOKUP($I$1&amp;Q$8,DATA!$A:$EB,'2312'!$A137,0)/100</f>
        <v/>
      </c>
      <c r="R137" s="822">
        <f>VLOOKUP($I$1&amp;R$8,DATA!$A:$EB,'2312'!$A137,0)/100</f>
        <v/>
      </c>
      <c r="S137" s="822">
        <f>VLOOKUP($I$1&amp;S$8,DATA!$A:$EB,'2312'!$A137,0)/100</f>
        <v/>
      </c>
      <c r="T137" s="822">
        <f>VLOOKUP($I$1&amp;T$8,DATA!$A:$EB,'2312'!$A137,0)/100</f>
        <v/>
      </c>
      <c r="U137" s="13" t="n"/>
    </row>
    <row r="138" ht="16.5" customHeight="1" s="760">
      <c r="C138" s="666" t="inlineStr">
        <is>
          <t>(상각률)</t>
        </is>
      </c>
      <c r="H138" s="643" t="n"/>
      <c r="I138" s="795">
        <f>+I137/(I133+I137)*(4/$J$1)</f>
        <v/>
      </c>
      <c r="J138" s="826">
        <f>+J137/(J133+J137)*(4/$J$1)</f>
        <v/>
      </c>
      <c r="K138" s="795">
        <f>+K137/(K133+K137)*(4/$J$1)</f>
        <v/>
      </c>
      <c r="L138" s="795">
        <f>+L137/(L133+L137)*(4/$J$1)</f>
        <v/>
      </c>
      <c r="M138" s="795">
        <f>+M137/(M133+M137)*(4/$J$1)</f>
        <v/>
      </c>
      <c r="N138" s="795">
        <f>+N137/(N133+N137)*(4/$J$1)</f>
        <v/>
      </c>
      <c r="O138" s="795">
        <f>+O137/(O133+O137)*(4/$J$1)</f>
        <v/>
      </c>
      <c r="P138" s="795">
        <f>+P137/(P133+P137)*(4/$J$1)</f>
        <v/>
      </c>
      <c r="Q138" s="795">
        <f>+Q137/(Q133+Q137)*(4/$J$1)</f>
        <v/>
      </c>
      <c r="R138" s="795">
        <f>+R137/(R133+R137)*(4/$J$1)</f>
        <v/>
      </c>
      <c r="S138" s="795">
        <f>+S137/(S133+S137)*(4/$J$1)</f>
        <v/>
      </c>
      <c r="T138" s="795">
        <f>+T137/(T133+T137)*(4/$J$1)</f>
        <v/>
      </c>
      <c r="U138" s="13" t="n"/>
    </row>
    <row r="139" ht="16.5" customHeight="1" s="760">
      <c r="C139" s="644" t="inlineStr">
        <is>
          <t>상각액Cover율(a/b)</t>
        </is>
      </c>
      <c r="D139" s="645" t="n"/>
      <c r="E139" s="645" t="n"/>
      <c r="F139" s="645" t="n"/>
      <c r="G139" s="645" t="n"/>
      <c r="H139" s="646" t="n"/>
      <c r="I139" s="797">
        <f>+I136/I137</f>
        <v/>
      </c>
      <c r="J139" s="796">
        <f>+J136/J137</f>
        <v/>
      </c>
      <c r="K139" s="797">
        <f>+K136/K137</f>
        <v/>
      </c>
      <c r="L139" s="797">
        <f>+L136/L137</f>
        <v/>
      </c>
      <c r="M139" s="797">
        <f>+M136/M137</f>
        <v/>
      </c>
      <c r="N139" s="797">
        <f>+N136/N137</f>
        <v/>
      </c>
      <c r="O139" s="797">
        <f>+O136/O137</f>
        <v/>
      </c>
      <c r="P139" s="797">
        <f>+P136/P137</f>
        <v/>
      </c>
      <c r="Q139" s="797">
        <f>+Q136/Q137</f>
        <v/>
      </c>
      <c r="R139" s="797">
        <f>+R136/R137</f>
        <v/>
      </c>
      <c r="S139" s="797">
        <f>+S136/S137</f>
        <v/>
      </c>
      <c r="T139" s="797">
        <f>+T136/T137</f>
        <v/>
      </c>
      <c r="U139" s="13" t="n"/>
    </row>
    <row r="140" ht="16.5" customHeight="1" s="760">
      <c r="A140" s="642">
        <f>DATA!CE1</f>
        <v/>
      </c>
      <c r="C140" s="682" t="inlineStr">
        <is>
          <t>기간별 상각 
금액 비중</t>
        </is>
      </c>
      <c r="D140" s="648" t="n"/>
      <c r="E140" s="649" t="n"/>
      <c r="F140" s="675" t="inlineStr">
        <is>
          <t>1년 이하</t>
        </is>
      </c>
      <c r="G140" s="648" t="n"/>
      <c r="H140" s="649" t="n"/>
      <c r="I140" s="827">
        <f>VLOOKUP($I$1&amp;I$8,DATA!$A:$EB,'2312'!$A140,0)/100</f>
        <v/>
      </c>
      <c r="J140" s="828">
        <f>VLOOKUP($I$1&amp;J$8,DATA!$A:$EB,'2312'!$A140,0)/100</f>
        <v/>
      </c>
      <c r="K140" s="827">
        <f>VLOOKUP($I$1&amp;K$8,DATA!$A:$EB,'2312'!$A140,0)/100</f>
        <v/>
      </c>
      <c r="L140" s="827">
        <f>VLOOKUP($I$1&amp;L$8,DATA!$A:$EB,'2312'!$A140,0)/100</f>
        <v/>
      </c>
      <c r="M140" s="827">
        <f>VLOOKUP($I$1&amp;M$8,DATA!$A:$EB,'2312'!$A140,0)/100</f>
        <v/>
      </c>
      <c r="N140" s="827">
        <f>VLOOKUP($I$1&amp;N$8,DATA!$A:$EB,'2312'!$A140,0)/100</f>
        <v/>
      </c>
      <c r="O140" s="827">
        <f>VLOOKUP($I$1&amp;O$8,DATA!$A:$EB,'2312'!$A140,0)/100</f>
        <v/>
      </c>
      <c r="P140" s="827">
        <f>VLOOKUP($I$1&amp;P$8,DATA!$A:$EB,'2312'!$A140,0)/100</f>
        <v/>
      </c>
      <c r="Q140" s="827">
        <f>VLOOKUP($I$1&amp;Q$8,DATA!$A:$EB,'2312'!$A140,0)/100</f>
        <v/>
      </c>
      <c r="R140" s="827">
        <f>VLOOKUP($I$1&amp;R$8,DATA!$A:$EB,'2312'!$A140,0)/100</f>
        <v/>
      </c>
      <c r="S140" s="827">
        <f>VLOOKUP($I$1&amp;S$8,DATA!$A:$EB,'2312'!$A140,0)/100</f>
        <v/>
      </c>
      <c r="T140" s="827">
        <f>VLOOKUP($I$1&amp;T$8,DATA!$A:$EB,'2312'!$A140,0)/100</f>
        <v/>
      </c>
      <c r="U140" s="13" t="n"/>
    </row>
    <row r="141" ht="16.5" customHeight="1" s="760">
      <c r="A141" s="642">
        <f>DATA!CF1</f>
        <v/>
      </c>
      <c r="E141" s="643" t="n"/>
      <c r="F141" s="657" t="inlineStr">
        <is>
          <t>2~5년</t>
        </is>
      </c>
      <c r="H141" s="643" t="n"/>
      <c r="I141" s="829">
        <f>VLOOKUP($I$1&amp;I$8,DATA!$A:$EB,'2312'!$A141,0)/100+VLOOKUP($I$1&amp;I$8,DATA!$A:$EB,'2312'!$A141+1,0)/100</f>
        <v/>
      </c>
      <c r="J141" s="830">
        <f>VLOOKUP($I$1&amp;J$8,DATA!$A:$EB,'2312'!$A141,0)/100+VLOOKUP($I$1&amp;J$8,DATA!$A:$EB,'2312'!$A141+1,0)/100</f>
        <v/>
      </c>
      <c r="K141" s="829">
        <f>VLOOKUP($I$1&amp;K$8,DATA!$A:$EB,'2312'!$A141,0)/100+VLOOKUP($I$1&amp;K$8,DATA!$A:$EB,'2312'!$A141+1,0)/100</f>
        <v/>
      </c>
      <c r="L141" s="829">
        <f>VLOOKUP($I$1&amp;L$8,DATA!$A:$EB,'2312'!$A141,0)/100+VLOOKUP($I$1&amp;L$8,DATA!$A:$EB,'2312'!$A141+1,0)/100</f>
        <v/>
      </c>
      <c r="M141" s="829">
        <f>VLOOKUP($I$1&amp;M$8,DATA!$A:$EB,'2312'!$A141,0)/100+VLOOKUP($I$1&amp;M$8,DATA!$A:$EB,'2312'!$A141+1,0)/100</f>
        <v/>
      </c>
      <c r="N141" s="829">
        <f>VLOOKUP($I$1&amp;N$8,DATA!$A:$EB,'2312'!$A141,0)/100+VLOOKUP($I$1&amp;N$8,DATA!$A:$EB,'2312'!$A141+1,0)/100</f>
        <v/>
      </c>
      <c r="O141" s="829">
        <f>VLOOKUP($I$1&amp;O$8,DATA!$A:$EB,'2312'!$A141,0)/100+VLOOKUP($I$1&amp;O$8,DATA!$A:$EB,'2312'!$A141+1,0)/100</f>
        <v/>
      </c>
      <c r="P141" s="829">
        <f>VLOOKUP($I$1&amp;P$8,DATA!$A:$EB,'2312'!$A141,0)/100+VLOOKUP($I$1&amp;P$8,DATA!$A:$EB,'2312'!$A141+1,0)/100</f>
        <v/>
      </c>
      <c r="Q141" s="829">
        <f>VLOOKUP($I$1&amp;Q$8,DATA!$A:$EB,'2312'!$A141,0)/100+VLOOKUP($I$1&amp;Q$8,DATA!$A:$EB,'2312'!$A141+1,0)/100</f>
        <v/>
      </c>
      <c r="R141" s="829">
        <f>VLOOKUP($I$1&amp;R$8,DATA!$A:$EB,'2312'!$A141,0)/100+VLOOKUP($I$1&amp;R$8,DATA!$A:$EB,'2312'!$A141+1,0)/100</f>
        <v/>
      </c>
      <c r="S141" s="829">
        <f>VLOOKUP($I$1&amp;S$8,DATA!$A:$EB,'2312'!$A141,0)/100+VLOOKUP($I$1&amp;S$8,DATA!$A:$EB,'2312'!$A141+1,0)/100</f>
        <v/>
      </c>
      <c r="T141" s="829">
        <f>VLOOKUP($I$1&amp;T$8,DATA!$A:$EB,'2312'!$A141,0)/100+VLOOKUP($I$1&amp;T$8,DATA!$A:$EB,'2312'!$A141+1,0)/100</f>
        <v/>
      </c>
      <c r="U141" s="13" t="n"/>
    </row>
    <row r="142" ht="16.5" customHeight="1" s="760">
      <c r="A142" s="642">
        <f>DATA!CH1</f>
        <v/>
      </c>
      <c r="E142" s="643" t="n"/>
      <c r="F142" s="657" t="inlineStr">
        <is>
          <t>5~10년</t>
        </is>
      </c>
      <c r="H142" s="643" t="n"/>
      <c r="I142" s="829">
        <f>VLOOKUP($I$1&amp;I$8,DATA!$A:$EB,'2312'!$A142,0)/100</f>
        <v/>
      </c>
      <c r="J142" s="831">
        <f>VLOOKUP($I$1&amp;J$8,DATA!$A:$EB,'2312'!$A142,0)/100</f>
        <v/>
      </c>
      <c r="K142" s="829">
        <f>VLOOKUP($I$1&amp;K$8,DATA!$A:$EB,'2312'!$A142,0)/100</f>
        <v/>
      </c>
      <c r="L142" s="829">
        <f>VLOOKUP($I$1&amp;L$8,DATA!$A:$EB,'2312'!$A142,0)/100</f>
        <v/>
      </c>
      <c r="M142" s="829">
        <f>VLOOKUP($I$1&amp;M$8,DATA!$A:$EB,'2312'!$A142,0)/100</f>
        <v/>
      </c>
      <c r="N142" s="829">
        <f>VLOOKUP($I$1&amp;N$8,DATA!$A:$EB,'2312'!$A142,0)/100</f>
        <v/>
      </c>
      <c r="O142" s="829">
        <f>VLOOKUP($I$1&amp;O$8,DATA!$A:$EB,'2312'!$A142,0)/100</f>
        <v/>
      </c>
      <c r="P142" s="831">
        <f>VLOOKUP($I$1&amp;P$8,DATA!$A:$EB,'2312'!$A142,0)/100</f>
        <v/>
      </c>
      <c r="Q142" s="829">
        <f>VLOOKUP($I$1&amp;Q$8,DATA!$A:$EB,'2312'!$A142,0)/100</f>
        <v/>
      </c>
      <c r="R142" s="829">
        <f>VLOOKUP($I$1&amp;R$8,DATA!$A:$EB,'2312'!$A142,0)/100</f>
        <v/>
      </c>
      <c r="S142" s="829">
        <f>VLOOKUP($I$1&amp;S$8,DATA!$A:$EB,'2312'!$A142,0)/100</f>
        <v/>
      </c>
      <c r="T142" s="829">
        <f>VLOOKUP($I$1&amp;T$8,DATA!$A:$EB,'2312'!$A142,0)/100</f>
        <v/>
      </c>
      <c r="U142" s="13" t="n"/>
    </row>
    <row r="143" ht="16.5" customHeight="1" s="760">
      <c r="A143" s="642">
        <f>DATA!CI1</f>
        <v/>
      </c>
      <c r="C143" s="645" t="n"/>
      <c r="D143" s="645" t="n"/>
      <c r="E143" s="646" t="n"/>
      <c r="F143" s="689" t="inlineStr">
        <is>
          <t>10년 초과</t>
        </is>
      </c>
      <c r="G143" s="645" t="n"/>
      <c r="H143" s="646" t="n"/>
      <c r="I143" s="832">
        <f>VLOOKUP($I$1&amp;I$8,DATA!$A:$EB,'2312'!$A143,0)/100</f>
        <v/>
      </c>
      <c r="J143" s="678" t="n"/>
      <c r="K143" s="832">
        <f>VLOOKUP($I$1&amp;K$8,DATA!$A:$EB,'2312'!$A143,0)/100</f>
        <v/>
      </c>
      <c r="L143" s="832">
        <f>VLOOKUP($I$1&amp;L$8,DATA!$A:$EB,'2312'!$A143,0)/100</f>
        <v/>
      </c>
      <c r="M143" s="832">
        <f>VLOOKUP($I$1&amp;M$8,DATA!$A:$EB,'2312'!$A143,0)/100</f>
        <v/>
      </c>
      <c r="N143" s="832">
        <f>VLOOKUP($I$1&amp;N$8,DATA!$A:$EB,'2312'!$A143,0)/100</f>
        <v/>
      </c>
      <c r="O143" s="832">
        <f>VLOOKUP($I$1&amp;O$8,DATA!$A:$EB,'2312'!$A143,0)/100</f>
        <v/>
      </c>
      <c r="P143" s="678" t="n"/>
      <c r="Q143" s="832">
        <f>VLOOKUP($I$1&amp;Q$8,DATA!$A:$EB,'2312'!$A143,0)/100</f>
        <v/>
      </c>
      <c r="R143" s="832">
        <f>VLOOKUP($I$1&amp;R$8,DATA!$A:$EB,'2312'!$A143,0)/100</f>
        <v/>
      </c>
      <c r="S143" s="832">
        <f>VLOOKUP($I$1&amp;S$8,DATA!$A:$EB,'2312'!$A143,0)/100</f>
        <v/>
      </c>
      <c r="T143" s="832">
        <f>VLOOKUP($I$1&amp;T$8,DATA!$A:$EB,'2312'!$A143,0)/100</f>
        <v/>
      </c>
      <c r="U143" s="13" t="n"/>
    </row>
    <row r="144" ht="16.5" customHeight="1" s="760">
      <c r="C144" s="12" t="inlineStr">
        <is>
          <t>* CSM상각률 : CSM상각액 / (CSM잔액 + CSM상각액)  * (4 / 분기)</t>
        </is>
      </c>
      <c r="D144" s="209" t="n"/>
      <c r="E144" s="809" t="n"/>
      <c r="F144" s="809" t="n"/>
      <c r="G144" s="809" t="n"/>
      <c r="H144" s="809" t="n"/>
      <c r="I144" s="809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</row>
    <row r="145" ht="16.5" customHeight="1" s="760">
      <c r="C145" s="12" t="inlineStr">
        <is>
          <t>* 기간별 상각금액 비중 : 순부채 기준</t>
        </is>
      </c>
      <c r="D145" s="209" t="n"/>
      <c r="E145" s="809" t="n"/>
      <c r="F145" s="809" t="n"/>
      <c r="G145" s="809" t="n"/>
      <c r="H145" s="809" t="n"/>
      <c r="I145" s="809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</row>
    <row r="146" ht="16.5" customHeight="1" s="760">
      <c r="C146" s="111" t="n"/>
      <c r="D146" s="209" t="n"/>
      <c r="E146" s="809" t="n"/>
      <c r="F146" s="809" t="n"/>
      <c r="G146" s="809" t="n"/>
      <c r="H146" s="809" t="n"/>
      <c r="I146" s="833">
        <f>+I136/I133</f>
        <v/>
      </c>
      <c r="J146" s="833">
        <f>+J136/J133</f>
        <v/>
      </c>
      <c r="K146" s="833">
        <f>+K136/K133</f>
        <v/>
      </c>
      <c r="L146" s="833">
        <f>+L136/L133</f>
        <v/>
      </c>
      <c r="M146" s="833">
        <f>+M136/M133</f>
        <v/>
      </c>
      <c r="N146" s="833">
        <f>+N136/N133</f>
        <v/>
      </c>
      <c r="O146" s="833">
        <f>+O136/O133</f>
        <v/>
      </c>
      <c r="P146" s="833">
        <f>+P136/P133</f>
        <v/>
      </c>
      <c r="Q146" s="833">
        <f>+Q136/Q133</f>
        <v/>
      </c>
      <c r="R146" s="833">
        <f>+R136/R133</f>
        <v/>
      </c>
      <c r="S146" s="833">
        <f>+S136/S133</f>
        <v/>
      </c>
      <c r="T146" s="833">
        <f>+T136/T133</f>
        <v/>
      </c>
      <c r="U146" s="13" t="n"/>
    </row>
    <row r="147" ht="16.5" customHeight="1" s="760">
      <c r="A147" s="642">
        <f>DATA!CB1</f>
        <v/>
      </c>
      <c r="C147" s="111" t="n"/>
      <c r="D147" s="209" t="n"/>
      <c r="E147" s="809" t="inlineStr">
        <is>
          <t>전기말</t>
        </is>
      </c>
      <c r="F147" s="809" t="n"/>
      <c r="G147" s="809" t="n"/>
      <c r="H147" s="809" t="n"/>
      <c r="I147" s="786">
        <f>VLOOKUP($I$1&amp;I$8,DATA!$A:$EB,'2312'!$A147,0)/100</f>
        <v/>
      </c>
      <c r="J147" s="786">
        <f>VLOOKUP($I$1&amp;J$8,DATA!$A:$EB,'2312'!$A147,0)/100</f>
        <v/>
      </c>
      <c r="K147" s="787">
        <f>VLOOKUP($I$1&amp;K$8,DATA!$A:$EB,'2312'!$A147,0)/100</f>
        <v/>
      </c>
      <c r="L147" s="787">
        <f>VLOOKUP($I$1&amp;L$8,DATA!$A:$EB,'2312'!$A147,0)/100</f>
        <v/>
      </c>
      <c r="M147" s="787">
        <f>VLOOKUP($I$1&amp;M$8,DATA!$A:$EB,'2312'!$A147,0)/100</f>
        <v/>
      </c>
      <c r="N147" s="787">
        <f>VLOOKUP($I$1&amp;N$8,DATA!$A:$EB,'2312'!$A147,0)/100</f>
        <v/>
      </c>
      <c r="O147" s="787">
        <f>VLOOKUP($I$1&amp;O$8,DATA!$A:$EB,'2312'!$A147,0)/100</f>
        <v/>
      </c>
      <c r="P147" s="787">
        <f>VLOOKUP($I$1&amp;P$8,DATA!$A:$EB,'2312'!$A147,0)/100</f>
        <v/>
      </c>
      <c r="Q147" s="787">
        <f>VLOOKUP($I$1&amp;Q$8,DATA!$A:$EB,'2312'!$A147,0)/100</f>
        <v/>
      </c>
      <c r="R147" s="787">
        <f>VLOOKUP($I$1&amp;R$8,DATA!$A:$EB,'2312'!$A147,0)/100</f>
        <v/>
      </c>
      <c r="S147" s="787">
        <f>VLOOKUP($I$1&amp;S$8,DATA!$A:$EB,'2312'!$A147,0)/100</f>
        <v/>
      </c>
      <c r="T147" s="787">
        <f>VLOOKUP($I$1&amp;T$8,DATA!$A:$EB,'2312'!$A147,0)/100</f>
        <v/>
      </c>
      <c r="U147" s="13" t="n"/>
    </row>
    <row r="148" ht="16.5" customHeight="1" s="760">
      <c r="C148" s="111" t="n"/>
      <c r="D148" s="209" t="n"/>
      <c r="E148" s="809" t="n"/>
      <c r="F148" s="809" t="n"/>
      <c r="G148" s="809" t="n"/>
      <c r="H148" s="809" t="n"/>
      <c r="I148" s="787">
        <f>I133-SUM(I140:I143)</f>
        <v/>
      </c>
      <c r="J148" s="787">
        <f>J133-SUM(J140:J143)</f>
        <v/>
      </c>
      <c r="K148" s="787">
        <f>K133-SUM(K140:K143)</f>
        <v/>
      </c>
      <c r="L148" s="787">
        <f>L133-SUM(L140:L143)</f>
        <v/>
      </c>
      <c r="M148" s="787">
        <f>M133-SUM(M140:M143)</f>
        <v/>
      </c>
      <c r="N148" s="787">
        <f>N133-SUM(N140:N143)</f>
        <v/>
      </c>
      <c r="O148" s="787">
        <f>O133-SUM(O140:O143)</f>
        <v/>
      </c>
      <c r="P148" s="787">
        <f>P133-SUM(P140:P143)</f>
        <v/>
      </c>
      <c r="Q148" s="787">
        <f>Q133-SUM(Q140:Q143)</f>
        <v/>
      </c>
      <c r="R148" s="787">
        <f>R133-SUM(R140:R143)</f>
        <v/>
      </c>
      <c r="S148" s="787">
        <f>S133-SUM(S140:S143)</f>
        <v/>
      </c>
      <c r="T148" s="787">
        <f>T133-SUM(T140:T143)</f>
        <v/>
      </c>
      <c r="U148" s="13" t="n"/>
    </row>
    <row r="149" ht="16.5" customHeight="1" s="760">
      <c r="A149" s="642">
        <f>DATA!BZ1</f>
        <v/>
      </c>
      <c r="C149" s="111" t="n"/>
      <c r="D149" s="209" t="n"/>
      <c r="E149" s="809" t="inlineStr">
        <is>
          <t>CSM조정</t>
        </is>
      </c>
      <c r="F149" s="809" t="n"/>
      <c r="G149" s="809" t="n"/>
      <c r="H149" s="809" t="n"/>
      <c r="I149" s="834">
        <f>VLOOKUP($I$1&amp;I$8,DATA!$A:$EB,'2312'!$A149,0)/100</f>
        <v/>
      </c>
      <c r="J149" s="834">
        <f>VLOOKUP($I$1&amp;J$8,DATA!$A:$EB,'2312'!$A149,0)/100</f>
        <v/>
      </c>
      <c r="K149" s="835">
        <f>VLOOKUP($I$1&amp;K$8,DATA!$A:$EB,'2312'!$A149,0)/100</f>
        <v/>
      </c>
      <c r="L149" s="835">
        <f>VLOOKUP($I$1&amp;L$8,DATA!$A:$EB,'2312'!$A149,0)/100</f>
        <v/>
      </c>
      <c r="M149" s="835">
        <f>VLOOKUP($I$1&amp;M$8,DATA!$A:$EB,'2312'!$A149,0)/100</f>
        <v/>
      </c>
      <c r="N149" s="835">
        <f>VLOOKUP($I$1&amp;N$8,DATA!$A:$EB,'2312'!$A149,0)/100</f>
        <v/>
      </c>
      <c r="O149" s="835">
        <f>VLOOKUP($I$1&amp;O$8,DATA!$A:$EB,'2312'!$A149,0)/100</f>
        <v/>
      </c>
      <c r="P149" s="835">
        <f>VLOOKUP($I$1&amp;P$8,DATA!$A:$EB,'2312'!$A149,0)/100</f>
        <v/>
      </c>
      <c r="Q149" s="835">
        <f>VLOOKUP($I$1&amp;Q$8,DATA!$A:$EB,'2312'!$A149,0)/100</f>
        <v/>
      </c>
      <c r="R149" s="835">
        <f>VLOOKUP($I$1&amp;R$8,DATA!$A:$EB,'2312'!$A149,0)/100</f>
        <v/>
      </c>
      <c r="S149" s="835">
        <f>VLOOKUP($I$1&amp;S$8,DATA!$A:$EB,'2312'!$A149,0)/100</f>
        <v/>
      </c>
      <c r="T149" s="835">
        <f>VLOOKUP($I$1&amp;T$8,DATA!$A:$EB,'2312'!$A149,0)/100</f>
        <v/>
      </c>
      <c r="U149" s="13" t="n"/>
    </row>
    <row r="150" ht="16.5" customHeight="1" s="760">
      <c r="C150" s="111" t="n"/>
      <c r="D150" s="209" t="n"/>
      <c r="E150" s="809" t="n"/>
      <c r="F150" s="809" t="n"/>
      <c r="G150" s="809" t="n"/>
      <c r="H150" s="809" t="n"/>
      <c r="I150" s="833">
        <f>I149/I133</f>
        <v/>
      </c>
      <c r="J150" s="833">
        <f>J149/J133</f>
        <v/>
      </c>
      <c r="K150" s="833">
        <f>K149/K133</f>
        <v/>
      </c>
      <c r="L150" s="833">
        <f>L149/L133</f>
        <v/>
      </c>
      <c r="M150" s="833">
        <f>M149/M133</f>
        <v/>
      </c>
      <c r="N150" s="833">
        <f>N149/N133</f>
        <v/>
      </c>
      <c r="O150" s="833">
        <f>O149/O133</f>
        <v/>
      </c>
      <c r="P150" s="833">
        <f>P149/P133</f>
        <v/>
      </c>
      <c r="Q150" s="833">
        <f>Q149/Q133</f>
        <v/>
      </c>
      <c r="R150" s="833">
        <f>R149/R133</f>
        <v/>
      </c>
      <c r="S150" s="833">
        <f>S149/S133</f>
        <v/>
      </c>
      <c r="T150" s="833">
        <f>T149/T133</f>
        <v/>
      </c>
      <c r="U150" s="13" t="n"/>
    </row>
    <row r="151" ht="16.5" customHeight="1" s="760">
      <c r="C151" s="6" t="inlineStr">
        <is>
          <t>4. 경영효율지표</t>
        </is>
      </c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</row>
    <row r="152" ht="16.5" customHeight="1" s="760">
      <c r="C152" s="111" t="n"/>
      <c r="D152" s="111" t="n"/>
      <c r="E152" s="111" t="n"/>
      <c r="F152" s="111" t="n"/>
      <c r="G152" s="111" t="n"/>
      <c r="H152" s="111" t="n"/>
      <c r="I152" s="111" t="n"/>
      <c r="J152" s="111" t="n"/>
      <c r="K152" s="111" t="n"/>
      <c r="L152" s="111" t="n"/>
      <c r="M152" s="111" t="n"/>
      <c r="N152" s="111" t="n"/>
      <c r="O152" s="13" t="n"/>
      <c r="P152" s="111" t="n"/>
      <c r="Q152" s="111" t="n"/>
      <c r="R152" s="13" t="n"/>
      <c r="S152" s="13" t="n"/>
      <c r="T152" s="13" t="n"/>
      <c r="U152" s="13" t="n"/>
    </row>
    <row r="153" ht="16.5" customHeight="1" s="760">
      <c r="C153" s="650" t="inlineStr">
        <is>
          <t>구분</t>
        </is>
      </c>
      <c r="D153" s="648" t="n"/>
      <c r="E153" s="648" t="n"/>
      <c r="F153" s="648" t="n"/>
      <c r="G153" s="648" t="n"/>
      <c r="H153" s="649" t="n"/>
      <c r="I153" s="8" t="inlineStr">
        <is>
          <t>미래에셋생명</t>
        </is>
      </c>
      <c r="J153" s="8" t="inlineStr">
        <is>
          <t>삼성생명</t>
        </is>
      </c>
      <c r="K153" s="8" t="inlineStr">
        <is>
          <t>교보생명</t>
        </is>
      </c>
      <c r="L153" s="8" t="inlineStr">
        <is>
          <t>한화생명</t>
        </is>
      </c>
      <c r="M153" s="8" t="inlineStr">
        <is>
          <t>신한라이프</t>
        </is>
      </c>
      <c r="N153" s="8" t="inlineStr">
        <is>
          <t>동양생명</t>
        </is>
      </c>
      <c r="O153" s="9" t="inlineStr">
        <is>
          <t>KB라이프</t>
        </is>
      </c>
      <c r="P153" s="9" t="inlineStr">
        <is>
          <t>삼성화재</t>
        </is>
      </c>
      <c r="Q153" s="9" t="inlineStr">
        <is>
          <t>현대해상</t>
        </is>
      </c>
      <c r="R153" s="9" t="inlineStr">
        <is>
          <t>메리츠화재</t>
        </is>
      </c>
      <c r="S153" s="9" t="inlineStr">
        <is>
          <t>KB손보</t>
        </is>
      </c>
      <c r="T153" s="9" t="inlineStr">
        <is>
          <t>DB손보</t>
        </is>
      </c>
      <c r="U153" s="13" t="n"/>
    </row>
    <row r="154" ht="16.5" customHeight="1" s="760">
      <c r="C154" s="665" t="inlineStr">
        <is>
          <t>ROE</t>
        </is>
      </c>
      <c r="D154" s="648" t="n"/>
      <c r="E154" s="648" t="n"/>
      <c r="F154" s="648" t="n"/>
      <c r="G154" s="648" t="n"/>
      <c r="H154" s="649" t="n"/>
      <c r="I154" s="836">
        <f>I118/AVERAGE(I164,I165)*(4/$J$1)</f>
        <v/>
      </c>
      <c r="J154" s="836">
        <f>J118/AVERAGE(J164,J165)*(4/$J$1)</f>
        <v/>
      </c>
      <c r="K154" s="836">
        <f>K118/AVERAGE(K164,K165)*(4/$J$1)</f>
        <v/>
      </c>
      <c r="L154" s="836">
        <f>L118/AVERAGE(L164,L165)*(4/$J$1)</f>
        <v/>
      </c>
      <c r="M154" s="836">
        <f>M118/AVERAGE(M164,M165)*(4/$J$1)</f>
        <v/>
      </c>
      <c r="N154" s="836">
        <f>N118/AVERAGE(N164,N165)*(4/$J$1)</f>
        <v/>
      </c>
      <c r="O154" s="837">
        <f>O118/AVERAGE(O164,O165)*(4/$J$1)</f>
        <v/>
      </c>
      <c r="P154" s="837">
        <f>P118/AVERAGE(P164,P165)*(4/$J$1)</f>
        <v/>
      </c>
      <c r="Q154" s="837">
        <f>Q118/AVERAGE(Q164,Q165)*(4/$J$1)</f>
        <v/>
      </c>
      <c r="R154" s="837">
        <f>R118/AVERAGE(R164,R165)*(4/$J$1)</f>
        <v/>
      </c>
      <c r="S154" s="837">
        <f>S118/AVERAGE(S164,S165)*(4/$J$1)</f>
        <v/>
      </c>
      <c r="T154" s="837">
        <f>T118/AVERAGE(T164,T165)*(4/$J$1)</f>
        <v/>
      </c>
      <c r="U154" s="13" t="n"/>
    </row>
    <row r="155" ht="16.5" customHeight="1" s="760">
      <c r="C155" s="687" t="inlineStr">
        <is>
          <t>RAROC (연환산)</t>
        </is>
      </c>
      <c r="H155" s="643" t="n"/>
      <c r="I155" s="794">
        <f>+I136/(I102*150%)*(4/$J$1)</f>
        <v/>
      </c>
      <c r="J155" s="794">
        <f>+J136/(J102*150%)*(4/$J$1)</f>
        <v/>
      </c>
      <c r="K155" s="794">
        <f>+K136/(K102*150%)*(4/$J$1)</f>
        <v/>
      </c>
      <c r="L155" s="794">
        <f>+L136/(L102*150%)*(4/$J$1)</f>
        <v/>
      </c>
      <c r="M155" s="794">
        <f>+M136/(M102*150%)*(4/$J$1)</f>
        <v/>
      </c>
      <c r="N155" s="794">
        <f>+N136/(N102*150%)*(4/$J$1)</f>
        <v/>
      </c>
      <c r="O155" s="797">
        <f>+O136/(O102*150%)*(4/$J$1)</f>
        <v/>
      </c>
      <c r="P155" s="797">
        <f>+P136/(P102*150%)*(4/$J$1)</f>
        <v/>
      </c>
      <c r="Q155" s="797">
        <f>+Q136/(Q102*150%)*(4/$J$1)</f>
        <v/>
      </c>
      <c r="R155" s="797">
        <f>+R136/(R102*150%)*(4/$J$1)</f>
        <v/>
      </c>
      <c r="S155" s="797">
        <f>+S136/(S102*150%)*(4/$J$1)</f>
        <v/>
      </c>
      <c r="T155" s="797">
        <f>+T136/(T102*150%)*(4/$J$1)</f>
        <v/>
      </c>
      <c r="U155" s="13" t="n"/>
    </row>
    <row r="156" ht="16.5" customHeight="1" s="760">
      <c r="C156" s="655" t="inlineStr">
        <is>
          <t>CSM</t>
        </is>
      </c>
      <c r="D156" s="648" t="n"/>
      <c r="E156" s="679" t="inlineStr">
        <is>
          <t>÷ 자기자본</t>
        </is>
      </c>
      <c r="F156" s="652" t="n"/>
      <c r="G156" s="652" t="n"/>
      <c r="H156" s="653" t="n"/>
      <c r="I156" s="838">
        <f>I133/I165</f>
        <v/>
      </c>
      <c r="J156" s="838">
        <f>J133/J165</f>
        <v/>
      </c>
      <c r="K156" s="838">
        <f>K133/K165</f>
        <v/>
      </c>
      <c r="L156" s="838">
        <f>L133/L165</f>
        <v/>
      </c>
      <c r="M156" s="838">
        <f>M133/M165</f>
        <v/>
      </c>
      <c r="N156" s="838">
        <f>N133/N165</f>
        <v/>
      </c>
      <c r="O156" s="838">
        <f>O133/O165</f>
        <v/>
      </c>
      <c r="P156" s="838">
        <f>P133/P165</f>
        <v/>
      </c>
      <c r="Q156" s="838">
        <f>Q133/Q165</f>
        <v/>
      </c>
      <c r="R156" s="838">
        <f>R133/R165</f>
        <v/>
      </c>
      <c r="S156" s="838">
        <f>S133/S165</f>
        <v/>
      </c>
      <c r="T156" s="838">
        <f>T133/T165</f>
        <v/>
      </c>
      <c r="U156" s="13" t="n"/>
    </row>
    <row r="157" ht="16.5" customHeight="1" s="760">
      <c r="E157" s="662" t="inlineStr">
        <is>
          <t>÷ (요구자본x150%)</t>
        </is>
      </c>
      <c r="F157" s="663" t="n"/>
      <c r="G157" s="663" t="n"/>
      <c r="H157" s="664" t="n"/>
      <c r="I157" s="839">
        <f>I133/(I102*150%)</f>
        <v/>
      </c>
      <c r="J157" s="839">
        <f>J133/(J102*150%)</f>
        <v/>
      </c>
      <c r="K157" s="839">
        <f>K133/(K102*150%)</f>
        <v/>
      </c>
      <c r="L157" s="839">
        <f>L133/(L102*150%)</f>
        <v/>
      </c>
      <c r="M157" s="839">
        <f>M133/(M102*150%)</f>
        <v/>
      </c>
      <c r="N157" s="839">
        <f>N133/(N102*150%)</f>
        <v/>
      </c>
      <c r="O157" s="839">
        <f>O133/(O102*150%)</f>
        <v/>
      </c>
      <c r="P157" s="839">
        <f>P133/(P102*150%)</f>
        <v/>
      </c>
      <c r="Q157" s="839">
        <f>Q133/(Q102*150%)</f>
        <v/>
      </c>
      <c r="R157" s="839">
        <f>R133/(R102*150%)</f>
        <v/>
      </c>
      <c r="S157" s="839">
        <f>S133/(S102*150%)</f>
        <v/>
      </c>
      <c r="T157" s="839">
        <f>T133/(T102*150%)</f>
        <v/>
      </c>
      <c r="U157" s="13" t="n"/>
    </row>
    <row r="158" ht="16.5" customHeight="1" s="760">
      <c r="C158" s="207" t="n"/>
      <c r="D158" s="207" t="n"/>
      <c r="E158" s="688" t="inlineStr">
        <is>
          <t>÷ (요구자본x180%)</t>
        </is>
      </c>
      <c r="F158" s="659" t="n"/>
      <c r="G158" s="659" t="n"/>
      <c r="H158" s="660" t="n"/>
      <c r="I158" s="840">
        <f>I133/(I102*180%)</f>
        <v/>
      </c>
      <c r="J158" s="840">
        <f>J133/(J102*180%)</f>
        <v/>
      </c>
      <c r="K158" s="840">
        <f>K133/(K102*180%)</f>
        <v/>
      </c>
      <c r="L158" s="840">
        <f>L133/(L102*180%)</f>
        <v/>
      </c>
      <c r="M158" s="840">
        <f>M133/(M102*180%)</f>
        <v/>
      </c>
      <c r="N158" s="840">
        <f>N133/(N102*180%)</f>
        <v/>
      </c>
      <c r="O158" s="840">
        <f>O133/(O102*180%)</f>
        <v/>
      </c>
      <c r="P158" s="840">
        <f>P133/(P102*180%)</f>
        <v/>
      </c>
      <c r="Q158" s="840">
        <f>Q133/(Q102*180%)</f>
        <v/>
      </c>
      <c r="R158" s="840">
        <f>R133/(R102*180%)</f>
        <v/>
      </c>
      <c r="S158" s="840">
        <f>S133/(S102*180%)</f>
        <v/>
      </c>
      <c r="T158" s="840">
        <f>T133/(T102*180%)</f>
        <v/>
      </c>
      <c r="U158" s="13" t="n"/>
    </row>
    <row r="159" ht="16.5" customHeight="1" s="760">
      <c r="C159" s="682" t="inlineStr">
        <is>
          <t>CSM
상각액
(연환산)</t>
        </is>
      </c>
      <c r="D159" s="649" t="n"/>
      <c r="E159" s="651" t="inlineStr">
        <is>
          <t>÷ 자기자본</t>
        </is>
      </c>
      <c r="F159" s="652" t="n"/>
      <c r="G159" s="652" t="n"/>
      <c r="H159" s="653" t="n"/>
      <c r="I159" s="838">
        <f>I137/I165*(4/$J$1)</f>
        <v/>
      </c>
      <c r="J159" s="838">
        <f>J137/J165*(4/$J$1)</f>
        <v/>
      </c>
      <c r="K159" s="838">
        <f>K137/K165*(4/$J$1)</f>
        <v/>
      </c>
      <c r="L159" s="838">
        <f>L137/L165*(4/$J$1)</f>
        <v/>
      </c>
      <c r="M159" s="838">
        <f>M137/M165*(4/$J$1)</f>
        <v/>
      </c>
      <c r="N159" s="838">
        <f>N137/N165*(4/$J$1)</f>
        <v/>
      </c>
      <c r="O159" s="838">
        <f>O137/O165*(4/$J$1)</f>
        <v/>
      </c>
      <c r="P159" s="838">
        <f>P137/P165*(4/$J$1)</f>
        <v/>
      </c>
      <c r="Q159" s="838">
        <f>Q137/Q165*(4/$J$1)</f>
        <v/>
      </c>
      <c r="R159" s="838">
        <f>R137/R165*(4/$J$1)</f>
        <v/>
      </c>
      <c r="S159" s="838">
        <f>S137/S165*(4/$J$1)</f>
        <v/>
      </c>
      <c r="T159" s="838">
        <f>T137/T165*(4/$J$1)</f>
        <v/>
      </c>
      <c r="U159" s="13" t="n"/>
    </row>
    <row r="160" ht="16.5" customHeight="1" s="760">
      <c r="D160" s="643" t="n"/>
      <c r="E160" s="662" t="inlineStr">
        <is>
          <t>÷ (요구자본x150%)</t>
        </is>
      </c>
      <c r="F160" s="663" t="n"/>
      <c r="G160" s="663" t="n"/>
      <c r="H160" s="664" t="n"/>
      <c r="I160" s="839">
        <f>I137/(I102*150%)*(4/$J$1)</f>
        <v/>
      </c>
      <c r="J160" s="839">
        <f>J137/(J102*150%)*(4/$J$1)</f>
        <v/>
      </c>
      <c r="K160" s="839">
        <f>K137/(K102*150%)*(4/$J$1)</f>
        <v/>
      </c>
      <c r="L160" s="839">
        <f>L137/(L102*150%)*(4/$J$1)</f>
        <v/>
      </c>
      <c r="M160" s="839">
        <f>M137/(M102*150%)*(4/$J$1)</f>
        <v/>
      </c>
      <c r="N160" s="839">
        <f>N137/(N102*150%)*(4/$J$1)</f>
        <v/>
      </c>
      <c r="O160" s="839">
        <f>O137/(O102*150%)*(4/$J$1)</f>
        <v/>
      </c>
      <c r="P160" s="839">
        <f>P137/(P102*150%)*(4/$J$1)</f>
        <v/>
      </c>
      <c r="Q160" s="839">
        <f>Q137/(Q102*150%)*(4/$J$1)</f>
        <v/>
      </c>
      <c r="R160" s="839">
        <f>R137/(R102*150%)*(4/$J$1)</f>
        <v/>
      </c>
      <c r="S160" s="839">
        <f>S137/(S102*150%)*(4/$J$1)</f>
        <v/>
      </c>
      <c r="T160" s="839">
        <f>T137/(T102*150%)*(4/$J$1)</f>
        <v/>
      </c>
      <c r="U160" s="13" t="n"/>
    </row>
    <row r="161" ht="16.5" customHeight="1" s="760">
      <c r="C161" s="645" t="n"/>
      <c r="D161" s="646" t="n"/>
      <c r="E161" s="658" t="inlineStr">
        <is>
          <t>÷ (요구자본x180%)</t>
        </is>
      </c>
      <c r="F161" s="659" t="n"/>
      <c r="G161" s="659" t="n"/>
      <c r="H161" s="660" t="n"/>
      <c r="I161" s="840">
        <f>I137/(I102*180%)*(4/$J$1)</f>
        <v/>
      </c>
      <c r="J161" s="840">
        <f>J137/(J102*180%)*(4/$J$1)</f>
        <v/>
      </c>
      <c r="K161" s="840">
        <f>K137/(K102*180%)*(4/$J$1)</f>
        <v/>
      </c>
      <c r="L161" s="840">
        <f>L137/(L102*180%)*(4/$J$1)</f>
        <v/>
      </c>
      <c r="M161" s="840">
        <f>M137/(M102*180%)*(4/$J$1)</f>
        <v/>
      </c>
      <c r="N161" s="840">
        <f>N137/(N102*180%)*(4/$J$1)</f>
        <v/>
      </c>
      <c r="O161" s="840">
        <f>O137/(O102*180%)*(4/$J$1)</f>
        <v/>
      </c>
      <c r="P161" s="840">
        <f>P137/(P102*180%)*(4/$J$1)</f>
        <v/>
      </c>
      <c r="Q161" s="840">
        <f>Q137/(Q102*180%)*(4/$J$1)</f>
        <v/>
      </c>
      <c r="R161" s="840">
        <f>R137/(R102*180%)*(4/$J$1)</f>
        <v/>
      </c>
      <c r="S161" s="840">
        <f>S137/(S102*180%)*(4/$J$1)</f>
        <v/>
      </c>
      <c r="T161" s="840">
        <f>T137/(T102*180%)*(4/$J$1)</f>
        <v/>
      </c>
      <c r="U161" s="13" t="n"/>
    </row>
    <row r="162" ht="16.5" customHeight="1" s="760">
      <c r="C162" s="12" t="inlineStr">
        <is>
          <t>* ROE = 당기순이익 / (회계정책 변경후 기시 자기자본 기준, 분기말 자기자본의 평균) * (4/분기),  RAROC = 신계약CSM ÷ (요구자본x150%) * (4/분기)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</row>
    <row r="163" ht="16.5" customHeight="1" s="760"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</row>
    <row r="164" ht="16.5" customHeight="1" s="760">
      <c r="A164" s="642">
        <f>DATA!S1</f>
        <v/>
      </c>
      <c r="C164" s="13" t="n"/>
      <c r="D164" s="13" t="n"/>
      <c r="E164" s="642" t="inlineStr">
        <is>
          <t>전기자기자본</t>
        </is>
      </c>
      <c r="F164" s="13" t="n"/>
      <c r="G164" s="13" t="n"/>
      <c r="H164" s="13" t="n"/>
      <c r="I164" s="786">
        <f>VLOOKUP($I$1&amp;I$8,DATA!$A:$EB,'2312'!$A164,0)/100</f>
        <v/>
      </c>
      <c r="J164" s="786">
        <f>VLOOKUP($I$1&amp;J$8,DATA!$A:$EB,'2312'!$A164,0)/100</f>
        <v/>
      </c>
      <c r="K164" s="787">
        <f>VLOOKUP($I$1&amp;K$8,DATA!$A:$EB,'2312'!$A164,0)/100</f>
        <v/>
      </c>
      <c r="L164" s="787">
        <f>VLOOKUP($I$1&amp;L$8,DATA!$A:$EB,'2312'!$A164,0)/100</f>
        <v/>
      </c>
      <c r="M164" s="787">
        <f>VLOOKUP($I$1&amp;M$8,DATA!$A:$EB,'2312'!$A164,0)/100</f>
        <v/>
      </c>
      <c r="N164" s="787">
        <f>VLOOKUP($I$1&amp;N$8,DATA!$A:$EB,'2312'!$A164,0)/100</f>
        <v/>
      </c>
      <c r="O164" s="787">
        <f>VLOOKUP($I$1&amp;O$8,DATA!$A:$EB,'2312'!$A164,0)/100</f>
        <v/>
      </c>
      <c r="P164" s="787">
        <f>VLOOKUP($I$1&amp;P$8,DATA!$A:$EB,'2312'!$A164,0)/100</f>
        <v/>
      </c>
      <c r="Q164" s="787">
        <f>VLOOKUP($I$1&amp;Q$8,DATA!$A:$EB,'2312'!$A164,0)/100</f>
        <v/>
      </c>
      <c r="R164" s="787">
        <f>VLOOKUP($I$1&amp;R$8,DATA!$A:$EB,'2312'!$A164,0)/100</f>
        <v/>
      </c>
      <c r="S164" s="787">
        <f>VLOOKUP($I$1&amp;S$8,DATA!$A:$EB,'2312'!$A164,0)/100</f>
        <v/>
      </c>
      <c r="T164" s="787">
        <f>VLOOKUP($I$1&amp;T$8,DATA!$A:$EB,'2312'!$A164,0)/100</f>
        <v/>
      </c>
      <c r="U164" s="13" t="n"/>
    </row>
    <row r="165" ht="16.5" customHeight="1" s="760">
      <c r="A165" s="642">
        <f>DATA!O1</f>
        <v/>
      </c>
      <c r="C165" s="696" t="n"/>
      <c r="D165" s="696" t="n"/>
      <c r="E165" s="642" t="inlineStr">
        <is>
          <t>자기자본</t>
        </is>
      </c>
      <c r="F165" s="696" t="n"/>
      <c r="G165" s="696" t="n"/>
      <c r="H165" s="696" t="n"/>
      <c r="I165" s="786">
        <f>VLOOKUP($I$1&amp;I$8,DATA!$A:$EB,'2312'!$A165,0)/100</f>
        <v/>
      </c>
      <c r="J165" s="786">
        <f>VLOOKUP($I$1&amp;J$8,DATA!$A:$EB,'2312'!$A165,0)/100</f>
        <v/>
      </c>
      <c r="K165" s="787">
        <f>VLOOKUP($I$1&amp;K$8,DATA!$A:$EB,'2312'!$A165,0)/100</f>
        <v/>
      </c>
      <c r="L165" s="787">
        <f>VLOOKUP($I$1&amp;L$8,DATA!$A:$EB,'2312'!$A165,0)/100</f>
        <v/>
      </c>
      <c r="M165" s="787">
        <f>VLOOKUP($I$1&amp;M$8,DATA!$A:$EB,'2312'!$A165,0)/100</f>
        <v/>
      </c>
      <c r="N165" s="787">
        <f>VLOOKUP($I$1&amp;N$8,DATA!$A:$EB,'2312'!$A165,0)/100</f>
        <v/>
      </c>
      <c r="O165" s="787">
        <f>VLOOKUP($I$1&amp;O$8,DATA!$A:$EB,'2312'!$A165,0)/100</f>
        <v/>
      </c>
      <c r="P165" s="787">
        <f>VLOOKUP($I$1&amp;P$8,DATA!$A:$EB,'2312'!$A165,0)/100</f>
        <v/>
      </c>
      <c r="Q165" s="787">
        <f>VLOOKUP($I$1&amp;Q$8,DATA!$A:$EB,'2312'!$A165,0)/100</f>
        <v/>
      </c>
      <c r="R165" s="787">
        <f>VLOOKUP($I$1&amp;R$8,DATA!$A:$EB,'2312'!$A165,0)/100</f>
        <v/>
      </c>
      <c r="S165" s="787">
        <f>VLOOKUP($I$1&amp;S$8,DATA!$A:$EB,'2312'!$A165,0)/100</f>
        <v/>
      </c>
      <c r="T165" s="787">
        <f>VLOOKUP($I$1&amp;T$8,DATA!$A:$EB,'2312'!$A165,0)/100</f>
        <v/>
      </c>
      <c r="U165" s="696" t="n"/>
    </row>
    <row r="166" ht="16.5" customHeight="1" s="760">
      <c r="C166" s="696" t="n"/>
      <c r="D166" s="696" t="n"/>
      <c r="E166" s="696" t="n"/>
      <c r="F166" s="696" t="n"/>
      <c r="G166" s="696" t="n"/>
      <c r="H166" s="696" t="n"/>
      <c r="I166" s="696" t="n"/>
      <c r="J166" s="696" t="n"/>
      <c r="K166" s="696" t="n"/>
      <c r="L166" s="696" t="n"/>
      <c r="M166" s="696" t="n"/>
      <c r="N166" s="696" t="n"/>
      <c r="O166" s="696" t="n"/>
      <c r="P166" s="696" t="n"/>
      <c r="Q166" s="696" t="n"/>
      <c r="R166" s="696" t="n"/>
      <c r="S166" s="696" t="n"/>
      <c r="T166" s="696" t="n"/>
      <c r="U166" s="696" t="n"/>
    </row>
    <row r="167" ht="16.5" customHeight="1" s="760">
      <c r="C167" s="696" t="n"/>
      <c r="D167" s="696" t="n"/>
      <c r="E167" s="696" t="n"/>
      <c r="F167" s="696" t="n"/>
      <c r="G167" s="696" t="n"/>
      <c r="H167" s="696" t="n"/>
      <c r="I167" s="696" t="n"/>
      <c r="J167" s="696" t="n"/>
      <c r="K167" s="696" t="n"/>
      <c r="L167" s="696" t="n"/>
      <c r="M167" s="696" t="n"/>
      <c r="N167" s="696" t="n"/>
      <c r="O167" s="841" t="n"/>
      <c r="P167" s="696" t="n"/>
      <c r="Q167" s="696" t="n"/>
      <c r="R167" s="696" t="n"/>
      <c r="S167" s="696" t="n"/>
      <c r="T167" s="841" t="n"/>
      <c r="U167" s="696" t="n"/>
    </row>
    <row r="168">
      <c r="I168" s="785">
        <f>'2403'!I110</f>
        <v/>
      </c>
      <c r="J168" s="785">
        <f>'2403'!J110</f>
        <v/>
      </c>
      <c r="K168" s="842">
        <f>'2403'!K110</f>
        <v/>
      </c>
      <c r="L168" s="842">
        <f>'2403'!L110</f>
        <v/>
      </c>
      <c r="M168" s="842">
        <f>'2403'!M110</f>
        <v/>
      </c>
      <c r="N168" s="842">
        <f>'2403'!N110</f>
        <v/>
      </c>
      <c r="O168" s="785">
        <f>'2403'!O110</f>
        <v/>
      </c>
      <c r="P168" s="785">
        <f>'2403'!P110</f>
        <v/>
      </c>
      <c r="Q168" s="785">
        <f>'2403'!Q110</f>
        <v/>
      </c>
      <c r="R168" s="785">
        <f>'2403'!R110</f>
        <v/>
      </c>
      <c r="S168" s="785">
        <f>'2403'!S110</f>
        <v/>
      </c>
      <c r="T168" s="785">
        <f>'2403'!T110</f>
        <v/>
      </c>
    </row>
    <row r="171">
      <c r="C171" s="642" t="inlineStr">
        <is>
          <t>* kpi 용</t>
        </is>
      </c>
    </row>
    <row r="173" ht="16.5" customHeight="1" s="760">
      <c r="C173" s="650" t="inlineStr">
        <is>
          <t>구분</t>
        </is>
      </c>
      <c r="D173" s="648" t="n"/>
      <c r="E173" s="648" t="n"/>
      <c r="F173" s="648" t="n"/>
      <c r="G173" s="648" t="n"/>
      <c r="H173" s="649" t="n"/>
      <c r="I173" s="8" t="inlineStr">
        <is>
          <t>미래에셋생명</t>
        </is>
      </c>
      <c r="J173" s="8" t="inlineStr">
        <is>
          <t>삼성생명</t>
        </is>
      </c>
      <c r="K173" s="8" t="inlineStr">
        <is>
          <t>교보생명</t>
        </is>
      </c>
      <c r="L173" s="8" t="inlineStr">
        <is>
          <t>한화생명</t>
        </is>
      </c>
      <c r="M173" s="8" t="inlineStr">
        <is>
          <t>신한라이프</t>
        </is>
      </c>
      <c r="N173" s="8" t="inlineStr">
        <is>
          <t>동양생명</t>
        </is>
      </c>
      <c r="O173" s="9" t="inlineStr">
        <is>
          <t>KB라이프</t>
        </is>
      </c>
      <c r="P173" s="9" t="inlineStr">
        <is>
          <t>삼성화재</t>
        </is>
      </c>
      <c r="Q173" s="9" t="inlineStr">
        <is>
          <t>현대해상</t>
        </is>
      </c>
      <c r="R173" s="9" t="inlineStr">
        <is>
          <t>메리츠화재</t>
        </is>
      </c>
      <c r="S173" s="9" t="inlineStr">
        <is>
          <t>KB손보</t>
        </is>
      </c>
      <c r="T173" s="9" t="inlineStr">
        <is>
          <t>DB손보</t>
        </is>
      </c>
      <c r="U173" s="13" t="n"/>
    </row>
    <row r="174" ht="16.5" customHeight="1" s="760">
      <c r="C174" s="665" t="inlineStr">
        <is>
          <t>ROE</t>
        </is>
      </c>
      <c r="D174" s="648" t="n"/>
      <c r="E174" s="648" t="n"/>
      <c r="F174" s="648" t="n"/>
      <c r="G174" s="648" t="n"/>
      <c r="H174" s="649" t="n"/>
      <c r="I174" s="836" t="n"/>
      <c r="J174" s="836" t="n"/>
      <c r="K174" s="836" t="n"/>
      <c r="L174" s="836" t="n"/>
      <c r="M174" s="836" t="n"/>
      <c r="N174" s="836" t="n"/>
      <c r="O174" s="837" t="n"/>
      <c r="P174" s="837" t="n"/>
      <c r="Q174" s="837" t="n"/>
      <c r="R174" s="837" t="n"/>
      <c r="S174" s="837" t="n"/>
      <c r="T174" s="837" t="n"/>
      <c r="U174" s="13" t="n"/>
    </row>
    <row r="175" ht="16.5" customHeight="1" s="760">
      <c r="C175" s="687" t="inlineStr">
        <is>
          <t>RAROC (연환산)</t>
        </is>
      </c>
      <c r="H175" s="643" t="n"/>
      <c r="I175" s="794" t="n"/>
      <c r="J175" s="794" t="n"/>
      <c r="K175" s="794" t="n"/>
      <c r="L175" s="794" t="n"/>
      <c r="M175" s="794" t="n"/>
      <c r="N175" s="794" t="n"/>
      <c r="O175" s="797" t="n"/>
      <c r="P175" s="797" t="n"/>
      <c r="Q175" s="797" t="n"/>
      <c r="R175" s="797" t="n"/>
      <c r="S175" s="797" t="n"/>
      <c r="T175" s="797" t="n"/>
      <c r="U175" s="13" t="n"/>
    </row>
    <row r="176" ht="16.5" customHeight="1" s="760">
      <c r="C176" s="655" t="inlineStr">
        <is>
          <t>CSM</t>
        </is>
      </c>
      <c r="D176" s="648" t="n"/>
      <c r="E176" s="679" t="inlineStr">
        <is>
          <t>÷ 자기자본</t>
        </is>
      </c>
      <c r="F176" s="652" t="n"/>
      <c r="G176" s="652" t="n"/>
      <c r="H176" s="653" t="n"/>
      <c r="I176" s="838" t="n"/>
      <c r="J176" s="838" t="n"/>
      <c r="K176" s="838" t="n"/>
      <c r="L176" s="838" t="n"/>
      <c r="M176" s="838" t="n"/>
      <c r="N176" s="838" t="n"/>
      <c r="O176" s="838" t="n"/>
      <c r="P176" s="838" t="n"/>
      <c r="Q176" s="838" t="n"/>
      <c r="R176" s="838" t="n"/>
      <c r="S176" s="838" t="n"/>
      <c r="T176" s="838" t="n"/>
      <c r="U176" s="13" t="n"/>
    </row>
    <row r="177" ht="16.5" customHeight="1" s="760">
      <c r="E177" s="662" t="inlineStr">
        <is>
          <t>÷ (요구자본x150%)</t>
        </is>
      </c>
      <c r="F177" s="663" t="n"/>
      <c r="G177" s="663" t="n"/>
      <c r="H177" s="664" t="n"/>
      <c r="I177" s="839">
        <f>I133/(I102*150%)</f>
        <v/>
      </c>
      <c r="J177" s="839">
        <f>J133/(J102*150%)</f>
        <v/>
      </c>
      <c r="K177" s="839">
        <f>K133/(K102*150%)</f>
        <v/>
      </c>
      <c r="L177" s="839">
        <f>L133/(L102*150%)</f>
        <v/>
      </c>
      <c r="M177" s="839">
        <f>M133/(M102*150%)</f>
        <v/>
      </c>
      <c r="N177" s="839">
        <f>N133/(N102*150%)</f>
        <v/>
      </c>
      <c r="O177" s="839">
        <f>O133/(O102*150%)</f>
        <v/>
      </c>
      <c r="P177" s="839">
        <f>P133/(P102*150%)</f>
        <v/>
      </c>
      <c r="Q177" s="839">
        <f>Q133/(Q102*150%)</f>
        <v/>
      </c>
      <c r="R177" s="839">
        <f>R133/(R102*150%)</f>
        <v/>
      </c>
      <c r="S177" s="839">
        <f>S133/(S102*150%)</f>
        <v/>
      </c>
      <c r="T177" s="839">
        <f>T133/(T102*150%)</f>
        <v/>
      </c>
      <c r="U177" s="13" t="n"/>
    </row>
    <row r="178" ht="16.5" customHeight="1" s="760">
      <c r="C178" s="207" t="n"/>
      <c r="D178" s="207" t="n"/>
      <c r="E178" s="688" t="inlineStr">
        <is>
          <t>÷ (요구자본x180%)</t>
        </is>
      </c>
      <c r="F178" s="659" t="n"/>
      <c r="G178" s="659" t="n"/>
      <c r="H178" s="660" t="n"/>
      <c r="I178" s="840" t="n"/>
      <c r="J178" s="840" t="n"/>
      <c r="K178" s="840" t="n"/>
      <c r="L178" s="840" t="n"/>
      <c r="M178" s="840" t="n"/>
      <c r="N178" s="840" t="n"/>
      <c r="O178" s="840" t="n"/>
      <c r="P178" s="840" t="n"/>
      <c r="Q178" s="840" t="n"/>
      <c r="R178" s="840" t="n"/>
      <c r="S178" s="840" t="n"/>
      <c r="T178" s="840" t="n"/>
      <c r="U178" s="13" t="n"/>
    </row>
    <row r="179" ht="16.5" customHeight="1" s="760">
      <c r="C179" s="682" t="inlineStr">
        <is>
          <t>CSM
상각액
(연환산)</t>
        </is>
      </c>
      <c r="D179" s="649" t="n"/>
      <c r="E179" s="651" t="inlineStr">
        <is>
          <t>÷ 자기자본</t>
        </is>
      </c>
      <c r="F179" s="652" t="n"/>
      <c r="G179" s="652" t="n"/>
      <c r="H179" s="653" t="n"/>
      <c r="I179" s="838" t="n"/>
      <c r="J179" s="838" t="n"/>
      <c r="K179" s="838" t="n"/>
      <c r="L179" s="838" t="n"/>
      <c r="M179" s="838" t="n"/>
      <c r="N179" s="838" t="n"/>
      <c r="O179" s="838" t="n"/>
      <c r="P179" s="838" t="n"/>
      <c r="Q179" s="838" t="n"/>
      <c r="R179" s="838" t="n"/>
      <c r="S179" s="838" t="n"/>
      <c r="T179" s="838" t="n"/>
      <c r="U179" s="13" t="n"/>
    </row>
    <row r="180" ht="16.5" customHeight="1" s="760">
      <c r="D180" s="643" t="n"/>
      <c r="E180" s="662" t="inlineStr">
        <is>
          <t>÷ (요구자본x150%)</t>
        </is>
      </c>
      <c r="F180" s="663" t="n"/>
      <c r="G180" s="663" t="n"/>
      <c r="H180" s="664" t="n"/>
      <c r="I180" s="839" t="n"/>
      <c r="J180" s="839" t="n"/>
      <c r="K180" s="839" t="n"/>
      <c r="L180" s="839" t="n"/>
      <c r="M180" s="839" t="n"/>
      <c r="N180" s="839" t="n"/>
      <c r="O180" s="839" t="n"/>
      <c r="P180" s="839" t="n"/>
      <c r="Q180" s="839" t="n"/>
      <c r="R180" s="839" t="n"/>
      <c r="S180" s="839" t="n"/>
      <c r="T180" s="839" t="n"/>
      <c r="U180" s="13" t="n"/>
    </row>
    <row r="181" ht="16.5" customHeight="1" s="760">
      <c r="C181" s="645" t="n"/>
      <c r="D181" s="646" t="n"/>
      <c r="E181" s="658" t="inlineStr">
        <is>
          <t>÷ (요구자본x180%)</t>
        </is>
      </c>
      <c r="F181" s="659" t="n"/>
      <c r="G181" s="659" t="n"/>
      <c r="H181" s="660" t="n"/>
      <c r="I181" s="840" t="n"/>
      <c r="J181" s="840" t="n"/>
      <c r="K181" s="840" t="n"/>
      <c r="L181" s="840" t="n"/>
      <c r="M181" s="840" t="n"/>
      <c r="N181" s="840" t="n"/>
      <c r="O181" s="840" t="n"/>
      <c r="P181" s="840" t="n"/>
      <c r="Q181" s="840" t="n"/>
      <c r="R181" s="840" t="n"/>
      <c r="S181" s="840" t="n"/>
      <c r="T181" s="840" t="n"/>
      <c r="U181" s="13" t="n"/>
    </row>
    <row r="182" ht="16.5" customHeight="1" s="760">
      <c r="C182" s="12" t="inlineStr">
        <is>
          <t>* ROE = 당기순이익 / (회계정책 변경후 기시 자기자본 기준, 분기말 자기자본의 평균) * (4/분기),  RAROC = 신계약CSM ÷ (요구자본x150%) * (4/분기)</t>
        </is>
      </c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</row>
    <row r="183" ht="16.5" customHeight="1" s="760">
      <c r="C183" s="642" t="inlineStr">
        <is>
          <t>자기자본</t>
        </is>
      </c>
      <c r="E183" s="662" t="inlineStr">
        <is>
          <t>÷ (요구자본x150%)</t>
        </is>
      </c>
      <c r="F183" s="663" t="n"/>
      <c r="G183" s="663" t="n"/>
      <c r="H183" s="664" t="n"/>
      <c r="I183" s="785">
        <f>I165/(I102*150%)</f>
        <v/>
      </c>
      <c r="J183" s="785">
        <f>J165/(J102*150%)</f>
        <v/>
      </c>
      <c r="K183" s="785">
        <f>K165/(K102*150%)</f>
        <v/>
      </c>
      <c r="L183" s="785">
        <f>L165/(L102*150%)</f>
        <v/>
      </c>
      <c r="M183" s="785">
        <f>M165/(M102*150%)</f>
        <v/>
      </c>
      <c r="N183" s="785">
        <f>N165/(N102*150%)</f>
        <v/>
      </c>
      <c r="O183" s="785">
        <f>O165/(O102*150%)</f>
        <v/>
      </c>
      <c r="P183" s="785">
        <f>P165/(P102*150%)</f>
        <v/>
      </c>
      <c r="Q183" s="785">
        <f>Q165/(Q102*150%)</f>
        <v/>
      </c>
      <c r="R183" s="785">
        <f>R165/(R102*150%)</f>
        <v/>
      </c>
      <c r="S183" s="785">
        <f>S165/(S102*150%)</f>
        <v/>
      </c>
      <c r="T183" s="785">
        <f>T165/(T102*150%)</f>
        <v/>
      </c>
    </row>
    <row r="186">
      <c r="N186" s="843">
        <f>AVERAGE(J177:O177)</f>
        <v/>
      </c>
      <c r="O186" s="843">
        <f>AVERAGE(P177:T177)</f>
        <v/>
      </c>
    </row>
    <row r="187">
      <c r="N187" s="843">
        <f>AVERAGE(J183:O183)</f>
        <v/>
      </c>
      <c r="O187" s="843">
        <f>AVERAGE(P183:T183)</f>
        <v/>
      </c>
    </row>
    <row r="189" ht="15" customHeight="1" s="760"/>
    <row r="190" ht="15" customHeight="1" s="760"/>
  </sheetData>
  <mergeCells count="92">
    <mergeCell ref="C25:H25"/>
    <mergeCell ref="C85:H85"/>
    <mergeCell ref="C117:H117"/>
    <mergeCell ref="C99:H99"/>
    <mergeCell ref="E179:H179"/>
    <mergeCell ref="C9:H9"/>
    <mergeCell ref="C176:D177"/>
    <mergeCell ref="C118:H118"/>
    <mergeCell ref="C133:H133"/>
    <mergeCell ref="C75:H75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10:H10"/>
    <mergeCell ref="C93:H93"/>
    <mergeCell ref="C173:H173"/>
    <mergeCell ref="E183:H183"/>
    <mergeCell ref="C115:H115"/>
    <mergeCell ref="F140:H140"/>
    <mergeCell ref="C135:H135"/>
    <mergeCell ref="C67:H67"/>
    <mergeCell ref="C19:H19"/>
    <mergeCell ref="J142:J143"/>
    <mergeCell ref="E156:H156"/>
    <mergeCell ref="C92:H92"/>
    <mergeCell ref="P142:P143"/>
    <mergeCell ref="F112:H112"/>
    <mergeCell ref="C62:H62"/>
    <mergeCell ref="C14:H14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C175:H175"/>
    <mergeCell ref="E176:H176"/>
    <mergeCell ref="E158:H158"/>
    <mergeCell ref="F143:H143"/>
    <mergeCell ref="C20:H20"/>
    <mergeCell ref="C29:H29"/>
    <mergeCell ref="E178:H178"/>
    <mergeCell ref="C100:H100"/>
    <mergeCell ref="D110:H110"/>
    <mergeCell ref="C94:H94"/>
    <mergeCell ref="C65:H65"/>
    <mergeCell ref="C109:H109"/>
    <mergeCell ref="F142:H142"/>
    <mergeCell ref="C84:H84"/>
    <mergeCell ref="C179:D181"/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E177:H177"/>
    <mergeCell ref="C74:H74"/>
    <mergeCell ref="C159:D16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4"/>
  <sheetViews>
    <sheetView showGridLines="0" workbookViewId="0">
      <selection activeCell="I141" sqref="I141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2406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VLOOKUP($I$1&amp;I$8,DATA!$A:$EB,'2406'!$A9,0)/100</f>
        <v/>
      </c>
      <c r="J9" s="765">
        <f>VLOOKUP($I$1&amp;J$8,DATA!$A:$EB,'2406'!$A9,0)/100</f>
        <v/>
      </c>
      <c r="K9" s="765">
        <f>VLOOKUP($I$1&amp;K$8,DATA!$A:$EB,'2406'!$A9,0)/100</f>
        <v/>
      </c>
      <c r="L9" s="765">
        <f>VLOOKUP($I$1&amp;L$8,DATA!$A:$EB,'2406'!$A9,0)/100</f>
        <v/>
      </c>
      <c r="M9" s="765">
        <f>VLOOKUP($I$1&amp;M$8,DATA!$A:$EB,'2406'!$A9,0)/100</f>
        <v/>
      </c>
      <c r="N9" s="765">
        <f>VLOOKUP($I$1&amp;N$8,DATA!$A:$EB,'2406'!$A9,0)/100</f>
        <v/>
      </c>
      <c r="O9" s="765">
        <f>VLOOKUP($I$1&amp;O$8,DATA!$A:$EB,'2406'!$A9,0)/100</f>
        <v/>
      </c>
      <c r="P9" s="765">
        <f>VLOOKUP($I$1&amp;P$8,DATA!$A:$EB,'2406'!$A9,0)/100</f>
        <v/>
      </c>
      <c r="Q9" s="765">
        <f>VLOOKUP($I$1&amp;Q$8,DATA!$A:$EB,'2406'!$A9,0)/100</f>
        <v/>
      </c>
      <c r="R9" s="765">
        <f>VLOOKUP($I$1&amp;R$8,DATA!$A:$EB,'2406'!$A9,0)/100</f>
        <v/>
      </c>
      <c r="S9" s="765">
        <f>VLOOKUP($I$1&amp;S$8,DATA!$A:$EB,'2406'!$A9,0)/100</f>
        <v/>
      </c>
      <c r="T9" s="764">
        <f>VLOOKUP($I$1&amp;T$8,DATA!$A:$EB,'2406'!$A9,0)/100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VLOOKUP($I$1&amp;I$8,DATA!$A:$EB,'2406'!$A10,0)/100</f>
        <v/>
      </c>
      <c r="J10" s="768">
        <f>VLOOKUP($I$1&amp;J$8,DATA!$A:$EB,'2406'!$A10,0)/100</f>
        <v/>
      </c>
      <c r="K10" s="768">
        <f>VLOOKUP($I$1&amp;K$8,DATA!$A:$EB,'2406'!$A10,0)/100</f>
        <v/>
      </c>
      <c r="L10" s="768">
        <f>VLOOKUP($I$1&amp;L$8,DATA!$A:$EB,'2406'!$A10,0)/100</f>
        <v/>
      </c>
      <c r="M10" s="768">
        <f>VLOOKUP($I$1&amp;M$8,DATA!$A:$EB,'2406'!$A10,0)/100</f>
        <v/>
      </c>
      <c r="N10" s="768">
        <f>VLOOKUP($I$1&amp;N$8,DATA!$A:$EB,'2406'!$A10,0)/100</f>
        <v/>
      </c>
      <c r="O10" s="768">
        <f>VLOOKUP($I$1&amp;O$8,DATA!$A:$EB,'2406'!$A10,0)/100</f>
        <v/>
      </c>
      <c r="P10" s="768">
        <f>VLOOKUP($I$1&amp;P$8,DATA!$A:$EB,'2406'!$A10,0)/100</f>
        <v/>
      </c>
      <c r="Q10" s="768">
        <f>VLOOKUP($I$1&amp;Q$8,DATA!$A:$EB,'2406'!$A10,0)/100</f>
        <v/>
      </c>
      <c r="R10" s="768">
        <f>VLOOKUP($I$1&amp;R$8,DATA!$A:$EB,'2406'!$A10,0)/100</f>
        <v/>
      </c>
      <c r="S10" s="768">
        <f>VLOOKUP($I$1&amp;S$8,DATA!$A:$EB,'2406'!$A10,0)/100</f>
        <v/>
      </c>
      <c r="T10" s="767">
        <f>VLOOKUP($I$1&amp;T$8,DATA!$A:$EB,'2406'!$A10,0)/100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VLOOKUP($I$1&amp;I$8,DATA!$A:$EB,'2406'!$A12,0)/100</f>
        <v/>
      </c>
      <c r="J12" s="768">
        <f>VLOOKUP($I$1&amp;J$8,DATA!$A:$EB,'2406'!$A12,0)/100</f>
        <v/>
      </c>
      <c r="K12" s="768">
        <f>VLOOKUP($I$1&amp;K$8,DATA!$A:$EB,'2406'!$A12,0)/100</f>
        <v/>
      </c>
      <c r="L12" s="768">
        <f>VLOOKUP($I$1&amp;L$8,DATA!$A:$EB,'2406'!$A12,0)/100</f>
        <v/>
      </c>
      <c r="M12" s="768">
        <f>VLOOKUP($I$1&amp;M$8,DATA!$A:$EB,'2406'!$A12,0)/100</f>
        <v/>
      </c>
      <c r="N12" s="768">
        <f>VLOOKUP($I$1&amp;N$8,DATA!$A:$EB,'2406'!$A12,0)/100</f>
        <v/>
      </c>
      <c r="O12" s="768">
        <f>VLOOKUP($I$1&amp;O$8,DATA!$A:$EB,'2406'!$A12,0)/100</f>
        <v/>
      </c>
      <c r="P12" s="768">
        <f>VLOOKUP($I$1&amp;P$8,DATA!$A:$EB,'2406'!$A12,0)/100</f>
        <v/>
      </c>
      <c r="Q12" s="768">
        <f>VLOOKUP($I$1&amp;Q$8,DATA!$A:$EB,'2406'!$A12,0)/100</f>
        <v/>
      </c>
      <c r="R12" s="768">
        <f>VLOOKUP($I$1&amp;R$8,DATA!$A:$EB,'2406'!$A12,0)/100</f>
        <v/>
      </c>
      <c r="S12" s="768">
        <f>VLOOKUP($I$1&amp;S$8,DATA!$A:$EB,'2406'!$A12,0)/100</f>
        <v/>
      </c>
      <c r="T12" s="767">
        <f>VLOOKUP($I$1&amp;T$8,DATA!$A:$EB,'2406'!$A12,0)/100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VLOOKUP($I$1&amp;I$8,DATA!$A:$EB,'2406'!$A13,0)/100</f>
        <v/>
      </c>
      <c r="J13" s="772">
        <f>VLOOKUP($I$1&amp;J$8,DATA!$A:$EB,'2406'!$A13,0)/100</f>
        <v/>
      </c>
      <c r="K13" s="772">
        <f>VLOOKUP($I$1&amp;K$8,DATA!$A:$EB,'2406'!$A13,0)/100</f>
        <v/>
      </c>
      <c r="L13" s="772">
        <f>VLOOKUP($I$1&amp;L$8,DATA!$A:$EB,'2406'!$A13,0)/100</f>
        <v/>
      </c>
      <c r="M13" s="772">
        <f>VLOOKUP($I$1&amp;M$8,DATA!$A:$EB,'2406'!$A13,0)/100</f>
        <v/>
      </c>
      <c r="N13" s="772">
        <f>VLOOKUP($I$1&amp;N$8,DATA!$A:$EB,'2406'!$A13,0)/100</f>
        <v/>
      </c>
      <c r="O13" s="772">
        <f>VLOOKUP($I$1&amp;O$8,DATA!$A:$EB,'2406'!$A13,0)/100</f>
        <v/>
      </c>
      <c r="P13" s="772">
        <f>VLOOKUP($I$1&amp;P$8,DATA!$A:$EB,'2406'!$A13,0)/100</f>
        <v/>
      </c>
      <c r="Q13" s="772">
        <f>VLOOKUP($I$1&amp;Q$8,DATA!$A:$EB,'2406'!$A13,0)/100</f>
        <v/>
      </c>
      <c r="R13" s="772">
        <f>VLOOKUP($I$1&amp;R$8,DATA!$A:$EB,'2406'!$A13,0)/100</f>
        <v/>
      </c>
      <c r="S13" s="772">
        <f>VLOOKUP($I$1&amp;S$8,DATA!$A:$EB,'2406'!$A13,0)/100</f>
        <v/>
      </c>
      <c r="T13" s="771">
        <f>VLOOKUP($I$1&amp;T$8,DATA!$A:$EB,'2406'!$A13,0)/100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VLOOKUP($I$1&amp;I$8,DATA!$A:$EB,'2406'!$A14,0)/100</f>
        <v/>
      </c>
      <c r="J14" s="765">
        <f>VLOOKUP($I$1&amp;J$8,DATA!$A:$EB,'2406'!$A14,0)/100</f>
        <v/>
      </c>
      <c r="K14" s="765">
        <f>VLOOKUP($I$1&amp;K$8,DATA!$A:$EB,'2406'!$A14,0)/100</f>
        <v/>
      </c>
      <c r="L14" s="765">
        <f>VLOOKUP($I$1&amp;L$8,DATA!$A:$EB,'2406'!$A14,0)/100</f>
        <v/>
      </c>
      <c r="M14" s="765">
        <f>VLOOKUP($I$1&amp;M$8,DATA!$A:$EB,'2406'!$A14,0)/100</f>
        <v/>
      </c>
      <c r="N14" s="765">
        <f>VLOOKUP($I$1&amp;N$8,DATA!$A:$EB,'2406'!$A14,0)/100</f>
        <v/>
      </c>
      <c r="O14" s="765">
        <f>VLOOKUP($I$1&amp;O$8,DATA!$A:$EB,'2406'!$A14,0)/100</f>
        <v/>
      </c>
      <c r="P14" s="765">
        <f>VLOOKUP($I$1&amp;P$8,DATA!$A:$EB,'2406'!$A14,0)/100</f>
        <v/>
      </c>
      <c r="Q14" s="765">
        <f>VLOOKUP($I$1&amp;Q$8,DATA!$A:$EB,'2406'!$A14,0)/100</f>
        <v/>
      </c>
      <c r="R14" s="765">
        <f>VLOOKUP($I$1&amp;R$8,DATA!$A:$EB,'2406'!$A14,0)/100</f>
        <v/>
      </c>
      <c r="S14" s="765">
        <f>VLOOKUP($I$1&amp;S$8,DATA!$A:$EB,'2406'!$A14,0)/100</f>
        <v/>
      </c>
      <c r="T14" s="764">
        <f>VLOOKUP($I$1&amp;T$8,DATA!$A:$EB,'2406'!$A14,0)/100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VLOOKUP($I$1&amp;I$8,DATA!$A:$EB,'2406'!$A15,0)/100</f>
        <v/>
      </c>
      <c r="J15" s="768">
        <f>VLOOKUP($I$1&amp;J$8,DATA!$A:$EB,'2406'!$A15,0)/100</f>
        <v/>
      </c>
      <c r="K15" s="768">
        <f>VLOOKUP($I$1&amp;K$8,DATA!$A:$EB,'2406'!$A15,0)/100</f>
        <v/>
      </c>
      <c r="L15" s="768">
        <f>VLOOKUP($I$1&amp;L$8,DATA!$A:$EB,'2406'!$A15,0)/100</f>
        <v/>
      </c>
      <c r="M15" s="768">
        <f>VLOOKUP($I$1&amp;M$8,DATA!$A:$EB,'2406'!$A15,0)/100</f>
        <v/>
      </c>
      <c r="N15" s="768">
        <f>VLOOKUP($I$1&amp;N$8,DATA!$A:$EB,'2406'!$A15,0)/100</f>
        <v/>
      </c>
      <c r="O15" s="768">
        <f>VLOOKUP($I$1&amp;O$8,DATA!$A:$EB,'2406'!$A15,0)/100</f>
        <v/>
      </c>
      <c r="P15" s="768">
        <f>VLOOKUP($I$1&amp;P$8,DATA!$A:$EB,'2406'!$A15,0)/100</f>
        <v/>
      </c>
      <c r="Q15" s="768">
        <f>VLOOKUP($I$1&amp;Q$8,DATA!$A:$EB,'2406'!$A15,0)/100</f>
        <v/>
      </c>
      <c r="R15" s="768">
        <f>VLOOKUP($I$1&amp;R$8,DATA!$A:$EB,'2406'!$A15,0)/100</f>
        <v/>
      </c>
      <c r="S15" s="768">
        <f>VLOOKUP($I$1&amp;S$8,DATA!$A:$EB,'2406'!$A15,0)/100</f>
        <v/>
      </c>
      <c r="T15" s="767">
        <f>VLOOKUP($I$1&amp;T$8,DATA!$A:$EB,'2406'!$A15,0)/100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VLOOKUP($I$1&amp;I$8,DATA!$A:$EB,'2406'!$A16,0)/100</f>
        <v/>
      </c>
      <c r="J16" s="844">
        <f>VLOOKUP($I$1&amp;J$8,DATA!$A:$EB,'2406'!$A16,0)/100</f>
        <v/>
      </c>
      <c r="K16" s="768">
        <f>VLOOKUP($I$1&amp;K$8,DATA!$A:$EB,'2406'!$A16,0)/100</f>
        <v/>
      </c>
      <c r="L16" s="768">
        <f>VLOOKUP($I$1&amp;L$8,DATA!$A:$EB,'2406'!$A16,0)/100</f>
        <v/>
      </c>
      <c r="M16" s="768">
        <f>VLOOKUP($I$1&amp;M$8,DATA!$A:$EB,'2406'!$A16,0)/100</f>
        <v/>
      </c>
      <c r="N16" s="768">
        <f>VLOOKUP($I$1&amp;N$8,DATA!$A:$EB,'2406'!$A16,0)/100</f>
        <v/>
      </c>
      <c r="O16" s="768">
        <f>VLOOKUP($I$1&amp;O$8,DATA!$A:$EB,'2406'!$A16,0)/100</f>
        <v/>
      </c>
      <c r="P16" s="768">
        <f>VLOOKUP($I$1&amp;P$8,DATA!$A:$EB,'2406'!$A16,0)/100</f>
        <v/>
      </c>
      <c r="Q16" s="768">
        <f>VLOOKUP($I$1&amp;Q$8,DATA!$A:$EB,'2406'!$A16,0)/100</f>
        <v/>
      </c>
      <c r="R16" s="768">
        <f>VLOOKUP($I$1&amp;R$8,DATA!$A:$EB,'2406'!$A16,0)/100</f>
        <v/>
      </c>
      <c r="S16" s="768">
        <f>VLOOKUP($I$1&amp;S$8,DATA!$A:$EB,'2406'!$A16,0)/100</f>
        <v/>
      </c>
      <c r="T16" s="767">
        <f>VLOOKUP($I$1&amp;T$8,DATA!$A:$EB,'2406'!$A16,0)/100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VLOOKUP($I$1&amp;I$8,DATA!$A:$EB,'2406'!$A18,0)/100</f>
        <v/>
      </c>
      <c r="J18" s="772">
        <f>VLOOKUP($I$1&amp;J$8,DATA!$A:$EB,'2406'!$A18,0)/100</f>
        <v/>
      </c>
      <c r="K18" s="772">
        <f>VLOOKUP($I$1&amp;K$8,DATA!$A:$EB,'2406'!$A18,0)/100</f>
        <v/>
      </c>
      <c r="L18" s="772">
        <f>VLOOKUP($I$1&amp;L$8,DATA!$A:$EB,'2406'!$A18,0)/100</f>
        <v/>
      </c>
      <c r="M18" s="772">
        <f>VLOOKUP($I$1&amp;M$8,DATA!$A:$EB,'2406'!$A18,0)/100</f>
        <v/>
      </c>
      <c r="N18" s="772">
        <f>VLOOKUP($I$1&amp;N$8,DATA!$A:$EB,'2406'!$A18,0)/100</f>
        <v/>
      </c>
      <c r="O18" s="772">
        <f>VLOOKUP($I$1&amp;O$8,DATA!$A:$EB,'2406'!$A18,0)/100</f>
        <v/>
      </c>
      <c r="P18" s="772">
        <f>VLOOKUP($I$1&amp;P$8,DATA!$A:$EB,'2406'!$A18,0)/100</f>
        <v/>
      </c>
      <c r="Q18" s="772">
        <f>VLOOKUP($I$1&amp;Q$8,DATA!$A:$EB,'2406'!$A18,0)/100</f>
        <v/>
      </c>
      <c r="R18" s="772">
        <f>VLOOKUP($I$1&amp;R$8,DATA!$A:$EB,'2406'!$A18,0)/100</f>
        <v/>
      </c>
      <c r="S18" s="772">
        <f>VLOOKUP($I$1&amp;S$8,DATA!$A:$EB,'2406'!$A18,0)/100</f>
        <v/>
      </c>
      <c r="T18" s="771">
        <f>VLOOKUP($I$1&amp;T$8,DATA!$A:$EB,'2406'!$A18,0)/100</f>
        <v/>
      </c>
    </row>
    <row r="19" ht="16.5" customHeight="1" s="760">
      <c r="A19" s="642">
        <f>DATA!N1</f>
        <v/>
      </c>
      <c r="C19" s="654" t="inlineStr">
        <is>
          <t>자기자본</t>
        </is>
      </c>
      <c r="D19" s="648" t="n"/>
      <c r="E19" s="648" t="n"/>
      <c r="F19" s="648" t="n"/>
      <c r="G19" s="648" t="n"/>
      <c r="H19" s="649" t="n"/>
      <c r="I19" s="764">
        <f>VLOOKUP($I$1&amp;I$8,DATA!$A:$EB,'2406'!$A19,0)/100</f>
        <v/>
      </c>
      <c r="J19" s="765">
        <f>VLOOKUP($I$1&amp;J$8,DATA!$A:$EB,'2406'!$A19,0)/100</f>
        <v/>
      </c>
      <c r="K19" s="765">
        <f>VLOOKUP($I$1&amp;K$8,DATA!$A:$EB,'2406'!$A19,0)/100</f>
        <v/>
      </c>
      <c r="L19" s="765">
        <f>VLOOKUP($I$1&amp;L$8,DATA!$A:$EB,'2406'!$A19,0)/100</f>
        <v/>
      </c>
      <c r="M19" s="765">
        <f>VLOOKUP($I$1&amp;M$8,DATA!$A:$EB,'2406'!$A19,0)/100</f>
        <v/>
      </c>
      <c r="N19" s="765">
        <f>VLOOKUP($I$1&amp;N$8,DATA!$A:$EB,'2406'!$A19,0)/100</f>
        <v/>
      </c>
      <c r="O19" s="765">
        <f>VLOOKUP($I$1&amp;O$8,DATA!$A:$EB,'2406'!$A19,0)/100</f>
        <v/>
      </c>
      <c r="P19" s="765">
        <f>VLOOKUP($I$1&amp;P$8,DATA!$A:$EB,'2406'!$A19,0)/100</f>
        <v/>
      </c>
      <c r="Q19" s="765">
        <f>VLOOKUP($I$1&amp;Q$8,DATA!$A:$EB,'2406'!$A19,0)/100</f>
        <v/>
      </c>
      <c r="R19" s="765">
        <f>VLOOKUP($I$1&amp;R$8,DATA!$A:$EB,'2406'!$A19,0)/100</f>
        <v/>
      </c>
      <c r="S19" s="765">
        <f>VLOOKUP($I$1&amp;S$8,DATA!$A:$EB,'2406'!$A19,0)/100</f>
        <v/>
      </c>
      <c r="T19" s="764">
        <f>VLOOKUP($I$1&amp;T$8,DATA!$A:$EB,'2406'!$A19,0)/100</f>
        <v/>
      </c>
    </row>
    <row r="20" ht="16.5" customHeight="1" s="760">
      <c r="A20" s="642">
        <f>DATA!R1</f>
        <v/>
      </c>
      <c r="C20" s="656" t="inlineStr">
        <is>
          <t>이익잉여금</t>
        </is>
      </c>
      <c r="H20" s="643" t="n"/>
      <c r="I20" s="767">
        <f>VLOOKUP($I$1&amp;I$8,DATA!$A:$EB,'2406'!$A20,0)/100</f>
        <v/>
      </c>
      <c r="J20" s="768">
        <f>VLOOKUP($I$1&amp;J$8,DATA!$A:$EB,'2406'!$A20,0)/100</f>
        <v/>
      </c>
      <c r="K20" s="768">
        <f>VLOOKUP($I$1&amp;K$8,DATA!$A:$EB,'2406'!$A20,0)/100</f>
        <v/>
      </c>
      <c r="L20" s="768">
        <f>VLOOKUP($I$1&amp;L$8,DATA!$A:$EB,'2406'!$A20,0)/100</f>
        <v/>
      </c>
      <c r="M20" s="768">
        <f>VLOOKUP($I$1&amp;M$8,DATA!$A:$EB,'2406'!$A20,0)/100</f>
        <v/>
      </c>
      <c r="N20" s="768">
        <f>VLOOKUP($I$1&amp;N$8,DATA!$A:$EB,'2406'!$A20,0)/100</f>
        <v/>
      </c>
      <c r="O20" s="768">
        <f>VLOOKUP($I$1&amp;O$8,DATA!$A:$EB,'2406'!$A20,0)/100</f>
        <v/>
      </c>
      <c r="P20" s="768">
        <f>VLOOKUP($I$1&amp;P$8,DATA!$A:$EB,'2406'!$A20,0)/100</f>
        <v/>
      </c>
      <c r="Q20" s="768">
        <f>VLOOKUP($I$1&amp;Q$8,DATA!$A:$EB,'2406'!$A20,0)/100</f>
        <v/>
      </c>
      <c r="R20" s="768">
        <f>VLOOKUP($I$1&amp;R$8,DATA!$A:$EB,'2406'!$A20,0)/100</f>
        <v/>
      </c>
      <c r="S20" s="768">
        <f>VLOOKUP($I$1&amp;S$8,DATA!$A:$EB,'2406'!$A20,0)/100</f>
        <v/>
      </c>
      <c r="T20" s="767">
        <f>VLOOKUP($I$1&amp;T$8,DATA!$A:$EB,'2406'!$A20,0)/100</f>
        <v/>
      </c>
    </row>
    <row r="21" ht="16.5" customHeight="1" s="760">
      <c r="A21" s="642">
        <f>DATA!Q1</f>
        <v/>
      </c>
      <c r="C21" s="661" t="inlineStr">
        <is>
          <t>기타포괄</t>
        </is>
      </c>
      <c r="D21" s="645" t="n"/>
      <c r="E21" s="645" t="n"/>
      <c r="F21" s="645" t="n"/>
      <c r="G21" s="645" t="n"/>
      <c r="H21" s="646" t="n"/>
      <c r="I21" s="771">
        <f>VLOOKUP($I$1&amp;I$8,DATA!$A:$EB,'2406'!$A21,0)/100</f>
        <v/>
      </c>
      <c r="J21" s="772">
        <f>VLOOKUP($I$1&amp;J$8,DATA!$A:$EB,'2406'!$A21,0)/100</f>
        <v/>
      </c>
      <c r="K21" s="772">
        <f>VLOOKUP($I$1&amp;K$8,DATA!$A:$EB,'2406'!$A21,0)/100</f>
        <v/>
      </c>
      <c r="L21" s="772">
        <f>VLOOKUP($I$1&amp;L$8,DATA!$A:$EB,'2406'!$A21,0)/100</f>
        <v/>
      </c>
      <c r="M21" s="772">
        <f>VLOOKUP($I$1&amp;M$8,DATA!$A:$EB,'2406'!$A21,0)/100</f>
        <v/>
      </c>
      <c r="N21" s="772">
        <f>VLOOKUP($I$1&amp;N$8,DATA!$A:$EB,'2406'!$A21,0)/100</f>
        <v/>
      </c>
      <c r="O21" s="772">
        <f>VLOOKUP($I$1&amp;O$8,DATA!$A:$EB,'2406'!$A21,0)/100</f>
        <v/>
      </c>
      <c r="P21" s="772">
        <f>VLOOKUP($I$1&amp;P$8,DATA!$A:$EB,'2406'!$A21,0)/100</f>
        <v/>
      </c>
      <c r="Q21" s="772">
        <f>VLOOKUP($I$1&amp;Q$8,DATA!$A:$EB,'2406'!$A21,0)/100</f>
        <v/>
      </c>
      <c r="R21" s="772">
        <f>VLOOKUP($I$1&amp;R$8,DATA!$A:$EB,'2406'!$A21,0)/100</f>
        <v/>
      </c>
      <c r="S21" s="772">
        <f>VLOOKUP($I$1&amp;S$8,DATA!$A:$EB,'2406'!$A21,0)/100</f>
        <v/>
      </c>
      <c r="T21" s="771">
        <f>VLOOKUP($I$1&amp;T$8,DATA!$A:$EB,'2406'!$A21,0)/100</f>
        <v/>
      </c>
    </row>
    <row r="22">
      <c r="C22" s="5" t="inlineStr">
        <is>
          <t xml:space="preserve">  - 금융자산비중</t>
        </is>
      </c>
      <c r="D22" s="5" t="n"/>
      <c r="E22" s="5" t="n"/>
      <c r="F22" s="5" t="n"/>
      <c r="G22" s="5" t="n"/>
      <c r="H22" s="5" t="n"/>
      <c r="I22" s="785">
        <f>+I20/I9</f>
        <v/>
      </c>
      <c r="J22" s="785">
        <f>+J20/J9</f>
        <v/>
      </c>
      <c r="K22" s="785">
        <f>+K20/K9</f>
        <v/>
      </c>
      <c r="L22" s="785">
        <f>+L20/L9</f>
        <v/>
      </c>
      <c r="M22" s="785">
        <f>+M20/M9</f>
        <v/>
      </c>
      <c r="N22" s="785">
        <f>+N20/N9</f>
        <v/>
      </c>
      <c r="O22" s="785">
        <f>+O20/O9</f>
        <v/>
      </c>
      <c r="P22" s="785">
        <f>+P20/P9</f>
        <v/>
      </c>
      <c r="Q22" s="785">
        <f>+Q20/Q9</f>
        <v/>
      </c>
      <c r="R22" s="785">
        <f>+R20/R9</f>
        <v/>
      </c>
      <c r="S22" s="785">
        <f>+S20/S9</f>
        <v/>
      </c>
      <c r="T22" s="785">
        <f>+T20/T9</f>
        <v/>
      </c>
    </row>
    <row r="23">
      <c r="C23" s="5" t="n"/>
      <c r="D23" s="5" t="n"/>
      <c r="E23" s="5" t="n"/>
      <c r="F23" s="5" t="n"/>
      <c r="G23" s="5" t="n"/>
      <c r="H23" s="5" t="n"/>
      <c r="I23" s="785" t="n"/>
      <c r="J23" s="785" t="n"/>
      <c r="K23" s="785" t="n"/>
      <c r="L23" s="785" t="n"/>
      <c r="M23" s="785" t="n"/>
      <c r="N23" s="785" t="n"/>
      <c r="O23" s="785" t="n"/>
      <c r="P23" s="785" t="n"/>
      <c r="Q23" s="785" t="n"/>
      <c r="R23" s="785" t="n"/>
      <c r="S23" s="785" t="n"/>
      <c r="T23" s="785" t="n"/>
    </row>
    <row r="24">
      <c r="C24" s="5" t="n"/>
      <c r="D24" s="5" t="n"/>
      <c r="E24" s="5" t="n"/>
      <c r="F24" s="5" t="n"/>
      <c r="G24" s="5" t="n"/>
      <c r="H24" s="5" t="n"/>
      <c r="I24" s="785" t="n"/>
      <c r="J24" s="785" t="n"/>
      <c r="K24" s="785" t="n"/>
      <c r="L24" s="785" t="n"/>
      <c r="M24" s="785" t="n"/>
      <c r="N24" s="785" t="n"/>
      <c r="O24" s="785" t="n"/>
      <c r="P24" s="785" t="n"/>
      <c r="Q24" s="785" t="n"/>
      <c r="R24" s="785" t="n"/>
      <c r="S24" s="785" t="n"/>
      <c r="T24" s="785" t="n"/>
    </row>
    <row r="25" ht="16.5" customHeight="1" s="760">
      <c r="A25" s="642">
        <f>DATA!T1</f>
        <v/>
      </c>
      <c r="C25" s="5" t="inlineStr">
        <is>
          <t>* 전기자기자본</t>
        </is>
      </c>
      <c r="D25" s="13" t="n"/>
      <c r="F25" s="13" t="n"/>
      <c r="G25" s="13" t="n"/>
      <c r="H25" s="13" t="n"/>
      <c r="I25" s="786">
        <f>VLOOKUP($I$1&amp;I$8,DATA!$A:$EB,'2406'!$A25,0)/100</f>
        <v/>
      </c>
      <c r="J25" s="786">
        <f>VLOOKUP($I$1&amp;J$8,DATA!$A:$EB,'2406'!$A25,0)/100</f>
        <v/>
      </c>
      <c r="K25" s="787">
        <f>VLOOKUP($I$1&amp;K$8,DATA!$A:$EB,'2406'!$A25,0)/100</f>
        <v/>
      </c>
      <c r="L25" s="787">
        <f>VLOOKUP($I$1&amp;L$8,DATA!$A:$EB,'2406'!$A25,0)/100</f>
        <v/>
      </c>
      <c r="M25" s="787">
        <f>VLOOKUP($I$1&amp;M$8,DATA!$A:$EB,'2406'!$A25,0)/100</f>
        <v/>
      </c>
      <c r="N25" s="787">
        <f>VLOOKUP($I$1&amp;N$8,DATA!$A:$EB,'2406'!$A25,0)/100</f>
        <v/>
      </c>
      <c r="O25" s="787">
        <f>VLOOKUP($I$1&amp;O$8,DATA!$A:$EB,'2406'!$A25,0)/100</f>
        <v/>
      </c>
      <c r="P25" s="787">
        <f>VLOOKUP($I$1&amp;P$8,DATA!$A:$EB,'2406'!$A25,0)/100</f>
        <v/>
      </c>
      <c r="Q25" s="787">
        <f>VLOOKUP($I$1&amp;Q$8,DATA!$A:$EB,'2406'!$A25,0)/100</f>
        <v/>
      </c>
      <c r="R25" s="787">
        <f>VLOOKUP($I$1&amp;R$8,DATA!$A:$EB,'2406'!$A25,0)/100</f>
        <v/>
      </c>
      <c r="S25" s="787">
        <f>VLOOKUP($I$1&amp;S$8,DATA!$A:$EB,'2406'!$A25,0)/100</f>
        <v/>
      </c>
      <c r="T25" s="787">
        <f>VLOOKUP($I$1&amp;T$8,DATA!$A:$EB,'2406'!$A25,0)/100</f>
        <v/>
      </c>
    </row>
    <row r="26" ht="16.5" customHeight="1" s="760">
      <c r="C26" s="5" t="inlineStr">
        <is>
          <t xml:space="preserve"> - 전기대비 증감</t>
        </is>
      </c>
      <c r="D26" s="13" t="n"/>
      <c r="F26" s="13" t="n"/>
      <c r="G26" s="13" t="n"/>
      <c r="H26" s="13" t="n"/>
      <c r="I26" s="786">
        <f>I19-I25</f>
        <v/>
      </c>
      <c r="J26" s="786">
        <f>J19-J25</f>
        <v/>
      </c>
      <c r="K26" s="786">
        <f>K19-K25</f>
        <v/>
      </c>
      <c r="L26" s="786">
        <f>L19-L25</f>
        <v/>
      </c>
      <c r="M26" s="786">
        <f>M19-M25</f>
        <v/>
      </c>
      <c r="N26" s="786">
        <f>N19-N25</f>
        <v/>
      </c>
      <c r="O26" s="786">
        <f>O19-O25</f>
        <v/>
      </c>
      <c r="P26" s="786">
        <f>P19-P25</f>
        <v/>
      </c>
      <c r="Q26" s="786">
        <f>Q19-Q25</f>
        <v/>
      </c>
      <c r="R26" s="786">
        <f>R19-R25</f>
        <v/>
      </c>
      <c r="S26" s="786">
        <f>S19-S25</f>
        <v/>
      </c>
      <c r="T26" s="786">
        <f>T19-T25</f>
        <v/>
      </c>
    </row>
    <row r="27">
      <c r="A27" s="642">
        <f>DATA!BC1</f>
        <v/>
      </c>
      <c r="C27" s="5" t="inlineStr">
        <is>
          <t>* 전기기타포괄</t>
        </is>
      </c>
      <c r="I27" s="786">
        <f>VLOOKUP($I$1&amp;I$8,DATA!$A:$EB,'2406'!$A27,0)/100</f>
        <v/>
      </c>
      <c r="J27" s="786">
        <f>VLOOKUP($I$1&amp;J$8,DATA!$A:$EB,'2406'!$A27,0)/100</f>
        <v/>
      </c>
      <c r="K27" s="786">
        <f>VLOOKUP($I$1&amp;K$8,DATA!$A:$EB,'2406'!$A27,0)/100</f>
        <v/>
      </c>
      <c r="L27" s="786">
        <f>VLOOKUP($I$1&amp;L$8,DATA!$A:$EB,'2406'!$A27,0)/100</f>
        <v/>
      </c>
      <c r="M27" s="786">
        <f>VLOOKUP($I$1&amp;M$8,DATA!$A:$EB,'2406'!$A27,0)/100</f>
        <v/>
      </c>
      <c r="N27" s="786">
        <f>VLOOKUP($I$1&amp;N$8,DATA!$A:$EB,'2406'!$A27,0)/100</f>
        <v/>
      </c>
      <c r="O27" s="786">
        <f>VLOOKUP($I$1&amp;O$8,DATA!$A:$EB,'2406'!$A27,0)/100</f>
        <v/>
      </c>
      <c r="P27" s="786">
        <f>VLOOKUP($I$1&amp;P$8,DATA!$A:$EB,'2406'!$A27,0)/100</f>
        <v/>
      </c>
      <c r="Q27" s="786">
        <f>VLOOKUP($I$1&amp;Q$8,DATA!$A:$EB,'2406'!$A27,0)/100</f>
        <v/>
      </c>
      <c r="R27" s="786">
        <f>VLOOKUP($I$1&amp;R$8,DATA!$A:$EB,'2406'!$A27,0)/100</f>
        <v/>
      </c>
      <c r="S27" s="786">
        <f>VLOOKUP($I$1&amp;S$8,DATA!$A:$EB,'2406'!$A27,0)/100</f>
        <v/>
      </c>
      <c r="T27" s="786">
        <f>VLOOKUP($I$1&amp;T$8,DATA!$A:$EB,'2406'!$A27,0)/100</f>
        <v/>
      </c>
    </row>
    <row r="28">
      <c r="A28" s="642">
        <f>DATA!BN1</f>
        <v/>
      </c>
      <c r="C28" s="5" t="inlineStr">
        <is>
          <t>1) 결산배당</t>
        </is>
      </c>
      <c r="I28" s="786">
        <f>VLOOKUP($I$1&amp;I$8,DATA!$A:$EB,'2406'!$A28,0)/100</f>
        <v/>
      </c>
      <c r="J28" s="786">
        <f>VLOOKUP($I$1&amp;J$8,DATA!$A:$EB,'2406'!$A28,0)/100</f>
        <v/>
      </c>
      <c r="K28" s="786">
        <f>VLOOKUP($I$1&amp;K$8,DATA!$A:$EB,'2406'!$A28,0)/100</f>
        <v/>
      </c>
      <c r="L28" s="786">
        <f>VLOOKUP($I$1&amp;L$8,DATA!$A:$EB,'2406'!$A28,0)/100</f>
        <v/>
      </c>
      <c r="M28" s="786">
        <f>VLOOKUP($I$1&amp;M$8,DATA!$A:$EB,'2406'!$A28,0)/100</f>
        <v/>
      </c>
      <c r="N28" s="786">
        <f>VLOOKUP($I$1&amp;N$8,DATA!$A:$EB,'2406'!$A28,0)/100</f>
        <v/>
      </c>
      <c r="O28" s="786">
        <f>VLOOKUP($I$1&amp;O$8,DATA!$A:$EB,'2406'!$A28,0)/100</f>
        <v/>
      </c>
      <c r="P28" s="786">
        <f>VLOOKUP($I$1&amp;P$8,DATA!$A:$EB,'2406'!$A28,0)/100</f>
        <v/>
      </c>
      <c r="Q28" s="786">
        <f>VLOOKUP($I$1&amp;Q$8,DATA!$A:$EB,'2406'!$A28,0)/100</f>
        <v/>
      </c>
      <c r="R28" s="786">
        <f>VLOOKUP($I$1&amp;R$8,DATA!$A:$EB,'2406'!$A28,0)/100</f>
        <v/>
      </c>
      <c r="S28" s="786">
        <f>VLOOKUP($I$1&amp;S$8,DATA!$A:$EB,'2406'!$A28,0)/100</f>
        <v/>
      </c>
      <c r="T28" s="786">
        <f>VLOOKUP($I$1&amp;T$8,DATA!$A:$EB,'2406'!$A28,0)/100</f>
        <v/>
      </c>
    </row>
    <row r="29">
      <c r="A29" s="642">
        <f>DATA!BR1</f>
        <v/>
      </c>
      <c r="C29" s="5" t="inlineStr">
        <is>
          <t>2) 기타배당</t>
        </is>
      </c>
      <c r="I29" s="786">
        <f>VLOOKUP($I$1&amp;I$8,DATA!$A:$EB,'2406'!$A29,0)/100</f>
        <v/>
      </c>
      <c r="J29" s="786">
        <f>VLOOKUP($I$1&amp;J$8,DATA!$A:$EB,'2406'!$A29,0)/100</f>
        <v/>
      </c>
      <c r="K29" s="786">
        <f>VLOOKUP($I$1&amp;K$8,DATA!$A:$EB,'2406'!$A29,0)/100</f>
        <v/>
      </c>
      <c r="L29" s="786">
        <f>VLOOKUP($I$1&amp;L$8,DATA!$A:$EB,'2406'!$A29,0)/100</f>
        <v/>
      </c>
      <c r="M29" s="786">
        <f>VLOOKUP($I$1&amp;M$8,DATA!$A:$EB,'2406'!$A29,0)/100</f>
        <v/>
      </c>
      <c r="N29" s="786">
        <f>VLOOKUP($I$1&amp;N$8,DATA!$A:$EB,'2406'!$A29,0)/100</f>
        <v/>
      </c>
      <c r="O29" s="786">
        <f>VLOOKUP($I$1&amp;O$8,DATA!$A:$EB,'2406'!$A29,0)/100</f>
        <v/>
      </c>
      <c r="P29" s="786">
        <f>VLOOKUP($I$1&amp;P$8,DATA!$A:$EB,'2406'!$A29,0)/100</f>
        <v/>
      </c>
      <c r="Q29" s="786">
        <f>VLOOKUP($I$1&amp;Q$8,DATA!$A:$EB,'2406'!$A29,0)/100</f>
        <v/>
      </c>
      <c r="R29" s="786">
        <f>VLOOKUP($I$1&amp;R$8,DATA!$A:$EB,'2406'!$A29,0)/100</f>
        <v/>
      </c>
      <c r="S29" s="786">
        <f>VLOOKUP($I$1&amp;S$8,DATA!$A:$EB,'2406'!$A29,0)/100</f>
        <v/>
      </c>
      <c r="T29" s="786">
        <f>VLOOKUP($I$1&amp;T$8,DATA!$A:$EB,'2406'!$A29,0)/100</f>
        <v/>
      </c>
    </row>
    <row r="30">
      <c r="C30" s="5" t="inlineStr">
        <is>
          <t>배당합계</t>
        </is>
      </c>
      <c r="I30" s="786">
        <f>I28+I29</f>
        <v/>
      </c>
      <c r="J30" s="786">
        <f>J28+J29</f>
        <v/>
      </c>
      <c r="K30" s="786">
        <f>K28+K29</f>
        <v/>
      </c>
      <c r="L30" s="786">
        <f>L28+L29</f>
        <v/>
      </c>
      <c r="M30" s="786">
        <f>M28+M29</f>
        <v/>
      </c>
      <c r="N30" s="786">
        <f>N28+N29</f>
        <v/>
      </c>
      <c r="O30" s="786">
        <f>O28+O29</f>
        <v/>
      </c>
      <c r="P30" s="786">
        <f>P28+P29</f>
        <v/>
      </c>
      <c r="Q30" s="786">
        <f>Q28+Q29</f>
        <v/>
      </c>
      <c r="R30" s="786">
        <f>R28+R29</f>
        <v/>
      </c>
      <c r="S30" s="786">
        <f>S28+S29</f>
        <v/>
      </c>
      <c r="T30" s="786">
        <f>T28+T29</f>
        <v/>
      </c>
    </row>
    <row r="31">
      <c r="C31" s="32" t="inlineStr">
        <is>
          <t xml:space="preserve"> 배당제외 자본증가금액</t>
        </is>
      </c>
      <c r="I31" s="786">
        <f>I26-I30</f>
        <v/>
      </c>
      <c r="J31" s="786">
        <f>J26-J30</f>
        <v/>
      </c>
      <c r="K31" s="786">
        <f>K26-K30</f>
        <v/>
      </c>
      <c r="L31" s="786">
        <f>L26-L30</f>
        <v/>
      </c>
      <c r="M31" s="786">
        <f>M26-M30</f>
        <v/>
      </c>
      <c r="N31" s="786">
        <f>N26-N30</f>
        <v/>
      </c>
      <c r="O31" s="786">
        <f>O26-O30</f>
        <v/>
      </c>
      <c r="P31" s="786">
        <f>P26-P30</f>
        <v/>
      </c>
      <c r="Q31" s="786">
        <f>Q26-Q30</f>
        <v/>
      </c>
      <c r="R31" s="786">
        <f>R26-R30</f>
        <v/>
      </c>
      <c r="S31" s="786">
        <f>S26-S30</f>
        <v/>
      </c>
      <c r="T31" s="786">
        <f>T26-T30</f>
        <v/>
      </c>
    </row>
    <row r="32">
      <c r="C32" s="642" t="inlineStr">
        <is>
          <t xml:space="preserve">    - 배당제외 기준 자본증가율</t>
        </is>
      </c>
      <c r="I32" s="788">
        <f>I31/I25</f>
        <v/>
      </c>
      <c r="J32" s="788">
        <f>J31/J25</f>
        <v/>
      </c>
      <c r="K32" s="788">
        <f>K31/K25</f>
        <v/>
      </c>
      <c r="L32" s="788">
        <f>L31/L25</f>
        <v/>
      </c>
      <c r="M32" s="788">
        <f>M31/M25</f>
        <v/>
      </c>
      <c r="N32" s="788">
        <f>N31/N25</f>
        <v/>
      </c>
      <c r="O32" s="788">
        <f>O31/O25</f>
        <v/>
      </c>
      <c r="P32" s="788">
        <f>P31/P25</f>
        <v/>
      </c>
      <c r="Q32" s="788">
        <f>Q31/Q25</f>
        <v/>
      </c>
      <c r="R32" s="788">
        <f>R31/R25</f>
        <v/>
      </c>
      <c r="S32" s="788">
        <f>S31/S25</f>
        <v/>
      </c>
      <c r="T32" s="788">
        <f>T31/T25</f>
        <v/>
      </c>
    </row>
    <row r="33">
      <c r="I33" s="788" t="n"/>
      <c r="J33" s="788" t="n"/>
      <c r="K33" s="788" t="n"/>
      <c r="L33" s="788" t="n"/>
      <c r="M33" s="788" t="n"/>
      <c r="N33" s="788" t="n"/>
      <c r="O33" s="788" t="n"/>
      <c r="P33" s="788" t="n"/>
      <c r="Q33" s="788" t="n"/>
      <c r="R33" s="788" t="n"/>
      <c r="S33" s="788" t="n"/>
      <c r="T33" s="788" t="n"/>
    </row>
    <row r="34">
      <c r="I34" s="788" t="n"/>
      <c r="J34" s="788" t="n"/>
      <c r="K34" s="788" t="n"/>
      <c r="L34" s="788" t="n"/>
      <c r="M34" s="788" t="n"/>
      <c r="N34" s="788" t="n"/>
      <c r="O34" s="788" t="n"/>
      <c r="P34" s="788" t="n"/>
      <c r="Q34" s="788" t="n"/>
      <c r="R34" s="788" t="n"/>
      <c r="S34" s="788" t="n"/>
      <c r="T34" s="788" t="n"/>
    </row>
    <row r="35">
      <c r="A35" s="642">
        <f>DATA!$BF$1</f>
        <v/>
      </c>
      <c r="C35" s="642" t="inlineStr">
        <is>
          <t>* 기타포괄손익 부채 변동금액</t>
        </is>
      </c>
      <c r="I35" s="786">
        <f>VLOOKUP($I$1&amp;I$8,DATA!$A:$EB,'2406'!$A35,0)/100</f>
        <v/>
      </c>
      <c r="J35" s="786">
        <f>VLOOKUP($I$1&amp;J$8,DATA!$A:$EB,'2406'!$A35,0)/100</f>
        <v/>
      </c>
      <c r="K35" s="786">
        <f>VLOOKUP($I$1&amp;K$8,DATA!$A:$EB,'2406'!$A35,0)/100</f>
        <v/>
      </c>
      <c r="L35" s="786">
        <f>VLOOKUP($I$1&amp;L$8,DATA!$A:$EB,'2406'!$A35,0)/100</f>
        <v/>
      </c>
      <c r="M35" s="786">
        <f>VLOOKUP($I$1&amp;M$8,DATA!$A:$EB,'2406'!$A35,0)/100</f>
        <v/>
      </c>
      <c r="N35" s="786">
        <f>VLOOKUP($I$1&amp;N$8,DATA!$A:$EB,'2406'!$A35,0)/100</f>
        <v/>
      </c>
      <c r="O35" s="786">
        <f>VLOOKUP($I$1&amp;O$8,DATA!$A:$EB,'2406'!$A35,0)/100</f>
        <v/>
      </c>
      <c r="P35" s="786">
        <f>VLOOKUP($I$1&amp;P$8,DATA!$A:$EB,'2406'!$A35,0)/100</f>
        <v/>
      </c>
      <c r="Q35" s="786">
        <f>VLOOKUP($I$1&amp;Q$8,DATA!$A:$EB,'2406'!$A35,0)/100</f>
        <v/>
      </c>
      <c r="R35" s="786">
        <f>VLOOKUP($I$1&amp;R$8,DATA!$A:$EB,'2406'!$A35,0)/100</f>
        <v/>
      </c>
      <c r="S35" s="786">
        <f>VLOOKUP($I$1&amp;S$8,DATA!$A:$EB,'2406'!$A35,0)/100</f>
        <v/>
      </c>
      <c r="T35" s="786">
        <f>VLOOKUP($I$1&amp;T$8,DATA!$A:$EB,'2406'!$A35,0)/100</f>
        <v/>
      </c>
    </row>
    <row r="36">
      <c r="C36" s="642" t="inlineStr">
        <is>
          <t>부채변동금액 / (bel+ra+csm)</t>
        </is>
      </c>
      <c r="I36" s="788">
        <f>I35/(I15+I16+I18)</f>
        <v/>
      </c>
      <c r="J36" s="788">
        <f>J35/(J15+J16+J18)</f>
        <v/>
      </c>
      <c r="K36" s="788">
        <f>K35/(K15+K16+K18)</f>
        <v/>
      </c>
      <c r="L36" s="788">
        <f>L35/(L15+L16+L18)</f>
        <v/>
      </c>
      <c r="M36" s="788">
        <f>M35/(M15+M16+M18)</f>
        <v/>
      </c>
      <c r="N36" s="788">
        <f>N35/(N15+N16+N18)</f>
        <v/>
      </c>
      <c r="O36" s="788">
        <f>O35/(O15+O16+O18)</f>
        <v/>
      </c>
      <c r="P36" s="788">
        <f>P35/(P15+P16+P18)</f>
        <v/>
      </c>
      <c r="Q36" s="788">
        <f>Q35/(Q15+Q16+Q18)</f>
        <v/>
      </c>
      <c r="R36" s="788">
        <f>R35/(R15+R16+R18)</f>
        <v/>
      </c>
      <c r="S36" s="788">
        <f>S35/(S15+S16+S18)</f>
        <v/>
      </c>
      <c r="T36" s="788">
        <f>T35/(T15+T16+T18)</f>
        <v/>
      </c>
    </row>
    <row r="37">
      <c r="A37" s="642">
        <f>DATA!$BD$1</f>
        <v/>
      </c>
      <c r="C37" s="642" t="inlineStr">
        <is>
          <t>* 기타포괄손익 자산 변동금액</t>
        </is>
      </c>
      <c r="I37" s="786">
        <f>VLOOKUP($I$1&amp;I$8,DATA!$A:$EB,'2406'!$A37,0)/100</f>
        <v/>
      </c>
      <c r="J37" s="786">
        <f>VLOOKUP($I$1&amp;J$8,DATA!$A:$EB,'2406'!$A37,0)/100</f>
        <v/>
      </c>
      <c r="K37" s="786">
        <f>VLOOKUP($I$1&amp;K$8,DATA!$A:$EB,'2406'!$A37,0)/100</f>
        <v/>
      </c>
      <c r="L37" s="786">
        <f>VLOOKUP($I$1&amp;L$8,DATA!$A:$EB,'2406'!$A37,0)/100</f>
        <v/>
      </c>
      <c r="M37" s="786">
        <f>VLOOKUP($I$1&amp;M$8,DATA!$A:$EB,'2406'!$A37,0)/100</f>
        <v/>
      </c>
      <c r="N37" s="786">
        <f>VLOOKUP($I$1&amp;N$8,DATA!$A:$EB,'2406'!$A37,0)/100</f>
        <v/>
      </c>
      <c r="O37" s="786">
        <f>VLOOKUP($I$1&amp;O$8,DATA!$A:$EB,'2406'!$A37,0)/100</f>
        <v/>
      </c>
      <c r="P37" s="786">
        <f>VLOOKUP($I$1&amp;P$8,DATA!$A:$EB,'2406'!$A37,0)/100</f>
        <v/>
      </c>
      <c r="Q37" s="786">
        <f>VLOOKUP($I$1&amp;Q$8,DATA!$A:$EB,'2406'!$A37,0)/100</f>
        <v/>
      </c>
      <c r="R37" s="786">
        <f>VLOOKUP($I$1&amp;R$8,DATA!$A:$EB,'2406'!$A37,0)/100</f>
        <v/>
      </c>
      <c r="S37" s="786">
        <f>VLOOKUP($I$1&amp;S$8,DATA!$A:$EB,'2406'!$A37,0)/100</f>
        <v/>
      </c>
      <c r="T37" s="786">
        <f>VLOOKUP($I$1&amp;T$8,DATA!$A:$EB,'2406'!$A37,0)/100</f>
        <v/>
      </c>
    </row>
    <row r="38">
      <c r="C38" s="642" t="inlineStr">
        <is>
          <t>부채변동금액 / (bel+ra+csm)</t>
        </is>
      </c>
      <c r="I38" s="788">
        <f>I37/(I15+I16+I18)</f>
        <v/>
      </c>
      <c r="J38" s="788">
        <f>J37/(J15+J16+J18)</f>
        <v/>
      </c>
      <c r="K38" s="788">
        <f>K37/(K15+K16+K18)</f>
        <v/>
      </c>
      <c r="L38" s="788">
        <f>L37/(L15+L16+L18)</f>
        <v/>
      </c>
      <c r="M38" s="788">
        <f>M37/(M15+M16+M18)</f>
        <v/>
      </c>
      <c r="N38" s="788">
        <f>N37/(N15+N16+N18)</f>
        <v/>
      </c>
      <c r="O38" s="788">
        <f>O37/(O15+O16+O18)</f>
        <v/>
      </c>
      <c r="P38" s="788">
        <f>P37/(P15+P16+P18)</f>
        <v/>
      </c>
      <c r="Q38" s="788">
        <f>Q37/(Q15+Q16+Q18)</f>
        <v/>
      </c>
      <c r="R38" s="788">
        <f>R37/(R15+R16+R18)</f>
        <v/>
      </c>
      <c r="S38" s="788">
        <f>S37/(S15+S16+S18)</f>
        <v/>
      </c>
      <c r="T38" s="788">
        <f>T37/(T15+T16+T18)</f>
        <v/>
      </c>
    </row>
    <row r="39">
      <c r="I39" s="788" t="n"/>
      <c r="J39" s="788" t="n"/>
      <c r="K39" s="788" t="n"/>
      <c r="L39" s="788" t="n"/>
      <c r="M39" s="788" t="n"/>
      <c r="N39" s="788" t="n"/>
      <c r="O39" s="788" t="n"/>
      <c r="P39" s="788" t="n"/>
      <c r="Q39" s="788" t="n"/>
      <c r="R39" s="788" t="n"/>
      <c r="S39" s="788" t="n"/>
      <c r="T39" s="788" t="n"/>
    </row>
    <row r="40">
      <c r="A40" s="642">
        <f>DATA!BM1</f>
        <v/>
      </c>
      <c r="C40" s="642" t="inlineStr">
        <is>
          <t>* 전기말 이익잉여금</t>
        </is>
      </c>
      <c r="I40" s="786">
        <f>VLOOKUP($I$1&amp;I$8,DATA!$A:$EB,'2406'!$A40,0)/100</f>
        <v/>
      </c>
      <c r="J40" s="786">
        <f>VLOOKUP($I$1&amp;J$8,DATA!$A:$EB,'2406'!$A40,0)/100</f>
        <v/>
      </c>
      <c r="K40" s="786">
        <f>VLOOKUP($I$1&amp;K$8,DATA!$A:$EB,'2406'!$A40,0)/100</f>
        <v/>
      </c>
      <c r="L40" s="786">
        <f>VLOOKUP($I$1&amp;L$8,DATA!$A:$EB,'2406'!$A40,0)/100</f>
        <v/>
      </c>
      <c r="M40" s="786">
        <f>VLOOKUP($I$1&amp;M$8,DATA!$A:$EB,'2406'!$A40,0)/100</f>
        <v/>
      </c>
      <c r="N40" s="786">
        <f>VLOOKUP($I$1&amp;N$8,DATA!$A:$EB,'2406'!$A40,0)/100</f>
        <v/>
      </c>
      <c r="O40" s="786">
        <f>VLOOKUP($I$1&amp;O$8,DATA!$A:$EB,'2406'!$A40,0)/100</f>
        <v/>
      </c>
      <c r="P40" s="786">
        <f>VLOOKUP($I$1&amp;P$8,DATA!$A:$EB,'2406'!$A40,0)/100</f>
        <v/>
      </c>
      <c r="Q40" s="786">
        <f>VLOOKUP($I$1&amp;Q$8,DATA!$A:$EB,'2406'!$A40,0)/100</f>
        <v/>
      </c>
      <c r="R40" s="786">
        <f>VLOOKUP($I$1&amp;R$8,DATA!$A:$EB,'2406'!$A40,0)/100</f>
        <v/>
      </c>
      <c r="S40" s="786">
        <f>VLOOKUP($I$1&amp;S$8,DATA!$A:$EB,'2406'!$A40,0)/100</f>
        <v/>
      </c>
      <c r="T40" s="786">
        <f>VLOOKUP($I$1&amp;T$8,DATA!$A:$EB,'2406'!$A40,0)/100</f>
        <v/>
      </c>
    </row>
    <row r="41">
      <c r="D41" s="642" t="inlineStr">
        <is>
          <t>전기말 대비</t>
        </is>
      </c>
      <c r="I41" s="789">
        <f>+I20-I40</f>
        <v/>
      </c>
      <c r="J41" s="789">
        <f>+J20-J40</f>
        <v/>
      </c>
      <c r="K41" s="789">
        <f>+K20-K40</f>
        <v/>
      </c>
      <c r="L41" s="789">
        <f>+L20-L40</f>
        <v/>
      </c>
      <c r="M41" s="789">
        <f>+M20-M40</f>
        <v/>
      </c>
      <c r="N41" s="789">
        <f>+N20-N40</f>
        <v/>
      </c>
      <c r="O41" s="789">
        <f>+O20-O40</f>
        <v/>
      </c>
      <c r="P41" s="789">
        <f>+P20-P40</f>
        <v/>
      </c>
      <c r="Q41" s="789">
        <f>+Q20-Q40</f>
        <v/>
      </c>
      <c r="R41" s="789">
        <f>+R20-R40</f>
        <v/>
      </c>
      <c r="S41" s="789">
        <f>+S20-S40</f>
        <v/>
      </c>
      <c r="T41" s="789">
        <f>+T20-T40</f>
        <v/>
      </c>
    </row>
    <row r="42">
      <c r="D42" s="642" t="inlineStr">
        <is>
          <t>2Q</t>
        </is>
      </c>
      <c r="I42" s="786">
        <f>+I20-'2403'!I20</f>
        <v/>
      </c>
      <c r="J42" s="786">
        <f>+J20-'2403'!J20</f>
        <v/>
      </c>
      <c r="K42" s="786">
        <f>+K20-'2403'!K20</f>
        <v/>
      </c>
      <c r="L42" s="786">
        <f>+L20-'2403'!L20</f>
        <v/>
      </c>
      <c r="M42" s="786">
        <f>+M20-'2403'!M20</f>
        <v/>
      </c>
      <c r="N42" s="786">
        <f>+N20-'2403'!N20</f>
        <v/>
      </c>
      <c r="O42" s="786">
        <f>+O20-'2403'!O20</f>
        <v/>
      </c>
      <c r="P42" s="786">
        <f>+P20-'2403'!P20</f>
        <v/>
      </c>
      <c r="Q42" s="786">
        <f>+Q20-'2403'!Q20</f>
        <v/>
      </c>
      <c r="R42" s="786">
        <f>+R20-'2403'!R20</f>
        <v/>
      </c>
      <c r="S42" s="786">
        <f>+S20-'2403'!S20</f>
        <v/>
      </c>
      <c r="T42" s="786">
        <f>+T20-'2403'!T20</f>
        <v/>
      </c>
    </row>
    <row r="43">
      <c r="I43" s="788" t="n"/>
      <c r="J43" s="788" t="n"/>
      <c r="K43" s="788" t="n"/>
      <c r="L43" s="788" t="n"/>
      <c r="M43" s="788" t="n"/>
      <c r="N43" s="788" t="n"/>
      <c r="O43" s="788" t="n"/>
      <c r="P43" s="788" t="n"/>
      <c r="Q43" s="788" t="n"/>
      <c r="R43" s="788" t="n"/>
      <c r="S43" s="788" t="n"/>
      <c r="T43" s="788" t="n"/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I45" s="788" t="n"/>
      <c r="J45" s="788" t="n"/>
      <c r="K45" s="788" t="n"/>
      <c r="L45" s="788" t="n"/>
      <c r="M45" s="788" t="n"/>
      <c r="N45" s="788" t="n"/>
      <c r="O45" s="788" t="n"/>
      <c r="P45" s="788" t="n"/>
      <c r="Q45" s="788" t="n"/>
      <c r="R45" s="788" t="n"/>
      <c r="S45" s="788" t="n"/>
      <c r="T45" s="788" t="n"/>
    </row>
    <row r="46">
      <c r="I46" s="788" t="n"/>
      <c r="J46" s="788" t="n"/>
      <c r="K46" s="788" t="n"/>
      <c r="L46" s="788" t="n"/>
      <c r="M46" s="788" t="n"/>
      <c r="N46" s="788" t="n"/>
      <c r="O46" s="788" t="n"/>
      <c r="P46" s="788" t="n"/>
      <c r="Q46" s="788" t="n"/>
      <c r="R46" s="788" t="n"/>
      <c r="S46" s="788" t="n"/>
      <c r="T46" s="788" t="n"/>
    </row>
    <row r="47" ht="16.5" customHeight="1" s="760">
      <c r="C47" s="6" t="inlineStr">
        <is>
          <t>2. 재무건전성(잠정치)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 ht="16.5" customHeight="1" s="760"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111" t="n"/>
      <c r="N48" s="111" t="n"/>
      <c r="O48" s="13" t="n"/>
      <c r="P48" s="111" t="n"/>
      <c r="Q48" s="111" t="n"/>
      <c r="R48" s="13" t="n"/>
      <c r="S48" s="13" t="n"/>
      <c r="T48" s="7" t="inlineStr">
        <is>
          <t>(단위 : 억원)</t>
        </is>
      </c>
      <c r="U48" s="13" t="n"/>
    </row>
    <row r="49" ht="16.5" customHeight="1" s="760">
      <c r="C49" s="650" t="inlineStr">
        <is>
          <t>구분</t>
        </is>
      </c>
      <c r="D49" s="648" t="n"/>
      <c r="E49" s="648" t="n"/>
      <c r="F49" s="648" t="n"/>
      <c r="G49" s="648" t="n"/>
      <c r="H49" s="649" t="n"/>
      <c r="I49" s="8" t="inlineStr">
        <is>
          <t>미래에셋생명</t>
        </is>
      </c>
      <c r="J49" s="8" t="inlineStr">
        <is>
          <t>삼성생명</t>
        </is>
      </c>
      <c r="K49" s="8" t="inlineStr">
        <is>
          <t>교보생명</t>
        </is>
      </c>
      <c r="L49" s="8" t="inlineStr">
        <is>
          <t>한화생명</t>
        </is>
      </c>
      <c r="M49" s="8" t="inlineStr">
        <is>
          <t>신한라이프</t>
        </is>
      </c>
      <c r="N49" s="8" t="inlineStr">
        <is>
          <t>동양생명</t>
        </is>
      </c>
      <c r="O49" s="9" t="inlineStr">
        <is>
          <t>KB라이프</t>
        </is>
      </c>
      <c r="P49" s="9" t="inlineStr">
        <is>
          <t>삼성화재</t>
        </is>
      </c>
      <c r="Q49" s="9" t="inlineStr">
        <is>
          <t>현대해상</t>
        </is>
      </c>
      <c r="R49" s="9" t="inlineStr">
        <is>
          <t>메리츠화재</t>
        </is>
      </c>
      <c r="S49" s="9" t="inlineStr">
        <is>
          <t>KB손보</t>
        </is>
      </c>
      <c r="T49" s="9" t="inlineStr">
        <is>
          <t>DB손보</t>
        </is>
      </c>
      <c r="U49" s="13" t="n"/>
    </row>
    <row r="50" ht="16.5" customHeight="1" s="760">
      <c r="A50" s="642">
        <f>DATA!$CN$1</f>
        <v/>
      </c>
      <c r="C50" s="647" t="inlineStr">
        <is>
          <t>K-ICS</t>
        </is>
      </c>
      <c r="D50" s="648" t="n"/>
      <c r="E50" s="648" t="n"/>
      <c r="F50" s="648" t="n"/>
      <c r="G50" s="648" t="n"/>
      <c r="H50" s="649" t="n"/>
      <c r="I50" s="808">
        <f>VLOOKUP($I$1&amp;I$8,DATA!$A:$EB,'2406'!$A50,0)</f>
        <v/>
      </c>
      <c r="J50" s="808">
        <f>VLOOKUP($I$1&amp;J$8,DATA!$A:$EB,'2406'!$A50,0)</f>
        <v/>
      </c>
      <c r="K50" s="808">
        <f>VLOOKUP($I$1&amp;K$8,DATA!$A:$EB,'2406'!$A50,0)</f>
        <v/>
      </c>
      <c r="L50" s="808">
        <f>VLOOKUP($I$1&amp;L$8,DATA!$A:$EB,'2406'!$A50,0)</f>
        <v/>
      </c>
      <c r="M50" s="808">
        <f>VLOOKUP($I$1&amp;M$8,DATA!$A:$EB,'2406'!$A50,0)</f>
        <v/>
      </c>
      <c r="N50" s="808">
        <f>VLOOKUP($I$1&amp;N$8,DATA!$A:$EB,'2406'!$A50,0)</f>
        <v/>
      </c>
      <c r="O50" s="808">
        <f>VLOOKUP($I$1&amp;O$8,DATA!$A:$EB,'2406'!$A50,0)</f>
        <v/>
      </c>
      <c r="P50" s="808">
        <f>VLOOKUP($I$1&amp;P$8,DATA!$A:$EB,'2406'!$A50,0)</f>
        <v/>
      </c>
      <c r="Q50" s="808">
        <f>VLOOKUP($I$1&amp;Q$8,DATA!$A:$EB,'2406'!$A50,0)</f>
        <v/>
      </c>
      <c r="R50" s="808">
        <f>VLOOKUP($I$1&amp;R$8,DATA!$A:$EB,'2406'!$A50,0)</f>
        <v/>
      </c>
      <c r="S50" s="808">
        <f>VLOOKUP($I$1&amp;S$8,DATA!$A:$EB,'2406'!$A50,0)</f>
        <v/>
      </c>
      <c r="T50" s="808">
        <f>VLOOKUP($I$1&amp;T$8,DATA!$A:$EB,'2406'!$A50,0)</f>
        <v/>
      </c>
      <c r="U50" s="13" t="n"/>
    </row>
    <row r="51" ht="16.5" customHeight="1" s="760">
      <c r="A51" s="642">
        <f>DATA!$CO$1</f>
        <v/>
      </c>
      <c r="C51" s="666" t="inlineStr">
        <is>
          <t>가용자본</t>
        </is>
      </c>
      <c r="H51" s="643" t="n"/>
      <c r="I51" s="798">
        <f>VLOOKUP($I$1&amp;I$8,DATA!$A:$EB,'2406'!$A51,0)/100</f>
        <v/>
      </c>
      <c r="J51" s="798">
        <f>VLOOKUP($I$1&amp;J$8,DATA!$A:$EB,'2406'!$A51,0)/100</f>
        <v/>
      </c>
      <c r="K51" s="798">
        <f>VLOOKUP($I$1&amp;K$8,DATA!$A:$EB,'2406'!$A51,0)/100</f>
        <v/>
      </c>
      <c r="L51" s="798">
        <f>VLOOKUP($I$1&amp;L$8,DATA!$A:$EB,'2406'!$A51,0)/100</f>
        <v/>
      </c>
      <c r="M51" s="798">
        <f>VLOOKUP($I$1&amp;M$8,DATA!$A:$EB,'2406'!$A51,0)/100</f>
        <v/>
      </c>
      <c r="N51" s="798">
        <f>VLOOKUP($I$1&amp;N$8,DATA!$A:$EB,'2406'!$A51,0)/100</f>
        <v/>
      </c>
      <c r="O51" s="799">
        <f>VLOOKUP($I$1&amp;O$8,DATA!$A:$EB,'2406'!$A51,0)/100</f>
        <v/>
      </c>
      <c r="P51" s="799">
        <f>VLOOKUP($I$1&amp;P$8,DATA!$A:$EB,'2406'!$A51,0)/100</f>
        <v/>
      </c>
      <c r="Q51" s="799">
        <f>VLOOKUP($I$1&amp;Q$8,DATA!$A:$EB,'2406'!$A51,0)/100</f>
        <v/>
      </c>
      <c r="R51" s="799">
        <f>VLOOKUP($I$1&amp;R$8,DATA!$A:$EB,'2406'!$A51,0)/100</f>
        <v/>
      </c>
      <c r="S51" s="799">
        <f>VLOOKUP($I$1&amp;S$8,DATA!$A:$EB,'2406'!$A51,0)/100</f>
        <v/>
      </c>
      <c r="T51" s="799">
        <f>VLOOKUP($I$1&amp;T$8,DATA!$A:$EB,'2406'!$A51,0)/100</f>
        <v/>
      </c>
      <c r="U51" s="13" t="n"/>
    </row>
    <row r="52" ht="16.5" customHeight="1" s="760">
      <c r="A52" s="642">
        <f>DATA!$CP$1</f>
        <v/>
      </c>
      <c r="C52" s="644" t="inlineStr">
        <is>
          <t>요구자본</t>
        </is>
      </c>
      <c r="D52" s="645" t="n"/>
      <c r="E52" s="645" t="n"/>
      <c r="F52" s="645" t="n"/>
      <c r="G52" s="645" t="n"/>
      <c r="H52" s="646" t="n"/>
      <c r="I52" s="803">
        <f>VLOOKUP($I$1&amp;I$8,DATA!$A:$EB,'2406'!$A52,0)/100</f>
        <v/>
      </c>
      <c r="J52" s="803">
        <f>VLOOKUP($I$1&amp;J$8,DATA!$A:$EB,'2406'!$A52,0)/100</f>
        <v/>
      </c>
      <c r="K52" s="803">
        <f>VLOOKUP($I$1&amp;K$8,DATA!$A:$EB,'2406'!$A52,0)/100</f>
        <v/>
      </c>
      <c r="L52" s="803">
        <f>VLOOKUP($I$1&amp;L$8,DATA!$A:$EB,'2406'!$A52,0)/100</f>
        <v/>
      </c>
      <c r="M52" s="803">
        <f>VLOOKUP($I$1&amp;M$8,DATA!$A:$EB,'2406'!$A52,0)/100</f>
        <v/>
      </c>
      <c r="N52" s="803">
        <f>VLOOKUP($I$1&amp;N$8,DATA!$A:$EB,'2406'!$A52,0)/100</f>
        <v/>
      </c>
      <c r="O52" s="804">
        <f>VLOOKUP($I$1&amp;O$8,DATA!$A:$EB,'2406'!$A52,0)/100</f>
        <v/>
      </c>
      <c r="P52" s="804">
        <f>VLOOKUP($I$1&amp;P$8,DATA!$A:$EB,'2406'!$A52,0)/100</f>
        <v/>
      </c>
      <c r="Q52" s="804">
        <f>VLOOKUP($I$1&amp;Q$8,DATA!$A:$EB,'2406'!$A52,0)/100</f>
        <v/>
      </c>
      <c r="R52" s="804">
        <f>VLOOKUP($I$1&amp;R$8,DATA!$A:$EB,'2406'!$A52,0)/100</f>
        <v/>
      </c>
      <c r="S52" s="804">
        <f>VLOOKUP($I$1&amp;S$8,DATA!$A:$EB,'2406'!$A52,0)/100</f>
        <v/>
      </c>
      <c r="T52" s="804">
        <f>VLOOKUP($I$1&amp;T$8,DATA!$A:$EB,'2406'!$A52,0)/100</f>
        <v/>
      </c>
      <c r="U52" s="13" t="n"/>
    </row>
    <row r="53" ht="16.5" customHeight="1" s="760">
      <c r="C53" s="12" t="inlineStr">
        <is>
          <t xml:space="preserve"> * 경과조치 전</t>
        </is>
      </c>
      <c r="D53" s="209" t="n"/>
      <c r="E53" s="809" t="n"/>
      <c r="F53" s="809" t="n"/>
      <c r="G53" s="809" t="n"/>
      <c r="H53" s="809" t="n"/>
      <c r="I53" s="809" t="n"/>
      <c r="J53" s="809" t="n"/>
      <c r="K53" s="809" t="n"/>
      <c r="L53" s="809" t="n"/>
      <c r="M53" s="809" t="n"/>
      <c r="N53" s="809" t="n"/>
      <c r="O53" s="809" t="n"/>
      <c r="P53" s="809" t="n"/>
      <c r="Q53" s="809" t="n"/>
      <c r="R53" s="809" t="n"/>
      <c r="S53" s="809" t="n"/>
      <c r="T53" s="13" t="n"/>
      <c r="U53" s="13" t="n"/>
    </row>
    <row r="54" ht="16.5" customHeight="1" s="760">
      <c r="C54" s="111" t="n"/>
      <c r="D54" s="209" t="n"/>
      <c r="E54" s="809" t="n"/>
      <c r="F54" s="809" t="n"/>
      <c r="G54" s="809" t="n"/>
      <c r="H54" s="809" t="n"/>
      <c r="I54" s="809" t="n"/>
      <c r="J54" s="809" t="n"/>
      <c r="K54" s="809" t="n"/>
      <c r="L54" s="809" t="n"/>
      <c r="M54" s="809" t="n"/>
      <c r="N54" s="809" t="n"/>
      <c r="O54" s="809" t="n"/>
      <c r="P54" s="809" t="n"/>
      <c r="Q54" s="809" t="n"/>
      <c r="R54" s="809" t="n"/>
      <c r="S54" s="809" t="n"/>
      <c r="T54" s="13" t="n"/>
      <c r="U54" s="13" t="n"/>
    </row>
    <row r="55" ht="16.5" customHeight="1" s="760">
      <c r="C55" s="6" t="inlineStr">
        <is>
          <t>3. 재무건전성(확정치)</t>
        </is>
      </c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 ht="16.5" customHeight="1" s="760"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1" t="n"/>
      <c r="L56" s="111" t="n"/>
      <c r="M56" s="111" t="n"/>
      <c r="N56" s="111" t="n"/>
      <c r="O56" s="13" t="n"/>
      <c r="P56" s="111" t="n"/>
      <c r="Q56" s="111" t="n"/>
      <c r="R56" s="13" t="n"/>
      <c r="S56" s="13" t="n"/>
      <c r="T56" s="7" t="inlineStr">
        <is>
          <t>(단위 : 억원)</t>
        </is>
      </c>
      <c r="U56" s="13" t="n"/>
    </row>
    <row r="57" ht="16.5" customHeight="1" s="760">
      <c r="C57" s="650" t="inlineStr">
        <is>
          <t>구분</t>
        </is>
      </c>
      <c r="D57" s="648" t="n"/>
      <c r="E57" s="648" t="n"/>
      <c r="F57" s="648" t="n"/>
      <c r="G57" s="648" t="n"/>
      <c r="H57" s="649" t="n"/>
      <c r="I57" s="8" t="inlineStr">
        <is>
          <t>미래에셋생명</t>
        </is>
      </c>
      <c r="J57" s="8" t="inlineStr">
        <is>
          <t>삼성생명</t>
        </is>
      </c>
      <c r="K57" s="8" t="inlineStr">
        <is>
          <t>교보생명</t>
        </is>
      </c>
      <c r="L57" s="8" t="inlineStr">
        <is>
          <t>한화생명</t>
        </is>
      </c>
      <c r="M57" s="8" t="inlineStr">
        <is>
          <t>신한라이프</t>
        </is>
      </c>
      <c r="N57" s="8" t="inlineStr">
        <is>
          <t>동양생명</t>
        </is>
      </c>
      <c r="O57" s="9" t="inlineStr">
        <is>
          <t>KB라이프</t>
        </is>
      </c>
      <c r="P57" s="9" t="inlineStr">
        <is>
          <t>삼성화재</t>
        </is>
      </c>
      <c r="Q57" s="9" t="inlineStr">
        <is>
          <t>현대해상</t>
        </is>
      </c>
      <c r="R57" s="9" t="inlineStr">
        <is>
          <t>메리츠화재</t>
        </is>
      </c>
      <c r="S57" s="9" t="inlineStr">
        <is>
          <t>KB손보</t>
        </is>
      </c>
      <c r="T57" s="9" t="inlineStr">
        <is>
          <t>DB손보</t>
        </is>
      </c>
      <c r="U57" s="13" t="n"/>
    </row>
    <row r="58" ht="16.5" customHeight="1" s="760">
      <c r="A58" s="642">
        <f>DATA!$CQ$1</f>
        <v/>
      </c>
      <c r="C58" s="647" t="inlineStr">
        <is>
          <t>K-ICS</t>
        </is>
      </c>
      <c r="D58" s="648" t="n"/>
      <c r="E58" s="648" t="n"/>
      <c r="F58" s="648" t="n"/>
      <c r="G58" s="648" t="n"/>
      <c r="H58" s="649" t="n"/>
      <c r="I58" s="808">
        <f>VLOOKUP($I$1&amp;I$8,DATA!$A:$EB,'2406'!$A58,0)</f>
        <v/>
      </c>
      <c r="J58" s="808">
        <f>VLOOKUP($I$1&amp;J$8,DATA!$A:$EB,'2406'!$A58,0)</f>
        <v/>
      </c>
      <c r="K58" s="808">
        <f>VLOOKUP($I$1&amp;K$8,DATA!$A:$EB,'2406'!$A58,0)</f>
        <v/>
      </c>
      <c r="L58" s="808">
        <f>VLOOKUP($I$1&amp;L$8,DATA!$A:$EB,'2406'!$A58,0)</f>
        <v/>
      </c>
      <c r="M58" s="808">
        <f>VLOOKUP($I$1&amp;M$8,DATA!$A:$EB,'2406'!$A58,0)</f>
        <v/>
      </c>
      <c r="N58" s="808">
        <f>VLOOKUP($I$1&amp;N$8,DATA!$A:$EB,'2406'!$A58,0)</f>
        <v/>
      </c>
      <c r="O58" s="808">
        <f>VLOOKUP($I$1&amp;O$8,DATA!$A:$EB,'2406'!$A58,0)</f>
        <v/>
      </c>
      <c r="P58" s="808">
        <f>VLOOKUP($I$1&amp;P$8,DATA!$A:$EB,'2406'!$A58,0)</f>
        <v/>
      </c>
      <c r="Q58" s="808">
        <f>VLOOKUP($I$1&amp;Q$8,DATA!$A:$EB,'2406'!$A58,0)</f>
        <v/>
      </c>
      <c r="R58" s="808">
        <f>VLOOKUP($I$1&amp;R$8,DATA!$A:$EB,'2406'!$A58,0)</f>
        <v/>
      </c>
      <c r="S58" s="808">
        <f>VLOOKUP($I$1&amp;S$8,DATA!$A:$EB,'2406'!$A58,0)</f>
        <v/>
      </c>
      <c r="T58" s="808">
        <f>VLOOKUP($I$1&amp;T$8,DATA!$A:$EB,'2406'!$A58,0)</f>
        <v/>
      </c>
      <c r="U58" s="13" t="n"/>
    </row>
    <row r="59" ht="16.5" customHeight="1" s="760">
      <c r="A59" s="642">
        <f>DATA!$CR$1</f>
        <v/>
      </c>
      <c r="C59" s="666" t="inlineStr">
        <is>
          <t>가용자본</t>
        </is>
      </c>
      <c r="H59" s="643" t="n"/>
      <c r="I59" s="798">
        <f>VLOOKUP($I$1&amp;I$8,DATA!$A:$EB,'2406'!$A59,0)/100</f>
        <v/>
      </c>
      <c r="J59" s="798">
        <f>VLOOKUP($I$1&amp;J$8,DATA!$A:$EB,'2406'!$A59,0)/100</f>
        <v/>
      </c>
      <c r="K59" s="798">
        <f>VLOOKUP($I$1&amp;K$8,DATA!$A:$EB,'2406'!$A59,0)/100</f>
        <v/>
      </c>
      <c r="L59" s="798">
        <f>VLOOKUP($I$1&amp;L$8,DATA!$A:$EB,'2406'!$A59,0)/100</f>
        <v/>
      </c>
      <c r="M59" s="798">
        <f>VLOOKUP($I$1&amp;M$8,DATA!$A:$EB,'2406'!$A59,0)/100</f>
        <v/>
      </c>
      <c r="N59" s="798">
        <f>VLOOKUP($I$1&amp;N$8,DATA!$A:$EB,'2406'!$A59,0)/100</f>
        <v/>
      </c>
      <c r="O59" s="799">
        <f>VLOOKUP($I$1&amp;O$8,DATA!$A:$EB,'2406'!$A59,0)/100</f>
        <v/>
      </c>
      <c r="P59" s="799">
        <f>VLOOKUP($I$1&amp;P$8,DATA!$A:$EB,'2406'!$A59,0)/100</f>
        <v/>
      </c>
      <c r="Q59" s="799">
        <f>VLOOKUP($I$1&amp;Q$8,DATA!$A:$EB,'2406'!$A59,0)/100</f>
        <v/>
      </c>
      <c r="R59" s="799">
        <f>VLOOKUP($I$1&amp;R$8,DATA!$A:$EB,'2406'!$A59,0)/100</f>
        <v/>
      </c>
      <c r="S59" s="799">
        <f>VLOOKUP($I$1&amp;S$8,DATA!$A:$EB,'2406'!$A59,0)/100</f>
        <v/>
      </c>
      <c r="T59" s="799">
        <f>VLOOKUP($I$1&amp;T$8,DATA!$A:$EB,'2406'!$A59,0)/100</f>
        <v/>
      </c>
      <c r="U59" s="13" t="n"/>
    </row>
    <row r="60" ht="16.5" customHeight="1" s="760">
      <c r="A60" s="642">
        <f>DATA!$CS$1</f>
        <v/>
      </c>
      <c r="C60" s="644" t="inlineStr">
        <is>
          <t>요구자본</t>
        </is>
      </c>
      <c r="D60" s="645" t="n"/>
      <c r="E60" s="645" t="n"/>
      <c r="F60" s="645" t="n"/>
      <c r="G60" s="645" t="n"/>
      <c r="H60" s="646" t="n"/>
      <c r="I60" s="803">
        <f>VLOOKUP($I$1&amp;I$8,DATA!$A:$EB,'2406'!$A60,0)/100</f>
        <v/>
      </c>
      <c r="J60" s="803">
        <f>VLOOKUP($I$1&amp;J$8,DATA!$A:$EB,'2406'!$A60,0)/100</f>
        <v/>
      </c>
      <c r="K60" s="803">
        <f>VLOOKUP($I$1&amp;K$8,DATA!$A:$EB,'2406'!$A60,0)/100</f>
        <v/>
      </c>
      <c r="L60" s="803">
        <f>VLOOKUP($I$1&amp;L$8,DATA!$A:$EB,'2406'!$A60,0)/100</f>
        <v/>
      </c>
      <c r="M60" s="803">
        <f>VLOOKUP($I$1&amp;M$8,DATA!$A:$EB,'2406'!$A60,0)/100</f>
        <v/>
      </c>
      <c r="N60" s="803">
        <f>VLOOKUP($I$1&amp;N$8,DATA!$A:$EB,'2406'!$A60,0)/100</f>
        <v/>
      </c>
      <c r="O60" s="804">
        <f>VLOOKUP($I$1&amp;O$8,DATA!$A:$EB,'2406'!$A60,0)/100</f>
        <v/>
      </c>
      <c r="P60" s="804">
        <f>VLOOKUP($I$1&amp;P$8,DATA!$A:$EB,'2406'!$A60,0)/100</f>
        <v/>
      </c>
      <c r="Q60" s="804">
        <f>VLOOKUP($I$1&amp;Q$8,DATA!$A:$EB,'2406'!$A60,0)/100</f>
        <v/>
      </c>
      <c r="R60" s="804">
        <f>VLOOKUP($I$1&amp;R$8,DATA!$A:$EB,'2406'!$A60,0)/100</f>
        <v/>
      </c>
      <c r="S60" s="804">
        <f>VLOOKUP($I$1&amp;S$8,DATA!$A:$EB,'2406'!$A60,0)/100</f>
        <v/>
      </c>
      <c r="T60" s="804">
        <f>VLOOKUP($I$1&amp;T$8,DATA!$A:$EB,'2406'!$A60,0)/100</f>
        <v/>
      </c>
      <c r="U60" s="13" t="n"/>
    </row>
    <row r="61" ht="16.5" customHeight="1" s="760">
      <c r="C61" s="12" t="inlineStr">
        <is>
          <t xml:space="preserve"> * 경과조치 전</t>
        </is>
      </c>
      <c r="D61" s="209" t="n"/>
      <c r="E61" s="809" t="n"/>
      <c r="F61" s="809" t="n"/>
      <c r="G61" s="809" t="n"/>
      <c r="H61" s="809" t="n"/>
      <c r="I61" s="809" t="n"/>
      <c r="J61" s="809" t="n"/>
      <c r="K61" s="809" t="n"/>
      <c r="L61" s="809" t="n"/>
      <c r="M61" s="809" t="n"/>
      <c r="N61" s="809" t="n"/>
      <c r="O61" s="809" t="n"/>
      <c r="P61" s="809" t="n"/>
      <c r="Q61" s="809" t="n"/>
      <c r="R61" s="809" t="n"/>
      <c r="S61" s="809" t="n"/>
      <c r="T61" s="13" t="n"/>
      <c r="U61" s="13" t="n"/>
    </row>
    <row r="62" ht="16.5" customHeight="1" s="760">
      <c r="C62" s="111" t="n"/>
      <c r="D62" s="209" t="n"/>
      <c r="E62" s="809" t="n"/>
      <c r="F62" s="809" t="n"/>
      <c r="G62" s="809" t="n"/>
      <c r="H62" s="809" t="n"/>
      <c r="I62" s="809" t="n"/>
      <c r="J62" s="809" t="n"/>
      <c r="K62" s="809" t="n"/>
      <c r="L62" s="809" t="n"/>
      <c r="M62" s="809" t="n"/>
      <c r="N62" s="809" t="n"/>
      <c r="O62" s="809" t="n"/>
      <c r="P62" s="809" t="n"/>
      <c r="Q62" s="809" t="n"/>
      <c r="R62" s="13" t="n"/>
      <c r="S62" s="13" t="n"/>
      <c r="T62" s="13" t="n"/>
      <c r="U62" s="13" t="n"/>
    </row>
    <row r="63" ht="16.5" customHeight="1" s="760">
      <c r="C63" s="6" t="inlineStr">
        <is>
          <t>3. 손익현황</t>
        </is>
      </c>
      <c r="D63" s="13" t="n"/>
      <c r="E63" s="13" t="n"/>
      <c r="F63" s="13" t="n"/>
      <c r="G63" s="13" t="n"/>
      <c r="H63" s="13" t="n"/>
      <c r="I63" s="13" t="n"/>
      <c r="J63" s="809" t="n"/>
      <c r="K63" s="809" t="n"/>
      <c r="L63" s="809" t="n"/>
      <c r="M63" s="809" t="n"/>
      <c r="N63" s="809" t="n"/>
      <c r="O63" s="809" t="n"/>
      <c r="P63" s="809" t="n"/>
      <c r="Q63" s="809" t="n"/>
      <c r="R63" s="13" t="n"/>
      <c r="S63" s="13" t="n"/>
      <c r="T63" s="13" t="n"/>
      <c r="U63" s="13" t="n"/>
    </row>
    <row r="64" ht="16.5" customHeight="1" s="760"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3" t="n"/>
      <c r="P64" s="111" t="n"/>
      <c r="Q64" s="111" t="n"/>
      <c r="R64" s="13" t="n"/>
      <c r="S64" s="13" t="n"/>
      <c r="T64" s="7" t="inlineStr">
        <is>
          <t>(단위 : 억원)</t>
        </is>
      </c>
      <c r="U64" s="13" t="n"/>
    </row>
    <row r="65" ht="16.5" customHeight="1" s="760">
      <c r="C65" s="650" t="inlineStr">
        <is>
          <t>구분</t>
        </is>
      </c>
      <c r="D65" s="648" t="n"/>
      <c r="E65" s="648" t="n"/>
      <c r="F65" s="648" t="n"/>
      <c r="G65" s="648" t="n"/>
      <c r="H65" s="649" t="n"/>
      <c r="I65" s="8" t="inlineStr">
        <is>
          <t>미래에셋생명</t>
        </is>
      </c>
      <c r="J65" s="8" t="inlineStr">
        <is>
          <t>삼성생명</t>
        </is>
      </c>
      <c r="K65" s="8" t="inlineStr">
        <is>
          <t>교보생명</t>
        </is>
      </c>
      <c r="L65" s="8" t="inlineStr">
        <is>
          <t>한화생명</t>
        </is>
      </c>
      <c r="M65" s="8" t="inlineStr">
        <is>
          <t>신한라이프</t>
        </is>
      </c>
      <c r="N65" s="8" t="inlineStr">
        <is>
          <t>동양생명</t>
        </is>
      </c>
      <c r="O65" s="9" t="inlineStr">
        <is>
          <t>KB라이프</t>
        </is>
      </c>
      <c r="P65" s="9" t="inlineStr">
        <is>
          <t>삼성화재</t>
        </is>
      </c>
      <c r="Q65" s="9" t="inlineStr">
        <is>
          <t>현대해상</t>
        </is>
      </c>
      <c r="R65" s="9" t="inlineStr">
        <is>
          <t>메리츠화재</t>
        </is>
      </c>
      <c r="S65" s="9" t="inlineStr">
        <is>
          <t>KB손보</t>
        </is>
      </c>
      <c r="T65" s="9" t="inlineStr">
        <is>
          <t>DB손보</t>
        </is>
      </c>
      <c r="U65" s="13" t="n"/>
    </row>
    <row r="66" ht="16.5" customHeight="1" s="760">
      <c r="A66" s="642">
        <f>DATA!AV1</f>
        <v/>
      </c>
      <c r="C66" s="665" t="inlineStr">
        <is>
          <t>보험손익</t>
        </is>
      </c>
      <c r="D66" s="648" t="n"/>
      <c r="E66" s="648" t="n"/>
      <c r="F66" s="648" t="n"/>
      <c r="G66" s="648" t="n"/>
      <c r="H66" s="649" t="n"/>
      <c r="I66" s="811">
        <f>VLOOKUP($I$1&amp;I$8,DATA!$A:$EB,'2406'!$A66,0)/100</f>
        <v/>
      </c>
      <c r="J66" s="811">
        <f>VLOOKUP($I$1&amp;J$8,DATA!$A:$EB,'2406'!$A66,0)/100</f>
        <v/>
      </c>
      <c r="K66" s="811">
        <f>VLOOKUP($I$1&amp;K$8,DATA!$A:$EB,'2406'!$A66,0)/100</f>
        <v/>
      </c>
      <c r="L66" s="811">
        <f>VLOOKUP($I$1&amp;L$8,DATA!$A:$EB,'2406'!$A66,0)/100</f>
        <v/>
      </c>
      <c r="M66" s="811">
        <f>VLOOKUP($I$1&amp;M$8,DATA!$A:$EB,'2406'!$A66,0)/100</f>
        <v/>
      </c>
      <c r="N66" s="811">
        <f>VLOOKUP($I$1&amp;N$8,DATA!$A:$EB,'2406'!$A66,0)/100</f>
        <v/>
      </c>
      <c r="O66" s="812">
        <f>VLOOKUP($I$1&amp;O$8,DATA!$A:$EB,'2406'!$A66,0)/100</f>
        <v/>
      </c>
      <c r="P66" s="812">
        <f>VLOOKUP($I$1&amp;P$8,DATA!$A:$EB,'2406'!$A66,0)/100</f>
        <v/>
      </c>
      <c r="Q66" s="812">
        <f>VLOOKUP($I$1&amp;Q$8,DATA!$A:$EB,'2406'!$A66,0)/100</f>
        <v/>
      </c>
      <c r="R66" s="812">
        <f>VLOOKUP($I$1&amp;R$8,DATA!$A:$EB,'2406'!$A66,0)/100</f>
        <v/>
      </c>
      <c r="S66" s="812">
        <f>VLOOKUP($I$1&amp;S$8,DATA!$A:$EB,'2406'!$A66,0)/100</f>
        <v/>
      </c>
      <c r="T66" s="812">
        <f>VLOOKUP($I$1&amp;T$8,DATA!$A:$EB,'2406'!$A66,0)/100</f>
        <v/>
      </c>
      <c r="U66" s="13" t="n"/>
    </row>
    <row r="67" ht="16.5" customHeight="1" s="760">
      <c r="A67" s="642">
        <f>DATA!DC1</f>
        <v/>
      </c>
      <c r="C67" s="209" t="n"/>
      <c r="D67" s="680" t="inlineStr">
        <is>
          <t>손해율</t>
        </is>
      </c>
      <c r="E67" s="663" t="n"/>
      <c r="F67" s="663" t="n"/>
      <c r="G67" s="663" t="n"/>
      <c r="H67" s="664" t="n"/>
      <c r="I67" s="813">
        <f>VLOOKUP($I$1&amp;I$8,DATA!$A:$EB,'2406'!$A67,0)</f>
        <v/>
      </c>
      <c r="J67" s="813">
        <f>VLOOKUP($I$1&amp;J$8,DATA!$A:$EB,'2406'!$A67,0)</f>
        <v/>
      </c>
      <c r="K67" s="813">
        <f>VLOOKUP($I$1&amp;K$8,DATA!$A:$EB,'2406'!$A67,0)</f>
        <v/>
      </c>
      <c r="L67" s="813">
        <f>VLOOKUP($I$1&amp;L$8,DATA!$A:$EB,'2406'!$A67,0)</f>
        <v/>
      </c>
      <c r="M67" s="813">
        <f>VLOOKUP($I$1&amp;M$8,DATA!$A:$EB,'2406'!$A67,0)</f>
        <v/>
      </c>
      <c r="N67" s="813">
        <f>VLOOKUP($I$1&amp;N$8,DATA!$A:$EB,'2406'!$A67,0)</f>
        <v/>
      </c>
      <c r="O67" s="813">
        <f>VLOOKUP($I$1&amp;O$8,DATA!$A:$EB,'2406'!$A67,0)</f>
        <v/>
      </c>
      <c r="P67" s="813">
        <f>VLOOKUP($I$1&amp;P$8,DATA!$A:$EB,'2406'!$A67,0)</f>
        <v/>
      </c>
      <c r="Q67" s="813">
        <f>VLOOKUP($I$1&amp;Q$8,DATA!$A:$EB,'2406'!$A67,0)</f>
        <v/>
      </c>
      <c r="R67" s="813">
        <f>VLOOKUP($I$1&amp;R$8,DATA!$A:$EB,'2406'!$A67,0)</f>
        <v/>
      </c>
      <c r="S67" s="813">
        <f>VLOOKUP($I$1&amp;S$8,DATA!$A:$EB,'2406'!$A67,0)</f>
        <v/>
      </c>
      <c r="T67" s="813">
        <f>VLOOKUP($I$1&amp;T$8,DATA!$A:$EB,'2406'!$A67,0)</f>
        <v/>
      </c>
      <c r="U67" s="13" t="n"/>
    </row>
    <row r="68" ht="16.5" customHeight="1" s="760">
      <c r="C68" s="209" t="n"/>
      <c r="D68" s="684" t="inlineStr">
        <is>
          <t>사업비
예실차</t>
        </is>
      </c>
      <c r="E68" s="663" t="n"/>
      <c r="F68" s="680" t="inlineStr">
        <is>
          <t>예실차율</t>
        </is>
      </c>
      <c r="G68" s="663" t="n"/>
      <c r="H68" s="664" t="n"/>
      <c r="I68" s="813">
        <f>I79/I81</f>
        <v/>
      </c>
      <c r="J68" s="813">
        <f>J79/J81</f>
        <v/>
      </c>
      <c r="K68" s="813">
        <f>K79/K81</f>
        <v/>
      </c>
      <c r="L68" s="813">
        <f>L79/L81</f>
        <v/>
      </c>
      <c r="M68" s="813">
        <f>M79/M81</f>
        <v/>
      </c>
      <c r="N68" s="813">
        <f>N79/N81</f>
        <v/>
      </c>
      <c r="O68" s="813">
        <f>O79/O81</f>
        <v/>
      </c>
      <c r="P68" s="813">
        <f>P79/P81</f>
        <v/>
      </c>
      <c r="Q68" s="813">
        <f>Q79/Q81</f>
        <v/>
      </c>
      <c r="R68" s="813">
        <f>R79/R81</f>
        <v/>
      </c>
      <c r="S68" s="813">
        <f>S79/S81</f>
        <v/>
      </c>
      <c r="T68" s="813">
        <f>T79/T81</f>
        <v/>
      </c>
      <c r="U68" s="13" t="n"/>
    </row>
    <row r="69" ht="16.5" customHeight="1" s="760">
      <c r="C69" s="211" t="n"/>
      <c r="D69" s="685" t="n"/>
      <c r="E69" s="670" t="n"/>
      <c r="F69" s="669" t="inlineStr">
        <is>
          <t>÷ CSM상각액</t>
        </is>
      </c>
      <c r="G69" s="670" t="n"/>
      <c r="H69" s="671" t="n"/>
      <c r="I69" s="814">
        <f>I79/I82</f>
        <v/>
      </c>
      <c r="J69" s="814">
        <f>J79/J82</f>
        <v/>
      </c>
      <c r="K69" s="814">
        <f>K79/K82</f>
        <v/>
      </c>
      <c r="L69" s="814">
        <f>L79/L82</f>
        <v/>
      </c>
      <c r="M69" s="814">
        <f>M79/M82</f>
        <v/>
      </c>
      <c r="N69" s="814">
        <f>N79/N82</f>
        <v/>
      </c>
      <c r="O69" s="814">
        <f>O79/O82</f>
        <v/>
      </c>
      <c r="P69" s="814">
        <f>P79/P82</f>
        <v/>
      </c>
      <c r="Q69" s="814">
        <f>Q79/Q82</f>
        <v/>
      </c>
      <c r="R69" s="814">
        <f>R79/R82</f>
        <v/>
      </c>
      <c r="S69" s="814">
        <f>S79/S82</f>
        <v/>
      </c>
      <c r="T69" s="814">
        <f>T79/T82</f>
        <v/>
      </c>
      <c r="U69" s="13" t="n"/>
    </row>
    <row r="70" ht="16.5" customHeight="1" s="760">
      <c r="A70" s="642">
        <f>DATA!AW1</f>
        <v/>
      </c>
      <c r="C70" s="672" t="inlineStr">
        <is>
          <t>투자손익</t>
        </is>
      </c>
      <c r="D70" s="673" t="n"/>
      <c r="E70" s="673" t="n"/>
      <c r="F70" s="673" t="n"/>
      <c r="G70" s="673" t="n"/>
      <c r="H70" s="674" t="n"/>
      <c r="I70" s="815">
        <f>VLOOKUP($I$1&amp;I$8,DATA!$A:$EB,'2406'!$A70,0)/100</f>
        <v/>
      </c>
      <c r="J70" s="815">
        <f>VLOOKUP($I$1&amp;J$8,DATA!$A:$EB,'2406'!$A70,0)/100</f>
        <v/>
      </c>
      <c r="K70" s="815">
        <f>VLOOKUP($I$1&amp;K$8,DATA!$A:$EB,'2406'!$A70,0)/100</f>
        <v/>
      </c>
      <c r="L70" s="815">
        <f>VLOOKUP($I$1&amp;L$8,DATA!$A:$EB,'2406'!$A70,0)/100</f>
        <v/>
      </c>
      <c r="M70" s="815">
        <f>VLOOKUP($I$1&amp;M$8,DATA!$A:$EB,'2406'!$A70,0)/100</f>
        <v/>
      </c>
      <c r="N70" s="815">
        <f>VLOOKUP($I$1&amp;N$8,DATA!$A:$EB,'2406'!$A70,0)/100</f>
        <v/>
      </c>
      <c r="O70" s="816">
        <f>VLOOKUP($I$1&amp;O$8,DATA!$A:$EB,'2406'!$A70,0)/100</f>
        <v/>
      </c>
      <c r="P70" s="816">
        <f>VLOOKUP($I$1&amp;P$8,DATA!$A:$EB,'2406'!$A70,0)/100</f>
        <v/>
      </c>
      <c r="Q70" s="816">
        <f>VLOOKUP($I$1&amp;Q$8,DATA!$A:$EB,'2406'!$A70,0)/100</f>
        <v/>
      </c>
      <c r="R70" s="816">
        <f>VLOOKUP($I$1&amp;R$8,DATA!$A:$EB,'2406'!$A70,0)/100</f>
        <v/>
      </c>
      <c r="S70" s="816">
        <f>VLOOKUP($I$1&amp;S$8,DATA!$A:$EB,'2406'!$A70,0)/100</f>
        <v/>
      </c>
      <c r="T70" s="816">
        <f>VLOOKUP($I$1&amp;T$8,DATA!$A:$EB,'2406'!$A70,0)/100</f>
        <v/>
      </c>
      <c r="U70" s="13" t="n"/>
    </row>
    <row r="71" ht="16.5" customHeight="1" s="760">
      <c r="C71" s="672" t="inlineStr">
        <is>
          <t>영업이익</t>
        </is>
      </c>
      <c r="D71" s="673" t="n"/>
      <c r="E71" s="673" t="n"/>
      <c r="F71" s="673" t="n"/>
      <c r="G71" s="673" t="n"/>
      <c r="H71" s="674" t="n"/>
      <c r="I71" s="817">
        <f>I66+I70</f>
        <v/>
      </c>
      <c r="J71" s="817">
        <f>J66+J70</f>
        <v/>
      </c>
      <c r="K71" s="817">
        <f>K66+K70</f>
        <v/>
      </c>
      <c r="L71" s="817">
        <f>L66+L70</f>
        <v/>
      </c>
      <c r="M71" s="817">
        <f>M66+M70</f>
        <v/>
      </c>
      <c r="N71" s="817">
        <f>N66+N70</f>
        <v/>
      </c>
      <c r="O71" s="818">
        <f>O66+O70</f>
        <v/>
      </c>
      <c r="P71" s="818">
        <f>P66+P70</f>
        <v/>
      </c>
      <c r="Q71" s="818">
        <f>Q66+Q70</f>
        <v/>
      </c>
      <c r="R71" s="818">
        <f>R66+R70</f>
        <v/>
      </c>
      <c r="S71" s="818">
        <f>S66+S70</f>
        <v/>
      </c>
      <c r="T71" s="818">
        <f>T66+T70</f>
        <v/>
      </c>
      <c r="U71" s="13" t="n"/>
    </row>
    <row r="72" ht="16.5" customHeight="1" s="760">
      <c r="A72" s="642">
        <f>DATA!AX1</f>
        <v/>
      </c>
      <c r="C72" s="667" t="inlineStr">
        <is>
          <t>영업외손익</t>
        </is>
      </c>
      <c r="D72" s="659" t="n"/>
      <c r="E72" s="659" t="n"/>
      <c r="F72" s="659" t="n"/>
      <c r="G72" s="659" t="n"/>
      <c r="H72" s="660" t="n"/>
      <c r="I72" s="815">
        <f>VLOOKUP($I$1&amp;I$8,DATA!$A:$EB,'2406'!$A72,0)/100</f>
        <v/>
      </c>
      <c r="J72" s="815">
        <f>VLOOKUP($I$1&amp;J$8,DATA!$A:$EB,'2406'!$A72,0)/100</f>
        <v/>
      </c>
      <c r="K72" s="815">
        <f>VLOOKUP($I$1&amp;K$8,DATA!$A:$EB,'2406'!$A72,0)/100</f>
        <v/>
      </c>
      <c r="L72" s="815">
        <f>VLOOKUP($I$1&amp;L$8,DATA!$A:$EB,'2406'!$A72,0)/100</f>
        <v/>
      </c>
      <c r="M72" s="815">
        <f>VLOOKUP($I$1&amp;M$8,DATA!$A:$EB,'2406'!$A72,0)/100</f>
        <v/>
      </c>
      <c r="N72" s="815">
        <f>VLOOKUP($I$1&amp;N$8,DATA!$A:$EB,'2406'!$A72,0)/100</f>
        <v/>
      </c>
      <c r="O72" s="816">
        <f>VLOOKUP($I$1&amp;O$8,DATA!$A:$EB,'2406'!$A72,0)/100</f>
        <v/>
      </c>
      <c r="P72" s="816">
        <f>VLOOKUP($I$1&amp;P$8,DATA!$A:$EB,'2406'!$A72,0)/100</f>
        <v/>
      </c>
      <c r="Q72" s="816">
        <f>VLOOKUP($I$1&amp;Q$8,DATA!$A:$EB,'2406'!$A72,0)/100</f>
        <v/>
      </c>
      <c r="R72" s="816">
        <f>VLOOKUP($I$1&amp;R$8,DATA!$A:$EB,'2406'!$A72,0)/100</f>
        <v/>
      </c>
      <c r="S72" s="816">
        <f>VLOOKUP($I$1&amp;S$8,DATA!$A:$EB,'2406'!$A72,0)/100</f>
        <v/>
      </c>
      <c r="T72" s="816">
        <f>VLOOKUP($I$1&amp;T$8,DATA!$A:$EB,'2406'!$A72,0)/100</f>
        <v/>
      </c>
      <c r="U72" s="13" t="n"/>
    </row>
    <row r="73" ht="16.5" customHeight="1" s="760">
      <c r="A73" s="642">
        <f>DATA!AY1</f>
        <v/>
      </c>
      <c r="C73" s="647" t="inlineStr">
        <is>
          <t>세전이익</t>
        </is>
      </c>
      <c r="D73" s="648" t="n"/>
      <c r="E73" s="648" t="n"/>
      <c r="F73" s="648" t="n"/>
      <c r="G73" s="648" t="n"/>
      <c r="H73" s="649" t="n"/>
      <c r="I73" s="819">
        <f>VLOOKUP($I$1&amp;I$8,DATA!$A:$EB,'2406'!$A73,0)/100</f>
        <v/>
      </c>
      <c r="J73" s="819">
        <f>VLOOKUP($I$1&amp;J$8,DATA!$A:$EB,'2406'!$A73,0)/100</f>
        <v/>
      </c>
      <c r="K73" s="819">
        <f>VLOOKUP($I$1&amp;K$8,DATA!$A:$EB,'2406'!$A73,0)/100</f>
        <v/>
      </c>
      <c r="L73" s="819">
        <f>VLOOKUP($I$1&amp;L$8,DATA!$A:$EB,'2406'!$A73,0)/100</f>
        <v/>
      </c>
      <c r="M73" s="819">
        <f>VLOOKUP($I$1&amp;M$8,DATA!$A:$EB,'2406'!$A73,0)/100</f>
        <v/>
      </c>
      <c r="N73" s="819">
        <f>VLOOKUP($I$1&amp;N$8,DATA!$A:$EB,'2406'!$A73,0)/100</f>
        <v/>
      </c>
      <c r="O73" s="819">
        <f>VLOOKUP($I$1&amp;O$8,DATA!$A:$EB,'2406'!$A73,0)/100</f>
        <v/>
      </c>
      <c r="P73" s="819">
        <f>VLOOKUP($I$1&amp;P$8,DATA!$A:$EB,'2406'!$A73,0)/100</f>
        <v/>
      </c>
      <c r="Q73" s="819">
        <f>VLOOKUP($I$1&amp;Q$8,DATA!$A:$EB,'2406'!$A73,0)/100</f>
        <v/>
      </c>
      <c r="R73" s="819">
        <f>VLOOKUP($I$1&amp;R$8,DATA!$A:$EB,'2406'!$A73,0)/100</f>
        <v/>
      </c>
      <c r="S73" s="819">
        <f>VLOOKUP($I$1&amp;S$8,DATA!$A:$EB,'2406'!$A73,0)/100</f>
        <v/>
      </c>
      <c r="T73" s="819">
        <f>VLOOKUP($I$1&amp;T$8,DATA!$A:$EB,'2406'!$A73,0)/100</f>
        <v/>
      </c>
      <c r="U73" s="13" t="n"/>
    </row>
    <row r="74" ht="16.5" customHeight="1" s="760">
      <c r="A74" s="642">
        <f>DATA!AR1</f>
        <v/>
      </c>
      <c r="C74" s="644" t="inlineStr">
        <is>
          <t>당기순이익</t>
        </is>
      </c>
      <c r="D74" s="645" t="n"/>
      <c r="E74" s="645" t="n"/>
      <c r="F74" s="645" t="n"/>
      <c r="G74" s="645" t="n"/>
      <c r="H74" s="646" t="n"/>
      <c r="I74" s="820">
        <f>VLOOKUP($I$1&amp;I$8,DATA!$A:$EB,'2406'!$A74,0)/100</f>
        <v/>
      </c>
      <c r="J74" s="820">
        <f>VLOOKUP($I$1&amp;J$8,DATA!$A:$EB,'2406'!$A74,0)/100</f>
        <v/>
      </c>
      <c r="K74" s="820">
        <f>VLOOKUP($I$1&amp;K$8,DATA!$A:$EB,'2406'!$A74,0)/100</f>
        <v/>
      </c>
      <c r="L74" s="820">
        <f>VLOOKUP($I$1&amp;L$8,DATA!$A:$EB,'2406'!$A74,0)/100</f>
        <v/>
      </c>
      <c r="M74" s="820">
        <f>VLOOKUP($I$1&amp;M$8,DATA!$A:$EB,'2406'!$A74,0)/100</f>
        <v/>
      </c>
      <c r="N74" s="820">
        <f>VLOOKUP($I$1&amp;N$8,DATA!$A:$EB,'2406'!$A74,0)/100</f>
        <v/>
      </c>
      <c r="O74" s="820">
        <f>VLOOKUP($I$1&amp;O$8,DATA!$A:$EB,'2406'!$A74,0)/100</f>
        <v/>
      </c>
      <c r="P74" s="820">
        <f>VLOOKUP($I$1&amp;P$8,DATA!$A:$EB,'2406'!$A74,0)/100</f>
        <v/>
      </c>
      <c r="Q74" s="820">
        <f>VLOOKUP($I$1&amp;Q$8,DATA!$A:$EB,'2406'!$A74,0)/100</f>
        <v/>
      </c>
      <c r="R74" s="820">
        <f>VLOOKUP($I$1&amp;R$8,DATA!$A:$EB,'2406'!$A74,0)/100</f>
        <v/>
      </c>
      <c r="S74" s="820">
        <f>VLOOKUP($I$1&amp;S$8,DATA!$A:$EB,'2406'!$A74,0)/100</f>
        <v/>
      </c>
      <c r="T74" s="820">
        <f>VLOOKUP($I$1&amp;T$8,DATA!$A:$EB,'2406'!$A74,0)/100</f>
        <v/>
      </c>
      <c r="U74" s="13" t="n"/>
    </row>
    <row r="75" ht="16.5" customHeight="1" s="760">
      <c r="C75" s="10" t="inlineStr">
        <is>
          <t>* 예실차율(P/L 기준) = (예상-실제) / 예상,  P/L기준, 보험료배분접근법 적용 제외</t>
        </is>
      </c>
      <c r="D75" s="209" t="n"/>
      <c r="E75" s="809" t="n"/>
      <c r="F75" s="809" t="n"/>
      <c r="G75" s="809" t="n"/>
      <c r="H75" s="809" t="n"/>
      <c r="I75" s="809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 ht="16.5" customHeight="1" s="760">
      <c r="C76" s="12" t="n"/>
      <c r="D76" s="209" t="n"/>
      <c r="E76" s="809" t="n"/>
      <c r="F76" s="809" t="n"/>
      <c r="G76" s="809" t="n"/>
      <c r="H76" s="809" t="n"/>
      <c r="I76" s="809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 ht="16.5" customHeight="1" s="760">
      <c r="C77" s="111" t="n"/>
      <c r="D77" s="209" t="n"/>
      <c r="E77" s="809" t="n"/>
      <c r="F77" s="809" t="n"/>
      <c r="G77" s="809" t="n"/>
      <c r="H77" s="809" t="n"/>
      <c r="I77" s="809" t="n"/>
      <c r="J77" s="809" t="n"/>
      <c r="K77" s="809" t="n"/>
      <c r="L77" s="809" t="n"/>
      <c r="M77" s="809" t="n"/>
      <c r="N77" s="809" t="n"/>
      <c r="O77" s="809" t="n"/>
      <c r="P77" s="809" t="n"/>
      <c r="Q77" s="809" t="n"/>
      <c r="R77" s="809" t="n"/>
      <c r="S77" s="809" t="n"/>
      <c r="T77" s="809" t="n"/>
      <c r="U77" s="13" t="n"/>
    </row>
    <row r="78" ht="16.5" customHeight="1" s="760">
      <c r="C78" s="111" t="inlineStr">
        <is>
          <t>* 예실차율</t>
        </is>
      </c>
      <c r="D78" s="209" t="n"/>
      <c r="E78" s="809" t="n"/>
      <c r="F78" s="809" t="n"/>
      <c r="G78" s="809" t="n"/>
      <c r="H78" s="809" t="n"/>
      <c r="I78" s="809" t="n"/>
      <c r="J78" s="809" t="n"/>
      <c r="K78" s="809" t="n"/>
      <c r="L78" s="809" t="n"/>
      <c r="M78" s="809" t="n"/>
      <c r="N78" s="809" t="n"/>
      <c r="O78" s="809" t="n"/>
      <c r="P78" s="809" t="n"/>
      <c r="Q78" s="809" t="n"/>
      <c r="R78" s="809" t="n"/>
      <c r="S78" s="809" t="n"/>
      <c r="T78" s="809" t="n"/>
      <c r="U78" s="13" t="n"/>
    </row>
    <row r="79" ht="16.5" customHeight="1" s="760">
      <c r="A79" s="642">
        <f>DATA!DK1</f>
        <v/>
      </c>
      <c r="C79" s="111" t="n"/>
      <c r="D79" s="209" t="n"/>
      <c r="E79" s="642" t="inlineStr">
        <is>
          <t>사업비예실차</t>
        </is>
      </c>
      <c r="I79" s="786">
        <f>VLOOKUP($I$1&amp;I$8,DATA!$A:$EB,'2406'!$A79,0)/100</f>
        <v/>
      </c>
      <c r="J79" s="786">
        <f>VLOOKUP($I$1&amp;J$8,DATA!$A:$EB,'2406'!$A79,0)/100</f>
        <v/>
      </c>
      <c r="K79" s="787">
        <f>VLOOKUP($I$1&amp;K$8,DATA!$A:$EB,'2406'!$A79,0)/100</f>
        <v/>
      </c>
      <c r="L79" s="787">
        <f>VLOOKUP($I$1&amp;L$8,DATA!$A:$EB,'2406'!$A79,0)/100</f>
        <v/>
      </c>
      <c r="M79" s="787">
        <f>VLOOKUP($I$1&amp;M$8,DATA!$A:$EB,'2406'!$A79,0)/100</f>
        <v/>
      </c>
      <c r="N79" s="787">
        <f>VLOOKUP($I$1&amp;N$8,DATA!$A:$EB,'2406'!$A79,0)/100</f>
        <v/>
      </c>
      <c r="O79" s="787">
        <f>VLOOKUP($I$1&amp;O$8,DATA!$A:$EB,'2406'!$A79,0)/100</f>
        <v/>
      </c>
      <c r="P79" s="787">
        <f>VLOOKUP($I$1&amp;P$8,DATA!$A:$EB,'2406'!$A79,0)/100</f>
        <v/>
      </c>
      <c r="Q79" s="787">
        <f>VLOOKUP($I$1&amp;Q$8,DATA!$A:$EB,'2406'!$A79,0)/100</f>
        <v/>
      </c>
      <c r="R79" s="787">
        <f>VLOOKUP($I$1&amp;R$8,DATA!$A:$EB,'2406'!$A79,0)/100</f>
        <v/>
      </c>
      <c r="S79" s="787">
        <f>VLOOKUP($I$1&amp;S$8,DATA!$A:$EB,'2406'!$A79,0)/100</f>
        <v/>
      </c>
      <c r="T79" s="787">
        <f>VLOOKUP($I$1&amp;T$8,DATA!$A:$EB,'2406'!$A79,0)/100</f>
        <v/>
      </c>
      <c r="U79" s="13" t="n"/>
    </row>
    <row r="80" ht="16.5" customHeight="1" s="760">
      <c r="A80" s="642">
        <f>DATA!DI1</f>
        <v/>
      </c>
      <c r="C80" s="111" t="n"/>
      <c r="D80" s="209" t="n"/>
      <c r="E80" s="642" t="inlineStr">
        <is>
          <t>예상보험금</t>
        </is>
      </c>
      <c r="I80" s="786">
        <f>VLOOKUP($I$1&amp;I$8,DATA!$A:$EB,'2406'!$A80,0)/100</f>
        <v/>
      </c>
      <c r="J80" s="786">
        <f>VLOOKUP($I$1&amp;J$8,DATA!$A:$EB,'2406'!$A80,0)/100</f>
        <v/>
      </c>
      <c r="K80" s="787">
        <f>VLOOKUP($I$1&amp;K$8,DATA!$A:$EB,'2406'!$A80,0)/100</f>
        <v/>
      </c>
      <c r="L80" s="787">
        <f>VLOOKUP($I$1&amp;L$8,DATA!$A:$EB,'2406'!$A80,0)/100</f>
        <v/>
      </c>
      <c r="M80" s="787">
        <f>VLOOKUP($I$1&amp;M$8,DATA!$A:$EB,'2406'!$A80,0)/100</f>
        <v/>
      </c>
      <c r="N80" s="787">
        <f>VLOOKUP($I$1&amp;N$8,DATA!$A:$EB,'2406'!$A80,0)/100</f>
        <v/>
      </c>
      <c r="O80" s="787">
        <f>VLOOKUP($I$1&amp;O$8,DATA!$A:$EB,'2406'!$A80,0)/100</f>
        <v/>
      </c>
      <c r="P80" s="787">
        <f>VLOOKUP($I$1&amp;P$8,DATA!$A:$EB,'2406'!$A80,0)/100</f>
        <v/>
      </c>
      <c r="Q80" s="787">
        <f>VLOOKUP($I$1&amp;Q$8,DATA!$A:$EB,'2406'!$A80,0)/100</f>
        <v/>
      </c>
      <c r="R80" s="787">
        <f>VLOOKUP($I$1&amp;R$8,DATA!$A:$EB,'2406'!$A80,0)/100</f>
        <v/>
      </c>
      <c r="S80" s="787">
        <f>VLOOKUP($I$1&amp;S$8,DATA!$A:$EB,'2406'!$A80,0)/100</f>
        <v/>
      </c>
      <c r="T80" s="787">
        <f>VLOOKUP($I$1&amp;T$8,DATA!$A:$EB,'2406'!$A80,0)/100</f>
        <v/>
      </c>
      <c r="U80" s="13" t="n"/>
    </row>
    <row r="81" ht="16.5" customHeight="1" s="760">
      <c r="A81" s="642">
        <f>DATA!DL1</f>
        <v/>
      </c>
      <c r="C81" s="111" t="n"/>
      <c r="D81" s="209" t="n"/>
      <c r="E81" s="642" t="inlineStr">
        <is>
          <t>예상사업비</t>
        </is>
      </c>
      <c r="I81" s="786">
        <f>VLOOKUP($I$1&amp;I$8,DATA!$A:$EB,'2406'!$A81,0)/100</f>
        <v/>
      </c>
      <c r="J81" s="786">
        <f>VLOOKUP($I$1&amp;J$8,DATA!$A:$EB,'2406'!$A81,0)/100</f>
        <v/>
      </c>
      <c r="K81" s="787">
        <f>VLOOKUP($I$1&amp;K$8,DATA!$A:$EB,'2406'!$A81,0)/100</f>
        <v/>
      </c>
      <c r="L81" s="787">
        <f>VLOOKUP($I$1&amp;L$8,DATA!$A:$EB,'2406'!$A81,0)/100</f>
        <v/>
      </c>
      <c r="M81" s="787">
        <f>VLOOKUP($I$1&amp;M$8,DATA!$A:$EB,'2406'!$A81,0)/100</f>
        <v/>
      </c>
      <c r="N81" s="787">
        <f>VLOOKUP($I$1&amp;N$8,DATA!$A:$EB,'2406'!$A81,0)/100</f>
        <v/>
      </c>
      <c r="O81" s="787">
        <f>VLOOKUP($I$1&amp;O$8,DATA!$A:$EB,'2406'!$A81,0)/100</f>
        <v/>
      </c>
      <c r="P81" s="787">
        <f>VLOOKUP($I$1&amp;P$8,DATA!$A:$EB,'2406'!$A81,0)/100</f>
        <v/>
      </c>
      <c r="Q81" s="787">
        <f>VLOOKUP($I$1&amp;Q$8,DATA!$A:$EB,'2406'!$A81,0)/100</f>
        <v/>
      </c>
      <c r="R81" s="787">
        <f>VLOOKUP($I$1&amp;R$8,DATA!$A:$EB,'2406'!$A81,0)/100</f>
        <v/>
      </c>
      <c r="S81" s="787">
        <f>VLOOKUP($I$1&amp;S$8,DATA!$A:$EB,'2406'!$A81,0)/100</f>
        <v/>
      </c>
      <c r="T81" s="787">
        <f>VLOOKUP($I$1&amp;T$8,DATA!$A:$EB,'2406'!$A81,0)/100</f>
        <v/>
      </c>
      <c r="U81" s="13" t="n"/>
    </row>
    <row r="82" ht="16.5" customHeight="1" s="760">
      <c r="A82" s="642">
        <f>DATA!BY1</f>
        <v/>
      </c>
      <c r="C82" s="111" t="n"/>
      <c r="D82" s="209" t="n"/>
      <c r="E82" s="809" t="inlineStr">
        <is>
          <t>CSM상각액</t>
        </is>
      </c>
      <c r="F82" s="809" t="n"/>
      <c r="G82" s="809" t="n"/>
      <c r="H82" s="809" t="n"/>
      <c r="I82" s="786">
        <f>VLOOKUP($I$1&amp;I$8,DATA!$A:$EB,'2406'!$A82,0)/100</f>
        <v/>
      </c>
      <c r="J82" s="786">
        <f>VLOOKUP($I$1&amp;J$8,DATA!$A:$EB,'2406'!$A82,0)/100</f>
        <v/>
      </c>
      <c r="K82" s="787">
        <f>VLOOKUP($I$1&amp;K$8,DATA!$A:$EB,'2406'!$A82,0)/100</f>
        <v/>
      </c>
      <c r="L82" s="787">
        <f>VLOOKUP($I$1&amp;L$8,DATA!$A:$EB,'2406'!$A82,0)/100</f>
        <v/>
      </c>
      <c r="M82" s="787">
        <f>VLOOKUP($I$1&amp;M$8,DATA!$A:$EB,'2406'!$A82,0)/100</f>
        <v/>
      </c>
      <c r="N82" s="787">
        <f>VLOOKUP($I$1&amp;N$8,DATA!$A:$EB,'2406'!$A82,0)/100</f>
        <v/>
      </c>
      <c r="O82" s="787">
        <f>VLOOKUP($I$1&amp;O$8,DATA!$A:$EB,'2406'!$A82,0)/100</f>
        <v/>
      </c>
      <c r="P82" s="787">
        <f>VLOOKUP($I$1&amp;P$8,DATA!$A:$EB,'2406'!$A82,0)/100</f>
        <v/>
      </c>
      <c r="Q82" s="787">
        <f>VLOOKUP($I$1&amp;Q$8,DATA!$A:$EB,'2406'!$A82,0)/100</f>
        <v/>
      </c>
      <c r="R82" s="787">
        <f>VLOOKUP($I$1&amp;R$8,DATA!$A:$EB,'2406'!$A82,0)/100</f>
        <v/>
      </c>
      <c r="S82" s="787">
        <f>VLOOKUP($I$1&amp;S$8,DATA!$A:$EB,'2406'!$A82,0)/100</f>
        <v/>
      </c>
      <c r="T82" s="787">
        <f>VLOOKUP($I$1&amp;T$8,DATA!$A:$EB,'2406'!$A82,0)/100</f>
        <v/>
      </c>
      <c r="U82" s="13" t="n"/>
    </row>
    <row r="83" ht="16.5" customHeight="1" s="760">
      <c r="A83" s="642">
        <f>DATA!DG1</f>
        <v/>
      </c>
      <c r="C83" s="111" t="n"/>
      <c r="D83" s="209" t="n"/>
      <c r="E83" s="809" t="inlineStr">
        <is>
          <t>예실차</t>
        </is>
      </c>
      <c r="F83" s="809" t="n"/>
      <c r="G83" s="809" t="n"/>
      <c r="H83" s="809" t="n"/>
      <c r="I83" s="786">
        <f>VLOOKUP($I$1&amp;I$8,DATA!$A:$EB,'2406'!$A83,0)/100</f>
        <v/>
      </c>
      <c r="J83" s="786">
        <f>VLOOKUP($I$1&amp;J$8,DATA!$A:$EB,'2406'!$A83,0)/100</f>
        <v/>
      </c>
      <c r="K83" s="787">
        <f>VLOOKUP($I$1&amp;K$8,DATA!$A:$EB,'2406'!$A83,0)/100</f>
        <v/>
      </c>
      <c r="L83" s="787">
        <f>VLOOKUP($I$1&amp;L$8,DATA!$A:$EB,'2406'!$A83,0)/100</f>
        <v/>
      </c>
      <c r="M83" s="787">
        <f>VLOOKUP($I$1&amp;M$8,DATA!$A:$EB,'2406'!$A83,0)/100</f>
        <v/>
      </c>
      <c r="N83" s="787">
        <f>VLOOKUP($I$1&amp;N$8,DATA!$A:$EB,'2406'!$A83,0)/100</f>
        <v/>
      </c>
      <c r="O83" s="787">
        <f>VLOOKUP($I$1&amp;O$8,DATA!$A:$EB,'2406'!$A83,0)/100</f>
        <v/>
      </c>
      <c r="P83" s="787">
        <f>VLOOKUP($I$1&amp;P$8,DATA!$A:$EB,'2406'!$A83,0)/100</f>
        <v/>
      </c>
      <c r="Q83" s="787">
        <f>VLOOKUP($I$1&amp;Q$8,DATA!$A:$EB,'2406'!$A83,0)/100</f>
        <v/>
      </c>
      <c r="R83" s="787">
        <f>VLOOKUP($I$1&amp;R$8,DATA!$A:$EB,'2406'!$A83,0)/100</f>
        <v/>
      </c>
      <c r="S83" s="787">
        <f>VLOOKUP($I$1&amp;S$8,DATA!$A:$EB,'2406'!$A83,0)/100</f>
        <v/>
      </c>
      <c r="T83" s="787">
        <f>VLOOKUP($I$1&amp;T$8,DATA!$A:$EB,'2406'!$A83,0)/100</f>
        <v/>
      </c>
      <c r="U83" s="13" t="n"/>
    </row>
    <row r="84" ht="16.5" customHeight="1" s="760">
      <c r="C84" s="111" t="n"/>
      <c r="D84" s="209" t="n"/>
      <c r="E84" s="809" t="n"/>
      <c r="F84" s="809" t="n"/>
      <c r="G84" s="809" t="n"/>
      <c r="H84" s="809" t="n"/>
      <c r="I84" s="809" t="n"/>
      <c r="J84" s="809" t="n"/>
      <c r="K84" s="809" t="n"/>
      <c r="L84" s="809" t="n"/>
      <c r="M84" s="809" t="n"/>
      <c r="N84" s="809" t="n"/>
      <c r="O84" s="809" t="n"/>
      <c r="P84" s="809" t="n"/>
      <c r="Q84" s="809" t="n"/>
      <c r="R84" s="809" t="n"/>
      <c r="S84" s="809" t="n"/>
      <c r="T84" s="809" t="n"/>
      <c r="U84" s="13" t="n"/>
    </row>
    <row r="85" ht="16.5" customHeight="1" s="760">
      <c r="C85" s="111" t="n"/>
      <c r="D85" s="209" t="n"/>
      <c r="E85" s="809" t="n"/>
      <c r="F85" s="809" t="n"/>
      <c r="G85" s="809" t="n"/>
      <c r="H85" s="809" t="n"/>
      <c r="I85" s="809" t="n"/>
      <c r="J85" s="809" t="n"/>
      <c r="K85" s="809" t="n"/>
      <c r="L85" s="809" t="n"/>
      <c r="M85" s="809" t="n"/>
      <c r="N85" s="809" t="n"/>
      <c r="O85" s="809" t="n"/>
      <c r="P85" s="809" t="n"/>
      <c r="Q85" s="809" t="n"/>
      <c r="R85" s="809" t="n"/>
      <c r="S85" s="809" t="n"/>
      <c r="T85" s="809" t="n"/>
      <c r="U85" s="13" t="n"/>
    </row>
    <row r="86" ht="16.5" customHeight="1" s="760">
      <c r="C86" s="6" t="inlineStr">
        <is>
          <t>3-1. CSM 현황</t>
        </is>
      </c>
      <c r="D86" s="209" t="n"/>
      <c r="E86" s="809" t="n"/>
      <c r="F86" s="809" t="n"/>
      <c r="G86" s="809" t="n"/>
      <c r="H86" s="809" t="n"/>
      <c r="I86" s="809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 ht="16.5" customHeight="1" s="760"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  <c r="N87" s="111" t="n"/>
      <c r="O87" s="13" t="n"/>
      <c r="P87" s="111" t="n"/>
      <c r="Q87" s="111" t="n"/>
      <c r="R87" s="13" t="n"/>
      <c r="S87" s="13" t="n"/>
      <c r="T87" s="7" t="inlineStr">
        <is>
          <t>(단위 : 억원)</t>
        </is>
      </c>
      <c r="U87" s="13" t="n"/>
    </row>
    <row r="88" ht="16.5" customHeight="1" s="760">
      <c r="C88" s="650" t="inlineStr">
        <is>
          <t>구분</t>
        </is>
      </c>
      <c r="D88" s="648" t="n"/>
      <c r="E88" s="648" t="n"/>
      <c r="F88" s="648" t="n"/>
      <c r="G88" s="648" t="n"/>
      <c r="H88" s="649" t="n"/>
      <c r="I88" s="11" t="inlineStr">
        <is>
          <t>미래에셋생명</t>
        </is>
      </c>
      <c r="J88" s="8" t="inlineStr">
        <is>
          <t>삼성생명</t>
        </is>
      </c>
      <c r="K88" s="8" t="inlineStr">
        <is>
          <t>교보생명</t>
        </is>
      </c>
      <c r="L88" s="8" t="inlineStr">
        <is>
          <t>한화생명</t>
        </is>
      </c>
      <c r="M88" s="8" t="inlineStr">
        <is>
          <t>신한라이프</t>
        </is>
      </c>
      <c r="N88" s="8" t="inlineStr">
        <is>
          <t>동양생명</t>
        </is>
      </c>
      <c r="O88" s="9" t="inlineStr">
        <is>
          <t>KB라이프</t>
        </is>
      </c>
      <c r="P88" s="9" t="inlineStr">
        <is>
          <t>삼성화재</t>
        </is>
      </c>
      <c r="Q88" s="9" t="inlineStr">
        <is>
          <t>현대해상</t>
        </is>
      </c>
      <c r="R88" s="9" t="inlineStr">
        <is>
          <t>메리츠화재</t>
        </is>
      </c>
      <c r="S88" s="9" t="inlineStr">
        <is>
          <t>KB손보</t>
        </is>
      </c>
      <c r="T88" s="9" t="inlineStr">
        <is>
          <t>DB손보</t>
        </is>
      </c>
      <c r="U88" s="13" t="n"/>
    </row>
    <row r="89" ht="16.5" customHeight="1" s="760">
      <c r="A89" s="642">
        <f>DATA!BW1</f>
        <v/>
      </c>
      <c r="C89" s="647" t="inlineStr">
        <is>
          <t>CSM</t>
        </is>
      </c>
      <c r="D89" s="648" t="n"/>
      <c r="E89" s="648" t="n"/>
      <c r="F89" s="648" t="n"/>
      <c r="G89" s="648" t="n"/>
      <c r="H89" s="649" t="n"/>
      <c r="I89" s="819">
        <f>VLOOKUP($I$1&amp;I$8,DATA!$A:$EB,'2406'!$A89,0)/100</f>
        <v/>
      </c>
      <c r="J89" s="821">
        <f>VLOOKUP($I$1&amp;J$8,DATA!$A:$EB,'2406'!$A89,0)/100</f>
        <v/>
      </c>
      <c r="K89" s="821">
        <f>VLOOKUP($I$1&amp;K$8,DATA!$A:$EB,'2406'!$A89,0)/100</f>
        <v/>
      </c>
      <c r="L89" s="821">
        <f>VLOOKUP($I$1&amp;L$8,DATA!$A:$EB,'2406'!$A89,0)/100</f>
        <v/>
      </c>
      <c r="M89" s="821">
        <f>VLOOKUP($I$1&amp;M$8,DATA!$A:$EB,'2406'!$A89,0)/100</f>
        <v/>
      </c>
      <c r="N89" s="821">
        <f>VLOOKUP($I$1&amp;N$8,DATA!$A:$EB,'2406'!$A89,0)/100</f>
        <v/>
      </c>
      <c r="O89" s="819">
        <f>VLOOKUP($I$1&amp;O$8,DATA!$A:$EB,'2406'!$A89,0)/100</f>
        <v/>
      </c>
      <c r="P89" s="819">
        <f>VLOOKUP($I$1&amp;P$8,DATA!$A:$EB,'2406'!$A89,0)/100</f>
        <v/>
      </c>
      <c r="Q89" s="819">
        <f>VLOOKUP($I$1&amp;Q$8,DATA!$A:$EB,'2406'!$A89,0)/100</f>
        <v/>
      </c>
      <c r="R89" s="819">
        <f>VLOOKUP($I$1&amp;R$8,DATA!$A:$EB,'2406'!$A89,0)/100</f>
        <v/>
      </c>
      <c r="S89" s="819">
        <f>VLOOKUP($I$1&amp;S$8,DATA!$A:$EB,'2406'!$A89,0)/100</f>
        <v/>
      </c>
      <c r="T89" s="819">
        <f>VLOOKUP($I$1&amp;T$8,DATA!$A:$EB,'2406'!$A89,0)/100</f>
        <v/>
      </c>
      <c r="U89" s="13" t="n"/>
    </row>
    <row r="90" ht="16.5" customHeight="1" s="760">
      <c r="C90" s="666" t="inlineStr">
        <is>
          <t>전기말 대비</t>
        </is>
      </c>
      <c r="H90" s="643" t="n"/>
      <c r="I90" s="822">
        <f>+I89-I103</f>
        <v/>
      </c>
      <c r="J90" s="823">
        <f>+J89-J103</f>
        <v/>
      </c>
      <c r="K90" s="823">
        <f>+K89-K103</f>
        <v/>
      </c>
      <c r="L90" s="823">
        <f>+L89-L103</f>
        <v/>
      </c>
      <c r="M90" s="823">
        <f>+M89-M103</f>
        <v/>
      </c>
      <c r="N90" s="823">
        <f>+N89-N103</f>
        <v/>
      </c>
      <c r="O90" s="822">
        <f>+O89-O103</f>
        <v/>
      </c>
      <c r="P90" s="822">
        <f>+P89-P103</f>
        <v/>
      </c>
      <c r="Q90" s="822">
        <f>+Q89-Q103</f>
        <v/>
      </c>
      <c r="R90" s="822">
        <f>+R89-R103</f>
        <v/>
      </c>
      <c r="S90" s="822">
        <f>+S89-S103</f>
        <v/>
      </c>
      <c r="T90" s="822">
        <f>+T89-T103</f>
        <v/>
      </c>
      <c r="U90" s="13" t="n"/>
    </row>
    <row r="91" ht="16.5" customHeight="1" s="760">
      <c r="C91" s="676" t="inlineStr">
        <is>
          <t>(증가율)</t>
        </is>
      </c>
      <c r="D91" s="670" t="n"/>
      <c r="E91" s="670" t="n"/>
      <c r="F91" s="670" t="n"/>
      <c r="G91" s="670" t="n"/>
      <c r="H91" s="671" t="n"/>
      <c r="I91" s="824">
        <f>+I90/I89</f>
        <v/>
      </c>
      <c r="J91" s="825">
        <f>+J90/J89</f>
        <v/>
      </c>
      <c r="K91" s="825">
        <f>+K90/K89</f>
        <v/>
      </c>
      <c r="L91" s="825">
        <f>+L90/L89</f>
        <v/>
      </c>
      <c r="M91" s="825">
        <f>+M90/M89</f>
        <v/>
      </c>
      <c r="N91" s="825">
        <f>+N90/N89</f>
        <v/>
      </c>
      <c r="O91" s="797">
        <f>+O90/O89</f>
        <v/>
      </c>
      <c r="P91" s="797">
        <f>+P90/P89</f>
        <v/>
      </c>
      <c r="Q91" s="797">
        <f>+Q90/Q89</f>
        <v/>
      </c>
      <c r="R91" s="797">
        <f>+R90/R89</f>
        <v/>
      </c>
      <c r="S91" s="797">
        <f>+S90/S89</f>
        <v/>
      </c>
      <c r="T91" s="797">
        <f>+T90/T89</f>
        <v/>
      </c>
      <c r="U91" s="13" t="n"/>
    </row>
    <row r="92" ht="16.5" customHeight="1" s="760">
      <c r="A92" s="642">
        <f>DATA!BX1</f>
        <v/>
      </c>
      <c r="C92" s="647" t="inlineStr">
        <is>
          <t>신계약CSM(a)</t>
        </is>
      </c>
      <c r="D92" s="648" t="n"/>
      <c r="E92" s="648" t="n"/>
      <c r="F92" s="648" t="n"/>
      <c r="G92" s="648" t="n"/>
      <c r="H92" s="649" t="n"/>
      <c r="I92" s="819">
        <f>VLOOKUP($I$1&amp;I$8,DATA!$A:$EB,'2406'!$A92,0)/100</f>
        <v/>
      </c>
      <c r="J92" s="821">
        <f>VLOOKUP($I$1&amp;J$8,DATA!$A:$EB,'2406'!$A92,0)/100</f>
        <v/>
      </c>
      <c r="K92" s="819">
        <f>VLOOKUP($I$1&amp;K$8,DATA!$A:$EB,'2406'!$A92,0)/100</f>
        <v/>
      </c>
      <c r="L92" s="819">
        <f>VLOOKUP($I$1&amp;L$8,DATA!$A:$EB,'2406'!$A92,0)/100</f>
        <v/>
      </c>
      <c r="M92" s="819">
        <f>VLOOKUP($I$1&amp;M$8,DATA!$A:$EB,'2406'!$A92,0)/100</f>
        <v/>
      </c>
      <c r="N92" s="819">
        <f>VLOOKUP($I$1&amp;N$8,DATA!$A:$EB,'2406'!$A92,0)/100</f>
        <v/>
      </c>
      <c r="O92" s="819">
        <f>VLOOKUP($I$1&amp;O$8,DATA!$A:$EB,'2406'!$A92,0)/100</f>
        <v/>
      </c>
      <c r="P92" s="819">
        <f>VLOOKUP($I$1&amp;P$8,DATA!$A:$EB,'2406'!$A92,0)/100</f>
        <v/>
      </c>
      <c r="Q92" s="819">
        <f>VLOOKUP($I$1&amp;Q$8,DATA!$A:$EB,'2406'!$A92,0)/100</f>
        <v/>
      </c>
      <c r="R92" s="819">
        <f>VLOOKUP($I$1&amp;R$8,DATA!$A:$EB,'2406'!$A92,0)/100</f>
        <v/>
      </c>
      <c r="S92" s="819">
        <f>VLOOKUP($I$1&amp;S$8,DATA!$A:$EB,'2406'!$A92,0)/100</f>
        <v/>
      </c>
      <c r="T92" s="819">
        <f>VLOOKUP($I$1&amp;T$8,DATA!$A:$EB,'2406'!$A92,0)/100</f>
        <v/>
      </c>
      <c r="U92" s="13" t="n"/>
    </row>
    <row r="93" ht="16.5" customHeight="1" s="760">
      <c r="A93" s="642">
        <f>DATA!BY1</f>
        <v/>
      </c>
      <c r="C93" s="666" t="inlineStr">
        <is>
          <t>CSM상각액(b)</t>
        </is>
      </c>
      <c r="H93" s="643" t="n"/>
      <c r="I93" s="822">
        <f>VLOOKUP($I$1&amp;I$8,DATA!$A:$EB,'2406'!$A93,0)/100</f>
        <v/>
      </c>
      <c r="J93" s="823">
        <f>VLOOKUP($I$1&amp;J$8,DATA!$A:$EB,'2406'!$A93,0)/100</f>
        <v/>
      </c>
      <c r="K93" s="822">
        <f>VLOOKUP($I$1&amp;K$8,DATA!$A:$EB,'2406'!$A93,0)/100</f>
        <v/>
      </c>
      <c r="L93" s="822">
        <f>VLOOKUP($I$1&amp;L$8,DATA!$A:$EB,'2406'!$A93,0)/100</f>
        <v/>
      </c>
      <c r="M93" s="822">
        <f>VLOOKUP($I$1&amp;M$8,DATA!$A:$EB,'2406'!$A93,0)/100</f>
        <v/>
      </c>
      <c r="N93" s="822">
        <f>VLOOKUP($I$1&amp;N$8,DATA!$A:$EB,'2406'!$A93,0)/100</f>
        <v/>
      </c>
      <c r="O93" s="822">
        <f>VLOOKUP($I$1&amp;O$8,DATA!$A:$EB,'2406'!$A93,0)/100</f>
        <v/>
      </c>
      <c r="P93" s="822">
        <f>VLOOKUP($I$1&amp;P$8,DATA!$A:$EB,'2406'!$A93,0)/100</f>
        <v/>
      </c>
      <c r="Q93" s="822">
        <f>VLOOKUP($I$1&amp;Q$8,DATA!$A:$EB,'2406'!$A93,0)/100</f>
        <v/>
      </c>
      <c r="R93" s="822">
        <f>VLOOKUP($I$1&amp;R$8,DATA!$A:$EB,'2406'!$A93,0)/100</f>
        <v/>
      </c>
      <c r="S93" s="822">
        <f>VLOOKUP($I$1&amp;S$8,DATA!$A:$EB,'2406'!$A93,0)/100</f>
        <v/>
      </c>
      <c r="T93" s="822">
        <f>VLOOKUP($I$1&amp;T$8,DATA!$A:$EB,'2406'!$A93,0)/100</f>
        <v/>
      </c>
      <c r="U93" s="13" t="n"/>
    </row>
    <row r="94" ht="16.5" customHeight="1" s="760">
      <c r="C94" s="666" t="inlineStr">
        <is>
          <t>(상각률)</t>
        </is>
      </c>
      <c r="H94" s="643" t="n"/>
      <c r="I94" s="795">
        <f>+I93/(I89+I93)*(4/$J$1)</f>
        <v/>
      </c>
      <c r="J94" s="826">
        <f>+J93/(J89+J93)*(4/$J$1)</f>
        <v/>
      </c>
      <c r="K94" s="795">
        <f>+K93/(K89+K93)*(4/$J$1)</f>
        <v/>
      </c>
      <c r="L94" s="795">
        <f>+L93/(L89+L93)*(4/$J$1)</f>
        <v/>
      </c>
      <c r="M94" s="795">
        <f>+M93/(M89+M93)*(4/$J$1)</f>
        <v/>
      </c>
      <c r="N94" s="795">
        <f>+N93/(N89+N93)*(4/$J$1)</f>
        <v/>
      </c>
      <c r="O94" s="795">
        <f>+O93/(O89+O93)*(4/$J$1)</f>
        <v/>
      </c>
      <c r="P94" s="795">
        <f>+P93/(P89+P93)*(4/$J$1)</f>
        <v/>
      </c>
      <c r="Q94" s="795">
        <f>+Q93/(Q89+Q93)*(4/$J$1)</f>
        <v/>
      </c>
      <c r="R94" s="795">
        <f>+R93/(R89+R93)*(4/$J$1)</f>
        <v/>
      </c>
      <c r="S94" s="795">
        <f>+S93/(S89+S93)*(4/$J$1)</f>
        <v/>
      </c>
      <c r="T94" s="795">
        <f>+T93/(T89+T93)*(4/$J$1)</f>
        <v/>
      </c>
      <c r="U94" s="13" t="n"/>
    </row>
    <row r="95" ht="16.5" customHeight="1" s="760">
      <c r="C95" s="644" t="inlineStr">
        <is>
          <t>상각액Cover율(a/b)</t>
        </is>
      </c>
      <c r="D95" s="645" t="n"/>
      <c r="E95" s="645" t="n"/>
      <c r="F95" s="645" t="n"/>
      <c r="G95" s="645" t="n"/>
      <c r="H95" s="646" t="n"/>
      <c r="I95" s="797">
        <f>+I92/I93</f>
        <v/>
      </c>
      <c r="J95" s="796">
        <f>+J92/J93</f>
        <v/>
      </c>
      <c r="K95" s="797">
        <f>+K92/K93</f>
        <v/>
      </c>
      <c r="L95" s="797">
        <f>+L92/L93</f>
        <v/>
      </c>
      <c r="M95" s="797">
        <f>+M92/M93</f>
        <v/>
      </c>
      <c r="N95" s="797">
        <f>+N92/N93</f>
        <v/>
      </c>
      <c r="O95" s="797">
        <f>+O92/O93</f>
        <v/>
      </c>
      <c r="P95" s="797">
        <f>+P92/P93</f>
        <v/>
      </c>
      <c r="Q95" s="797">
        <f>+Q92/Q93</f>
        <v/>
      </c>
      <c r="R95" s="797">
        <f>+R92/R93</f>
        <v/>
      </c>
      <c r="S95" s="797">
        <f>+S92/S93</f>
        <v/>
      </c>
      <c r="T95" s="797">
        <f>+T92/T93</f>
        <v/>
      </c>
      <c r="U95" s="13" t="n"/>
    </row>
    <row r="96" ht="16.5" customHeight="1" s="760">
      <c r="A96" s="642">
        <f>DATA!CE1</f>
        <v/>
      </c>
      <c r="C96" s="682" t="inlineStr">
        <is>
          <t>기간별 상각 
금액 비중</t>
        </is>
      </c>
      <c r="D96" s="648" t="n"/>
      <c r="E96" s="649" t="n"/>
      <c r="F96" s="675" t="inlineStr">
        <is>
          <t>1년 이하</t>
        </is>
      </c>
      <c r="G96" s="648" t="n"/>
      <c r="H96" s="649" t="n"/>
      <c r="I96" s="827">
        <f>VLOOKUP($I$1&amp;I$8,DATA!$A:$EB,'2406'!$A96,0)/100</f>
        <v/>
      </c>
      <c r="J96" s="828">
        <f>VLOOKUP($I$1&amp;J$8,DATA!$A:$EB,'2406'!$A96,0)/100</f>
        <v/>
      </c>
      <c r="K96" s="827">
        <f>VLOOKUP($I$1&amp;K$8,DATA!$A:$EB,'2406'!$A96,0)/100</f>
        <v/>
      </c>
      <c r="L96" s="827">
        <f>VLOOKUP($I$1&amp;L$8,DATA!$A:$EB,'2406'!$A96,0)/100</f>
        <v/>
      </c>
      <c r="M96" s="827">
        <f>VLOOKUP($I$1&amp;M$8,DATA!$A:$EB,'2406'!$A96,0)/100</f>
        <v/>
      </c>
      <c r="N96" s="827">
        <f>VLOOKUP($I$1&amp;N$8,DATA!$A:$EB,'2406'!$A96,0)/100</f>
        <v/>
      </c>
      <c r="O96" s="827">
        <f>VLOOKUP($I$1&amp;O$8,DATA!$A:$EB,'2406'!$A96,0)/100</f>
        <v/>
      </c>
      <c r="P96" s="827">
        <f>VLOOKUP($I$1&amp;P$8,DATA!$A:$EB,'2406'!$A96,0)/100</f>
        <v/>
      </c>
      <c r="Q96" s="827">
        <f>VLOOKUP($I$1&amp;Q$8,DATA!$A:$EB,'2406'!$A96,0)/100</f>
        <v/>
      </c>
      <c r="R96" s="827">
        <f>VLOOKUP($I$1&amp;R$8,DATA!$A:$EB,'2406'!$A96,0)/100</f>
        <v/>
      </c>
      <c r="S96" s="827">
        <f>VLOOKUP($I$1&amp;S$8,DATA!$A:$EB,'2406'!$A96,0)/100</f>
        <v/>
      </c>
      <c r="T96" s="827">
        <f>VLOOKUP($I$1&amp;T$8,DATA!$A:$EB,'2406'!$A96,0)/100</f>
        <v/>
      </c>
      <c r="U96" s="13" t="n"/>
    </row>
    <row r="97" ht="16.5" customHeight="1" s="760">
      <c r="A97" s="642">
        <f>DATA!CF1</f>
        <v/>
      </c>
      <c r="E97" s="643" t="n"/>
      <c r="F97" s="657" t="inlineStr">
        <is>
          <t>2~5년</t>
        </is>
      </c>
      <c r="H97" s="643" t="n"/>
      <c r="I97" s="829">
        <f>VLOOKUP($I$1&amp;I$8,DATA!$A:$EB,'2406'!$A97,0)/100+VLOOKUP($I$1&amp;I$8,DATA!$A:$EB,'2406'!$A97+1,0)/100</f>
        <v/>
      </c>
      <c r="J97" s="830">
        <f>VLOOKUP($I$1&amp;J$8,DATA!$A:$EB,'2406'!$A97,0)/100+VLOOKUP($I$1&amp;J$8,DATA!$A:$EB,'2406'!$A97+1,0)/100</f>
        <v/>
      </c>
      <c r="K97" s="829">
        <f>VLOOKUP($I$1&amp;K$8,DATA!$A:$EB,'2406'!$A97,0)/100+VLOOKUP($I$1&amp;K$8,DATA!$A:$EB,'2406'!$A97+1,0)/100</f>
        <v/>
      </c>
      <c r="L97" s="829">
        <f>VLOOKUP($I$1&amp;L$8,DATA!$A:$EB,'2406'!$A97,0)/100+VLOOKUP($I$1&amp;L$8,DATA!$A:$EB,'2406'!$A97+1,0)/100</f>
        <v/>
      </c>
      <c r="M97" s="829">
        <f>VLOOKUP($I$1&amp;M$8,DATA!$A:$EB,'2406'!$A97,0)/100+VLOOKUP($I$1&amp;M$8,DATA!$A:$EB,'2406'!$A97+1,0)/100</f>
        <v/>
      </c>
      <c r="N97" s="829">
        <f>VLOOKUP($I$1&amp;N$8,DATA!$A:$EB,'2406'!$A97,0)/100+VLOOKUP($I$1&amp;N$8,DATA!$A:$EB,'2406'!$A97+1,0)/100</f>
        <v/>
      </c>
      <c r="O97" s="829">
        <f>VLOOKUP($I$1&amp;O$8,DATA!$A:$EB,'2406'!$A97,0)/100+VLOOKUP($I$1&amp;O$8,DATA!$A:$EB,'2406'!$A97+1,0)/100</f>
        <v/>
      </c>
      <c r="P97" s="829">
        <f>VLOOKUP($I$1&amp;P$8,DATA!$A:$EB,'2406'!$A97,0)/100+VLOOKUP($I$1&amp;P$8,DATA!$A:$EB,'2406'!$A97+1,0)/100</f>
        <v/>
      </c>
      <c r="Q97" s="829">
        <f>VLOOKUP($I$1&amp;Q$8,DATA!$A:$EB,'2406'!$A97,0)/100+VLOOKUP($I$1&amp;Q$8,DATA!$A:$EB,'2406'!$A97+1,0)/100</f>
        <v/>
      </c>
      <c r="R97" s="829">
        <f>VLOOKUP($I$1&amp;R$8,DATA!$A:$EB,'2406'!$A97,0)/100+VLOOKUP($I$1&amp;R$8,DATA!$A:$EB,'2406'!$A97+1,0)/100</f>
        <v/>
      </c>
      <c r="S97" s="829">
        <f>VLOOKUP($I$1&amp;S$8,DATA!$A:$EB,'2406'!$A97,0)/100+VLOOKUP($I$1&amp;S$8,DATA!$A:$EB,'2406'!$A97+1,0)/100</f>
        <v/>
      </c>
      <c r="T97" s="829">
        <f>VLOOKUP($I$1&amp;T$8,DATA!$A:$EB,'2406'!$A97,0)/100+VLOOKUP($I$1&amp;T$8,DATA!$A:$EB,'2406'!$A97+1,0)/100</f>
        <v/>
      </c>
      <c r="U97" s="13" t="n"/>
    </row>
    <row r="98" ht="16.5" customHeight="1" s="760">
      <c r="A98" s="642">
        <f>DATA!CH1</f>
        <v/>
      </c>
      <c r="E98" s="643" t="n"/>
      <c r="F98" s="657" t="inlineStr">
        <is>
          <t>5~10년</t>
        </is>
      </c>
      <c r="H98" s="643" t="n"/>
      <c r="I98" s="829">
        <f>VLOOKUP($I$1&amp;I$8,DATA!$A:$EB,'2406'!$A98,0)/100</f>
        <v/>
      </c>
      <c r="J98" s="845">
        <f>VLOOKUP($I$1&amp;J$8,DATA!$A:$EB,'2406'!$A98,0)/100</f>
        <v/>
      </c>
      <c r="K98" s="829">
        <f>VLOOKUP($I$1&amp;K$8,DATA!$A:$EB,'2406'!$A98,0)/100</f>
        <v/>
      </c>
      <c r="L98" s="829">
        <f>VLOOKUP($I$1&amp;L$8,DATA!$A:$EB,'2406'!$A98,0)/100</f>
        <v/>
      </c>
      <c r="M98" s="829">
        <f>VLOOKUP($I$1&amp;M$8,DATA!$A:$EB,'2406'!$A98,0)/100</f>
        <v/>
      </c>
      <c r="N98" s="829">
        <f>VLOOKUP($I$1&amp;N$8,DATA!$A:$EB,'2406'!$A98,0)/100</f>
        <v/>
      </c>
      <c r="O98" s="829">
        <f>VLOOKUP($I$1&amp;O$8,DATA!$A:$EB,'2406'!$A98,0)/100</f>
        <v/>
      </c>
      <c r="P98" s="845">
        <f>VLOOKUP($I$1&amp;P$8,DATA!$A:$EB,'2406'!$A98,0)/100</f>
        <v/>
      </c>
      <c r="Q98" s="829">
        <f>VLOOKUP($I$1&amp;Q$8,DATA!$A:$EB,'2406'!$A98,0)/100</f>
        <v/>
      </c>
      <c r="R98" s="829">
        <f>VLOOKUP($I$1&amp;R$8,DATA!$A:$EB,'2406'!$A98,0)/100</f>
        <v/>
      </c>
      <c r="S98" s="829">
        <f>VLOOKUP($I$1&amp;S$8,DATA!$A:$EB,'2406'!$A98,0)/100</f>
        <v/>
      </c>
      <c r="T98" s="829">
        <f>VLOOKUP($I$1&amp;T$8,DATA!$A:$EB,'2406'!$A98,0)/100</f>
        <v/>
      </c>
      <c r="U98" s="13" t="n"/>
    </row>
    <row r="99" ht="16.5" customHeight="1" s="760">
      <c r="A99" s="642">
        <f>DATA!CI1</f>
        <v/>
      </c>
      <c r="C99" s="645" t="n"/>
      <c r="D99" s="645" t="n"/>
      <c r="E99" s="646" t="n"/>
      <c r="F99" s="689" t="inlineStr">
        <is>
          <t>10년 초과</t>
        </is>
      </c>
      <c r="G99" s="645" t="n"/>
      <c r="H99" s="646" t="n"/>
      <c r="I99" s="832">
        <f>VLOOKUP($I$1&amp;I$8,DATA!$A:$EB,'2406'!$A99,0)/100</f>
        <v/>
      </c>
      <c r="J99" s="678" t="n"/>
      <c r="K99" s="832">
        <f>VLOOKUP($I$1&amp;K$8,DATA!$A:$EB,'2406'!$A99,0)/100</f>
        <v/>
      </c>
      <c r="L99" s="832">
        <f>VLOOKUP($I$1&amp;L$8,DATA!$A:$EB,'2406'!$A99,0)/100</f>
        <v/>
      </c>
      <c r="M99" s="832">
        <f>VLOOKUP($I$1&amp;M$8,DATA!$A:$EB,'2406'!$A99,0)/100</f>
        <v/>
      </c>
      <c r="N99" s="832">
        <f>VLOOKUP($I$1&amp;N$8,DATA!$A:$EB,'2406'!$A99,0)/100</f>
        <v/>
      </c>
      <c r="O99" s="832">
        <f>VLOOKUP($I$1&amp;O$8,DATA!$A:$EB,'2406'!$A99,0)/100</f>
        <v/>
      </c>
      <c r="P99" s="678" t="n"/>
      <c r="Q99" s="832">
        <f>VLOOKUP($I$1&amp;Q$8,DATA!$A:$EB,'2406'!$A99,0)/100</f>
        <v/>
      </c>
      <c r="R99" s="832">
        <f>VLOOKUP($I$1&amp;R$8,DATA!$A:$EB,'2406'!$A99,0)/100</f>
        <v/>
      </c>
      <c r="S99" s="832">
        <f>VLOOKUP($I$1&amp;S$8,DATA!$A:$EB,'2406'!$A99,0)/100</f>
        <v/>
      </c>
      <c r="T99" s="832">
        <f>VLOOKUP($I$1&amp;T$8,DATA!$A:$EB,'2406'!$A99,0)/100</f>
        <v/>
      </c>
      <c r="U99" s="13" t="n"/>
    </row>
    <row r="100" ht="16.5" customHeight="1" s="760">
      <c r="C100" s="12" t="inlineStr">
        <is>
          <t>* CSM상각률 : CSM상각액 / (CSM잔액 + CSM상각액)  * (4 / 분기)</t>
        </is>
      </c>
      <c r="D100" s="209" t="n"/>
      <c r="E100" s="809" t="n"/>
      <c r="F100" s="809" t="n"/>
      <c r="G100" s="809" t="n"/>
      <c r="H100" s="809" t="n"/>
      <c r="I100" s="809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6.5" customHeight="1" s="760">
      <c r="C101" s="12" t="inlineStr">
        <is>
          <t>* 기간별 상각금액 비중 : 순부채 기준</t>
        </is>
      </c>
      <c r="D101" s="209" t="n"/>
      <c r="E101" s="809" t="n"/>
      <c r="F101" s="809" t="n"/>
      <c r="G101" s="809" t="n"/>
      <c r="H101" s="809" t="n"/>
      <c r="I101" s="809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6.5" customHeight="1" s="760">
      <c r="C102" s="111" t="n"/>
      <c r="D102" s="209" t="n"/>
      <c r="E102" s="809" t="n"/>
      <c r="F102" s="809" t="n"/>
      <c r="G102" s="809" t="n"/>
      <c r="H102" s="809" t="n"/>
      <c r="I102" s="833">
        <f>+I92/I89</f>
        <v/>
      </c>
      <c r="J102" s="833">
        <f>+J92/J89</f>
        <v/>
      </c>
      <c r="K102" s="833">
        <f>+K92/K89</f>
        <v/>
      </c>
      <c r="L102" s="833">
        <f>+L92/L89</f>
        <v/>
      </c>
      <c r="M102" s="833">
        <f>+M92/M89</f>
        <v/>
      </c>
      <c r="N102" s="833">
        <f>+N92/N89</f>
        <v/>
      </c>
      <c r="O102" s="833">
        <f>+O92/O89</f>
        <v/>
      </c>
      <c r="P102" s="833">
        <f>+P92/P89</f>
        <v/>
      </c>
      <c r="Q102" s="833">
        <f>+Q92/Q89</f>
        <v/>
      </c>
      <c r="R102" s="833">
        <f>+R92/R89</f>
        <v/>
      </c>
      <c r="S102" s="833">
        <f>+S92/S89</f>
        <v/>
      </c>
      <c r="T102" s="833">
        <f>+T92/T89</f>
        <v/>
      </c>
      <c r="U102" s="13" t="n"/>
    </row>
    <row r="103" ht="16.5" customHeight="1" s="760">
      <c r="A103" s="642">
        <f>DATA!CB1</f>
        <v/>
      </c>
      <c r="C103" s="111" t="n"/>
      <c r="D103" s="209" t="n"/>
      <c r="E103" s="809" t="inlineStr">
        <is>
          <t>전기말</t>
        </is>
      </c>
      <c r="F103" s="809" t="n"/>
      <c r="G103" s="809" t="n"/>
      <c r="H103" s="809" t="n"/>
      <c r="I103" s="786">
        <f>VLOOKUP($I$1&amp;I$8,DATA!$A:$EB,'2406'!$A103,0)/100</f>
        <v/>
      </c>
      <c r="J103" s="786">
        <f>VLOOKUP($I$1&amp;J$8,DATA!$A:$EB,'2406'!$A103,0)/100</f>
        <v/>
      </c>
      <c r="K103" s="787">
        <f>VLOOKUP($I$1&amp;K$8,DATA!$A:$EB,'2406'!$A103,0)/100</f>
        <v/>
      </c>
      <c r="L103" s="787">
        <f>VLOOKUP($I$1&amp;L$8,DATA!$A:$EB,'2406'!$A103,0)/100</f>
        <v/>
      </c>
      <c r="M103" s="787">
        <f>VLOOKUP($I$1&amp;M$8,DATA!$A:$EB,'2406'!$A103,0)/100</f>
        <v/>
      </c>
      <c r="N103" s="787">
        <f>VLOOKUP($I$1&amp;N$8,DATA!$A:$EB,'2406'!$A103,0)/100</f>
        <v/>
      </c>
      <c r="O103" s="787">
        <f>VLOOKUP($I$1&amp;O$8,DATA!$A:$EB,'2406'!$A103,0)/100</f>
        <v/>
      </c>
      <c r="P103" s="787">
        <f>VLOOKUP($I$1&amp;P$8,DATA!$A:$EB,'2406'!$A103,0)/100</f>
        <v/>
      </c>
      <c r="Q103" s="787">
        <f>VLOOKUP($I$1&amp;Q$8,DATA!$A:$EB,'2406'!$A103,0)/100</f>
        <v/>
      </c>
      <c r="R103" s="787">
        <f>VLOOKUP($I$1&amp;R$8,DATA!$A:$EB,'2406'!$A103,0)/100</f>
        <v/>
      </c>
      <c r="S103" s="787">
        <f>VLOOKUP($I$1&amp;S$8,DATA!$A:$EB,'2406'!$A103,0)/100</f>
        <v/>
      </c>
      <c r="T103" s="787">
        <f>VLOOKUP($I$1&amp;T$8,DATA!$A:$EB,'2406'!$A103,0)/100</f>
        <v/>
      </c>
      <c r="U103" s="13" t="n"/>
    </row>
    <row r="104" ht="16.5" customHeight="1" s="760">
      <c r="C104" s="111" t="n"/>
      <c r="D104" s="209" t="n"/>
      <c r="E104" s="809" t="n"/>
      <c r="F104" s="809" t="n"/>
      <c r="G104" s="809" t="n"/>
      <c r="H104" s="809" t="n"/>
      <c r="I104" s="787">
        <f>I89-SUM(I96:I99)</f>
        <v/>
      </c>
      <c r="J104" s="787">
        <f>J89-SUM(J96:J99)</f>
        <v/>
      </c>
      <c r="K104" s="787">
        <f>K89-SUM(K96:K99)</f>
        <v/>
      </c>
      <c r="L104" s="787">
        <f>L89-SUM(L96:L99)</f>
        <v/>
      </c>
      <c r="M104" s="787">
        <f>M89-SUM(M96:M99)</f>
        <v/>
      </c>
      <c r="N104" s="787">
        <f>N89-SUM(N96:N99)</f>
        <v/>
      </c>
      <c r="O104" s="787">
        <f>O89-SUM(O96:O99)</f>
        <v/>
      </c>
      <c r="P104" s="787">
        <f>P89-SUM(P96:P99)</f>
        <v/>
      </c>
      <c r="Q104" s="787">
        <f>Q89-SUM(Q96:Q99)</f>
        <v/>
      </c>
      <c r="R104" s="787">
        <f>R89-SUM(R96:R99)</f>
        <v/>
      </c>
      <c r="S104" s="787">
        <f>S89-SUM(S96:S99)</f>
        <v/>
      </c>
      <c r="T104" s="787">
        <f>T89-SUM(T96:T99)</f>
        <v/>
      </c>
      <c r="U104" s="13" t="n"/>
    </row>
    <row r="105" ht="16.5" customHeight="1" s="760">
      <c r="A105" s="642">
        <f>DATA!BZ1</f>
        <v/>
      </c>
      <c r="C105" s="111" t="n"/>
      <c r="D105" s="209" t="n"/>
      <c r="E105" s="809" t="inlineStr">
        <is>
          <t>CSM조정</t>
        </is>
      </c>
      <c r="F105" s="809" t="n"/>
      <c r="G105" s="809" t="n"/>
      <c r="H105" s="809" t="n"/>
      <c r="I105" s="834">
        <f>VLOOKUP($I$1&amp;I$8,DATA!$A:$EB,'2406'!$A105,0)/100</f>
        <v/>
      </c>
      <c r="J105" s="834">
        <f>VLOOKUP($I$1&amp;J$8,DATA!$A:$EB,'2406'!$A105,0)/100</f>
        <v/>
      </c>
      <c r="K105" s="835">
        <f>VLOOKUP($I$1&amp;K$8,DATA!$A:$EB,'2406'!$A105,0)/100</f>
        <v/>
      </c>
      <c r="L105" s="835">
        <f>VLOOKUP($I$1&amp;L$8,DATA!$A:$EB,'2406'!$A105,0)/100</f>
        <v/>
      </c>
      <c r="M105" s="835">
        <f>VLOOKUP($I$1&amp;M$8,DATA!$A:$EB,'2406'!$A105,0)/100</f>
        <v/>
      </c>
      <c r="N105" s="835">
        <f>VLOOKUP($I$1&amp;N$8,DATA!$A:$EB,'2406'!$A105,0)/100</f>
        <v/>
      </c>
      <c r="O105" s="835">
        <f>VLOOKUP($I$1&amp;O$8,DATA!$A:$EB,'2406'!$A105,0)/100</f>
        <v/>
      </c>
      <c r="P105" s="835">
        <f>VLOOKUP($I$1&amp;P$8,DATA!$A:$EB,'2406'!$A105,0)/100</f>
        <v/>
      </c>
      <c r="Q105" s="835">
        <f>VLOOKUP($I$1&amp;Q$8,DATA!$A:$EB,'2406'!$A105,0)/100</f>
        <v/>
      </c>
      <c r="R105" s="835">
        <f>VLOOKUP($I$1&amp;R$8,DATA!$A:$EB,'2406'!$A105,0)/100</f>
        <v/>
      </c>
      <c r="S105" s="835">
        <f>VLOOKUP($I$1&amp;S$8,DATA!$A:$EB,'2406'!$A105,0)/100</f>
        <v/>
      </c>
      <c r="T105" s="835">
        <f>VLOOKUP($I$1&amp;T$8,DATA!$A:$EB,'2406'!$A105,0)/100</f>
        <v/>
      </c>
      <c r="U105" s="13" t="n"/>
    </row>
    <row r="106" ht="16.5" customHeight="1" s="760">
      <c r="C106" s="111" t="n"/>
      <c r="D106" s="209" t="n"/>
      <c r="E106" s="809" t="n"/>
      <c r="F106" s="809" t="n"/>
      <c r="G106" s="809" t="n"/>
      <c r="H106" s="809" t="n"/>
      <c r="I106" s="833">
        <f>I105/I89</f>
        <v/>
      </c>
      <c r="J106" s="833">
        <f>J105/J89</f>
        <v/>
      </c>
      <c r="K106" s="833">
        <f>K105/K89</f>
        <v/>
      </c>
      <c r="L106" s="833">
        <f>L105/L89</f>
        <v/>
      </c>
      <c r="M106" s="833">
        <f>M105/M89</f>
        <v/>
      </c>
      <c r="N106" s="833">
        <f>N105/N89</f>
        <v/>
      </c>
      <c r="O106" s="833">
        <f>O105/O89</f>
        <v/>
      </c>
      <c r="P106" s="833">
        <f>P105/P89</f>
        <v/>
      </c>
      <c r="Q106" s="833">
        <f>Q105/Q89</f>
        <v/>
      </c>
      <c r="R106" s="833">
        <f>R105/R89</f>
        <v/>
      </c>
      <c r="S106" s="833">
        <f>S105/S89</f>
        <v/>
      </c>
      <c r="T106" s="833">
        <f>T105/T89</f>
        <v/>
      </c>
      <c r="U106" s="13" t="n"/>
    </row>
    <row r="107" ht="16.5" customHeight="1" s="760">
      <c r="C107" s="6" t="inlineStr">
        <is>
          <t>4. 경영효율지표</t>
        </is>
      </c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6.5" customHeight="1" s="760">
      <c r="C108" s="11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111" t="n"/>
      <c r="N108" s="111" t="n"/>
      <c r="O108" s="13" t="n"/>
      <c r="P108" s="111" t="n"/>
      <c r="Q108" s="111" t="n"/>
      <c r="R108" s="13" t="n"/>
      <c r="S108" s="13" t="n"/>
      <c r="T108" s="13" t="n"/>
      <c r="U108" s="13" t="n"/>
    </row>
    <row r="109" ht="16.5" customHeight="1" s="760">
      <c r="C109" s="650" t="inlineStr">
        <is>
          <t>구분</t>
        </is>
      </c>
      <c r="D109" s="648" t="n"/>
      <c r="E109" s="648" t="n"/>
      <c r="F109" s="648" t="n"/>
      <c r="G109" s="648" t="n"/>
      <c r="H109" s="649" t="n"/>
      <c r="I109" s="8" t="inlineStr">
        <is>
          <t>미래에셋생명</t>
        </is>
      </c>
      <c r="J109" s="8" t="inlineStr">
        <is>
          <t>삼성생명</t>
        </is>
      </c>
      <c r="K109" s="8" t="inlineStr">
        <is>
          <t>교보생명</t>
        </is>
      </c>
      <c r="L109" s="8" t="inlineStr">
        <is>
          <t>한화생명</t>
        </is>
      </c>
      <c r="M109" s="8" t="inlineStr">
        <is>
          <t>신한라이프</t>
        </is>
      </c>
      <c r="N109" s="8" t="inlineStr">
        <is>
          <t>동양생명</t>
        </is>
      </c>
      <c r="O109" s="9" t="inlineStr">
        <is>
          <t>KB라이프</t>
        </is>
      </c>
      <c r="P109" s="9" t="inlineStr">
        <is>
          <t>삼성화재</t>
        </is>
      </c>
      <c r="Q109" s="9" t="inlineStr">
        <is>
          <t>현대해상</t>
        </is>
      </c>
      <c r="R109" s="9" t="inlineStr">
        <is>
          <t>메리츠화재</t>
        </is>
      </c>
      <c r="S109" s="9" t="inlineStr">
        <is>
          <t>KB손보</t>
        </is>
      </c>
      <c r="T109" s="9" t="inlineStr">
        <is>
          <t>DB손보</t>
        </is>
      </c>
      <c r="U109" s="13" t="n"/>
    </row>
    <row r="110" ht="16.5" customHeight="1" s="760">
      <c r="C110" s="665" t="inlineStr">
        <is>
          <t>ROE</t>
        </is>
      </c>
      <c r="D110" s="648" t="n"/>
      <c r="E110" s="648" t="n"/>
      <c r="F110" s="648" t="n"/>
      <c r="G110" s="648" t="n"/>
      <c r="H110" s="649" t="n"/>
      <c r="I110" s="836">
        <f>I74/AVERAGE(I120,I121)*(4/$J$1)</f>
        <v/>
      </c>
      <c r="J110" s="836">
        <f>J74/AVERAGE(J120,J121)*(4/$J$1)</f>
        <v/>
      </c>
      <c r="K110" s="836">
        <f>K74/AVERAGE(K120,K121)*(4/$J$1)</f>
        <v/>
      </c>
      <c r="L110" s="836">
        <f>L74/AVERAGE(L120,L121)*(4/$J$1)</f>
        <v/>
      </c>
      <c r="M110" s="836">
        <f>M74/AVERAGE(M120,M121)*(4/$J$1)</f>
        <v/>
      </c>
      <c r="N110" s="836">
        <f>N74/AVERAGE(N120,N121)*(4/$J$1)</f>
        <v/>
      </c>
      <c r="O110" s="837">
        <f>O74/AVERAGE(O120,O121)*(4/$J$1)</f>
        <v/>
      </c>
      <c r="P110" s="837">
        <f>P74/AVERAGE(P120,P121)*(4/$J$1)</f>
        <v/>
      </c>
      <c r="Q110" s="837">
        <f>Q74/AVERAGE(Q120,Q121)*(4/$J$1)</f>
        <v/>
      </c>
      <c r="R110" s="837">
        <f>R74/AVERAGE(R120,R121)*(4/$J$1)</f>
        <v/>
      </c>
      <c r="S110" s="837">
        <f>S74/AVERAGE(S120,S121)*(4/$J$1)</f>
        <v/>
      </c>
      <c r="T110" s="837">
        <f>T74/AVERAGE(T120,T121)*(4/$J$1)</f>
        <v/>
      </c>
      <c r="U110" s="13" t="n"/>
    </row>
    <row r="111" ht="16.5" customHeight="1" s="760">
      <c r="C111" s="687" t="inlineStr">
        <is>
          <t>RAROC (연환산)</t>
        </is>
      </c>
      <c r="H111" s="643" t="n"/>
      <c r="I111" s="794">
        <f>+I92/(I52*150%)*(4/$J$1)</f>
        <v/>
      </c>
      <c r="J111" s="794">
        <f>+J92/(J52*150%)*(4/$J$1)</f>
        <v/>
      </c>
      <c r="K111" s="794">
        <f>+K92/(K52*150%)*(4/$J$1)</f>
        <v/>
      </c>
      <c r="L111" s="794">
        <f>+L92/(L52*150%)*(4/$J$1)</f>
        <v/>
      </c>
      <c r="M111" s="794">
        <f>+M92/(M52*150%)*(4/$J$1)</f>
        <v/>
      </c>
      <c r="N111" s="794">
        <f>+N92/(N52*150%)*(4/$J$1)</f>
        <v/>
      </c>
      <c r="O111" s="797">
        <f>+O92/(O52*150%)*(4/$J$1)</f>
        <v/>
      </c>
      <c r="P111" s="797">
        <f>+P92/(P52*150%)*(4/$J$1)</f>
        <v/>
      </c>
      <c r="Q111" s="797">
        <f>+Q92/(Q52*150%)*(4/$J$1)</f>
        <v/>
      </c>
      <c r="R111" s="797">
        <f>+R92/(R52*150%)*(4/$J$1)</f>
        <v/>
      </c>
      <c r="S111" s="797">
        <f>+S92/(S52*150%)*(4/$J$1)</f>
        <v/>
      </c>
      <c r="T111" s="797">
        <f>+T92/(T52*150%)*(4/$J$1)</f>
        <v/>
      </c>
      <c r="U111" s="13" t="n"/>
    </row>
    <row r="112" ht="16.5" customHeight="1" s="760">
      <c r="C112" s="655" t="inlineStr">
        <is>
          <t>CSM</t>
        </is>
      </c>
      <c r="D112" s="648" t="n"/>
      <c r="E112" s="679" t="inlineStr">
        <is>
          <t>÷ 자기자본</t>
        </is>
      </c>
      <c r="F112" s="652" t="n"/>
      <c r="G112" s="652" t="n"/>
      <c r="H112" s="653" t="n"/>
      <c r="I112" s="838">
        <f>I89/I121</f>
        <v/>
      </c>
      <c r="J112" s="838">
        <f>J89/J121</f>
        <v/>
      </c>
      <c r="K112" s="838">
        <f>K89/K121</f>
        <v/>
      </c>
      <c r="L112" s="838">
        <f>L89/L121</f>
        <v/>
      </c>
      <c r="M112" s="838">
        <f>M89/M121</f>
        <v/>
      </c>
      <c r="N112" s="838">
        <f>N89/N121</f>
        <v/>
      </c>
      <c r="O112" s="838">
        <f>O89/O121</f>
        <v/>
      </c>
      <c r="P112" s="838">
        <f>P89/P121</f>
        <v/>
      </c>
      <c r="Q112" s="838">
        <f>Q89/Q121</f>
        <v/>
      </c>
      <c r="R112" s="838">
        <f>R89/R121</f>
        <v/>
      </c>
      <c r="S112" s="838">
        <f>S89/S121</f>
        <v/>
      </c>
      <c r="T112" s="838">
        <f>T89/T121</f>
        <v/>
      </c>
      <c r="U112" s="13" t="n"/>
    </row>
    <row r="113" ht="16.5" customHeight="1" s="760">
      <c r="E113" s="662" t="inlineStr">
        <is>
          <t>÷ (요구자본x150%)</t>
        </is>
      </c>
      <c r="F113" s="663" t="n"/>
      <c r="G113" s="663" t="n"/>
      <c r="H113" s="664" t="n"/>
      <c r="I113" s="839">
        <f>I89/(I52*150%)</f>
        <v/>
      </c>
      <c r="J113" s="839">
        <f>J89/(J52*150%)</f>
        <v/>
      </c>
      <c r="K113" s="839">
        <f>K89/(K52*150%)</f>
        <v/>
      </c>
      <c r="L113" s="839">
        <f>L89/(L52*150%)</f>
        <v/>
      </c>
      <c r="M113" s="839">
        <f>M89/(M52*150%)</f>
        <v/>
      </c>
      <c r="N113" s="839">
        <f>N89/(N52*150%)</f>
        <v/>
      </c>
      <c r="O113" s="839">
        <f>O89/(O52*150%)</f>
        <v/>
      </c>
      <c r="P113" s="839">
        <f>P89/(P52*150%)</f>
        <v/>
      </c>
      <c r="Q113" s="839">
        <f>Q89/(Q52*150%)</f>
        <v/>
      </c>
      <c r="R113" s="839">
        <f>R89/(R52*150%)</f>
        <v/>
      </c>
      <c r="S113" s="839">
        <f>S89/(S52*150%)</f>
        <v/>
      </c>
      <c r="T113" s="839">
        <f>T89/(T52*150%)</f>
        <v/>
      </c>
      <c r="U113" s="13" t="n"/>
    </row>
    <row r="114" ht="16.5" customHeight="1" s="760">
      <c r="C114" s="207" t="n"/>
      <c r="D114" s="207" t="n"/>
      <c r="E114" s="688" t="inlineStr">
        <is>
          <t>÷ (요구자본x180%)</t>
        </is>
      </c>
      <c r="F114" s="659" t="n"/>
      <c r="G114" s="659" t="n"/>
      <c r="H114" s="660" t="n"/>
      <c r="I114" s="840">
        <f>I89/(I52*180%)</f>
        <v/>
      </c>
      <c r="J114" s="840">
        <f>J89/(J52*180%)</f>
        <v/>
      </c>
      <c r="K114" s="840">
        <f>K89/(K52*180%)</f>
        <v/>
      </c>
      <c r="L114" s="840">
        <f>L89/(L52*180%)</f>
        <v/>
      </c>
      <c r="M114" s="840">
        <f>M89/(M52*180%)</f>
        <v/>
      </c>
      <c r="N114" s="840">
        <f>N89/(N52*180%)</f>
        <v/>
      </c>
      <c r="O114" s="840">
        <f>O89/(O52*180%)</f>
        <v/>
      </c>
      <c r="P114" s="840">
        <f>P89/(P52*180%)</f>
        <v/>
      </c>
      <c r="Q114" s="840">
        <f>Q89/(Q52*180%)</f>
        <v/>
      </c>
      <c r="R114" s="840">
        <f>R89/(R52*180%)</f>
        <v/>
      </c>
      <c r="S114" s="840">
        <f>S89/(S52*180%)</f>
        <v/>
      </c>
      <c r="T114" s="840">
        <f>T89/(T52*180%)</f>
        <v/>
      </c>
      <c r="U114" s="13" t="n"/>
    </row>
    <row r="115" ht="16.5" customHeight="1" s="760">
      <c r="C115" s="682" t="inlineStr">
        <is>
          <t>CSM
상각액
(연환산)</t>
        </is>
      </c>
      <c r="D115" s="649" t="n"/>
      <c r="E115" s="651" t="inlineStr">
        <is>
          <t>÷ 자기자본</t>
        </is>
      </c>
      <c r="F115" s="652" t="n"/>
      <c r="G115" s="652" t="n"/>
      <c r="H115" s="653" t="n"/>
      <c r="I115" s="838">
        <f>I93/I121*(4/$J$1)</f>
        <v/>
      </c>
      <c r="J115" s="838">
        <f>J93/J121*(4/$J$1)</f>
        <v/>
      </c>
      <c r="K115" s="838">
        <f>K93/K121*(4/$J$1)</f>
        <v/>
      </c>
      <c r="L115" s="838">
        <f>L93/L121*(4/$J$1)</f>
        <v/>
      </c>
      <c r="M115" s="838">
        <f>M93/M121*(4/$J$1)</f>
        <v/>
      </c>
      <c r="N115" s="838">
        <f>N93/N121*(4/$J$1)</f>
        <v/>
      </c>
      <c r="O115" s="838">
        <f>O93/O121*(4/$J$1)</f>
        <v/>
      </c>
      <c r="P115" s="838">
        <f>P93/P121*(4/$J$1)</f>
        <v/>
      </c>
      <c r="Q115" s="838">
        <f>Q93/Q121*(4/$J$1)</f>
        <v/>
      </c>
      <c r="R115" s="838">
        <f>R93/R121*(4/$J$1)</f>
        <v/>
      </c>
      <c r="S115" s="838">
        <f>S93/S121*(4/$J$1)</f>
        <v/>
      </c>
      <c r="T115" s="838">
        <f>T93/T121*(4/$J$1)</f>
        <v/>
      </c>
      <c r="U115" s="13" t="n"/>
    </row>
    <row r="116" ht="16.5" customHeight="1" s="760">
      <c r="D116" s="643" t="n"/>
      <c r="E116" s="662" t="inlineStr">
        <is>
          <t>÷ (요구자본x150%)</t>
        </is>
      </c>
      <c r="F116" s="663" t="n"/>
      <c r="G116" s="663" t="n"/>
      <c r="H116" s="664" t="n"/>
      <c r="I116" s="839">
        <f>I93/(I52*150%)*(4/$J$1)</f>
        <v/>
      </c>
      <c r="J116" s="839">
        <f>J93/(J52*150%)*(4/$J$1)</f>
        <v/>
      </c>
      <c r="K116" s="839">
        <f>K93/(K52*150%)*(4/$J$1)</f>
        <v/>
      </c>
      <c r="L116" s="839">
        <f>L93/(L52*150%)*(4/$J$1)</f>
        <v/>
      </c>
      <c r="M116" s="839">
        <f>M93/(M52*150%)*(4/$J$1)</f>
        <v/>
      </c>
      <c r="N116" s="839">
        <f>N93/(N52*150%)*(4/$J$1)</f>
        <v/>
      </c>
      <c r="O116" s="839">
        <f>O93/(O52*150%)*(4/$J$1)</f>
        <v/>
      </c>
      <c r="P116" s="839">
        <f>P93/(P52*150%)*(4/$J$1)</f>
        <v/>
      </c>
      <c r="Q116" s="839">
        <f>Q93/(Q52*150%)*(4/$J$1)</f>
        <v/>
      </c>
      <c r="R116" s="839">
        <f>R93/(R52*150%)*(4/$J$1)</f>
        <v/>
      </c>
      <c r="S116" s="839">
        <f>S93/(S52*150%)*(4/$J$1)</f>
        <v/>
      </c>
      <c r="T116" s="839">
        <f>T93/(T52*150%)*(4/$J$1)</f>
        <v/>
      </c>
      <c r="U116" s="13" t="n"/>
    </row>
    <row r="117" ht="16.5" customHeight="1" s="760">
      <c r="C117" s="645" t="n"/>
      <c r="D117" s="646" t="n"/>
      <c r="E117" s="658" t="inlineStr">
        <is>
          <t>÷ (요구자본x180%)</t>
        </is>
      </c>
      <c r="F117" s="659" t="n"/>
      <c r="G117" s="659" t="n"/>
      <c r="H117" s="660" t="n"/>
      <c r="I117" s="840">
        <f>I93/(I52*180%)*(4/$J$1)</f>
        <v/>
      </c>
      <c r="J117" s="840">
        <f>J93/(J52*180%)*(4/$J$1)</f>
        <v/>
      </c>
      <c r="K117" s="840">
        <f>K93/(K52*180%)*(4/$J$1)</f>
        <v/>
      </c>
      <c r="L117" s="840">
        <f>L93/(L52*180%)*(4/$J$1)</f>
        <v/>
      </c>
      <c r="M117" s="840">
        <f>M93/(M52*180%)*(4/$J$1)</f>
        <v/>
      </c>
      <c r="N117" s="840">
        <f>N93/(N52*180%)*(4/$J$1)</f>
        <v/>
      </c>
      <c r="O117" s="840">
        <f>O93/(O52*180%)*(4/$J$1)</f>
        <v/>
      </c>
      <c r="P117" s="840">
        <f>P93/(P52*180%)*(4/$J$1)</f>
        <v/>
      </c>
      <c r="Q117" s="840">
        <f>Q93/(Q52*180%)*(4/$J$1)</f>
        <v/>
      </c>
      <c r="R117" s="840">
        <f>R93/(R52*180%)*(4/$J$1)</f>
        <v/>
      </c>
      <c r="S117" s="840">
        <f>S93/(S52*180%)*(4/$J$1)</f>
        <v/>
      </c>
      <c r="T117" s="840">
        <f>T93/(T52*180%)*(4/$J$1)</f>
        <v/>
      </c>
      <c r="U117" s="13" t="n"/>
    </row>
    <row r="118" ht="16.5" customHeight="1" s="760">
      <c r="C118" s="12" t="inlineStr">
        <is>
          <t>* ROE = 당기순이익 / (회계정책 변경후 기시 자기자본 기준, 분기말 자기자본의 평균) * (4/분기),  RAROC = 신계약CSM ÷ (요구자본x150%) * (4/분기)</t>
        </is>
      </c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 ht="16.5" customHeight="1" s="760"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A120" s="642">
        <f>DATA!T1</f>
        <v/>
      </c>
      <c r="C120" s="13" t="n"/>
      <c r="D120" s="13" t="n"/>
      <c r="E120" s="642" t="inlineStr">
        <is>
          <t>전기자기자본</t>
        </is>
      </c>
      <c r="F120" s="13" t="n"/>
      <c r="G120" s="13" t="n"/>
      <c r="H120" s="13" t="n"/>
      <c r="I120" s="786">
        <f>VLOOKUP($I$1&amp;I$8,DATA!$A:$EB,'2406'!$A120,0)/100</f>
        <v/>
      </c>
      <c r="J120" s="786">
        <f>VLOOKUP($I$1&amp;J$8,DATA!$A:$EB,'2406'!$A120,0)/100</f>
        <v/>
      </c>
      <c r="K120" s="787">
        <f>VLOOKUP($I$1&amp;K$8,DATA!$A:$EB,'2406'!$A120,0)/100</f>
        <v/>
      </c>
      <c r="L120" s="787">
        <f>VLOOKUP($I$1&amp;L$8,DATA!$A:$EB,'2406'!$A120,0)/100</f>
        <v/>
      </c>
      <c r="M120" s="787">
        <f>VLOOKUP($I$1&amp;M$8,DATA!$A:$EB,'2406'!$A120,0)/100</f>
        <v/>
      </c>
      <c r="N120" s="787">
        <f>VLOOKUP($I$1&amp;N$8,DATA!$A:$EB,'2406'!$A120,0)/100</f>
        <v/>
      </c>
      <c r="O120" s="787">
        <f>VLOOKUP($I$1&amp;O$8,DATA!$A:$EB,'2406'!$A120,0)/100</f>
        <v/>
      </c>
      <c r="P120" s="787">
        <f>VLOOKUP($I$1&amp;P$8,DATA!$A:$EB,'2406'!$A120,0)/100</f>
        <v/>
      </c>
      <c r="Q120" s="787">
        <f>VLOOKUP($I$1&amp;Q$8,DATA!$A:$EB,'2406'!$A120,0)/100</f>
        <v/>
      </c>
      <c r="R120" s="787">
        <f>VLOOKUP($I$1&amp;R$8,DATA!$A:$EB,'2406'!$A120,0)/100</f>
        <v/>
      </c>
      <c r="S120" s="787">
        <f>VLOOKUP($I$1&amp;S$8,DATA!$A:$EB,'2406'!$A120,0)/100</f>
        <v/>
      </c>
      <c r="T120" s="787">
        <f>VLOOKUP($I$1&amp;T$8,DATA!$A:$EB,'2406'!$A120,0)/100</f>
        <v/>
      </c>
      <c r="U120" s="13" t="n"/>
    </row>
    <row r="121" ht="16.5" customHeight="1" s="760">
      <c r="A121" s="642">
        <f>DATA!N1</f>
        <v/>
      </c>
      <c r="C121" s="696" t="n"/>
      <c r="D121" s="696" t="n"/>
      <c r="E121" s="642" t="inlineStr">
        <is>
          <t>자기자본</t>
        </is>
      </c>
      <c r="F121" s="696" t="n"/>
      <c r="G121" s="696" t="n"/>
      <c r="H121" s="696" t="n"/>
      <c r="I121" s="786">
        <f>VLOOKUP($I$1&amp;I$8,DATA!$A:$EB,'2406'!$A121,0)/100</f>
        <v/>
      </c>
      <c r="J121" s="786">
        <f>VLOOKUP($I$1&amp;J$8,DATA!$A:$EB,'2406'!$A121,0)/100</f>
        <v/>
      </c>
      <c r="K121" s="787">
        <f>VLOOKUP($I$1&amp;K$8,DATA!$A:$EB,'2406'!$A121,0)/100</f>
        <v/>
      </c>
      <c r="L121" s="787">
        <f>VLOOKUP($I$1&amp;L$8,DATA!$A:$EB,'2406'!$A121,0)/100</f>
        <v/>
      </c>
      <c r="M121" s="787">
        <f>VLOOKUP($I$1&amp;M$8,DATA!$A:$EB,'2406'!$A121,0)/100</f>
        <v/>
      </c>
      <c r="N121" s="787">
        <f>VLOOKUP($I$1&amp;N$8,DATA!$A:$EB,'2406'!$A121,0)/100</f>
        <v/>
      </c>
      <c r="O121" s="787">
        <f>VLOOKUP($I$1&amp;O$8,DATA!$A:$EB,'2406'!$A121,0)/100</f>
        <v/>
      </c>
      <c r="P121" s="787">
        <f>VLOOKUP($I$1&amp;P$8,DATA!$A:$EB,'2406'!$A121,0)/100</f>
        <v/>
      </c>
      <c r="Q121" s="787">
        <f>VLOOKUP($I$1&amp;Q$8,DATA!$A:$EB,'2406'!$A121,0)/100</f>
        <v/>
      </c>
      <c r="R121" s="787">
        <f>VLOOKUP($I$1&amp;R$8,DATA!$A:$EB,'2406'!$A121,0)/100</f>
        <v/>
      </c>
      <c r="S121" s="787">
        <f>VLOOKUP($I$1&amp;S$8,DATA!$A:$EB,'2406'!$A121,0)/100</f>
        <v/>
      </c>
      <c r="T121" s="787">
        <f>VLOOKUP($I$1&amp;T$8,DATA!$A:$EB,'2406'!$A121,0)/100</f>
        <v/>
      </c>
      <c r="U121" s="696" t="n"/>
    </row>
    <row r="122" ht="16.5" customHeight="1" s="760">
      <c r="C122" s="696" t="n"/>
      <c r="D122" s="696" t="n"/>
      <c r="E122" s="696" t="n"/>
      <c r="F122" s="696" t="n"/>
      <c r="G122" s="696" t="n"/>
      <c r="H122" s="696" t="n"/>
      <c r="I122" s="696" t="n"/>
      <c r="J122" s="696" t="n"/>
      <c r="K122" s="696" t="n"/>
      <c r="L122" s="696" t="n"/>
      <c r="M122" s="696" t="n"/>
      <c r="N122" s="696" t="n"/>
      <c r="O122" s="696" t="n"/>
      <c r="P122" s="696" t="n"/>
      <c r="Q122" s="696" t="n"/>
      <c r="R122" s="696" t="n"/>
      <c r="S122" s="696" t="n"/>
      <c r="T122" s="696" t="n"/>
      <c r="U122" s="696" t="n"/>
    </row>
    <row r="123" ht="16.5" customHeight="1" s="760">
      <c r="C123" s="696" t="n"/>
      <c r="D123" s="696" t="n"/>
      <c r="E123" s="696" t="n"/>
      <c r="F123" s="696" t="n"/>
      <c r="G123" s="696" t="n"/>
      <c r="H123" s="696" t="n"/>
      <c r="I123" s="696" t="n"/>
      <c r="J123" s="696" t="n"/>
      <c r="K123" s="696" t="n"/>
      <c r="L123" s="696" t="n"/>
      <c r="M123" s="696" t="n"/>
      <c r="N123" s="696" t="n"/>
      <c r="O123" s="841" t="n"/>
      <c r="P123" s="696" t="n"/>
      <c r="Q123" s="696" t="n"/>
      <c r="R123" s="696" t="n"/>
      <c r="S123" s="696" t="n"/>
      <c r="T123" s="841" t="n"/>
      <c r="U123" s="696" t="n"/>
    </row>
    <row r="124">
      <c r="I124" s="785">
        <f>'2403'!I110</f>
        <v/>
      </c>
      <c r="J124" s="785">
        <f>'2403'!J110</f>
        <v/>
      </c>
      <c r="K124" s="842">
        <f>'2403'!K110</f>
        <v/>
      </c>
      <c r="L124" s="842">
        <f>'2403'!L110</f>
        <v/>
      </c>
      <c r="M124" s="842">
        <f>'2403'!M110</f>
        <v/>
      </c>
      <c r="N124" s="842">
        <f>'2403'!N110</f>
        <v/>
      </c>
      <c r="O124" s="785">
        <f>'2403'!O110</f>
        <v/>
      </c>
      <c r="P124" s="785">
        <f>'2403'!P110</f>
        <v/>
      </c>
      <c r="Q124" s="785">
        <f>'2403'!Q110</f>
        <v/>
      </c>
      <c r="R124" s="785">
        <f>'2403'!R110</f>
        <v/>
      </c>
      <c r="S124" s="785">
        <f>'2403'!S110</f>
        <v/>
      </c>
      <c r="T124" s="785">
        <f>'2403'!T110</f>
        <v/>
      </c>
    </row>
  </sheetData>
  <mergeCells count="59">
    <mergeCell ref="C94:H94"/>
    <mergeCell ref="C65:H65"/>
    <mergeCell ref="C109:H109"/>
    <mergeCell ref="C10:H10"/>
    <mergeCell ref="C16:H16"/>
    <mergeCell ref="E116:H116"/>
    <mergeCell ref="C93:H93"/>
    <mergeCell ref="C50:H50"/>
    <mergeCell ref="E113:H113"/>
    <mergeCell ref="C9:H9"/>
    <mergeCell ref="D68:E69"/>
    <mergeCell ref="F97:H97"/>
    <mergeCell ref="C12:H12"/>
    <mergeCell ref="C96:E99"/>
    <mergeCell ref="E112:H112"/>
    <mergeCell ref="C90:H90"/>
    <mergeCell ref="C21:H21"/>
    <mergeCell ref="C59:H59"/>
    <mergeCell ref="E115:H115"/>
    <mergeCell ref="J98:J99"/>
    <mergeCell ref="P98:P99"/>
    <mergeCell ref="C11:H11"/>
    <mergeCell ref="C51:H51"/>
    <mergeCell ref="C95:H95"/>
    <mergeCell ref="C71:H71"/>
    <mergeCell ref="C60:H60"/>
    <mergeCell ref="C52:H52"/>
    <mergeCell ref="C70:H70"/>
    <mergeCell ref="C110:H110"/>
    <mergeCell ref="C8:H8"/>
    <mergeCell ref="F96:H96"/>
    <mergeCell ref="C17:H17"/>
    <mergeCell ref="E117:H117"/>
    <mergeCell ref="C91:H91"/>
    <mergeCell ref="C72:H72"/>
    <mergeCell ref="C19:H19"/>
    <mergeCell ref="C57:H57"/>
    <mergeCell ref="F98:H98"/>
    <mergeCell ref="C66:H66"/>
    <mergeCell ref="C13:H13"/>
    <mergeCell ref="C115:D117"/>
    <mergeCell ref="C111:H111"/>
    <mergeCell ref="C18:H18"/>
    <mergeCell ref="C49:H49"/>
    <mergeCell ref="C92:H92"/>
    <mergeCell ref="F69:H69"/>
    <mergeCell ref="C15:H15"/>
    <mergeCell ref="C58:H58"/>
    <mergeCell ref="F68:H68"/>
    <mergeCell ref="F99:H99"/>
    <mergeCell ref="C89:H89"/>
    <mergeCell ref="C14:H14"/>
    <mergeCell ref="C112:D113"/>
    <mergeCell ref="C74:H74"/>
    <mergeCell ref="E114:H114"/>
    <mergeCell ref="D67:H67"/>
    <mergeCell ref="C73:H73"/>
    <mergeCell ref="C88:H88"/>
    <mergeCell ref="C20:H20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3"/>
  <sheetViews>
    <sheetView showGridLines="0" topLeftCell="A91" workbookViewId="0">
      <selection activeCell="I117" sqref="I117"/>
    </sheetView>
  </sheetViews>
  <sheetFormatPr baseColWidth="8" defaultRowHeight="15"/>
  <cols>
    <col width="9" customWidth="1" style="642" min="1" max="2"/>
    <col width="5.25" customWidth="1" style="642" min="3" max="8"/>
    <col width="16.625" customWidth="1" style="642" min="9" max="15"/>
    <col width="14" customWidth="1" style="642" min="16" max="20"/>
    <col width="9" customWidth="1" style="642" min="21" max="21"/>
    <col width="9" customWidth="1" style="642" min="22" max="16384"/>
  </cols>
  <sheetData>
    <row r="1">
      <c r="C1" s="642" t="inlineStr">
        <is>
          <t>기준월</t>
        </is>
      </c>
      <c r="I1" s="2" t="n">
        <v>2403</v>
      </c>
      <c r="J1" s="642">
        <f>ROUNDUP(RIGHT(I1,2)/3,0)</f>
        <v/>
      </c>
    </row>
    <row r="4" ht="18.75" customHeight="1" s="760">
      <c r="C4" s="1" t="inlineStr">
        <is>
          <t>1. 자산 구성현황</t>
        </is>
      </c>
    </row>
    <row r="7">
      <c r="O7" s="642" t="inlineStr">
        <is>
          <t>(단위 : 억원)</t>
        </is>
      </c>
    </row>
    <row r="8" ht="16.5" customHeight="1" s="760">
      <c r="C8" s="686" t="inlineStr">
        <is>
          <t>구분</t>
        </is>
      </c>
      <c r="D8" s="652" t="n"/>
      <c r="E8" s="652" t="n"/>
      <c r="F8" s="652" t="n"/>
      <c r="G8" s="652" t="n"/>
      <c r="H8" s="653" t="n"/>
      <c r="I8" s="3" t="inlineStr">
        <is>
          <t>미래</t>
        </is>
      </c>
      <c r="J8" s="3" t="inlineStr">
        <is>
          <t>삼성</t>
        </is>
      </c>
      <c r="K8" s="3" t="inlineStr">
        <is>
          <t>교보</t>
        </is>
      </c>
      <c r="L8" s="3" t="inlineStr">
        <is>
          <t>한화</t>
        </is>
      </c>
      <c r="M8" s="3" t="inlineStr">
        <is>
          <t>신한라이프</t>
        </is>
      </c>
      <c r="N8" s="3" t="inlineStr">
        <is>
          <t>동양</t>
        </is>
      </c>
      <c r="O8" s="4" t="inlineStr">
        <is>
          <t>KB라이프</t>
        </is>
      </c>
      <c r="P8" s="3" t="inlineStr">
        <is>
          <t>삼성화재</t>
        </is>
      </c>
      <c r="Q8" s="3" t="inlineStr">
        <is>
          <t>현대해상</t>
        </is>
      </c>
      <c r="R8" s="3" t="inlineStr">
        <is>
          <t>메리츠화재</t>
        </is>
      </c>
      <c r="S8" s="3" t="inlineStr">
        <is>
          <t>KB손보</t>
        </is>
      </c>
      <c r="T8" s="4" t="inlineStr">
        <is>
          <t>DB손보</t>
        </is>
      </c>
    </row>
    <row r="9" ht="16.5" customHeight="1" s="760">
      <c r="A9" s="642">
        <f>DATA!D$1</f>
        <v/>
      </c>
      <c r="C9" s="654" t="inlineStr">
        <is>
          <t>자산</t>
        </is>
      </c>
      <c r="D9" s="648" t="n"/>
      <c r="E9" s="648" t="n"/>
      <c r="F9" s="648" t="n"/>
      <c r="G9" s="648" t="n"/>
      <c r="H9" s="649" t="n"/>
      <c r="I9" s="764">
        <f>VLOOKUP($I$1&amp;I$8,DATA!$A:$EB,'2403'!$A9,0)/100</f>
        <v/>
      </c>
      <c r="J9" s="765">
        <f>VLOOKUP($I$1&amp;J$8,DATA!$A:$EB,'2403'!$A9,0)/100</f>
        <v/>
      </c>
      <c r="K9" s="765">
        <f>VLOOKUP($I$1&amp;K$8,DATA!$A:$EB,'2403'!$A9,0)/100</f>
        <v/>
      </c>
      <c r="L9" s="765">
        <f>VLOOKUP($I$1&amp;L$8,DATA!$A:$EB,'2403'!$A9,0)/100</f>
        <v/>
      </c>
      <c r="M9" s="765">
        <f>VLOOKUP($I$1&amp;M$8,DATA!$A:$EB,'2403'!$A9,0)/100</f>
        <v/>
      </c>
      <c r="N9" s="765">
        <f>VLOOKUP($I$1&amp;N$8,DATA!$A:$EB,'2403'!$A9,0)/100</f>
        <v/>
      </c>
      <c r="O9" s="765">
        <f>VLOOKUP($I$1&amp;O$8,DATA!$A:$EB,'2403'!$A9,0)/100</f>
        <v/>
      </c>
      <c r="P9" s="765">
        <f>VLOOKUP($I$1&amp;P$8,DATA!$A:$EB,'2403'!$A9,0)/100</f>
        <v/>
      </c>
      <c r="Q9" s="765">
        <f>VLOOKUP($I$1&amp;Q$8,DATA!$A:$EB,'2403'!$A9,0)/100</f>
        <v/>
      </c>
      <c r="R9" s="765">
        <f>VLOOKUP($I$1&amp;R$8,DATA!$A:$EB,'2403'!$A9,0)/100</f>
        <v/>
      </c>
      <c r="S9" s="765">
        <f>VLOOKUP($I$1&amp;S$8,DATA!$A:$EB,'2403'!$A9,0)/100</f>
        <v/>
      </c>
      <c r="T9" s="764">
        <f>VLOOKUP($I$1&amp;T$8,DATA!$A:$EB,'2403'!$A9,0)/100</f>
        <v/>
      </c>
    </row>
    <row r="10" ht="16.5" customHeight="1" s="760">
      <c r="A10" s="766">
        <f>DATA!E1</f>
        <v/>
      </c>
      <c r="C10" s="656" t="inlineStr">
        <is>
          <t>FVPL</t>
        </is>
      </c>
      <c r="H10" s="643" t="n"/>
      <c r="I10" s="767">
        <f>VLOOKUP($I$1&amp;I$8,DATA!$A:$EB,'2403'!$A10,0)/100</f>
        <v/>
      </c>
      <c r="J10" s="768">
        <f>VLOOKUP($I$1&amp;J$8,DATA!$A:$EB,'2403'!$A10,0)/100</f>
        <v/>
      </c>
      <c r="K10" s="768">
        <f>VLOOKUP($I$1&amp;K$8,DATA!$A:$EB,'2403'!$A10,0)/100</f>
        <v/>
      </c>
      <c r="L10" s="768">
        <f>VLOOKUP($I$1&amp;L$8,DATA!$A:$EB,'2403'!$A10,0)/100</f>
        <v/>
      </c>
      <c r="M10" s="768">
        <f>VLOOKUP($I$1&amp;M$8,DATA!$A:$EB,'2403'!$A10,0)/100</f>
        <v/>
      </c>
      <c r="N10" s="768">
        <f>VLOOKUP($I$1&amp;N$8,DATA!$A:$EB,'2403'!$A10,0)/100</f>
        <v/>
      </c>
      <c r="O10" s="768">
        <f>VLOOKUP($I$1&amp;O$8,DATA!$A:$EB,'2403'!$A10,0)/100</f>
        <v/>
      </c>
      <c r="P10" s="768">
        <f>VLOOKUP($I$1&amp;P$8,DATA!$A:$EB,'2403'!$A10,0)/100</f>
        <v/>
      </c>
      <c r="Q10" s="768">
        <f>VLOOKUP($I$1&amp;Q$8,DATA!$A:$EB,'2403'!$A10,0)/100</f>
        <v/>
      </c>
      <c r="R10" s="768">
        <f>VLOOKUP($I$1&amp;R$8,DATA!$A:$EB,'2403'!$A10,0)/100</f>
        <v/>
      </c>
      <c r="S10" s="768">
        <f>VLOOKUP($I$1&amp;S$8,DATA!$A:$EB,'2403'!$A10,0)/100</f>
        <v/>
      </c>
      <c r="T10" s="767">
        <f>VLOOKUP($I$1&amp;T$8,DATA!$A:$EB,'2403'!$A10,0)/100</f>
        <v/>
      </c>
    </row>
    <row r="11" ht="16.5" customHeight="1" s="760">
      <c r="C11" s="656" t="inlineStr">
        <is>
          <t>(비중)</t>
        </is>
      </c>
      <c r="H11" s="643" t="n"/>
      <c r="I11" s="769">
        <f>I10/I9</f>
        <v/>
      </c>
      <c r="J11" s="770">
        <f>J10/J9</f>
        <v/>
      </c>
      <c r="K11" s="770">
        <f>K10/K9</f>
        <v/>
      </c>
      <c r="L11" s="770">
        <f>L10/L9</f>
        <v/>
      </c>
      <c r="M11" s="770">
        <f>M10/M9</f>
        <v/>
      </c>
      <c r="N11" s="770">
        <f>N10/N9</f>
        <v/>
      </c>
      <c r="O11" s="770">
        <f>O10/O9</f>
        <v/>
      </c>
      <c r="P11" s="770">
        <f>P10/P9</f>
        <v/>
      </c>
      <c r="Q11" s="770">
        <f>Q10/Q9</f>
        <v/>
      </c>
      <c r="R11" s="770">
        <f>R10/R9</f>
        <v/>
      </c>
      <c r="S11" s="770">
        <f>S10/S9</f>
        <v/>
      </c>
      <c r="T11" s="769">
        <f>T10/T9</f>
        <v/>
      </c>
    </row>
    <row r="12" ht="16.5" customHeight="1" s="760">
      <c r="A12" s="642">
        <f>DATA!F1</f>
        <v/>
      </c>
      <c r="C12" s="656" t="inlineStr">
        <is>
          <t>FVOCI</t>
        </is>
      </c>
      <c r="H12" s="643" t="n"/>
      <c r="I12" s="767">
        <f>VLOOKUP($I$1&amp;I$8,DATA!$A:$EB,'2403'!$A12,0)/100</f>
        <v/>
      </c>
      <c r="J12" s="768">
        <f>VLOOKUP($I$1&amp;J$8,DATA!$A:$EB,'2403'!$A12,0)/100</f>
        <v/>
      </c>
      <c r="K12" s="768">
        <f>VLOOKUP($I$1&amp;K$8,DATA!$A:$EB,'2403'!$A12,0)/100</f>
        <v/>
      </c>
      <c r="L12" s="768">
        <f>VLOOKUP($I$1&amp;L$8,DATA!$A:$EB,'2403'!$A12,0)/100</f>
        <v/>
      </c>
      <c r="M12" s="768">
        <f>VLOOKUP($I$1&amp;M$8,DATA!$A:$EB,'2403'!$A12,0)/100</f>
        <v/>
      </c>
      <c r="N12" s="768">
        <f>VLOOKUP($I$1&amp;N$8,DATA!$A:$EB,'2403'!$A12,0)/100</f>
        <v/>
      </c>
      <c r="O12" s="768">
        <f>VLOOKUP($I$1&amp;O$8,DATA!$A:$EB,'2403'!$A12,0)/100</f>
        <v/>
      </c>
      <c r="P12" s="768">
        <f>VLOOKUP($I$1&amp;P$8,DATA!$A:$EB,'2403'!$A12,0)/100</f>
        <v/>
      </c>
      <c r="Q12" s="768">
        <f>VLOOKUP($I$1&amp;Q$8,DATA!$A:$EB,'2403'!$A12,0)/100</f>
        <v/>
      </c>
      <c r="R12" s="768">
        <f>VLOOKUP($I$1&amp;R$8,DATA!$A:$EB,'2403'!$A12,0)/100</f>
        <v/>
      </c>
      <c r="S12" s="768">
        <f>VLOOKUP($I$1&amp;S$8,DATA!$A:$EB,'2403'!$A12,0)/100</f>
        <v/>
      </c>
      <c r="T12" s="767">
        <f>VLOOKUP($I$1&amp;T$8,DATA!$A:$EB,'2403'!$A12,0)/100</f>
        <v/>
      </c>
    </row>
    <row r="13" ht="15" customHeight="1" s="760">
      <c r="A13" s="642">
        <f>DATA!G1</f>
        <v/>
      </c>
      <c r="C13" s="661" t="inlineStr">
        <is>
          <t>AC</t>
        </is>
      </c>
      <c r="D13" s="645" t="n"/>
      <c r="E13" s="645" t="n"/>
      <c r="F13" s="645" t="n"/>
      <c r="G13" s="645" t="n"/>
      <c r="H13" s="646" t="n"/>
      <c r="I13" s="771">
        <f>VLOOKUP($I$1&amp;I$8,DATA!$A:$EB,'2403'!$A13,0)/100</f>
        <v/>
      </c>
      <c r="J13" s="772">
        <f>VLOOKUP($I$1&amp;J$8,DATA!$A:$EB,'2403'!$A13,0)/100</f>
        <v/>
      </c>
      <c r="K13" s="772">
        <f>VLOOKUP($I$1&amp;K$8,DATA!$A:$EB,'2403'!$A13,0)/100</f>
        <v/>
      </c>
      <c r="L13" s="772">
        <f>VLOOKUP($I$1&amp;L$8,DATA!$A:$EB,'2403'!$A13,0)/100</f>
        <v/>
      </c>
      <c r="M13" s="772">
        <f>VLOOKUP($I$1&amp;M$8,DATA!$A:$EB,'2403'!$A13,0)/100</f>
        <v/>
      </c>
      <c r="N13" s="772">
        <f>VLOOKUP($I$1&amp;N$8,DATA!$A:$EB,'2403'!$A13,0)/100</f>
        <v/>
      </c>
      <c r="O13" s="772">
        <f>VLOOKUP($I$1&amp;O$8,DATA!$A:$EB,'2403'!$A13,0)/100</f>
        <v/>
      </c>
      <c r="P13" s="772">
        <f>VLOOKUP($I$1&amp;P$8,DATA!$A:$EB,'2403'!$A13,0)/100</f>
        <v/>
      </c>
      <c r="Q13" s="772">
        <f>VLOOKUP($I$1&amp;Q$8,DATA!$A:$EB,'2403'!$A13,0)/100</f>
        <v/>
      </c>
      <c r="R13" s="772">
        <f>VLOOKUP($I$1&amp;R$8,DATA!$A:$EB,'2403'!$A13,0)/100</f>
        <v/>
      </c>
      <c r="S13" s="772">
        <f>VLOOKUP($I$1&amp;S$8,DATA!$A:$EB,'2403'!$A13,0)/100</f>
        <v/>
      </c>
      <c r="T13" s="771">
        <f>VLOOKUP($I$1&amp;T$8,DATA!$A:$EB,'2403'!$A13,0)/100</f>
        <v/>
      </c>
    </row>
    <row r="14" ht="16.5" customHeight="1" s="760">
      <c r="A14" s="642">
        <f>DATA!L1</f>
        <v/>
      </c>
      <c r="C14" s="654" t="inlineStr">
        <is>
          <t>부채</t>
        </is>
      </c>
      <c r="D14" s="648" t="n"/>
      <c r="E14" s="648" t="n"/>
      <c r="F14" s="648" t="n"/>
      <c r="G14" s="648" t="n"/>
      <c r="H14" s="649" t="n"/>
      <c r="I14" s="764">
        <f>VLOOKUP($I$1&amp;I$8,DATA!$A:$EB,'2403'!$A14,0)/100</f>
        <v/>
      </c>
      <c r="J14" s="765">
        <f>VLOOKUP($I$1&amp;J$8,DATA!$A:$EB,'2403'!$A14,0)/100</f>
        <v/>
      </c>
      <c r="K14" s="765">
        <f>VLOOKUP($I$1&amp;K$8,DATA!$A:$EB,'2403'!$A14,0)/100</f>
        <v/>
      </c>
      <c r="L14" s="765">
        <f>VLOOKUP($I$1&amp;L$8,DATA!$A:$EB,'2403'!$A14,0)/100</f>
        <v/>
      </c>
      <c r="M14" s="765">
        <f>VLOOKUP($I$1&amp;M$8,DATA!$A:$EB,'2403'!$A14,0)/100</f>
        <v/>
      </c>
      <c r="N14" s="765">
        <f>VLOOKUP($I$1&amp;N$8,DATA!$A:$EB,'2403'!$A14,0)/100</f>
        <v/>
      </c>
      <c r="O14" s="765">
        <f>VLOOKUP($I$1&amp;O$8,DATA!$A:$EB,'2403'!$A14,0)/100</f>
        <v/>
      </c>
      <c r="P14" s="765">
        <f>VLOOKUP($I$1&amp;P$8,DATA!$A:$EB,'2403'!$A14,0)/100</f>
        <v/>
      </c>
      <c r="Q14" s="765">
        <f>VLOOKUP($I$1&amp;Q$8,DATA!$A:$EB,'2403'!$A14,0)/100</f>
        <v/>
      </c>
      <c r="R14" s="765">
        <f>VLOOKUP($I$1&amp;R$8,DATA!$A:$EB,'2403'!$A14,0)/100</f>
        <v/>
      </c>
      <c r="S14" s="765">
        <f>VLOOKUP($I$1&amp;S$8,DATA!$A:$EB,'2403'!$A14,0)/100</f>
        <v/>
      </c>
      <c r="T14" s="764">
        <f>VLOOKUP($I$1&amp;T$8,DATA!$A:$EB,'2403'!$A14,0)/100</f>
        <v/>
      </c>
    </row>
    <row r="15" ht="16.5" customHeight="1" s="760">
      <c r="A15" s="642">
        <f>DATA!BU1</f>
        <v/>
      </c>
      <c r="C15" s="656" t="inlineStr">
        <is>
          <t>BEL</t>
        </is>
      </c>
      <c r="H15" s="643" t="n"/>
      <c r="I15" s="767">
        <f>VLOOKUP($I$1&amp;I$8,DATA!$A:$EB,'2403'!$A15,0)/100</f>
        <v/>
      </c>
      <c r="J15" s="768">
        <f>VLOOKUP($I$1&amp;J$8,DATA!$A:$EB,'2403'!$A15,0)/100</f>
        <v/>
      </c>
      <c r="K15" s="768">
        <f>VLOOKUP($I$1&amp;K$8,DATA!$A:$EB,'2403'!$A15,0)/100</f>
        <v/>
      </c>
      <c r="L15" s="768">
        <f>VLOOKUP($I$1&amp;L$8,DATA!$A:$EB,'2403'!$A15,0)/100</f>
        <v/>
      </c>
      <c r="M15" s="768">
        <f>VLOOKUP($I$1&amp;M$8,DATA!$A:$EB,'2403'!$A15,0)/100</f>
        <v/>
      </c>
      <c r="N15" s="768">
        <f>VLOOKUP($I$1&amp;N$8,DATA!$A:$EB,'2403'!$A15,0)/100</f>
        <v/>
      </c>
      <c r="O15" s="768">
        <f>VLOOKUP($I$1&amp;O$8,DATA!$A:$EB,'2403'!$A15,0)/100</f>
        <v/>
      </c>
      <c r="P15" s="768">
        <f>VLOOKUP($I$1&amp;P$8,DATA!$A:$EB,'2403'!$A15,0)/100</f>
        <v/>
      </c>
      <c r="Q15" s="768">
        <f>VLOOKUP($I$1&amp;Q$8,DATA!$A:$EB,'2403'!$A15,0)/100</f>
        <v/>
      </c>
      <c r="R15" s="768">
        <f>VLOOKUP($I$1&amp;R$8,DATA!$A:$EB,'2403'!$A15,0)/100</f>
        <v/>
      </c>
      <c r="S15" s="768">
        <f>VLOOKUP($I$1&amp;S$8,DATA!$A:$EB,'2403'!$A15,0)/100</f>
        <v/>
      </c>
      <c r="T15" s="767">
        <f>VLOOKUP($I$1&amp;T$8,DATA!$A:$EB,'2403'!$A15,0)/100</f>
        <v/>
      </c>
    </row>
    <row r="16" ht="16.5" customHeight="1" s="760">
      <c r="A16" s="642">
        <f>DATA!BW1</f>
        <v/>
      </c>
      <c r="C16" s="656" t="inlineStr">
        <is>
          <t>CSM</t>
        </is>
      </c>
      <c r="H16" s="643" t="n"/>
      <c r="I16" s="767">
        <f>VLOOKUP($I$1&amp;I$8,DATA!$A:$EB,'2403'!$A16,0)/100</f>
        <v/>
      </c>
      <c r="J16" s="844">
        <f>VLOOKUP($I$1&amp;J$8,DATA!$A:$EB,'2403'!$A16,0)/100</f>
        <v/>
      </c>
      <c r="K16" s="768">
        <f>VLOOKUP($I$1&amp;K$8,DATA!$A:$EB,'2403'!$A16,0)/100</f>
        <v/>
      </c>
      <c r="L16" s="768">
        <f>VLOOKUP($I$1&amp;L$8,DATA!$A:$EB,'2403'!$A16,0)/100</f>
        <v/>
      </c>
      <c r="M16" s="768">
        <f>VLOOKUP($I$1&amp;M$8,DATA!$A:$EB,'2403'!$A16,0)/100</f>
        <v/>
      </c>
      <c r="N16" s="768">
        <f>VLOOKUP($I$1&amp;N$8,DATA!$A:$EB,'2403'!$A16,0)/100</f>
        <v/>
      </c>
      <c r="O16" s="768">
        <f>VLOOKUP($I$1&amp;O$8,DATA!$A:$EB,'2403'!$A16,0)/100</f>
        <v/>
      </c>
      <c r="P16" s="768">
        <f>VLOOKUP($I$1&amp;P$8,DATA!$A:$EB,'2403'!$A16,0)/100</f>
        <v/>
      </c>
      <c r="Q16" s="768">
        <f>VLOOKUP($I$1&amp;Q$8,DATA!$A:$EB,'2403'!$A16,0)/100</f>
        <v/>
      </c>
      <c r="R16" s="768">
        <f>VLOOKUP($I$1&amp;R$8,DATA!$A:$EB,'2403'!$A16,0)/100</f>
        <v/>
      </c>
      <c r="S16" s="768">
        <f>VLOOKUP($I$1&amp;S$8,DATA!$A:$EB,'2403'!$A16,0)/100</f>
        <v/>
      </c>
      <c r="T16" s="767">
        <f>VLOOKUP($I$1&amp;T$8,DATA!$A:$EB,'2403'!$A16,0)/100</f>
        <v/>
      </c>
    </row>
    <row r="17" ht="16.5" customHeight="1" s="760">
      <c r="C17" s="656" t="inlineStr">
        <is>
          <t>(비중)</t>
        </is>
      </c>
      <c r="H17" s="643" t="n"/>
      <c r="I17" s="769">
        <f>I16/I14</f>
        <v/>
      </c>
      <c r="J17" s="769">
        <f>J16/J14</f>
        <v/>
      </c>
      <c r="K17" s="769">
        <f>K16/K14</f>
        <v/>
      </c>
      <c r="L17" s="769">
        <f>L16/L14</f>
        <v/>
      </c>
      <c r="M17" s="769">
        <f>M16/M14</f>
        <v/>
      </c>
      <c r="N17" s="769">
        <f>N16/N14</f>
        <v/>
      </c>
      <c r="O17" s="769">
        <f>O16/O14</f>
        <v/>
      </c>
      <c r="P17" s="769">
        <f>P16/P14</f>
        <v/>
      </c>
      <c r="Q17" s="769">
        <f>Q16/Q14</f>
        <v/>
      </c>
      <c r="R17" s="769">
        <f>R16/R14</f>
        <v/>
      </c>
      <c r="S17" s="769">
        <f>S16/S14</f>
        <v/>
      </c>
      <c r="T17" s="769">
        <f>T16/T14</f>
        <v/>
      </c>
    </row>
    <row r="18" ht="16.5" customHeight="1" s="760">
      <c r="A18" s="642">
        <f>DATA!BV1</f>
        <v/>
      </c>
      <c r="C18" s="661" t="inlineStr">
        <is>
          <t>RA</t>
        </is>
      </c>
      <c r="D18" s="645" t="n"/>
      <c r="E18" s="645" t="n"/>
      <c r="F18" s="645" t="n"/>
      <c r="G18" s="645" t="n"/>
      <c r="H18" s="646" t="n"/>
      <c r="I18" s="771">
        <f>VLOOKUP($I$1&amp;I$8,DATA!$A:$EB,'2403'!$A18,0)/100</f>
        <v/>
      </c>
      <c r="J18" s="772">
        <f>VLOOKUP($I$1&amp;J$8,DATA!$A:$EB,'2403'!$A18,0)/100</f>
        <v/>
      </c>
      <c r="K18" s="772">
        <f>VLOOKUP($I$1&amp;K$8,DATA!$A:$EB,'2403'!$A18,0)/100</f>
        <v/>
      </c>
      <c r="L18" s="772">
        <f>VLOOKUP($I$1&amp;L$8,DATA!$A:$EB,'2403'!$A18,0)/100</f>
        <v/>
      </c>
      <c r="M18" s="772">
        <f>VLOOKUP($I$1&amp;M$8,DATA!$A:$EB,'2403'!$A18,0)/100</f>
        <v/>
      </c>
      <c r="N18" s="772">
        <f>VLOOKUP($I$1&amp;N$8,DATA!$A:$EB,'2403'!$A18,0)/100</f>
        <v/>
      </c>
      <c r="O18" s="772">
        <f>VLOOKUP($I$1&amp;O$8,DATA!$A:$EB,'2403'!$A18,0)/100</f>
        <v/>
      </c>
      <c r="P18" s="772">
        <f>VLOOKUP($I$1&amp;P$8,DATA!$A:$EB,'2403'!$A18,0)/100</f>
        <v/>
      </c>
      <c r="Q18" s="772">
        <f>VLOOKUP($I$1&amp;Q$8,DATA!$A:$EB,'2403'!$A18,0)/100</f>
        <v/>
      </c>
      <c r="R18" s="772">
        <f>VLOOKUP($I$1&amp;R$8,DATA!$A:$EB,'2403'!$A18,0)/100</f>
        <v/>
      </c>
      <c r="S18" s="772">
        <f>VLOOKUP($I$1&amp;S$8,DATA!$A:$EB,'2403'!$A18,0)/100</f>
        <v/>
      </c>
      <c r="T18" s="771">
        <f>VLOOKUP($I$1&amp;T$8,DATA!$A:$EB,'2403'!$A18,0)/100</f>
        <v/>
      </c>
    </row>
    <row r="19" ht="16.5" customHeight="1" s="760">
      <c r="A19" s="642">
        <f>DATA!N1</f>
        <v/>
      </c>
      <c r="C19" s="654" t="inlineStr">
        <is>
          <t>자기자본</t>
        </is>
      </c>
      <c r="D19" s="648" t="n"/>
      <c r="E19" s="648" t="n"/>
      <c r="F19" s="648" t="n"/>
      <c r="G19" s="648" t="n"/>
      <c r="H19" s="649" t="n"/>
      <c r="I19" s="764">
        <f>VLOOKUP($I$1&amp;I$8,DATA!$A:$EB,'2403'!$A19,0)/100</f>
        <v/>
      </c>
      <c r="J19" s="765">
        <f>VLOOKUP($I$1&amp;J$8,DATA!$A:$EB,'2403'!$A19,0)/100</f>
        <v/>
      </c>
      <c r="K19" s="765">
        <f>VLOOKUP($I$1&amp;K$8,DATA!$A:$EB,'2403'!$A19,0)/100</f>
        <v/>
      </c>
      <c r="L19" s="765">
        <f>VLOOKUP($I$1&amp;L$8,DATA!$A:$EB,'2403'!$A19,0)/100</f>
        <v/>
      </c>
      <c r="M19" s="765">
        <f>VLOOKUP($I$1&amp;M$8,DATA!$A:$EB,'2403'!$A19,0)/100</f>
        <v/>
      </c>
      <c r="N19" s="765">
        <f>VLOOKUP($I$1&amp;N$8,DATA!$A:$EB,'2403'!$A19,0)/100</f>
        <v/>
      </c>
      <c r="O19" s="765">
        <f>VLOOKUP($I$1&amp;O$8,DATA!$A:$EB,'2403'!$A19,0)/100</f>
        <v/>
      </c>
      <c r="P19" s="765">
        <f>VLOOKUP($I$1&amp;P$8,DATA!$A:$EB,'2403'!$A19,0)/100</f>
        <v/>
      </c>
      <c r="Q19" s="765">
        <f>VLOOKUP($I$1&amp;Q$8,DATA!$A:$EB,'2403'!$A19,0)/100</f>
        <v/>
      </c>
      <c r="R19" s="765">
        <f>VLOOKUP($I$1&amp;R$8,DATA!$A:$EB,'2403'!$A19,0)/100</f>
        <v/>
      </c>
      <c r="S19" s="765">
        <f>VLOOKUP($I$1&amp;S$8,DATA!$A:$EB,'2403'!$A19,0)/100</f>
        <v/>
      </c>
      <c r="T19" s="764">
        <f>VLOOKUP($I$1&amp;T$8,DATA!$A:$EB,'2403'!$A19,0)/100</f>
        <v/>
      </c>
    </row>
    <row r="20" ht="16.5" customHeight="1" s="760">
      <c r="A20" s="642">
        <f>DATA!R1</f>
        <v/>
      </c>
      <c r="C20" s="656" t="inlineStr">
        <is>
          <t>이익잉여금</t>
        </is>
      </c>
      <c r="H20" s="643" t="n"/>
      <c r="I20" s="767">
        <f>VLOOKUP($I$1&amp;I$8,DATA!$A:$EB,'2403'!$A20,0)/100</f>
        <v/>
      </c>
      <c r="J20" s="768">
        <f>VLOOKUP($I$1&amp;J$8,DATA!$A:$EB,'2403'!$A20,0)/100</f>
        <v/>
      </c>
      <c r="K20" s="768">
        <f>VLOOKUP($I$1&amp;K$8,DATA!$A:$EB,'2403'!$A20,0)/100</f>
        <v/>
      </c>
      <c r="L20" s="768">
        <f>VLOOKUP($I$1&amp;L$8,DATA!$A:$EB,'2403'!$A20,0)/100</f>
        <v/>
      </c>
      <c r="M20" s="768">
        <f>VLOOKUP($I$1&amp;M$8,DATA!$A:$EB,'2403'!$A20,0)/100</f>
        <v/>
      </c>
      <c r="N20" s="768">
        <f>VLOOKUP($I$1&amp;N$8,DATA!$A:$EB,'2403'!$A20,0)/100</f>
        <v/>
      </c>
      <c r="O20" s="768">
        <f>VLOOKUP($I$1&amp;O$8,DATA!$A:$EB,'2403'!$A20,0)/100</f>
        <v/>
      </c>
      <c r="P20" s="768">
        <f>VLOOKUP($I$1&amp;P$8,DATA!$A:$EB,'2403'!$A20,0)/100</f>
        <v/>
      </c>
      <c r="Q20" s="768">
        <f>VLOOKUP($I$1&amp;Q$8,DATA!$A:$EB,'2403'!$A20,0)/100</f>
        <v/>
      </c>
      <c r="R20" s="768">
        <f>VLOOKUP($I$1&amp;R$8,DATA!$A:$EB,'2403'!$A20,0)/100</f>
        <v/>
      </c>
      <c r="S20" s="768">
        <f>VLOOKUP($I$1&amp;S$8,DATA!$A:$EB,'2403'!$A20,0)/100</f>
        <v/>
      </c>
      <c r="T20" s="767">
        <f>VLOOKUP($I$1&amp;T$8,DATA!$A:$EB,'2403'!$A20,0)/100</f>
        <v/>
      </c>
    </row>
    <row r="21" ht="16.5" customHeight="1" s="760">
      <c r="A21" s="642">
        <f>DATA!Q1</f>
        <v/>
      </c>
      <c r="C21" s="661" t="inlineStr">
        <is>
          <t>기타포괄</t>
        </is>
      </c>
      <c r="D21" s="645" t="n"/>
      <c r="E21" s="645" t="n"/>
      <c r="F21" s="645" t="n"/>
      <c r="G21" s="645" t="n"/>
      <c r="H21" s="646" t="n"/>
      <c r="I21" s="771">
        <f>VLOOKUP($I$1&amp;I$8,DATA!$A:$EB,'2403'!$A21,0)/100</f>
        <v/>
      </c>
      <c r="J21" s="772">
        <f>VLOOKUP($I$1&amp;J$8,DATA!$A:$EB,'2403'!$A21,0)/100</f>
        <v/>
      </c>
      <c r="K21" s="772">
        <f>VLOOKUP($I$1&amp;K$8,DATA!$A:$EB,'2403'!$A21,0)/100</f>
        <v/>
      </c>
      <c r="L21" s="772">
        <f>VLOOKUP($I$1&amp;L$8,DATA!$A:$EB,'2403'!$A21,0)/100</f>
        <v/>
      </c>
      <c r="M21" s="772">
        <f>VLOOKUP($I$1&amp;M$8,DATA!$A:$EB,'2403'!$A21,0)/100</f>
        <v/>
      </c>
      <c r="N21" s="772">
        <f>VLOOKUP($I$1&amp;N$8,DATA!$A:$EB,'2403'!$A21,0)/100</f>
        <v/>
      </c>
      <c r="O21" s="772">
        <f>VLOOKUP($I$1&amp;O$8,DATA!$A:$EB,'2403'!$A21,0)/100</f>
        <v/>
      </c>
      <c r="P21" s="772">
        <f>VLOOKUP($I$1&amp;P$8,DATA!$A:$EB,'2403'!$A21,0)/100</f>
        <v/>
      </c>
      <c r="Q21" s="772">
        <f>VLOOKUP($I$1&amp;Q$8,DATA!$A:$EB,'2403'!$A21,0)/100</f>
        <v/>
      </c>
      <c r="R21" s="772">
        <f>VLOOKUP($I$1&amp;R$8,DATA!$A:$EB,'2403'!$A21,0)/100</f>
        <v/>
      </c>
      <c r="S21" s="772">
        <f>VLOOKUP($I$1&amp;S$8,DATA!$A:$EB,'2403'!$A21,0)/100</f>
        <v/>
      </c>
      <c r="T21" s="771">
        <f>VLOOKUP($I$1&amp;T$8,DATA!$A:$EB,'2403'!$A21,0)/100</f>
        <v/>
      </c>
    </row>
    <row r="22">
      <c r="C22" s="5" t="inlineStr">
        <is>
          <t xml:space="preserve">  - 금융자산비중</t>
        </is>
      </c>
      <c r="D22" s="5" t="n"/>
      <c r="E22" s="5" t="n"/>
      <c r="F22" s="5" t="n"/>
      <c r="G22" s="5" t="n"/>
      <c r="H22" s="5" t="n"/>
      <c r="I22" s="785">
        <f>+I20/I9</f>
        <v/>
      </c>
      <c r="J22" s="785">
        <f>+J20/J9</f>
        <v/>
      </c>
      <c r="K22" s="785">
        <f>+K20/K9</f>
        <v/>
      </c>
      <c r="L22" s="785">
        <f>+L20/L9</f>
        <v/>
      </c>
      <c r="M22" s="785">
        <f>+M20/M9</f>
        <v/>
      </c>
      <c r="N22" s="785">
        <f>+N20/N9</f>
        <v/>
      </c>
      <c r="O22" s="785">
        <f>+O20/O9</f>
        <v/>
      </c>
      <c r="P22" s="785">
        <f>+P20/P9</f>
        <v/>
      </c>
      <c r="Q22" s="785">
        <f>+Q20/Q9</f>
        <v/>
      </c>
      <c r="R22" s="785">
        <f>+R20/R9</f>
        <v/>
      </c>
      <c r="S22" s="785">
        <f>+S20/S9</f>
        <v/>
      </c>
      <c r="T22" s="785">
        <f>+T20/T9</f>
        <v/>
      </c>
    </row>
    <row r="23">
      <c r="C23" s="5" t="n"/>
      <c r="D23" s="5" t="n"/>
      <c r="E23" s="5" t="n"/>
      <c r="F23" s="5" t="n"/>
      <c r="G23" s="5" t="n"/>
      <c r="H23" s="5" t="n"/>
      <c r="I23" s="785" t="n"/>
      <c r="J23" s="785" t="n"/>
      <c r="K23" s="785" t="n"/>
      <c r="L23" s="785" t="n"/>
      <c r="M23" s="785" t="n"/>
      <c r="N23" s="785" t="n"/>
      <c r="O23" s="785" t="n"/>
      <c r="P23" s="785" t="n"/>
      <c r="Q23" s="785" t="n"/>
      <c r="R23" s="785" t="n"/>
      <c r="S23" s="785" t="n"/>
      <c r="T23" s="785" t="n"/>
    </row>
    <row r="24">
      <c r="C24" s="5" t="n"/>
      <c r="D24" s="5" t="n"/>
      <c r="E24" s="5" t="n"/>
      <c r="F24" s="5" t="n"/>
      <c r="G24" s="5" t="n"/>
      <c r="H24" s="5" t="n"/>
      <c r="I24" s="785" t="n"/>
      <c r="J24" s="785" t="n"/>
      <c r="K24" s="785" t="n"/>
      <c r="L24" s="785" t="n"/>
      <c r="M24" s="785" t="n"/>
      <c r="N24" s="785" t="n"/>
      <c r="O24" s="785" t="n"/>
      <c r="P24" s="785" t="n"/>
      <c r="Q24" s="785" t="n"/>
      <c r="R24" s="785" t="n"/>
      <c r="S24" s="785" t="n"/>
      <c r="T24" s="785" t="n"/>
    </row>
    <row r="25" ht="16.5" customHeight="1" s="760">
      <c r="A25" s="642">
        <f>DATA!T1</f>
        <v/>
      </c>
      <c r="C25" s="5" t="inlineStr">
        <is>
          <t>* 전기자기자본</t>
        </is>
      </c>
      <c r="D25" s="13" t="n"/>
      <c r="F25" s="13" t="n"/>
      <c r="G25" s="13" t="n"/>
      <c r="H25" s="13" t="n"/>
      <c r="I25" s="786">
        <f>VLOOKUP($I$1&amp;I$8,DATA!$A:$EB,'2403'!$A25,0)/100</f>
        <v/>
      </c>
      <c r="J25" s="786">
        <f>VLOOKUP($I$1&amp;J$8,DATA!$A:$EB,'2403'!$A25,0)/100</f>
        <v/>
      </c>
      <c r="K25" s="787">
        <f>VLOOKUP($I$1&amp;K$8,DATA!$A:$EB,'2403'!$A25,0)/100</f>
        <v/>
      </c>
      <c r="L25" s="787">
        <f>VLOOKUP($I$1&amp;L$8,DATA!$A:$EB,'2403'!$A25,0)/100</f>
        <v/>
      </c>
      <c r="M25" s="787">
        <f>VLOOKUP($I$1&amp;M$8,DATA!$A:$EB,'2403'!$A25,0)/100</f>
        <v/>
      </c>
      <c r="N25" s="787">
        <f>VLOOKUP($I$1&amp;N$8,DATA!$A:$EB,'2403'!$A25,0)/100</f>
        <v/>
      </c>
      <c r="O25" s="787">
        <f>VLOOKUP($I$1&amp;O$8,DATA!$A:$EB,'2403'!$A25,0)/100</f>
        <v/>
      </c>
      <c r="P25" s="787">
        <f>VLOOKUP($I$1&amp;P$8,DATA!$A:$EB,'2403'!$A25,0)/100</f>
        <v/>
      </c>
      <c r="Q25" s="787">
        <f>VLOOKUP($I$1&amp;Q$8,DATA!$A:$EB,'2403'!$A25,0)/100</f>
        <v/>
      </c>
      <c r="R25" s="787">
        <f>VLOOKUP($I$1&amp;R$8,DATA!$A:$EB,'2403'!$A25,0)/100</f>
        <v/>
      </c>
      <c r="S25" s="787">
        <f>VLOOKUP($I$1&amp;S$8,DATA!$A:$EB,'2403'!$A25,0)/100</f>
        <v/>
      </c>
      <c r="T25" s="787">
        <f>VLOOKUP($I$1&amp;T$8,DATA!$A:$EB,'2403'!$A25,0)/100</f>
        <v/>
      </c>
    </row>
    <row r="26" ht="16.5" customHeight="1" s="760">
      <c r="C26" s="5" t="inlineStr">
        <is>
          <t xml:space="preserve"> - 전기대비 증감</t>
        </is>
      </c>
      <c r="D26" s="13" t="n"/>
      <c r="F26" s="13" t="n"/>
      <c r="G26" s="13" t="n"/>
      <c r="H26" s="13" t="n"/>
      <c r="I26" s="786">
        <f>I19-I25</f>
        <v/>
      </c>
      <c r="J26" s="786">
        <f>J19-J25</f>
        <v/>
      </c>
      <c r="K26" s="786">
        <f>K19-K25</f>
        <v/>
      </c>
      <c r="L26" s="786">
        <f>L19-L25</f>
        <v/>
      </c>
      <c r="M26" s="786">
        <f>M19-M25</f>
        <v/>
      </c>
      <c r="N26" s="786">
        <f>N19-N25</f>
        <v/>
      </c>
      <c r="O26" s="786">
        <f>O19-O25</f>
        <v/>
      </c>
      <c r="P26" s="786">
        <f>P19-P25</f>
        <v/>
      </c>
      <c r="Q26" s="786">
        <f>Q19-Q25</f>
        <v/>
      </c>
      <c r="R26" s="786">
        <f>R19-R25</f>
        <v/>
      </c>
      <c r="S26" s="786">
        <f>S19-S25</f>
        <v/>
      </c>
      <c r="T26" s="786">
        <f>T19-T25</f>
        <v/>
      </c>
    </row>
    <row r="27">
      <c r="A27" s="642">
        <f>DATA!BC1</f>
        <v/>
      </c>
      <c r="C27" s="5" t="inlineStr">
        <is>
          <t>* 전기기타포괄</t>
        </is>
      </c>
      <c r="I27" s="786">
        <f>VLOOKUP($I$1&amp;I$8,DATA!$A:$EB,'2403'!$A27,0)/100</f>
        <v/>
      </c>
      <c r="J27" s="786">
        <f>VLOOKUP($I$1&amp;J$8,DATA!$A:$EB,'2403'!$A27,0)/100</f>
        <v/>
      </c>
      <c r="K27" s="786">
        <f>VLOOKUP($I$1&amp;K$8,DATA!$A:$EB,'2403'!$A27,0)/100</f>
        <v/>
      </c>
      <c r="L27" s="786">
        <f>VLOOKUP($I$1&amp;L$8,DATA!$A:$EB,'2403'!$A27,0)/100</f>
        <v/>
      </c>
      <c r="M27" s="786">
        <f>VLOOKUP($I$1&amp;M$8,DATA!$A:$EB,'2403'!$A27,0)/100</f>
        <v/>
      </c>
      <c r="N27" s="786">
        <f>VLOOKUP($I$1&amp;N$8,DATA!$A:$EB,'2403'!$A27,0)/100</f>
        <v/>
      </c>
      <c r="O27" s="786">
        <f>VLOOKUP($I$1&amp;O$8,DATA!$A:$EB,'2403'!$A27,0)/100</f>
        <v/>
      </c>
      <c r="P27" s="786">
        <f>VLOOKUP($I$1&amp;P$8,DATA!$A:$EB,'2403'!$A27,0)/100</f>
        <v/>
      </c>
      <c r="Q27" s="786">
        <f>VLOOKUP($I$1&amp;Q$8,DATA!$A:$EB,'2403'!$A27,0)/100</f>
        <v/>
      </c>
      <c r="R27" s="786">
        <f>VLOOKUP($I$1&amp;R$8,DATA!$A:$EB,'2403'!$A27,0)/100</f>
        <v/>
      </c>
      <c r="S27" s="786">
        <f>VLOOKUP($I$1&amp;S$8,DATA!$A:$EB,'2403'!$A27,0)/100</f>
        <v/>
      </c>
      <c r="T27" s="786">
        <f>VLOOKUP($I$1&amp;T$8,DATA!$A:$EB,'2403'!$A27,0)/100</f>
        <v/>
      </c>
    </row>
    <row r="28">
      <c r="A28" s="642">
        <f>DATA!BN1</f>
        <v/>
      </c>
      <c r="C28" s="5" t="inlineStr">
        <is>
          <t>1) 결산배당</t>
        </is>
      </c>
      <c r="I28" s="786">
        <f>VLOOKUP($I$1&amp;I$8,DATA!$A:$EB,'2403'!$A28,0)/100</f>
        <v/>
      </c>
      <c r="J28" s="786">
        <f>VLOOKUP($I$1&amp;J$8,DATA!$A:$EB,'2403'!$A28,0)/100</f>
        <v/>
      </c>
      <c r="K28" s="786">
        <f>VLOOKUP($I$1&amp;K$8,DATA!$A:$EB,'2403'!$A28,0)/100</f>
        <v/>
      </c>
      <c r="L28" s="786">
        <f>VLOOKUP($I$1&amp;L$8,DATA!$A:$EB,'2403'!$A28,0)/100</f>
        <v/>
      </c>
      <c r="M28" s="786">
        <f>VLOOKUP($I$1&amp;M$8,DATA!$A:$EB,'2403'!$A28,0)/100</f>
        <v/>
      </c>
      <c r="N28" s="786">
        <f>VLOOKUP($I$1&amp;N$8,DATA!$A:$EB,'2403'!$A28,0)/100</f>
        <v/>
      </c>
      <c r="O28" s="786">
        <f>VLOOKUP($I$1&amp;O$8,DATA!$A:$EB,'2403'!$A28,0)/100</f>
        <v/>
      </c>
      <c r="P28" s="786">
        <f>VLOOKUP($I$1&amp;P$8,DATA!$A:$EB,'2403'!$A28,0)/100</f>
        <v/>
      </c>
      <c r="Q28" s="786">
        <f>VLOOKUP($I$1&amp;Q$8,DATA!$A:$EB,'2403'!$A28,0)/100</f>
        <v/>
      </c>
      <c r="R28" s="786">
        <f>VLOOKUP($I$1&amp;R$8,DATA!$A:$EB,'2403'!$A28,0)/100</f>
        <v/>
      </c>
      <c r="S28" s="786">
        <f>VLOOKUP($I$1&amp;S$8,DATA!$A:$EB,'2403'!$A28,0)/100</f>
        <v/>
      </c>
      <c r="T28" s="786">
        <f>VLOOKUP($I$1&amp;T$8,DATA!$A:$EB,'2403'!$A28,0)/100</f>
        <v/>
      </c>
    </row>
    <row r="29">
      <c r="A29" s="642">
        <f>DATA!BR1</f>
        <v/>
      </c>
      <c r="C29" s="5" t="inlineStr">
        <is>
          <t>2) 기타배당</t>
        </is>
      </c>
      <c r="I29" s="786">
        <f>VLOOKUP($I$1&amp;I$8,DATA!$A:$EB,'2403'!$A29,0)/100</f>
        <v/>
      </c>
      <c r="J29" s="786">
        <f>VLOOKUP($I$1&amp;J$8,DATA!$A:$EB,'2403'!$A29,0)/100</f>
        <v/>
      </c>
      <c r="K29" s="786">
        <f>VLOOKUP($I$1&amp;K$8,DATA!$A:$EB,'2403'!$A29,0)/100</f>
        <v/>
      </c>
      <c r="L29" s="786">
        <f>VLOOKUP($I$1&amp;L$8,DATA!$A:$EB,'2403'!$A29,0)/100</f>
        <v/>
      </c>
      <c r="M29" s="786">
        <f>VLOOKUP($I$1&amp;M$8,DATA!$A:$EB,'2403'!$A29,0)/100</f>
        <v/>
      </c>
      <c r="N29" s="786">
        <f>VLOOKUP($I$1&amp;N$8,DATA!$A:$EB,'2403'!$A29,0)/100</f>
        <v/>
      </c>
      <c r="O29" s="786">
        <f>VLOOKUP($I$1&amp;O$8,DATA!$A:$EB,'2403'!$A29,0)/100</f>
        <v/>
      </c>
      <c r="P29" s="786">
        <f>VLOOKUP($I$1&amp;P$8,DATA!$A:$EB,'2403'!$A29,0)/100</f>
        <v/>
      </c>
      <c r="Q29" s="786">
        <f>VLOOKUP($I$1&amp;Q$8,DATA!$A:$EB,'2403'!$A29,0)/100</f>
        <v/>
      </c>
      <c r="R29" s="786">
        <f>VLOOKUP($I$1&amp;R$8,DATA!$A:$EB,'2403'!$A29,0)/100</f>
        <v/>
      </c>
      <c r="S29" s="786">
        <f>VLOOKUP($I$1&amp;S$8,DATA!$A:$EB,'2403'!$A29,0)/100</f>
        <v/>
      </c>
      <c r="T29" s="786">
        <f>VLOOKUP($I$1&amp;T$8,DATA!$A:$EB,'2403'!$A29,0)/100</f>
        <v/>
      </c>
    </row>
    <row r="30">
      <c r="C30" s="5" t="inlineStr">
        <is>
          <t>배당합계</t>
        </is>
      </c>
      <c r="I30" s="786">
        <f>I28+I29</f>
        <v/>
      </c>
      <c r="J30" s="786">
        <f>J28+J29</f>
        <v/>
      </c>
      <c r="K30" s="786">
        <f>K28+K29</f>
        <v/>
      </c>
      <c r="L30" s="786">
        <f>L28+L29</f>
        <v/>
      </c>
      <c r="M30" s="786">
        <f>M28+M29</f>
        <v/>
      </c>
      <c r="N30" s="786">
        <f>N28+N29</f>
        <v/>
      </c>
      <c r="O30" s="786">
        <f>O28+O29</f>
        <v/>
      </c>
      <c r="P30" s="786">
        <f>P28+P29</f>
        <v/>
      </c>
      <c r="Q30" s="786">
        <f>Q28+Q29</f>
        <v/>
      </c>
      <c r="R30" s="786">
        <f>R28+R29</f>
        <v/>
      </c>
      <c r="S30" s="786">
        <f>S28+S29</f>
        <v/>
      </c>
      <c r="T30" s="786">
        <f>T28+T29</f>
        <v/>
      </c>
    </row>
    <row r="31">
      <c r="C31" s="32" t="inlineStr">
        <is>
          <t xml:space="preserve"> 배당제외 자본증가금액</t>
        </is>
      </c>
      <c r="I31" s="786">
        <f>I26-I30</f>
        <v/>
      </c>
      <c r="J31" s="786">
        <f>J26-J30</f>
        <v/>
      </c>
      <c r="K31" s="786">
        <f>K26-K30</f>
        <v/>
      </c>
      <c r="L31" s="786">
        <f>L26-L30</f>
        <v/>
      </c>
      <c r="M31" s="786">
        <f>M26-M30</f>
        <v/>
      </c>
      <c r="N31" s="786">
        <f>N26-N30</f>
        <v/>
      </c>
      <c r="O31" s="786">
        <f>O26-O30</f>
        <v/>
      </c>
      <c r="P31" s="786">
        <f>P26-P30</f>
        <v/>
      </c>
      <c r="Q31" s="786">
        <f>Q26-Q30</f>
        <v/>
      </c>
      <c r="R31" s="786">
        <f>R26-R30</f>
        <v/>
      </c>
      <c r="S31" s="786">
        <f>S26-S30</f>
        <v/>
      </c>
      <c r="T31" s="786">
        <f>T26-T30</f>
        <v/>
      </c>
    </row>
    <row r="32">
      <c r="C32" s="642" t="inlineStr">
        <is>
          <t xml:space="preserve">    - 배당제외 기준 자본증가율</t>
        </is>
      </c>
      <c r="I32" s="788">
        <f>I31/I25</f>
        <v/>
      </c>
      <c r="J32" s="788">
        <f>J31/J25</f>
        <v/>
      </c>
      <c r="K32" s="788">
        <f>K31/K25</f>
        <v/>
      </c>
      <c r="L32" s="788">
        <f>L31/L25</f>
        <v/>
      </c>
      <c r="M32" s="788">
        <f>M31/M25</f>
        <v/>
      </c>
      <c r="N32" s="788">
        <f>N31/N25</f>
        <v/>
      </c>
      <c r="O32" s="788">
        <f>O31/O25</f>
        <v/>
      </c>
      <c r="P32" s="788">
        <f>P31/P25</f>
        <v/>
      </c>
      <c r="Q32" s="788">
        <f>Q31/Q25</f>
        <v/>
      </c>
      <c r="R32" s="788">
        <f>R31/R25</f>
        <v/>
      </c>
      <c r="S32" s="788">
        <f>S31/S25</f>
        <v/>
      </c>
      <c r="T32" s="788">
        <f>T31/T25</f>
        <v/>
      </c>
    </row>
    <row r="33">
      <c r="I33" s="788" t="n"/>
      <c r="J33" s="788" t="n"/>
      <c r="K33" s="788" t="n"/>
      <c r="L33" s="788" t="n"/>
      <c r="M33" s="788" t="n"/>
      <c r="N33" s="788" t="n"/>
      <c r="O33" s="788" t="n"/>
      <c r="P33" s="788" t="n"/>
      <c r="Q33" s="788" t="n"/>
      <c r="R33" s="788" t="n"/>
      <c r="S33" s="788" t="n"/>
      <c r="T33" s="788" t="n"/>
    </row>
    <row r="34">
      <c r="I34" s="788" t="n"/>
      <c r="J34" s="788" t="n"/>
      <c r="K34" s="788" t="n"/>
      <c r="L34" s="788" t="n"/>
      <c r="M34" s="788" t="n"/>
      <c r="N34" s="788" t="n"/>
      <c r="O34" s="788" t="n"/>
      <c r="P34" s="788" t="n"/>
      <c r="Q34" s="788" t="n"/>
      <c r="R34" s="788" t="n"/>
      <c r="S34" s="788" t="n"/>
      <c r="T34" s="788" t="n"/>
    </row>
    <row r="35">
      <c r="A35" s="642">
        <f>DATA!$BF$1</f>
        <v/>
      </c>
      <c r="C35" s="642" t="inlineStr">
        <is>
          <t>* 기타포괄손익 부채 변동금액</t>
        </is>
      </c>
      <c r="I35" s="786">
        <f>VLOOKUP($I$1&amp;I$8,DATA!$A:$EB,작업!$A50,0)/100</f>
        <v/>
      </c>
      <c r="J35" s="786">
        <f>VLOOKUP($I$1&amp;J$8,DATA!$A:$EB,작업!$A50,0)/100</f>
        <v/>
      </c>
      <c r="K35" s="786">
        <f>VLOOKUP($I$1&amp;K$8,DATA!$A:$EB,작업!$A50,0)/100</f>
        <v/>
      </c>
      <c r="L35" s="786">
        <f>VLOOKUP($I$1&amp;L$8,DATA!$A:$EB,작업!$A50,0)/100</f>
        <v/>
      </c>
      <c r="M35" s="786">
        <f>VLOOKUP($I$1&amp;M$8,DATA!$A:$EB,작업!$A50,0)/100</f>
        <v/>
      </c>
      <c r="N35" s="786">
        <f>VLOOKUP($I$1&amp;N$8,DATA!$A:$EB,작업!$A50,0)/100</f>
        <v/>
      </c>
      <c r="O35" s="786">
        <f>VLOOKUP($I$1&amp;O$8,DATA!$A:$EB,작업!$A50,0)/100</f>
        <v/>
      </c>
      <c r="P35" s="786">
        <f>VLOOKUP($I$1&amp;P$8,DATA!$A:$EB,작업!$A50,0)/100</f>
        <v/>
      </c>
      <c r="Q35" s="786">
        <f>VLOOKUP($I$1&amp;Q$8,DATA!$A:$EB,작업!$A50,0)/100</f>
        <v/>
      </c>
      <c r="R35" s="786">
        <f>VLOOKUP($I$1&amp;R$8,DATA!$A:$EB,작업!$A50,0)/100</f>
        <v/>
      </c>
      <c r="S35" s="786">
        <f>VLOOKUP($I$1&amp;S$8,DATA!$A:$EB,작업!$A50,0)/100</f>
        <v/>
      </c>
      <c r="T35" s="786">
        <f>VLOOKUP($I$1&amp;T$8,DATA!$A:$EB,작업!$A50,0)/100</f>
        <v/>
      </c>
    </row>
    <row r="36">
      <c r="C36" s="642" t="inlineStr">
        <is>
          <t>부채변동금액 / (bel+ra+csm)</t>
        </is>
      </c>
      <c r="I36" s="788">
        <f>I35/(I15+I16+I18)</f>
        <v/>
      </c>
      <c r="J36" s="788">
        <f>J35/(J15+J16+J18)</f>
        <v/>
      </c>
      <c r="K36" s="788">
        <f>K35/(K15+K16+K18)</f>
        <v/>
      </c>
      <c r="L36" s="788">
        <f>L35/(L15+L16+L18)</f>
        <v/>
      </c>
      <c r="M36" s="788">
        <f>M35/(M15+M16+M18)</f>
        <v/>
      </c>
      <c r="N36" s="788">
        <f>N35/(N15+N16+N18)</f>
        <v/>
      </c>
      <c r="O36" s="788">
        <f>O35/(O15+O16+O18)</f>
        <v/>
      </c>
      <c r="P36" s="788">
        <f>P35/(P15+P16+P18)</f>
        <v/>
      </c>
      <c r="Q36" s="788">
        <f>Q35/(Q15+Q16+Q18)</f>
        <v/>
      </c>
      <c r="R36" s="788">
        <f>R35/(R15+R16+R18)</f>
        <v/>
      </c>
      <c r="S36" s="788">
        <f>S35/(S15+S16+S18)</f>
        <v/>
      </c>
      <c r="T36" s="788">
        <f>T35/(T15+T16+T18)</f>
        <v/>
      </c>
    </row>
    <row r="37">
      <c r="A37" s="642">
        <f>DATA!$BD$1</f>
        <v/>
      </c>
      <c r="C37" s="642" t="inlineStr">
        <is>
          <t>* 기타포괄손익 자산 변동금액</t>
        </is>
      </c>
      <c r="I37" s="786">
        <f>VLOOKUP($I$1&amp;I$8,DATA!$A:$EB,작업!$A52,0)/100</f>
        <v/>
      </c>
      <c r="J37" s="786">
        <f>VLOOKUP($I$1&amp;J$8,DATA!$A:$EB,작업!$A52,0)/100</f>
        <v/>
      </c>
      <c r="K37" s="786">
        <f>VLOOKUP($I$1&amp;K$8,DATA!$A:$EB,작업!$A52,0)/100</f>
        <v/>
      </c>
      <c r="L37" s="786">
        <f>VLOOKUP($I$1&amp;L$8,DATA!$A:$EB,작업!$A52,0)/100</f>
        <v/>
      </c>
      <c r="M37" s="786">
        <f>VLOOKUP($I$1&amp;M$8,DATA!$A:$EB,작업!$A52,0)/100</f>
        <v/>
      </c>
      <c r="N37" s="786">
        <f>VLOOKUP($I$1&amp;N$8,DATA!$A:$EB,작업!$A52,0)/100</f>
        <v/>
      </c>
      <c r="O37" s="786">
        <f>VLOOKUP($I$1&amp;O$8,DATA!$A:$EB,작업!$A52,0)/100</f>
        <v/>
      </c>
      <c r="P37" s="786">
        <f>VLOOKUP($I$1&amp;P$8,DATA!$A:$EB,작업!$A52,0)/100</f>
        <v/>
      </c>
      <c r="Q37" s="786">
        <f>VLOOKUP($I$1&amp;Q$8,DATA!$A:$EB,작업!$A52,0)/100</f>
        <v/>
      </c>
      <c r="R37" s="786">
        <f>VLOOKUP($I$1&amp;R$8,DATA!$A:$EB,작업!$A52,0)/100</f>
        <v/>
      </c>
      <c r="S37" s="786">
        <f>VLOOKUP($I$1&amp;S$8,DATA!$A:$EB,작업!$A52,0)/100</f>
        <v/>
      </c>
      <c r="T37" s="786">
        <f>VLOOKUP($I$1&amp;T$8,DATA!$A:$EB,작업!$A52,0)/100</f>
        <v/>
      </c>
    </row>
    <row r="38">
      <c r="C38" s="642" t="inlineStr">
        <is>
          <t>부채변동금액 / (bel+ra+csm)</t>
        </is>
      </c>
      <c r="I38" s="788">
        <f>I37/(I15+I16+I18)</f>
        <v/>
      </c>
      <c r="J38" s="788">
        <f>J37/(J15+J16+J18)</f>
        <v/>
      </c>
      <c r="K38" s="788">
        <f>K37/(K15+K16+K18)</f>
        <v/>
      </c>
      <c r="L38" s="788">
        <f>L37/(L15+L16+L18)</f>
        <v/>
      </c>
      <c r="M38" s="788">
        <f>M37/(M15+M16+M18)</f>
        <v/>
      </c>
      <c r="N38" s="788">
        <f>N37/(N15+N16+N18)</f>
        <v/>
      </c>
      <c r="O38" s="788">
        <f>O37/(O15+O16+O18)</f>
        <v/>
      </c>
      <c r="P38" s="788">
        <f>P37/(P15+P16+P18)</f>
        <v/>
      </c>
      <c r="Q38" s="788">
        <f>Q37/(Q15+Q16+Q18)</f>
        <v/>
      </c>
      <c r="R38" s="788">
        <f>R37/(R15+R16+R18)</f>
        <v/>
      </c>
      <c r="S38" s="788">
        <f>S37/(S15+S16+S18)</f>
        <v/>
      </c>
      <c r="T38" s="788">
        <f>T37/(T15+T16+T18)</f>
        <v/>
      </c>
    </row>
    <row r="39">
      <c r="I39" s="788" t="n"/>
      <c r="J39" s="788" t="n"/>
      <c r="K39" s="788" t="n"/>
      <c r="L39" s="788" t="n"/>
      <c r="M39" s="788" t="n"/>
      <c r="N39" s="788" t="n"/>
      <c r="O39" s="788" t="n"/>
      <c r="P39" s="788" t="n"/>
      <c r="Q39" s="788" t="n"/>
      <c r="R39" s="788" t="n"/>
      <c r="S39" s="788" t="n"/>
      <c r="T39" s="788" t="n"/>
    </row>
    <row r="40">
      <c r="A40" s="642">
        <f>DATA!BM1</f>
        <v/>
      </c>
      <c r="C40" s="642" t="inlineStr">
        <is>
          <t>* 전기말 이익잉여금</t>
        </is>
      </c>
      <c r="I40" s="786">
        <f>VLOOKUP($I$1&amp;I$8,DATA!$A:$EB,작업!$A55,0)/100</f>
        <v/>
      </c>
      <c r="J40" s="786">
        <f>VLOOKUP($I$1&amp;J$8,DATA!$A:$EB,작업!$A55,0)/100</f>
        <v/>
      </c>
      <c r="K40" s="786">
        <f>VLOOKUP($I$1&amp;K$8,DATA!$A:$EB,작업!$A55,0)/100</f>
        <v/>
      </c>
      <c r="L40" s="786">
        <f>VLOOKUP($I$1&amp;L$8,DATA!$A:$EB,작업!$A55,0)/100</f>
        <v/>
      </c>
      <c r="M40" s="786">
        <f>VLOOKUP($I$1&amp;M$8,DATA!$A:$EB,작업!$A55,0)/100</f>
        <v/>
      </c>
      <c r="N40" s="786">
        <f>VLOOKUP($I$1&amp;N$8,DATA!$A:$EB,작업!$A55,0)/100</f>
        <v/>
      </c>
      <c r="O40" s="786">
        <f>VLOOKUP($I$1&amp;O$8,DATA!$A:$EB,작업!$A55,0)/100</f>
        <v/>
      </c>
      <c r="P40" s="786">
        <f>VLOOKUP($I$1&amp;P$8,DATA!$A:$EB,작업!$A55,0)/100</f>
        <v/>
      </c>
      <c r="Q40" s="786">
        <f>VLOOKUP($I$1&amp;Q$8,DATA!$A:$EB,작업!$A55,0)/100</f>
        <v/>
      </c>
      <c r="R40" s="786">
        <f>VLOOKUP($I$1&amp;R$8,DATA!$A:$EB,작업!$A55,0)/100</f>
        <v/>
      </c>
      <c r="S40" s="786">
        <f>VLOOKUP($I$1&amp;S$8,DATA!$A:$EB,작업!$A55,0)/100</f>
        <v/>
      </c>
      <c r="T40" s="786">
        <f>VLOOKUP($I$1&amp;T$8,DATA!$A:$EB,작업!$A55,0)/100</f>
        <v/>
      </c>
    </row>
    <row r="41">
      <c r="I41" s="789">
        <f>+I20-I40</f>
        <v/>
      </c>
      <c r="J41" s="789">
        <f>+J20-J40</f>
        <v/>
      </c>
      <c r="K41" s="789">
        <f>+K20-K40</f>
        <v/>
      </c>
      <c r="L41" s="789">
        <f>+L20-L40</f>
        <v/>
      </c>
      <c r="M41" s="789">
        <f>+M20-M40</f>
        <v/>
      </c>
      <c r="N41" s="789">
        <f>+N20-N40</f>
        <v/>
      </c>
      <c r="O41" s="789">
        <f>+O20-O40</f>
        <v/>
      </c>
      <c r="P41" s="789">
        <f>+P20-P40</f>
        <v/>
      </c>
      <c r="Q41" s="789">
        <f>+Q20-Q40</f>
        <v/>
      </c>
      <c r="R41" s="789">
        <f>+R20-R40</f>
        <v/>
      </c>
      <c r="S41" s="789">
        <f>+S20-S40</f>
        <v/>
      </c>
      <c r="T41" s="789">
        <f>+T20-T40</f>
        <v/>
      </c>
    </row>
    <row r="42">
      <c r="I42" s="788" t="n"/>
      <c r="J42" s="788" t="n"/>
      <c r="K42" s="788" t="n"/>
      <c r="L42" s="788" t="n"/>
      <c r="M42" s="788" t="n"/>
      <c r="N42" s="788" t="n"/>
      <c r="O42" s="788" t="n"/>
      <c r="P42" s="788" t="n"/>
      <c r="Q42" s="788" t="n"/>
      <c r="R42" s="788" t="n"/>
      <c r="S42" s="788" t="n"/>
      <c r="T42" s="788" t="n"/>
    </row>
    <row r="43">
      <c r="I43" s="788" t="n"/>
      <c r="J43" s="788" t="n"/>
      <c r="K43" s="788" t="n"/>
      <c r="L43" s="788" t="n"/>
      <c r="M43" s="788" t="n"/>
      <c r="N43" s="788" t="n"/>
      <c r="O43" s="788" t="n"/>
      <c r="P43" s="788" t="n"/>
      <c r="Q43" s="788" t="n"/>
      <c r="R43" s="788" t="n"/>
      <c r="S43" s="788" t="n"/>
      <c r="T43" s="788" t="n"/>
    </row>
    <row r="44">
      <c r="I44" s="788" t="n"/>
      <c r="J44" s="788" t="n"/>
      <c r="K44" s="788" t="n"/>
      <c r="L44" s="788" t="n"/>
      <c r="M44" s="788" t="n"/>
      <c r="N44" s="788" t="n"/>
      <c r="O44" s="788" t="n"/>
      <c r="P44" s="788" t="n"/>
      <c r="Q44" s="788" t="n"/>
      <c r="R44" s="788" t="n"/>
      <c r="S44" s="788" t="n"/>
      <c r="T44" s="788" t="n"/>
    </row>
    <row r="45">
      <c r="I45" s="788" t="n"/>
      <c r="J45" s="788" t="n"/>
      <c r="K45" s="788" t="n"/>
      <c r="L45" s="788" t="n"/>
      <c r="M45" s="788" t="n"/>
      <c r="N45" s="788" t="n"/>
      <c r="O45" s="788" t="n"/>
      <c r="P45" s="788" t="n"/>
      <c r="Q45" s="788" t="n"/>
      <c r="R45" s="788" t="n"/>
      <c r="S45" s="788" t="n"/>
      <c r="T45" s="788" t="n"/>
    </row>
    <row r="46">
      <c r="I46" s="788" t="n"/>
      <c r="J46" s="788" t="n"/>
      <c r="K46" s="788" t="n"/>
      <c r="L46" s="788" t="n"/>
      <c r="M46" s="788" t="n"/>
      <c r="N46" s="788" t="n"/>
      <c r="O46" s="788" t="n"/>
      <c r="P46" s="788" t="n"/>
      <c r="Q46" s="788" t="n"/>
      <c r="R46" s="788" t="n"/>
      <c r="S46" s="788" t="n"/>
      <c r="T46" s="788" t="n"/>
    </row>
    <row r="47" ht="15.75" customHeight="1" s="760">
      <c r="C47" s="6" t="inlineStr">
        <is>
          <t>2. 재무건전성(잠정치)</t>
        </is>
      </c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 ht="16.5" customHeight="1" s="760"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111" t="n"/>
      <c r="N48" s="111" t="n"/>
      <c r="O48" s="13" t="n"/>
      <c r="P48" s="111" t="n"/>
      <c r="Q48" s="111" t="n"/>
      <c r="R48" s="13" t="n"/>
      <c r="S48" s="13" t="n"/>
      <c r="T48" s="7" t="inlineStr">
        <is>
          <t>(단위 : 억원)</t>
        </is>
      </c>
      <c r="U48" s="13" t="n"/>
    </row>
    <row r="49" ht="16.5" customHeight="1" s="760">
      <c r="C49" s="650" t="inlineStr">
        <is>
          <t>구분</t>
        </is>
      </c>
      <c r="D49" s="648" t="n"/>
      <c r="E49" s="648" t="n"/>
      <c r="F49" s="648" t="n"/>
      <c r="G49" s="648" t="n"/>
      <c r="H49" s="649" t="n"/>
      <c r="I49" s="8" t="inlineStr">
        <is>
          <t>미래에셋생명</t>
        </is>
      </c>
      <c r="J49" s="8" t="inlineStr">
        <is>
          <t>삼성생명</t>
        </is>
      </c>
      <c r="K49" s="8" t="inlineStr">
        <is>
          <t>교보생명</t>
        </is>
      </c>
      <c r="L49" s="8" t="inlineStr">
        <is>
          <t>한화생명</t>
        </is>
      </c>
      <c r="M49" s="8" t="inlineStr">
        <is>
          <t>신한라이프</t>
        </is>
      </c>
      <c r="N49" s="8" t="inlineStr">
        <is>
          <t>동양생명</t>
        </is>
      </c>
      <c r="O49" s="9" t="inlineStr">
        <is>
          <t>KB라이프</t>
        </is>
      </c>
      <c r="P49" s="9" t="inlineStr">
        <is>
          <t>삼성화재</t>
        </is>
      </c>
      <c r="Q49" s="9" t="inlineStr">
        <is>
          <t>현대해상</t>
        </is>
      </c>
      <c r="R49" s="9" t="inlineStr">
        <is>
          <t>메리츠화재</t>
        </is>
      </c>
      <c r="S49" s="9" t="inlineStr">
        <is>
          <t>KB손보</t>
        </is>
      </c>
      <c r="T49" s="9" t="inlineStr">
        <is>
          <t>DB손보</t>
        </is>
      </c>
      <c r="U49" s="13" t="n"/>
    </row>
    <row r="50" ht="16.5" customHeight="1" s="760">
      <c r="A50" s="642">
        <f>DATA!$CN$1</f>
        <v/>
      </c>
      <c r="C50" s="647" t="inlineStr">
        <is>
          <t>K-ICS</t>
        </is>
      </c>
      <c r="D50" s="648" t="n"/>
      <c r="E50" s="648" t="n"/>
      <c r="F50" s="648" t="n"/>
      <c r="G50" s="648" t="n"/>
      <c r="H50" s="649" t="n"/>
      <c r="I50" s="808">
        <f>VLOOKUP($I$1&amp;I$8,DATA!$A:$EB,'2403'!$A50,0)</f>
        <v/>
      </c>
      <c r="J50" s="808">
        <f>VLOOKUP($I$1&amp;J$8,DATA!$A:$EB,'2403'!$A50,0)</f>
        <v/>
      </c>
      <c r="K50" s="808">
        <f>VLOOKUP($I$1&amp;K$8,DATA!$A:$EB,'2403'!$A50,0)</f>
        <v/>
      </c>
      <c r="L50" s="808">
        <f>VLOOKUP($I$1&amp;L$8,DATA!$A:$EB,'2403'!$A50,0)</f>
        <v/>
      </c>
      <c r="M50" s="808">
        <f>VLOOKUP($I$1&amp;M$8,DATA!$A:$EB,'2403'!$A50,0)</f>
        <v/>
      </c>
      <c r="N50" s="808">
        <f>VLOOKUP($I$1&amp;N$8,DATA!$A:$EB,'2403'!$A50,0)</f>
        <v/>
      </c>
      <c r="O50" s="808">
        <f>VLOOKUP($I$1&amp;O$8,DATA!$A:$EB,'2403'!$A50,0)</f>
        <v/>
      </c>
      <c r="P50" s="808">
        <f>VLOOKUP($I$1&amp;P$8,DATA!$A:$EB,'2403'!$A50,0)</f>
        <v/>
      </c>
      <c r="Q50" s="808">
        <f>VLOOKUP($I$1&amp;Q$8,DATA!$A:$EB,'2403'!$A50,0)</f>
        <v/>
      </c>
      <c r="R50" s="808">
        <f>VLOOKUP($I$1&amp;R$8,DATA!$A:$EB,'2403'!$A50,0)</f>
        <v/>
      </c>
      <c r="S50" s="808">
        <f>VLOOKUP($I$1&amp;S$8,DATA!$A:$EB,'2403'!$A50,0)</f>
        <v/>
      </c>
      <c r="T50" s="808">
        <f>VLOOKUP($I$1&amp;T$8,DATA!$A:$EB,'2403'!$A50,0)</f>
        <v/>
      </c>
      <c r="U50" s="13" t="n"/>
    </row>
    <row r="51" ht="16.5" customHeight="1" s="760">
      <c r="A51" s="642">
        <f>DATA!$CO$1</f>
        <v/>
      </c>
      <c r="C51" s="666" t="inlineStr">
        <is>
          <t>가용자본</t>
        </is>
      </c>
      <c r="H51" s="643" t="n"/>
      <c r="I51" s="798">
        <f>VLOOKUP($I$1&amp;I$8,DATA!$A:$EB,'2403'!$A51,0)/100</f>
        <v/>
      </c>
      <c r="J51" s="798">
        <f>VLOOKUP($I$1&amp;J$8,DATA!$A:$EB,'2403'!$A51,0)/100</f>
        <v/>
      </c>
      <c r="K51" s="798">
        <f>VLOOKUP($I$1&amp;K$8,DATA!$A:$EB,'2403'!$A51,0)/100</f>
        <v/>
      </c>
      <c r="L51" s="798">
        <f>VLOOKUP($I$1&amp;L$8,DATA!$A:$EB,'2403'!$A51,0)/100</f>
        <v/>
      </c>
      <c r="M51" s="798">
        <f>VLOOKUP($I$1&amp;M$8,DATA!$A:$EB,'2403'!$A51,0)/100</f>
        <v/>
      </c>
      <c r="N51" s="798">
        <f>VLOOKUP($I$1&amp;N$8,DATA!$A:$EB,'2403'!$A51,0)/100</f>
        <v/>
      </c>
      <c r="O51" s="799">
        <f>VLOOKUP($I$1&amp;O$8,DATA!$A:$EB,'2403'!$A51,0)/100</f>
        <v/>
      </c>
      <c r="P51" s="799">
        <f>VLOOKUP($I$1&amp;P$8,DATA!$A:$EB,'2403'!$A51,0)/100</f>
        <v/>
      </c>
      <c r="Q51" s="799">
        <f>VLOOKUP($I$1&amp;Q$8,DATA!$A:$EB,'2403'!$A51,0)/100</f>
        <v/>
      </c>
      <c r="R51" s="799">
        <f>VLOOKUP($I$1&amp;R$8,DATA!$A:$EB,'2403'!$A51,0)/100</f>
        <v/>
      </c>
      <c r="S51" s="799">
        <f>VLOOKUP($I$1&amp;S$8,DATA!$A:$EB,'2403'!$A51,0)/100</f>
        <v/>
      </c>
      <c r="T51" s="799">
        <f>VLOOKUP($I$1&amp;T$8,DATA!$A:$EB,'2403'!$A51,0)/100</f>
        <v/>
      </c>
      <c r="U51" s="13" t="n"/>
    </row>
    <row r="52" ht="16.5" customHeight="1" s="760">
      <c r="A52" s="642">
        <f>DATA!$CP$1</f>
        <v/>
      </c>
      <c r="C52" s="644" t="inlineStr">
        <is>
          <t>요구자본</t>
        </is>
      </c>
      <c r="D52" s="645" t="n"/>
      <c r="E52" s="645" t="n"/>
      <c r="F52" s="645" t="n"/>
      <c r="G52" s="645" t="n"/>
      <c r="H52" s="646" t="n"/>
      <c r="I52" s="803">
        <f>VLOOKUP($I$1&amp;I$8,DATA!$A:$EB,'2403'!$A52,0)/100</f>
        <v/>
      </c>
      <c r="J52" s="803">
        <f>VLOOKUP($I$1&amp;J$8,DATA!$A:$EB,'2403'!$A52,0)/100</f>
        <v/>
      </c>
      <c r="K52" s="803">
        <f>VLOOKUP($I$1&amp;K$8,DATA!$A:$EB,'2403'!$A52,0)/100</f>
        <v/>
      </c>
      <c r="L52" s="803">
        <f>VLOOKUP($I$1&amp;L$8,DATA!$A:$EB,'2403'!$A52,0)/100</f>
        <v/>
      </c>
      <c r="M52" s="803">
        <f>VLOOKUP($I$1&amp;M$8,DATA!$A:$EB,'2403'!$A52,0)/100</f>
        <v/>
      </c>
      <c r="N52" s="803">
        <f>VLOOKUP($I$1&amp;N$8,DATA!$A:$EB,'2403'!$A52,0)/100</f>
        <v/>
      </c>
      <c r="O52" s="804">
        <f>VLOOKUP($I$1&amp;O$8,DATA!$A:$EB,'2403'!$A52,0)/100</f>
        <v/>
      </c>
      <c r="P52" s="804">
        <f>VLOOKUP($I$1&amp;P$8,DATA!$A:$EB,'2403'!$A52,0)/100</f>
        <v/>
      </c>
      <c r="Q52" s="804">
        <f>VLOOKUP($I$1&amp;Q$8,DATA!$A:$EB,'2403'!$A52,0)/100</f>
        <v/>
      </c>
      <c r="R52" s="804">
        <f>VLOOKUP($I$1&amp;R$8,DATA!$A:$EB,'2403'!$A52,0)/100</f>
        <v/>
      </c>
      <c r="S52" s="804">
        <f>VLOOKUP($I$1&amp;S$8,DATA!$A:$EB,'2403'!$A52,0)/100</f>
        <v/>
      </c>
      <c r="T52" s="804">
        <f>VLOOKUP($I$1&amp;T$8,DATA!$A:$EB,'2403'!$A52,0)/100</f>
        <v/>
      </c>
      <c r="U52" s="13" t="n"/>
    </row>
    <row r="53" ht="16.5" customHeight="1" s="760">
      <c r="C53" s="12" t="inlineStr">
        <is>
          <t xml:space="preserve"> * 경과조치 전</t>
        </is>
      </c>
      <c r="D53" s="209" t="n"/>
      <c r="E53" s="809" t="n"/>
      <c r="F53" s="809" t="n"/>
      <c r="G53" s="809" t="n"/>
      <c r="H53" s="809" t="n"/>
      <c r="I53" s="809" t="n"/>
      <c r="J53" s="809" t="n"/>
      <c r="K53" s="809" t="n"/>
      <c r="L53" s="809" t="n"/>
      <c r="M53" s="809" t="n"/>
      <c r="N53" s="809" t="n"/>
      <c r="O53" s="809" t="n"/>
      <c r="P53" s="809" t="n"/>
      <c r="Q53" s="809" t="n"/>
      <c r="R53" s="809" t="n"/>
      <c r="S53" s="809" t="n"/>
      <c r="T53" s="13" t="n"/>
      <c r="U53" s="13" t="n"/>
    </row>
    <row r="54" ht="16.5" customHeight="1" s="760">
      <c r="C54" s="111" t="n"/>
      <c r="D54" s="209" t="n"/>
      <c r="E54" s="809" t="n"/>
      <c r="F54" s="809" t="n"/>
      <c r="G54" s="809" t="n"/>
      <c r="H54" s="809" t="n"/>
      <c r="I54" s="809" t="n"/>
      <c r="J54" s="809" t="n"/>
      <c r="K54" s="809" t="n"/>
      <c r="L54" s="809" t="n"/>
      <c r="M54" s="809" t="n"/>
      <c r="N54" s="809" t="n"/>
      <c r="O54" s="809" t="n"/>
      <c r="P54" s="809" t="n"/>
      <c r="Q54" s="809" t="n"/>
      <c r="R54" s="809" t="n"/>
      <c r="S54" s="809" t="n"/>
      <c r="T54" s="13" t="n"/>
      <c r="U54" s="13" t="n"/>
    </row>
    <row r="55" ht="16.5" customHeight="1" s="760">
      <c r="C55" s="6" t="inlineStr">
        <is>
          <t>3. 재무건전성(확정치)</t>
        </is>
      </c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 ht="16.5" customHeight="1" s="760">
      <c r="C56" s="111" t="n"/>
      <c r="D56" s="111" t="n"/>
      <c r="E56" s="111" t="n"/>
      <c r="F56" s="111" t="n"/>
      <c r="G56" s="111" t="n"/>
      <c r="H56" s="111" t="n"/>
      <c r="I56" s="111" t="n"/>
      <c r="J56" s="111" t="n"/>
      <c r="K56" s="111" t="n"/>
      <c r="L56" s="111" t="n"/>
      <c r="M56" s="111" t="n"/>
      <c r="N56" s="111" t="n"/>
      <c r="O56" s="13" t="n"/>
      <c r="P56" s="111" t="n"/>
      <c r="Q56" s="111" t="n"/>
      <c r="R56" s="13" t="n"/>
      <c r="S56" s="13" t="n"/>
      <c r="T56" s="7" t="inlineStr">
        <is>
          <t>(단위 : 억원)</t>
        </is>
      </c>
      <c r="U56" s="13" t="n"/>
    </row>
    <row r="57" ht="16.5" customHeight="1" s="760">
      <c r="C57" s="650" t="inlineStr">
        <is>
          <t>구분</t>
        </is>
      </c>
      <c r="D57" s="648" t="n"/>
      <c r="E57" s="648" t="n"/>
      <c r="F57" s="648" t="n"/>
      <c r="G57" s="648" t="n"/>
      <c r="H57" s="649" t="n"/>
      <c r="I57" s="8" t="inlineStr">
        <is>
          <t>미래에셋생명</t>
        </is>
      </c>
      <c r="J57" s="8" t="inlineStr">
        <is>
          <t>삼성생명</t>
        </is>
      </c>
      <c r="K57" s="8" t="inlineStr">
        <is>
          <t>교보생명</t>
        </is>
      </c>
      <c r="L57" s="8" t="inlineStr">
        <is>
          <t>한화생명</t>
        </is>
      </c>
      <c r="M57" s="8" t="inlineStr">
        <is>
          <t>신한라이프</t>
        </is>
      </c>
      <c r="N57" s="8" t="inlineStr">
        <is>
          <t>동양생명</t>
        </is>
      </c>
      <c r="O57" s="9" t="inlineStr">
        <is>
          <t>KB라이프</t>
        </is>
      </c>
      <c r="P57" s="9" t="inlineStr">
        <is>
          <t>삼성화재</t>
        </is>
      </c>
      <c r="Q57" s="9" t="inlineStr">
        <is>
          <t>현대해상</t>
        </is>
      </c>
      <c r="R57" s="9" t="inlineStr">
        <is>
          <t>메리츠화재</t>
        </is>
      </c>
      <c r="S57" s="9" t="inlineStr">
        <is>
          <t>KB손보</t>
        </is>
      </c>
      <c r="T57" s="9" t="inlineStr">
        <is>
          <t>DB손보</t>
        </is>
      </c>
      <c r="U57" s="13" t="n"/>
    </row>
    <row r="58" ht="16.5" customHeight="1" s="760">
      <c r="A58" s="642">
        <f>DATA!$CQ$1</f>
        <v/>
      </c>
      <c r="C58" s="647" t="inlineStr">
        <is>
          <t>K-ICS</t>
        </is>
      </c>
      <c r="D58" s="648" t="n"/>
      <c r="E58" s="648" t="n"/>
      <c r="F58" s="648" t="n"/>
      <c r="G58" s="648" t="n"/>
      <c r="H58" s="649" t="n"/>
      <c r="I58" s="808">
        <f>VLOOKUP($I$1&amp;I$8,DATA!$A:$EB,'2403'!$A58,0)</f>
        <v/>
      </c>
      <c r="J58" s="808">
        <f>VLOOKUP($I$1&amp;J$8,DATA!$A:$EB,'2403'!$A58,0)</f>
        <v/>
      </c>
      <c r="K58" s="808">
        <f>VLOOKUP($I$1&amp;K$8,DATA!$A:$EB,'2403'!$A58,0)</f>
        <v/>
      </c>
      <c r="L58" s="808">
        <f>VLOOKUP($I$1&amp;L$8,DATA!$A:$EB,'2403'!$A58,0)</f>
        <v/>
      </c>
      <c r="M58" s="808">
        <f>VLOOKUP($I$1&amp;M$8,DATA!$A:$EB,'2403'!$A58,0)</f>
        <v/>
      </c>
      <c r="N58" s="808">
        <f>VLOOKUP($I$1&amp;N$8,DATA!$A:$EB,'2403'!$A58,0)</f>
        <v/>
      </c>
      <c r="O58" s="808">
        <f>VLOOKUP($I$1&amp;O$8,DATA!$A:$EB,'2403'!$A58,0)</f>
        <v/>
      </c>
      <c r="P58" s="808">
        <f>VLOOKUP($I$1&amp;P$8,DATA!$A:$EB,'2403'!$A58,0)</f>
        <v/>
      </c>
      <c r="Q58" s="808">
        <f>VLOOKUP($I$1&amp;Q$8,DATA!$A:$EB,'2403'!$A58,0)</f>
        <v/>
      </c>
      <c r="R58" s="808">
        <f>VLOOKUP($I$1&amp;R$8,DATA!$A:$EB,'2403'!$A58,0)</f>
        <v/>
      </c>
      <c r="S58" s="808">
        <f>VLOOKUP($I$1&amp;S$8,DATA!$A:$EB,'2403'!$A58,0)</f>
        <v/>
      </c>
      <c r="T58" s="808">
        <f>VLOOKUP($I$1&amp;T$8,DATA!$A:$EB,'2403'!$A58,0)</f>
        <v/>
      </c>
      <c r="U58" s="13" t="n"/>
    </row>
    <row r="59" ht="16.5" customHeight="1" s="760">
      <c r="A59" s="642">
        <f>DATA!$CR$1</f>
        <v/>
      </c>
      <c r="C59" s="666" t="inlineStr">
        <is>
          <t>가용자본</t>
        </is>
      </c>
      <c r="H59" s="643" t="n"/>
      <c r="I59" s="798">
        <f>VLOOKUP($I$1&amp;I$8,DATA!$A:$EB,'2403'!$A59,0)/100</f>
        <v/>
      </c>
      <c r="J59" s="798">
        <f>VLOOKUP($I$1&amp;J$8,DATA!$A:$EB,'2403'!$A59,0)/100</f>
        <v/>
      </c>
      <c r="K59" s="798">
        <f>VLOOKUP($I$1&amp;K$8,DATA!$A:$EB,'2403'!$A59,0)/100</f>
        <v/>
      </c>
      <c r="L59" s="798">
        <f>VLOOKUP($I$1&amp;L$8,DATA!$A:$EB,'2403'!$A59,0)/100</f>
        <v/>
      </c>
      <c r="M59" s="798">
        <f>VLOOKUP($I$1&amp;M$8,DATA!$A:$EB,'2403'!$A59,0)/100</f>
        <v/>
      </c>
      <c r="N59" s="798">
        <f>VLOOKUP($I$1&amp;N$8,DATA!$A:$EB,'2403'!$A59,0)/100</f>
        <v/>
      </c>
      <c r="O59" s="799">
        <f>VLOOKUP($I$1&amp;O$8,DATA!$A:$EB,'2403'!$A59,0)/100</f>
        <v/>
      </c>
      <c r="P59" s="799">
        <f>VLOOKUP($I$1&amp;P$8,DATA!$A:$EB,'2403'!$A59,0)/100</f>
        <v/>
      </c>
      <c r="Q59" s="799">
        <f>VLOOKUP($I$1&amp;Q$8,DATA!$A:$EB,'2403'!$A59,0)/100</f>
        <v/>
      </c>
      <c r="R59" s="799">
        <f>VLOOKUP($I$1&amp;R$8,DATA!$A:$EB,'2403'!$A59,0)/100</f>
        <v/>
      </c>
      <c r="S59" s="799">
        <f>VLOOKUP($I$1&amp;S$8,DATA!$A:$EB,'2403'!$A59,0)/100</f>
        <v/>
      </c>
      <c r="T59" s="799">
        <f>VLOOKUP($I$1&amp;T$8,DATA!$A:$EB,'2403'!$A59,0)/100</f>
        <v/>
      </c>
      <c r="U59" s="13" t="n"/>
    </row>
    <row r="60" ht="16.5" customHeight="1" s="760">
      <c r="A60" s="642">
        <f>DATA!$CS$1</f>
        <v/>
      </c>
      <c r="C60" s="644" t="inlineStr">
        <is>
          <t>요구자본</t>
        </is>
      </c>
      <c r="D60" s="645" t="n"/>
      <c r="E60" s="645" t="n"/>
      <c r="F60" s="645" t="n"/>
      <c r="G60" s="645" t="n"/>
      <c r="H60" s="646" t="n"/>
      <c r="I60" s="803">
        <f>VLOOKUP($I$1&amp;I$8,DATA!$A:$EB,'2403'!$A60,0)/100</f>
        <v/>
      </c>
      <c r="J60" s="803">
        <f>VLOOKUP($I$1&amp;J$8,DATA!$A:$EB,'2403'!$A60,0)/100</f>
        <v/>
      </c>
      <c r="K60" s="803">
        <f>VLOOKUP($I$1&amp;K$8,DATA!$A:$EB,'2403'!$A60,0)/100</f>
        <v/>
      </c>
      <c r="L60" s="803">
        <f>VLOOKUP($I$1&amp;L$8,DATA!$A:$EB,'2403'!$A60,0)/100</f>
        <v/>
      </c>
      <c r="M60" s="803">
        <f>VLOOKUP($I$1&amp;M$8,DATA!$A:$EB,'2403'!$A60,0)/100</f>
        <v/>
      </c>
      <c r="N60" s="803">
        <f>VLOOKUP($I$1&amp;N$8,DATA!$A:$EB,'2403'!$A60,0)/100</f>
        <v/>
      </c>
      <c r="O60" s="804">
        <f>VLOOKUP($I$1&amp;O$8,DATA!$A:$EB,'2403'!$A60,0)/100</f>
        <v/>
      </c>
      <c r="P60" s="804">
        <f>VLOOKUP($I$1&amp;P$8,DATA!$A:$EB,'2403'!$A60,0)/100</f>
        <v/>
      </c>
      <c r="Q60" s="804">
        <f>VLOOKUP($I$1&amp;Q$8,DATA!$A:$EB,'2403'!$A60,0)/100</f>
        <v/>
      </c>
      <c r="R60" s="804">
        <f>VLOOKUP($I$1&amp;R$8,DATA!$A:$EB,'2403'!$A60,0)/100</f>
        <v/>
      </c>
      <c r="S60" s="804">
        <f>VLOOKUP($I$1&amp;S$8,DATA!$A:$EB,'2403'!$A60,0)/100</f>
        <v/>
      </c>
      <c r="T60" s="804">
        <f>VLOOKUP($I$1&amp;T$8,DATA!$A:$EB,'2403'!$A60,0)/100</f>
        <v/>
      </c>
      <c r="U60" s="13" t="n"/>
    </row>
    <row r="61" ht="16.5" customHeight="1" s="760">
      <c r="C61" s="12" t="inlineStr">
        <is>
          <t xml:space="preserve"> * 경과조치 전</t>
        </is>
      </c>
      <c r="D61" s="209" t="n"/>
      <c r="E61" s="809" t="n"/>
      <c r="F61" s="809" t="n"/>
      <c r="G61" s="809" t="n"/>
      <c r="H61" s="809" t="n"/>
      <c r="I61" s="809" t="n"/>
      <c r="J61" s="809" t="n"/>
      <c r="K61" s="809" t="n"/>
      <c r="L61" s="809" t="n"/>
      <c r="M61" s="809" t="n"/>
      <c r="N61" s="809" t="n"/>
      <c r="O61" s="809" t="n"/>
      <c r="P61" s="809" t="n"/>
      <c r="Q61" s="809" t="n"/>
      <c r="R61" s="809" t="n"/>
      <c r="S61" s="809" t="n"/>
      <c r="T61" s="13" t="n"/>
      <c r="U61" s="13" t="n"/>
    </row>
    <row r="62" ht="16.5" customHeight="1" s="760">
      <c r="C62" s="111" t="n"/>
      <c r="D62" s="209" t="n"/>
      <c r="E62" s="809" t="n"/>
      <c r="F62" s="809" t="n"/>
      <c r="G62" s="809" t="n"/>
      <c r="H62" s="809" t="n"/>
      <c r="I62" s="809" t="n"/>
      <c r="J62" s="809" t="n"/>
      <c r="K62" s="809" t="n"/>
      <c r="L62" s="809" t="n"/>
      <c r="M62" s="809" t="n"/>
      <c r="N62" s="809" t="n"/>
      <c r="O62" s="809" t="n"/>
      <c r="P62" s="809" t="n"/>
      <c r="Q62" s="809" t="n"/>
      <c r="R62" s="13" t="n"/>
      <c r="S62" s="13" t="n"/>
      <c r="T62" s="13" t="n"/>
      <c r="U62" s="13" t="n"/>
    </row>
    <row r="63" ht="16.5" customHeight="1" s="760">
      <c r="C63" s="6" t="inlineStr">
        <is>
          <t>3. 손익현황</t>
        </is>
      </c>
      <c r="D63" s="13" t="n"/>
      <c r="E63" s="13" t="n"/>
      <c r="F63" s="13" t="n"/>
      <c r="G63" s="13" t="n"/>
      <c r="H63" s="13" t="n"/>
      <c r="I63" s="13" t="n"/>
      <c r="J63" s="809" t="n"/>
      <c r="K63" s="809" t="n"/>
      <c r="L63" s="809" t="n"/>
      <c r="M63" s="809" t="n"/>
      <c r="N63" s="809" t="n"/>
      <c r="O63" s="809" t="n"/>
      <c r="P63" s="809" t="n"/>
      <c r="Q63" s="809" t="n"/>
      <c r="R63" s="13" t="n"/>
      <c r="S63" s="13" t="n"/>
      <c r="T63" s="13" t="n"/>
      <c r="U63" s="13" t="n"/>
    </row>
    <row r="64" ht="16.5" customHeight="1" s="760">
      <c r="C64" s="111" t="n"/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3" t="n"/>
      <c r="P64" s="111" t="n"/>
      <c r="Q64" s="111" t="n"/>
      <c r="R64" s="13" t="n"/>
      <c r="S64" s="13" t="n"/>
      <c r="T64" s="7" t="inlineStr">
        <is>
          <t>(단위 : 억원)</t>
        </is>
      </c>
      <c r="U64" s="13" t="n"/>
    </row>
    <row r="65" ht="16.5" customHeight="1" s="760">
      <c r="C65" s="650" t="inlineStr">
        <is>
          <t>구분</t>
        </is>
      </c>
      <c r="D65" s="648" t="n"/>
      <c r="E65" s="648" t="n"/>
      <c r="F65" s="648" t="n"/>
      <c r="G65" s="648" t="n"/>
      <c r="H65" s="649" t="n"/>
      <c r="I65" s="8" t="inlineStr">
        <is>
          <t>미래에셋생명</t>
        </is>
      </c>
      <c r="J65" s="8" t="inlineStr">
        <is>
          <t>삼성생명</t>
        </is>
      </c>
      <c r="K65" s="8" t="inlineStr">
        <is>
          <t>교보생명</t>
        </is>
      </c>
      <c r="L65" s="8" t="inlineStr">
        <is>
          <t>한화생명</t>
        </is>
      </c>
      <c r="M65" s="8" t="inlineStr">
        <is>
          <t>신한라이프</t>
        </is>
      </c>
      <c r="N65" s="8" t="inlineStr">
        <is>
          <t>동양생명</t>
        </is>
      </c>
      <c r="O65" s="9" t="inlineStr">
        <is>
          <t>KB라이프</t>
        </is>
      </c>
      <c r="P65" s="9" t="inlineStr">
        <is>
          <t>삼성화재</t>
        </is>
      </c>
      <c r="Q65" s="9" t="inlineStr">
        <is>
          <t>현대해상</t>
        </is>
      </c>
      <c r="R65" s="9" t="inlineStr">
        <is>
          <t>메리츠화재</t>
        </is>
      </c>
      <c r="S65" s="9" t="inlineStr">
        <is>
          <t>KB손보</t>
        </is>
      </c>
      <c r="T65" s="9" t="inlineStr">
        <is>
          <t>DB손보</t>
        </is>
      </c>
      <c r="U65" s="13" t="n"/>
    </row>
    <row r="66" ht="16.5" customHeight="1" s="760">
      <c r="A66" s="642">
        <f>DATA!AV1</f>
        <v/>
      </c>
      <c r="C66" s="665" t="inlineStr">
        <is>
          <t>보험손익</t>
        </is>
      </c>
      <c r="D66" s="648" t="n"/>
      <c r="E66" s="648" t="n"/>
      <c r="F66" s="648" t="n"/>
      <c r="G66" s="648" t="n"/>
      <c r="H66" s="649" t="n"/>
      <c r="I66" s="811">
        <f>VLOOKUP($I$1&amp;I$8,DATA!$A:$EB,'2403'!$A66,0)/100</f>
        <v/>
      </c>
      <c r="J66" s="811">
        <f>VLOOKUP($I$1&amp;J$8,DATA!$A:$EB,'2403'!$A66,0)/100</f>
        <v/>
      </c>
      <c r="K66" s="811">
        <f>VLOOKUP($I$1&amp;K$8,DATA!$A:$EB,'2403'!$A66,0)/100</f>
        <v/>
      </c>
      <c r="L66" s="811">
        <f>VLOOKUP($I$1&amp;L$8,DATA!$A:$EB,'2403'!$A66,0)/100</f>
        <v/>
      </c>
      <c r="M66" s="811">
        <f>VLOOKUP($I$1&amp;M$8,DATA!$A:$EB,'2403'!$A66,0)/100</f>
        <v/>
      </c>
      <c r="N66" s="811">
        <f>VLOOKUP($I$1&amp;N$8,DATA!$A:$EB,'2403'!$A66,0)/100</f>
        <v/>
      </c>
      <c r="O66" s="812">
        <f>VLOOKUP($I$1&amp;O$8,DATA!$A:$EB,'2403'!$A66,0)/100</f>
        <v/>
      </c>
      <c r="P66" s="812">
        <f>VLOOKUP($I$1&amp;P$8,DATA!$A:$EB,'2403'!$A66,0)/100</f>
        <v/>
      </c>
      <c r="Q66" s="812">
        <f>VLOOKUP($I$1&amp;Q$8,DATA!$A:$EB,'2403'!$A66,0)/100</f>
        <v/>
      </c>
      <c r="R66" s="812">
        <f>VLOOKUP($I$1&amp;R$8,DATA!$A:$EB,'2403'!$A66,0)/100</f>
        <v/>
      </c>
      <c r="S66" s="812">
        <f>VLOOKUP($I$1&amp;S$8,DATA!$A:$EB,'2403'!$A66,0)/100</f>
        <v/>
      </c>
      <c r="T66" s="812">
        <f>VLOOKUP($I$1&amp;T$8,DATA!$A:$EB,'2403'!$A66,0)/100</f>
        <v/>
      </c>
      <c r="U66" s="13" t="n"/>
    </row>
    <row r="67" ht="16.5" customHeight="1" s="760">
      <c r="A67" s="642">
        <f>DATA!DC1</f>
        <v/>
      </c>
      <c r="C67" s="209" t="n"/>
      <c r="D67" s="680" t="inlineStr">
        <is>
          <t>손해율</t>
        </is>
      </c>
      <c r="E67" s="663" t="n"/>
      <c r="F67" s="663" t="n"/>
      <c r="G67" s="663" t="n"/>
      <c r="H67" s="664" t="n"/>
      <c r="I67" s="813">
        <f>VLOOKUP($I$1&amp;I$8,DATA!$A:$EB,'2403'!$A67,0)</f>
        <v/>
      </c>
      <c r="J67" s="813">
        <f>VLOOKUP($I$1&amp;J$8,DATA!$A:$EB,'2403'!$A67,0)</f>
        <v/>
      </c>
      <c r="K67" s="813">
        <f>VLOOKUP($I$1&amp;K$8,DATA!$A:$EB,'2403'!$A67,0)</f>
        <v/>
      </c>
      <c r="L67" s="813">
        <f>VLOOKUP($I$1&amp;L$8,DATA!$A:$EB,'2403'!$A67,0)</f>
        <v/>
      </c>
      <c r="M67" s="813">
        <f>VLOOKUP($I$1&amp;M$8,DATA!$A:$EB,'2403'!$A67,0)</f>
        <v/>
      </c>
      <c r="N67" s="813">
        <f>VLOOKUP($I$1&amp;N$8,DATA!$A:$EB,'2403'!$A67,0)</f>
        <v/>
      </c>
      <c r="O67" s="813">
        <f>VLOOKUP($I$1&amp;O$8,DATA!$A:$EB,'2403'!$A67,0)</f>
        <v/>
      </c>
      <c r="P67" s="813">
        <f>VLOOKUP($I$1&amp;P$8,DATA!$A:$EB,'2403'!$A67,0)</f>
        <v/>
      </c>
      <c r="Q67" s="813">
        <f>VLOOKUP($I$1&amp;Q$8,DATA!$A:$EB,'2403'!$A67,0)</f>
        <v/>
      </c>
      <c r="R67" s="813">
        <f>VLOOKUP($I$1&amp;R$8,DATA!$A:$EB,'2403'!$A67,0)</f>
        <v/>
      </c>
      <c r="S67" s="813">
        <f>VLOOKUP($I$1&amp;S$8,DATA!$A:$EB,'2403'!$A67,0)</f>
        <v/>
      </c>
      <c r="T67" s="813">
        <f>VLOOKUP($I$1&amp;T$8,DATA!$A:$EB,'2403'!$A67,0)</f>
        <v/>
      </c>
      <c r="U67" s="13" t="n"/>
    </row>
    <row r="68" ht="16.5" customHeight="1" s="760">
      <c r="C68" s="209" t="n"/>
      <c r="D68" s="684" t="inlineStr">
        <is>
          <t>사업비
예실차</t>
        </is>
      </c>
      <c r="E68" s="663" t="n"/>
      <c r="F68" s="680" t="inlineStr">
        <is>
          <t>예실차율</t>
        </is>
      </c>
      <c r="G68" s="663" t="n"/>
      <c r="H68" s="664" t="n"/>
      <c r="I68" s="813">
        <f>I79/I81</f>
        <v/>
      </c>
      <c r="J68" s="813">
        <f>J79/J81</f>
        <v/>
      </c>
      <c r="K68" s="813">
        <f>K79/K81</f>
        <v/>
      </c>
      <c r="L68" s="813">
        <f>L79/L81</f>
        <v/>
      </c>
      <c r="M68" s="813">
        <f>M79/M81</f>
        <v/>
      </c>
      <c r="N68" s="813">
        <f>N79/N81</f>
        <v/>
      </c>
      <c r="O68" s="813">
        <f>O79/O81</f>
        <v/>
      </c>
      <c r="P68" s="813">
        <f>P79/P81</f>
        <v/>
      </c>
      <c r="Q68" s="813">
        <f>Q79/Q81</f>
        <v/>
      </c>
      <c r="R68" s="813">
        <f>R79/R81</f>
        <v/>
      </c>
      <c r="S68" s="813">
        <f>S79/S81</f>
        <v/>
      </c>
      <c r="T68" s="813">
        <f>T79/T81</f>
        <v/>
      </c>
      <c r="U68" s="13" t="n"/>
    </row>
    <row r="69" ht="16.5" customHeight="1" s="760">
      <c r="C69" s="211" t="n"/>
      <c r="D69" s="685" t="n"/>
      <c r="E69" s="670" t="n"/>
      <c r="F69" s="669" t="inlineStr">
        <is>
          <t>÷ CSM상각액</t>
        </is>
      </c>
      <c r="G69" s="670" t="n"/>
      <c r="H69" s="671" t="n"/>
      <c r="I69" s="814">
        <f>I79/I82</f>
        <v/>
      </c>
      <c r="J69" s="814">
        <f>J79/J82</f>
        <v/>
      </c>
      <c r="K69" s="814">
        <f>K79/K82</f>
        <v/>
      </c>
      <c r="L69" s="814">
        <f>L79/L82</f>
        <v/>
      </c>
      <c r="M69" s="814">
        <f>M79/M82</f>
        <v/>
      </c>
      <c r="N69" s="814">
        <f>N79/N82</f>
        <v/>
      </c>
      <c r="O69" s="814">
        <f>O79/O82</f>
        <v/>
      </c>
      <c r="P69" s="814">
        <f>P79/P82</f>
        <v/>
      </c>
      <c r="Q69" s="814">
        <f>Q79/Q82</f>
        <v/>
      </c>
      <c r="R69" s="814">
        <f>R79/R82</f>
        <v/>
      </c>
      <c r="S69" s="814">
        <f>S79/S82</f>
        <v/>
      </c>
      <c r="T69" s="814">
        <f>T79/T82</f>
        <v/>
      </c>
      <c r="U69" s="13" t="n"/>
    </row>
    <row r="70" ht="16.5" customHeight="1" s="760">
      <c r="A70" s="642">
        <f>DATA!AW1</f>
        <v/>
      </c>
      <c r="C70" s="672" t="inlineStr">
        <is>
          <t>투자손익</t>
        </is>
      </c>
      <c r="D70" s="673" t="n"/>
      <c r="E70" s="673" t="n"/>
      <c r="F70" s="673" t="n"/>
      <c r="G70" s="673" t="n"/>
      <c r="H70" s="674" t="n"/>
      <c r="I70" s="815">
        <f>VLOOKUP($I$1&amp;I$8,DATA!$A:$EB,'2403'!$A70,0)/100</f>
        <v/>
      </c>
      <c r="J70" s="815">
        <f>VLOOKUP($I$1&amp;J$8,DATA!$A:$EB,'2403'!$A70,0)/100</f>
        <v/>
      </c>
      <c r="K70" s="815">
        <f>VLOOKUP($I$1&amp;K$8,DATA!$A:$EB,'2403'!$A70,0)/100</f>
        <v/>
      </c>
      <c r="L70" s="815">
        <f>VLOOKUP($I$1&amp;L$8,DATA!$A:$EB,'2403'!$A70,0)/100</f>
        <v/>
      </c>
      <c r="M70" s="815">
        <f>VLOOKUP($I$1&amp;M$8,DATA!$A:$EB,'2403'!$A70,0)/100</f>
        <v/>
      </c>
      <c r="N70" s="815">
        <f>VLOOKUP($I$1&amp;N$8,DATA!$A:$EB,'2403'!$A70,0)/100</f>
        <v/>
      </c>
      <c r="O70" s="816">
        <f>VLOOKUP($I$1&amp;O$8,DATA!$A:$EB,'2403'!$A70,0)/100</f>
        <v/>
      </c>
      <c r="P70" s="816">
        <f>VLOOKUP($I$1&amp;P$8,DATA!$A:$EB,'2403'!$A70,0)/100</f>
        <v/>
      </c>
      <c r="Q70" s="816">
        <f>VLOOKUP($I$1&amp;Q$8,DATA!$A:$EB,'2403'!$A70,0)/100</f>
        <v/>
      </c>
      <c r="R70" s="816">
        <f>VLOOKUP($I$1&amp;R$8,DATA!$A:$EB,'2403'!$A70,0)/100</f>
        <v/>
      </c>
      <c r="S70" s="816">
        <f>VLOOKUP($I$1&amp;S$8,DATA!$A:$EB,'2403'!$A70,0)/100</f>
        <v/>
      </c>
      <c r="T70" s="816">
        <f>VLOOKUP($I$1&amp;T$8,DATA!$A:$EB,'2403'!$A70,0)/100</f>
        <v/>
      </c>
      <c r="U70" s="13" t="n"/>
    </row>
    <row r="71" ht="16.5" customHeight="1" s="760">
      <c r="C71" s="672" t="inlineStr">
        <is>
          <t>영업이익</t>
        </is>
      </c>
      <c r="D71" s="673" t="n"/>
      <c r="E71" s="673" t="n"/>
      <c r="F71" s="673" t="n"/>
      <c r="G71" s="673" t="n"/>
      <c r="H71" s="674" t="n"/>
      <c r="I71" s="817">
        <f>I66+I70</f>
        <v/>
      </c>
      <c r="J71" s="817">
        <f>J66+J70</f>
        <v/>
      </c>
      <c r="K71" s="817">
        <f>K66+K70</f>
        <v/>
      </c>
      <c r="L71" s="817">
        <f>L66+L70</f>
        <v/>
      </c>
      <c r="M71" s="817">
        <f>M66+M70</f>
        <v/>
      </c>
      <c r="N71" s="817">
        <f>N66+N70</f>
        <v/>
      </c>
      <c r="O71" s="818">
        <f>O66+O70</f>
        <v/>
      </c>
      <c r="P71" s="818">
        <f>P66+P70</f>
        <v/>
      </c>
      <c r="Q71" s="818">
        <f>Q66+Q70</f>
        <v/>
      </c>
      <c r="R71" s="818">
        <f>R66+R70</f>
        <v/>
      </c>
      <c r="S71" s="818">
        <f>S66+S70</f>
        <v/>
      </c>
      <c r="T71" s="818">
        <f>T66+T70</f>
        <v/>
      </c>
      <c r="U71" s="13" t="n"/>
    </row>
    <row r="72" ht="16.5" customHeight="1" s="760">
      <c r="A72" s="642">
        <f>DATA!AX1</f>
        <v/>
      </c>
      <c r="C72" s="667" t="inlineStr">
        <is>
          <t>영업외손익</t>
        </is>
      </c>
      <c r="D72" s="659" t="n"/>
      <c r="E72" s="659" t="n"/>
      <c r="F72" s="659" t="n"/>
      <c r="G72" s="659" t="n"/>
      <c r="H72" s="660" t="n"/>
      <c r="I72" s="815">
        <f>VLOOKUP($I$1&amp;I$8,DATA!$A:$EB,'2403'!$A72,0)/100</f>
        <v/>
      </c>
      <c r="J72" s="815">
        <f>VLOOKUP($I$1&amp;J$8,DATA!$A:$EB,'2403'!$A72,0)/100</f>
        <v/>
      </c>
      <c r="K72" s="815">
        <f>VLOOKUP($I$1&amp;K$8,DATA!$A:$EB,'2403'!$A72,0)/100</f>
        <v/>
      </c>
      <c r="L72" s="815">
        <f>VLOOKUP($I$1&amp;L$8,DATA!$A:$EB,'2403'!$A72,0)/100</f>
        <v/>
      </c>
      <c r="M72" s="815">
        <f>VLOOKUP($I$1&amp;M$8,DATA!$A:$EB,'2403'!$A72,0)/100</f>
        <v/>
      </c>
      <c r="N72" s="815">
        <f>VLOOKUP($I$1&amp;N$8,DATA!$A:$EB,'2403'!$A72,0)/100</f>
        <v/>
      </c>
      <c r="O72" s="816">
        <f>VLOOKUP($I$1&amp;O$8,DATA!$A:$EB,'2403'!$A72,0)/100</f>
        <v/>
      </c>
      <c r="P72" s="816">
        <f>VLOOKUP($I$1&amp;P$8,DATA!$A:$EB,'2403'!$A72,0)/100</f>
        <v/>
      </c>
      <c r="Q72" s="816">
        <f>VLOOKUP($I$1&amp;Q$8,DATA!$A:$EB,'2403'!$A72,0)/100</f>
        <v/>
      </c>
      <c r="R72" s="816">
        <f>VLOOKUP($I$1&amp;R$8,DATA!$A:$EB,'2403'!$A72,0)/100</f>
        <v/>
      </c>
      <c r="S72" s="816">
        <f>VLOOKUP($I$1&amp;S$8,DATA!$A:$EB,'2403'!$A72,0)/100</f>
        <v/>
      </c>
      <c r="T72" s="816">
        <f>VLOOKUP($I$1&amp;T$8,DATA!$A:$EB,'2403'!$A72,0)/100</f>
        <v/>
      </c>
      <c r="U72" s="13" t="n"/>
    </row>
    <row r="73" ht="16.5" customHeight="1" s="760">
      <c r="A73" s="642">
        <f>DATA!AY1</f>
        <v/>
      </c>
      <c r="C73" s="647" t="inlineStr">
        <is>
          <t>세전이익</t>
        </is>
      </c>
      <c r="D73" s="648" t="n"/>
      <c r="E73" s="648" t="n"/>
      <c r="F73" s="648" t="n"/>
      <c r="G73" s="648" t="n"/>
      <c r="H73" s="649" t="n"/>
      <c r="I73" s="819">
        <f>VLOOKUP($I$1&amp;I$8,DATA!$A:$EB,'2403'!$A73,0)/100</f>
        <v/>
      </c>
      <c r="J73" s="819">
        <f>VLOOKUP($I$1&amp;J$8,DATA!$A:$EB,'2403'!$A73,0)/100</f>
        <v/>
      </c>
      <c r="K73" s="819">
        <f>VLOOKUP($I$1&amp;K$8,DATA!$A:$EB,'2403'!$A73,0)/100</f>
        <v/>
      </c>
      <c r="L73" s="819">
        <f>VLOOKUP($I$1&amp;L$8,DATA!$A:$EB,'2403'!$A73,0)/100</f>
        <v/>
      </c>
      <c r="M73" s="819">
        <f>VLOOKUP($I$1&amp;M$8,DATA!$A:$EB,'2403'!$A73,0)/100</f>
        <v/>
      </c>
      <c r="N73" s="819">
        <f>VLOOKUP($I$1&amp;N$8,DATA!$A:$EB,'2403'!$A73,0)/100</f>
        <v/>
      </c>
      <c r="O73" s="819">
        <f>VLOOKUP($I$1&amp;O$8,DATA!$A:$EB,'2403'!$A73,0)/100</f>
        <v/>
      </c>
      <c r="P73" s="819">
        <f>VLOOKUP($I$1&amp;P$8,DATA!$A:$EB,'2403'!$A73,0)/100</f>
        <v/>
      </c>
      <c r="Q73" s="819">
        <f>VLOOKUP($I$1&amp;Q$8,DATA!$A:$EB,'2403'!$A73,0)/100</f>
        <v/>
      </c>
      <c r="R73" s="819">
        <f>VLOOKUP($I$1&amp;R$8,DATA!$A:$EB,'2403'!$A73,0)/100</f>
        <v/>
      </c>
      <c r="S73" s="819">
        <f>VLOOKUP($I$1&amp;S$8,DATA!$A:$EB,'2403'!$A73,0)/100</f>
        <v/>
      </c>
      <c r="T73" s="819">
        <f>VLOOKUP($I$1&amp;T$8,DATA!$A:$EB,'2403'!$A73,0)/100</f>
        <v/>
      </c>
      <c r="U73" s="13" t="n"/>
    </row>
    <row r="74" ht="16.5" customHeight="1" s="760">
      <c r="A74" s="642">
        <f>DATA!AR1</f>
        <v/>
      </c>
      <c r="C74" s="644" t="inlineStr">
        <is>
          <t>당기순이익</t>
        </is>
      </c>
      <c r="D74" s="645" t="n"/>
      <c r="E74" s="645" t="n"/>
      <c r="F74" s="645" t="n"/>
      <c r="G74" s="645" t="n"/>
      <c r="H74" s="646" t="n"/>
      <c r="I74" s="820">
        <f>VLOOKUP($I$1&amp;I$8,DATA!$A:$EB,'2403'!$A74,0)/100</f>
        <v/>
      </c>
      <c r="J74" s="820">
        <f>VLOOKUP($I$1&amp;J$8,DATA!$A:$EB,'2403'!$A74,0)/100</f>
        <v/>
      </c>
      <c r="K74" s="820">
        <f>VLOOKUP($I$1&amp;K$8,DATA!$A:$EB,'2403'!$A74,0)/100</f>
        <v/>
      </c>
      <c r="L74" s="820">
        <f>VLOOKUP($I$1&amp;L$8,DATA!$A:$EB,'2403'!$A74,0)/100</f>
        <v/>
      </c>
      <c r="M74" s="820">
        <f>VLOOKUP($I$1&amp;M$8,DATA!$A:$EB,'2403'!$A74,0)/100</f>
        <v/>
      </c>
      <c r="N74" s="820">
        <f>VLOOKUP($I$1&amp;N$8,DATA!$A:$EB,'2403'!$A74,0)/100</f>
        <v/>
      </c>
      <c r="O74" s="820">
        <f>VLOOKUP($I$1&amp;O$8,DATA!$A:$EB,'2403'!$A74,0)/100</f>
        <v/>
      </c>
      <c r="P74" s="820">
        <f>VLOOKUP($I$1&amp;P$8,DATA!$A:$EB,'2403'!$A74,0)/100</f>
        <v/>
      </c>
      <c r="Q74" s="820">
        <f>VLOOKUP($I$1&amp;Q$8,DATA!$A:$EB,'2403'!$A74,0)/100</f>
        <v/>
      </c>
      <c r="R74" s="820">
        <f>VLOOKUP($I$1&amp;R$8,DATA!$A:$EB,'2403'!$A74,0)/100</f>
        <v/>
      </c>
      <c r="S74" s="820">
        <f>VLOOKUP($I$1&amp;S$8,DATA!$A:$EB,'2403'!$A74,0)/100</f>
        <v/>
      </c>
      <c r="T74" s="820">
        <f>VLOOKUP($I$1&amp;T$8,DATA!$A:$EB,'2403'!$A74,0)/100</f>
        <v/>
      </c>
      <c r="U74" s="13" t="n"/>
    </row>
    <row r="75" ht="16.5" customHeight="1" s="760">
      <c r="C75" s="10" t="inlineStr">
        <is>
          <t>* 예실차율(P/L 기준) = (예상-실제) / 예상,  P/L기준, 보험료배분접근법 적용 제외</t>
        </is>
      </c>
      <c r="D75" s="209" t="n"/>
      <c r="E75" s="809" t="n"/>
      <c r="F75" s="809" t="n"/>
      <c r="G75" s="809" t="n"/>
      <c r="H75" s="809" t="n"/>
      <c r="I75" s="809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</row>
    <row r="76" ht="16.5" customHeight="1" s="760">
      <c r="C76" s="12" t="n"/>
      <c r="D76" s="209" t="n"/>
      <c r="E76" s="809" t="n"/>
      <c r="F76" s="809" t="n"/>
      <c r="G76" s="809" t="n"/>
      <c r="H76" s="809" t="n"/>
      <c r="I76" s="809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</row>
    <row r="77" ht="16.5" customHeight="1" s="760">
      <c r="C77" s="111" t="n"/>
      <c r="D77" s="209" t="n"/>
      <c r="E77" s="809" t="n"/>
      <c r="F77" s="809" t="n"/>
      <c r="G77" s="809" t="n"/>
      <c r="H77" s="809" t="n"/>
      <c r="I77" s="809" t="n"/>
      <c r="J77" s="809" t="n"/>
      <c r="K77" s="809" t="n"/>
      <c r="L77" s="809" t="n"/>
      <c r="M77" s="809" t="n"/>
      <c r="N77" s="809" t="n"/>
      <c r="O77" s="809" t="n"/>
      <c r="P77" s="809" t="n"/>
      <c r="Q77" s="809" t="n"/>
      <c r="R77" s="809" t="n"/>
      <c r="S77" s="809" t="n"/>
      <c r="T77" s="809" t="n"/>
      <c r="U77" s="13" t="n"/>
    </row>
    <row r="78" ht="16.5" customHeight="1" s="760">
      <c r="C78" s="111" t="inlineStr">
        <is>
          <t>* 예실차율</t>
        </is>
      </c>
      <c r="D78" s="209" t="n"/>
      <c r="E78" s="809" t="n"/>
      <c r="F78" s="809" t="n"/>
      <c r="G78" s="809" t="n"/>
      <c r="H78" s="809" t="n"/>
      <c r="I78" s="809" t="n"/>
      <c r="J78" s="809" t="n"/>
      <c r="K78" s="809" t="n"/>
      <c r="L78" s="809" t="n"/>
      <c r="M78" s="809" t="n"/>
      <c r="N78" s="809" t="n"/>
      <c r="O78" s="809" t="n"/>
      <c r="P78" s="809" t="n"/>
      <c r="Q78" s="809" t="n"/>
      <c r="R78" s="809" t="n"/>
      <c r="S78" s="809" t="n"/>
      <c r="T78" s="809" t="n"/>
      <c r="U78" s="13" t="n"/>
    </row>
    <row r="79" ht="16.5" customHeight="1" s="760">
      <c r="A79" s="642">
        <f>DATA!DK1</f>
        <v/>
      </c>
      <c r="C79" s="111" t="n"/>
      <c r="D79" s="209" t="n"/>
      <c r="E79" s="642" t="inlineStr">
        <is>
          <t>사업비예실차</t>
        </is>
      </c>
      <c r="I79" s="786">
        <f>VLOOKUP($I$1&amp;I$8,DATA!$A:$EB,'2403'!$A79,0)/100</f>
        <v/>
      </c>
      <c r="J79" s="786">
        <f>VLOOKUP($I$1&amp;J$8,DATA!$A:$EB,'2403'!$A79,0)/100</f>
        <v/>
      </c>
      <c r="K79" s="787">
        <f>VLOOKUP($I$1&amp;K$8,DATA!$A:$EB,'2403'!$A79,0)/100</f>
        <v/>
      </c>
      <c r="L79" s="787">
        <f>VLOOKUP($I$1&amp;L$8,DATA!$A:$EB,'2403'!$A79,0)/100</f>
        <v/>
      </c>
      <c r="M79" s="787">
        <f>VLOOKUP($I$1&amp;M$8,DATA!$A:$EB,'2403'!$A79,0)/100</f>
        <v/>
      </c>
      <c r="N79" s="787">
        <f>VLOOKUP($I$1&amp;N$8,DATA!$A:$EB,'2403'!$A79,0)/100</f>
        <v/>
      </c>
      <c r="O79" s="787">
        <f>VLOOKUP($I$1&amp;O$8,DATA!$A:$EB,'2403'!$A79,0)/100</f>
        <v/>
      </c>
      <c r="P79" s="787">
        <f>VLOOKUP($I$1&amp;P$8,DATA!$A:$EB,'2403'!$A79,0)/100</f>
        <v/>
      </c>
      <c r="Q79" s="787">
        <f>VLOOKUP($I$1&amp;Q$8,DATA!$A:$EB,'2403'!$A79,0)/100</f>
        <v/>
      </c>
      <c r="R79" s="787">
        <f>VLOOKUP($I$1&amp;R$8,DATA!$A:$EB,'2403'!$A79,0)/100</f>
        <v/>
      </c>
      <c r="S79" s="787">
        <f>VLOOKUP($I$1&amp;S$8,DATA!$A:$EB,'2403'!$A79,0)/100</f>
        <v/>
      </c>
      <c r="T79" s="787">
        <f>VLOOKUP($I$1&amp;T$8,DATA!$A:$EB,'2403'!$A79,0)/100</f>
        <v/>
      </c>
      <c r="U79" s="13" t="n"/>
    </row>
    <row r="80" ht="16.5" customHeight="1" s="760">
      <c r="A80" s="642">
        <f>DATA!DI1</f>
        <v/>
      </c>
      <c r="C80" s="111" t="n"/>
      <c r="D80" s="209" t="n"/>
      <c r="E80" s="642" t="inlineStr">
        <is>
          <t>예상보험금</t>
        </is>
      </c>
      <c r="I80" s="786">
        <f>VLOOKUP($I$1&amp;I$8,DATA!$A:$EB,'2403'!$A80,0)/100</f>
        <v/>
      </c>
      <c r="J80" s="786">
        <f>VLOOKUP($I$1&amp;J$8,DATA!$A:$EB,'2403'!$A80,0)/100</f>
        <v/>
      </c>
      <c r="K80" s="787">
        <f>VLOOKUP($I$1&amp;K$8,DATA!$A:$EB,'2403'!$A80,0)/100</f>
        <v/>
      </c>
      <c r="L80" s="787">
        <f>VLOOKUP($I$1&amp;L$8,DATA!$A:$EB,'2403'!$A80,0)/100</f>
        <v/>
      </c>
      <c r="M80" s="787">
        <f>VLOOKUP($I$1&amp;M$8,DATA!$A:$EB,'2403'!$A80,0)/100</f>
        <v/>
      </c>
      <c r="N80" s="787">
        <f>VLOOKUP($I$1&amp;N$8,DATA!$A:$EB,'2403'!$A80,0)/100</f>
        <v/>
      </c>
      <c r="O80" s="787">
        <f>VLOOKUP($I$1&amp;O$8,DATA!$A:$EB,'2403'!$A80,0)/100</f>
        <v/>
      </c>
      <c r="P80" s="787">
        <f>VLOOKUP($I$1&amp;P$8,DATA!$A:$EB,'2403'!$A80,0)/100</f>
        <v/>
      </c>
      <c r="Q80" s="787">
        <f>VLOOKUP($I$1&amp;Q$8,DATA!$A:$EB,'2403'!$A80,0)/100</f>
        <v/>
      </c>
      <c r="R80" s="787">
        <f>VLOOKUP($I$1&amp;R$8,DATA!$A:$EB,'2403'!$A80,0)/100</f>
        <v/>
      </c>
      <c r="S80" s="787">
        <f>VLOOKUP($I$1&amp;S$8,DATA!$A:$EB,'2403'!$A80,0)/100</f>
        <v/>
      </c>
      <c r="T80" s="787">
        <f>VLOOKUP($I$1&amp;T$8,DATA!$A:$EB,'2403'!$A80,0)/100</f>
        <v/>
      </c>
      <c r="U80" s="13" t="n"/>
    </row>
    <row r="81" ht="16.5" customHeight="1" s="760">
      <c r="A81" s="642">
        <f>DATA!DL1</f>
        <v/>
      </c>
      <c r="C81" s="111" t="n"/>
      <c r="D81" s="209" t="n"/>
      <c r="E81" s="642" t="inlineStr">
        <is>
          <t>예상사업비</t>
        </is>
      </c>
      <c r="I81" s="786">
        <f>VLOOKUP($I$1&amp;I$8,DATA!$A:$EB,'2403'!$A81,0)/100</f>
        <v/>
      </c>
      <c r="J81" s="786">
        <f>VLOOKUP($I$1&amp;J$8,DATA!$A:$EB,'2403'!$A81,0)/100</f>
        <v/>
      </c>
      <c r="K81" s="787">
        <f>VLOOKUP($I$1&amp;K$8,DATA!$A:$EB,'2403'!$A81,0)/100</f>
        <v/>
      </c>
      <c r="L81" s="787">
        <f>VLOOKUP($I$1&amp;L$8,DATA!$A:$EB,'2403'!$A81,0)/100</f>
        <v/>
      </c>
      <c r="M81" s="787">
        <f>VLOOKUP($I$1&amp;M$8,DATA!$A:$EB,'2403'!$A81,0)/100</f>
        <v/>
      </c>
      <c r="N81" s="787">
        <f>VLOOKUP($I$1&amp;N$8,DATA!$A:$EB,'2403'!$A81,0)/100</f>
        <v/>
      </c>
      <c r="O81" s="787">
        <f>VLOOKUP($I$1&amp;O$8,DATA!$A:$EB,'2403'!$A81,0)/100</f>
        <v/>
      </c>
      <c r="P81" s="787">
        <f>VLOOKUP($I$1&amp;P$8,DATA!$A:$EB,'2403'!$A81,0)/100</f>
        <v/>
      </c>
      <c r="Q81" s="787">
        <f>VLOOKUP($I$1&amp;Q$8,DATA!$A:$EB,'2403'!$A81,0)/100</f>
        <v/>
      </c>
      <c r="R81" s="787">
        <f>VLOOKUP($I$1&amp;R$8,DATA!$A:$EB,'2403'!$A81,0)/100</f>
        <v/>
      </c>
      <c r="S81" s="787">
        <f>VLOOKUP($I$1&amp;S$8,DATA!$A:$EB,'2403'!$A81,0)/100</f>
        <v/>
      </c>
      <c r="T81" s="787">
        <f>VLOOKUP($I$1&amp;T$8,DATA!$A:$EB,'2403'!$A81,0)/100</f>
        <v/>
      </c>
      <c r="U81" s="13" t="n"/>
    </row>
    <row r="82" ht="16.5" customHeight="1" s="760">
      <c r="A82" s="642">
        <f>DATA!BY1</f>
        <v/>
      </c>
      <c r="C82" s="111" t="n"/>
      <c r="D82" s="209" t="n"/>
      <c r="E82" s="809" t="inlineStr">
        <is>
          <t>CSM상각액</t>
        </is>
      </c>
      <c r="F82" s="809" t="n"/>
      <c r="G82" s="809" t="n"/>
      <c r="H82" s="809" t="n"/>
      <c r="I82" s="786">
        <f>VLOOKUP($I$1&amp;I$8,DATA!$A:$EB,'2403'!$A82,0)/100</f>
        <v/>
      </c>
      <c r="J82" s="786">
        <f>VLOOKUP($I$1&amp;J$8,DATA!$A:$EB,'2403'!$A82,0)/100</f>
        <v/>
      </c>
      <c r="K82" s="787">
        <f>VLOOKUP($I$1&amp;K$8,DATA!$A:$EB,'2403'!$A82,0)/100</f>
        <v/>
      </c>
      <c r="L82" s="787">
        <f>VLOOKUP($I$1&amp;L$8,DATA!$A:$EB,'2403'!$A82,0)/100</f>
        <v/>
      </c>
      <c r="M82" s="787">
        <f>VLOOKUP($I$1&amp;M$8,DATA!$A:$EB,'2403'!$A82,0)/100</f>
        <v/>
      </c>
      <c r="N82" s="787">
        <f>VLOOKUP($I$1&amp;N$8,DATA!$A:$EB,'2403'!$A82,0)/100</f>
        <v/>
      </c>
      <c r="O82" s="787">
        <f>VLOOKUP($I$1&amp;O$8,DATA!$A:$EB,'2403'!$A82,0)/100</f>
        <v/>
      </c>
      <c r="P82" s="787">
        <f>VLOOKUP($I$1&amp;P$8,DATA!$A:$EB,'2403'!$A82,0)/100</f>
        <v/>
      </c>
      <c r="Q82" s="787">
        <f>VLOOKUP($I$1&amp;Q$8,DATA!$A:$EB,'2403'!$A82,0)/100</f>
        <v/>
      </c>
      <c r="R82" s="787">
        <f>VLOOKUP($I$1&amp;R$8,DATA!$A:$EB,'2403'!$A82,0)/100</f>
        <v/>
      </c>
      <c r="S82" s="787">
        <f>VLOOKUP($I$1&amp;S$8,DATA!$A:$EB,'2403'!$A82,0)/100</f>
        <v/>
      </c>
      <c r="T82" s="787">
        <f>VLOOKUP($I$1&amp;T$8,DATA!$A:$EB,'2403'!$A82,0)/100</f>
        <v/>
      </c>
      <c r="U82" s="13" t="n"/>
    </row>
    <row r="83" ht="16.5" customHeight="1" s="760">
      <c r="C83" s="111" t="n"/>
      <c r="D83" s="209" t="n"/>
      <c r="E83" s="809" t="n"/>
      <c r="F83" s="809" t="n"/>
      <c r="G83" s="809" t="n"/>
      <c r="H83" s="809" t="n"/>
      <c r="I83" s="809" t="n"/>
      <c r="J83" s="809" t="n"/>
      <c r="K83" s="809" t="n"/>
      <c r="L83" s="809" t="n"/>
      <c r="M83" s="809" t="n"/>
      <c r="N83" s="809" t="n"/>
      <c r="O83" s="809" t="n"/>
      <c r="P83" s="809" t="n"/>
      <c r="Q83" s="809" t="n"/>
      <c r="R83" s="809" t="n"/>
      <c r="S83" s="809" t="n"/>
      <c r="T83" s="809" t="n"/>
      <c r="U83" s="13" t="n"/>
    </row>
    <row r="84" ht="16.5" customHeight="1" s="760">
      <c r="C84" s="111" t="n"/>
      <c r="D84" s="209" t="n"/>
      <c r="E84" s="809" t="n"/>
      <c r="F84" s="809" t="n"/>
      <c r="G84" s="809" t="n"/>
      <c r="H84" s="809" t="n"/>
      <c r="I84" s="809" t="n"/>
      <c r="J84" s="809" t="n"/>
      <c r="K84" s="809" t="n"/>
      <c r="L84" s="809" t="n"/>
      <c r="M84" s="809" t="n"/>
      <c r="N84" s="809" t="n"/>
      <c r="O84" s="809" t="n"/>
      <c r="P84" s="809" t="n"/>
      <c r="Q84" s="809" t="n"/>
      <c r="R84" s="809" t="n"/>
      <c r="S84" s="809" t="n"/>
      <c r="T84" s="809" t="n"/>
      <c r="U84" s="13" t="n"/>
    </row>
    <row r="85" ht="16.5" customHeight="1" s="760">
      <c r="C85" s="111" t="n"/>
      <c r="D85" s="209" t="n"/>
      <c r="E85" s="809" t="n"/>
      <c r="F85" s="809" t="n"/>
      <c r="G85" s="809" t="n"/>
      <c r="H85" s="809" t="n"/>
      <c r="I85" s="809" t="n"/>
      <c r="J85" s="809" t="n"/>
      <c r="K85" s="809" t="n"/>
      <c r="L85" s="809" t="n"/>
      <c r="M85" s="809" t="n"/>
      <c r="N85" s="809" t="n"/>
      <c r="O85" s="809" t="n"/>
      <c r="P85" s="809" t="n"/>
      <c r="Q85" s="809" t="n"/>
      <c r="R85" s="809" t="n"/>
      <c r="S85" s="809" t="n"/>
      <c r="T85" s="809" t="n"/>
      <c r="U85" s="13" t="n"/>
    </row>
    <row r="86" ht="16.5" customHeight="1" s="760">
      <c r="C86" s="6" t="inlineStr">
        <is>
          <t>3-1. CSM 현황</t>
        </is>
      </c>
      <c r="D86" s="209" t="n"/>
      <c r="E86" s="809" t="n"/>
      <c r="F86" s="809" t="n"/>
      <c r="G86" s="809" t="n"/>
      <c r="H86" s="809" t="n"/>
      <c r="I86" s="809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</row>
    <row r="87" ht="16.5" customHeight="1" s="760"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  <c r="N87" s="111" t="n"/>
      <c r="O87" s="13" t="n"/>
      <c r="P87" s="111" t="n"/>
      <c r="Q87" s="111" t="n"/>
      <c r="R87" s="13" t="n"/>
      <c r="S87" s="13" t="n"/>
      <c r="T87" s="7" t="inlineStr">
        <is>
          <t>(단위 : 억원)</t>
        </is>
      </c>
      <c r="U87" s="13" t="n"/>
    </row>
    <row r="88" ht="16.5" customHeight="1" s="760">
      <c r="C88" s="650" t="inlineStr">
        <is>
          <t>구분</t>
        </is>
      </c>
      <c r="D88" s="648" t="n"/>
      <c r="E88" s="648" t="n"/>
      <c r="F88" s="648" t="n"/>
      <c r="G88" s="648" t="n"/>
      <c r="H88" s="649" t="n"/>
      <c r="I88" s="11" t="inlineStr">
        <is>
          <t>미래에셋생명</t>
        </is>
      </c>
      <c r="J88" s="8" t="inlineStr">
        <is>
          <t>삼성생명</t>
        </is>
      </c>
      <c r="K88" s="8" t="inlineStr">
        <is>
          <t>교보생명</t>
        </is>
      </c>
      <c r="L88" s="8" t="inlineStr">
        <is>
          <t>한화생명</t>
        </is>
      </c>
      <c r="M88" s="8" t="inlineStr">
        <is>
          <t>신한라이프</t>
        </is>
      </c>
      <c r="N88" s="8" t="inlineStr">
        <is>
          <t>동양생명</t>
        </is>
      </c>
      <c r="O88" s="9" t="inlineStr">
        <is>
          <t>KB라이프</t>
        </is>
      </c>
      <c r="P88" s="9" t="inlineStr">
        <is>
          <t>삼성화재</t>
        </is>
      </c>
      <c r="Q88" s="9" t="inlineStr">
        <is>
          <t>현대해상</t>
        </is>
      </c>
      <c r="R88" s="9" t="inlineStr">
        <is>
          <t>메리츠화재</t>
        </is>
      </c>
      <c r="S88" s="9" t="inlineStr">
        <is>
          <t>KB손보</t>
        </is>
      </c>
      <c r="T88" s="9" t="inlineStr">
        <is>
          <t>DB손보</t>
        </is>
      </c>
      <c r="U88" s="13" t="n"/>
    </row>
    <row r="89" ht="16.5" customHeight="1" s="760">
      <c r="A89" s="642">
        <f>DATA!BW1</f>
        <v/>
      </c>
      <c r="C89" s="647" t="inlineStr">
        <is>
          <t>CSM</t>
        </is>
      </c>
      <c r="D89" s="648" t="n"/>
      <c r="E89" s="648" t="n"/>
      <c r="F89" s="648" t="n"/>
      <c r="G89" s="648" t="n"/>
      <c r="H89" s="649" t="n"/>
      <c r="I89" s="819">
        <f>VLOOKUP($I$1&amp;I$8,DATA!$A:$EB,'2403'!$A89,0)/100</f>
        <v/>
      </c>
      <c r="J89" s="821">
        <f>VLOOKUP($I$1&amp;J$8,DATA!$A:$EB,'2403'!$A89,0)/100</f>
        <v/>
      </c>
      <c r="K89" s="821">
        <f>VLOOKUP($I$1&amp;K$8,DATA!$A:$EB,'2403'!$A89,0)/100</f>
        <v/>
      </c>
      <c r="L89" s="821">
        <f>VLOOKUP($I$1&amp;L$8,DATA!$A:$EB,'2403'!$A89,0)/100</f>
        <v/>
      </c>
      <c r="M89" s="821">
        <f>VLOOKUP($I$1&amp;M$8,DATA!$A:$EB,'2403'!$A89,0)/100</f>
        <v/>
      </c>
      <c r="N89" s="821">
        <f>VLOOKUP($I$1&amp;N$8,DATA!$A:$EB,'2403'!$A89,0)/100</f>
        <v/>
      </c>
      <c r="O89" s="819">
        <f>VLOOKUP($I$1&amp;O$8,DATA!$A:$EB,'2403'!$A89,0)/100</f>
        <v/>
      </c>
      <c r="P89" s="819">
        <f>VLOOKUP($I$1&amp;P$8,DATA!$A:$EB,'2403'!$A89,0)/100</f>
        <v/>
      </c>
      <c r="Q89" s="819">
        <f>VLOOKUP($I$1&amp;Q$8,DATA!$A:$EB,'2403'!$A89,0)/100</f>
        <v/>
      </c>
      <c r="R89" s="819">
        <f>VLOOKUP($I$1&amp;R$8,DATA!$A:$EB,'2403'!$A89,0)/100</f>
        <v/>
      </c>
      <c r="S89" s="819">
        <f>VLOOKUP($I$1&amp;S$8,DATA!$A:$EB,'2403'!$A89,0)/100</f>
        <v/>
      </c>
      <c r="T89" s="819">
        <f>VLOOKUP($I$1&amp;T$8,DATA!$A:$EB,'2403'!$A89,0)/100</f>
        <v/>
      </c>
      <c r="U89" s="13" t="n"/>
    </row>
    <row r="90" ht="16.5" customHeight="1" s="760">
      <c r="C90" s="666" t="inlineStr">
        <is>
          <t>전기말 대비</t>
        </is>
      </c>
      <c r="H90" s="643" t="n"/>
      <c r="I90" s="822">
        <f>+I89-I103</f>
        <v/>
      </c>
      <c r="J90" s="823">
        <f>+J89-J103</f>
        <v/>
      </c>
      <c r="K90" s="823">
        <f>+K89-K103</f>
        <v/>
      </c>
      <c r="L90" s="823">
        <f>+L89-L103</f>
        <v/>
      </c>
      <c r="M90" s="823">
        <f>+M89-M103</f>
        <v/>
      </c>
      <c r="N90" s="823">
        <f>+N89-N103</f>
        <v/>
      </c>
      <c r="O90" s="822">
        <f>+O89-O103</f>
        <v/>
      </c>
      <c r="P90" s="822">
        <f>+P89-P103</f>
        <v/>
      </c>
      <c r="Q90" s="822">
        <f>+Q89-Q103</f>
        <v/>
      </c>
      <c r="R90" s="822">
        <f>+R89-R103</f>
        <v/>
      </c>
      <c r="S90" s="822">
        <f>+S89-S103</f>
        <v/>
      </c>
      <c r="T90" s="822">
        <f>+T89-T103</f>
        <v/>
      </c>
      <c r="U90" s="13" t="n"/>
    </row>
    <row r="91" ht="16.5" customHeight="1" s="760">
      <c r="C91" s="676" t="inlineStr">
        <is>
          <t>(증가율)</t>
        </is>
      </c>
      <c r="D91" s="670" t="n"/>
      <c r="E91" s="670" t="n"/>
      <c r="F91" s="670" t="n"/>
      <c r="G91" s="670" t="n"/>
      <c r="H91" s="671" t="n"/>
      <c r="I91" s="824">
        <f>+I90/I89</f>
        <v/>
      </c>
      <c r="J91" s="825">
        <f>+J90/J89</f>
        <v/>
      </c>
      <c r="K91" s="825">
        <f>+K90/K89</f>
        <v/>
      </c>
      <c r="L91" s="825">
        <f>+L90/L89</f>
        <v/>
      </c>
      <c r="M91" s="825">
        <f>+M90/M89</f>
        <v/>
      </c>
      <c r="N91" s="825">
        <f>+N90/N89</f>
        <v/>
      </c>
      <c r="O91" s="797">
        <f>+O90/O89</f>
        <v/>
      </c>
      <c r="P91" s="797">
        <f>+P90/P89</f>
        <v/>
      </c>
      <c r="Q91" s="797">
        <f>+Q90/Q89</f>
        <v/>
      </c>
      <c r="R91" s="797">
        <f>+R90/R89</f>
        <v/>
      </c>
      <c r="S91" s="797">
        <f>+S90/S89</f>
        <v/>
      </c>
      <c r="T91" s="797">
        <f>+T90/T89</f>
        <v/>
      </c>
      <c r="U91" s="13" t="n"/>
    </row>
    <row r="92" ht="16.5" customHeight="1" s="760">
      <c r="A92" s="642">
        <f>DATA!BX1</f>
        <v/>
      </c>
      <c r="C92" s="647" t="inlineStr">
        <is>
          <t>신계약CSM(a)</t>
        </is>
      </c>
      <c r="D92" s="648" t="n"/>
      <c r="E92" s="648" t="n"/>
      <c r="F92" s="648" t="n"/>
      <c r="G92" s="648" t="n"/>
      <c r="H92" s="649" t="n"/>
      <c r="I92" s="819">
        <f>VLOOKUP($I$1&amp;I$8,DATA!$A:$EB,'2403'!$A92,0)/100</f>
        <v/>
      </c>
      <c r="J92" s="821">
        <f>VLOOKUP($I$1&amp;J$8,DATA!$A:$EB,'2403'!$A92,0)/100</f>
        <v/>
      </c>
      <c r="K92" s="819">
        <f>VLOOKUP($I$1&amp;K$8,DATA!$A:$EB,'2403'!$A92,0)/100</f>
        <v/>
      </c>
      <c r="L92" s="819">
        <f>VLOOKUP($I$1&amp;L$8,DATA!$A:$EB,'2403'!$A92,0)/100</f>
        <v/>
      </c>
      <c r="M92" s="819">
        <f>VLOOKUP($I$1&amp;M$8,DATA!$A:$EB,'2403'!$A92,0)/100</f>
        <v/>
      </c>
      <c r="N92" s="819">
        <f>VLOOKUP($I$1&amp;N$8,DATA!$A:$EB,'2403'!$A92,0)/100</f>
        <v/>
      </c>
      <c r="O92" s="819">
        <f>VLOOKUP($I$1&amp;O$8,DATA!$A:$EB,'2403'!$A92,0)/100</f>
        <v/>
      </c>
      <c r="P92" s="819">
        <f>VLOOKUP($I$1&amp;P$8,DATA!$A:$EB,'2403'!$A92,0)/100</f>
        <v/>
      </c>
      <c r="Q92" s="819">
        <f>VLOOKUP($I$1&amp;Q$8,DATA!$A:$EB,'2403'!$A92,0)/100</f>
        <v/>
      </c>
      <c r="R92" s="819">
        <f>VLOOKUP($I$1&amp;R$8,DATA!$A:$EB,'2403'!$A92,0)/100</f>
        <v/>
      </c>
      <c r="S92" s="819">
        <f>VLOOKUP($I$1&amp;S$8,DATA!$A:$EB,'2403'!$A92,0)/100</f>
        <v/>
      </c>
      <c r="T92" s="819">
        <f>VLOOKUP($I$1&amp;T$8,DATA!$A:$EB,'2403'!$A92,0)/100</f>
        <v/>
      </c>
      <c r="U92" s="13" t="n"/>
    </row>
    <row r="93" ht="16.5" customHeight="1" s="760">
      <c r="A93" s="642">
        <f>DATA!BY1</f>
        <v/>
      </c>
      <c r="C93" s="666" t="inlineStr">
        <is>
          <t>CSM상각액(b)</t>
        </is>
      </c>
      <c r="H93" s="643" t="n"/>
      <c r="I93" s="822">
        <f>VLOOKUP($I$1&amp;I$8,DATA!$A:$EB,'2403'!$A93,0)/100</f>
        <v/>
      </c>
      <c r="J93" s="823">
        <f>VLOOKUP($I$1&amp;J$8,DATA!$A:$EB,'2403'!$A93,0)/100</f>
        <v/>
      </c>
      <c r="K93" s="822">
        <f>VLOOKUP($I$1&amp;K$8,DATA!$A:$EB,'2403'!$A93,0)/100</f>
        <v/>
      </c>
      <c r="L93" s="822">
        <f>VLOOKUP($I$1&amp;L$8,DATA!$A:$EB,'2403'!$A93,0)/100</f>
        <v/>
      </c>
      <c r="M93" s="822">
        <f>VLOOKUP($I$1&amp;M$8,DATA!$A:$EB,'2403'!$A93,0)/100</f>
        <v/>
      </c>
      <c r="N93" s="822">
        <f>VLOOKUP($I$1&amp;N$8,DATA!$A:$EB,'2403'!$A93,0)/100</f>
        <v/>
      </c>
      <c r="O93" s="822">
        <f>VLOOKUP($I$1&amp;O$8,DATA!$A:$EB,'2403'!$A93,0)/100</f>
        <v/>
      </c>
      <c r="P93" s="822">
        <f>VLOOKUP($I$1&amp;P$8,DATA!$A:$EB,'2403'!$A93,0)/100</f>
        <v/>
      </c>
      <c r="Q93" s="822">
        <f>VLOOKUP($I$1&amp;Q$8,DATA!$A:$EB,'2403'!$A93,0)/100</f>
        <v/>
      </c>
      <c r="R93" s="822">
        <f>VLOOKUP($I$1&amp;R$8,DATA!$A:$EB,'2403'!$A93,0)/100</f>
        <v/>
      </c>
      <c r="S93" s="822">
        <f>VLOOKUP($I$1&amp;S$8,DATA!$A:$EB,'2403'!$A93,0)/100</f>
        <v/>
      </c>
      <c r="T93" s="822">
        <f>VLOOKUP($I$1&amp;T$8,DATA!$A:$EB,'2403'!$A93,0)/100</f>
        <v/>
      </c>
      <c r="U93" s="13" t="n"/>
    </row>
    <row r="94" ht="16.5" customHeight="1" s="760">
      <c r="C94" s="666" t="inlineStr">
        <is>
          <t>(상각률)</t>
        </is>
      </c>
      <c r="H94" s="643" t="n"/>
      <c r="I94" s="795">
        <f>+I93/(I89+I93)*(4/$J$1)</f>
        <v/>
      </c>
      <c r="J94" s="826">
        <f>+J93/(J89+J93)*(4/$J$1)</f>
        <v/>
      </c>
      <c r="K94" s="795">
        <f>+K93/(K89+K93)*(4/$J$1)</f>
        <v/>
      </c>
      <c r="L94" s="795">
        <f>+L93/(L89+L93)*(4/$J$1)</f>
        <v/>
      </c>
      <c r="M94" s="795">
        <f>+M93/(M89+M93)*(4/$J$1)</f>
        <v/>
      </c>
      <c r="N94" s="795">
        <f>+N93/(N89+N93)*(4/$J$1)</f>
        <v/>
      </c>
      <c r="O94" s="795">
        <f>+O93/(O89+O93)*(4/$J$1)</f>
        <v/>
      </c>
      <c r="P94" s="795">
        <f>+P93/(P89+P93)*(4/$J$1)</f>
        <v/>
      </c>
      <c r="Q94" s="795">
        <f>+Q93/(Q89+Q93)*(4/$J$1)</f>
        <v/>
      </c>
      <c r="R94" s="795">
        <f>+R93/(R89+R93)*(4/$J$1)</f>
        <v/>
      </c>
      <c r="S94" s="795">
        <f>+S93/(S89+S93)*(4/$J$1)</f>
        <v/>
      </c>
      <c r="T94" s="795">
        <f>+T93/(T89+T93)*(4/$J$1)</f>
        <v/>
      </c>
      <c r="U94" s="13" t="n"/>
    </row>
    <row r="95" ht="16.5" customHeight="1" s="760">
      <c r="C95" s="644" t="inlineStr">
        <is>
          <t>상각액Cover율(a/b)</t>
        </is>
      </c>
      <c r="D95" s="645" t="n"/>
      <c r="E95" s="645" t="n"/>
      <c r="F95" s="645" t="n"/>
      <c r="G95" s="645" t="n"/>
      <c r="H95" s="646" t="n"/>
      <c r="I95" s="797">
        <f>+I92/I93</f>
        <v/>
      </c>
      <c r="J95" s="796">
        <f>+J92/J93</f>
        <v/>
      </c>
      <c r="K95" s="797">
        <f>+K92/K93</f>
        <v/>
      </c>
      <c r="L95" s="797">
        <f>+L92/L93</f>
        <v/>
      </c>
      <c r="M95" s="797">
        <f>+M92/M93</f>
        <v/>
      </c>
      <c r="N95" s="797">
        <f>+N92/N93</f>
        <v/>
      </c>
      <c r="O95" s="797">
        <f>+O92/O93</f>
        <v/>
      </c>
      <c r="P95" s="797">
        <f>+P92/P93</f>
        <v/>
      </c>
      <c r="Q95" s="797">
        <f>+Q92/Q93</f>
        <v/>
      </c>
      <c r="R95" s="797">
        <f>+R92/R93</f>
        <v/>
      </c>
      <c r="S95" s="797">
        <f>+S92/S93</f>
        <v/>
      </c>
      <c r="T95" s="797">
        <f>+T92/T93</f>
        <v/>
      </c>
      <c r="U95" s="13" t="n"/>
    </row>
    <row r="96" ht="16.5" customHeight="1" s="760">
      <c r="A96" s="642">
        <f>DATA!CE1</f>
        <v/>
      </c>
      <c r="C96" s="682" t="inlineStr">
        <is>
          <t>기간별 상각 
금액 비중</t>
        </is>
      </c>
      <c r="D96" s="648" t="n"/>
      <c r="E96" s="649" t="n"/>
      <c r="F96" s="675" t="inlineStr">
        <is>
          <t>1년 이하</t>
        </is>
      </c>
      <c r="G96" s="648" t="n"/>
      <c r="H96" s="649" t="n"/>
      <c r="I96" s="827">
        <f>VLOOKUP($I$1&amp;I$8,DATA!$A:$EB,'2403'!$A96,0)/100</f>
        <v/>
      </c>
      <c r="J96" s="828">
        <f>VLOOKUP($I$1&amp;J$8,DATA!$A:$EB,'2403'!$A96,0)/100</f>
        <v/>
      </c>
      <c r="K96" s="827">
        <f>VLOOKUP($I$1&amp;K$8,DATA!$A:$EB,'2403'!$A96,0)/100</f>
        <v/>
      </c>
      <c r="L96" s="827">
        <f>VLOOKUP($I$1&amp;L$8,DATA!$A:$EB,'2403'!$A96,0)/100</f>
        <v/>
      </c>
      <c r="M96" s="827">
        <f>VLOOKUP($I$1&amp;M$8,DATA!$A:$EB,'2403'!$A96,0)/100</f>
        <v/>
      </c>
      <c r="N96" s="827">
        <f>VLOOKUP($I$1&amp;N$8,DATA!$A:$EB,'2403'!$A96,0)/100</f>
        <v/>
      </c>
      <c r="O96" s="827">
        <f>VLOOKUP($I$1&amp;O$8,DATA!$A:$EB,'2403'!$A96,0)/100</f>
        <v/>
      </c>
      <c r="P96" s="827">
        <f>VLOOKUP($I$1&amp;P$8,DATA!$A:$EB,'2403'!$A96,0)/100</f>
        <v/>
      </c>
      <c r="Q96" s="827">
        <f>VLOOKUP($I$1&amp;Q$8,DATA!$A:$EB,'2403'!$A96,0)/100</f>
        <v/>
      </c>
      <c r="R96" s="827">
        <f>VLOOKUP($I$1&amp;R$8,DATA!$A:$EB,'2403'!$A96,0)/100</f>
        <v/>
      </c>
      <c r="S96" s="827">
        <f>VLOOKUP($I$1&amp;S$8,DATA!$A:$EB,'2403'!$A96,0)/100</f>
        <v/>
      </c>
      <c r="T96" s="827">
        <f>VLOOKUP($I$1&amp;T$8,DATA!$A:$EB,'2403'!$A96,0)/100</f>
        <v/>
      </c>
      <c r="U96" s="13" t="n"/>
    </row>
    <row r="97" ht="16.5" customHeight="1" s="760">
      <c r="A97" s="642">
        <f>DATA!CF1</f>
        <v/>
      </c>
      <c r="E97" s="643" t="n"/>
      <c r="F97" s="657" t="inlineStr">
        <is>
          <t>2~5년</t>
        </is>
      </c>
      <c r="H97" s="643" t="n"/>
      <c r="I97" s="829">
        <f>VLOOKUP($I$1&amp;I$8,DATA!$A:$EB,'2403'!$A97,0)/100+VLOOKUP($I$1&amp;I$8,DATA!$A:$EB,'2403'!$A97+1,0)/100</f>
        <v/>
      </c>
      <c r="J97" s="830">
        <f>VLOOKUP($I$1&amp;J$8,DATA!$A:$EB,'2403'!$A97,0)/100+VLOOKUP($I$1&amp;J$8,DATA!$A:$EB,'2403'!$A97+1,0)/100</f>
        <v/>
      </c>
      <c r="K97" s="829">
        <f>VLOOKUP($I$1&amp;K$8,DATA!$A:$EB,'2403'!$A97,0)/100+VLOOKUP($I$1&amp;K$8,DATA!$A:$EB,'2403'!$A97+1,0)/100</f>
        <v/>
      </c>
      <c r="L97" s="829">
        <f>VLOOKUP($I$1&amp;L$8,DATA!$A:$EB,'2403'!$A97,0)/100+VLOOKUP($I$1&amp;L$8,DATA!$A:$EB,'2403'!$A97+1,0)/100</f>
        <v/>
      </c>
      <c r="M97" s="829">
        <f>VLOOKUP($I$1&amp;M$8,DATA!$A:$EB,'2403'!$A97,0)/100+VLOOKUP($I$1&amp;M$8,DATA!$A:$EB,'2403'!$A97+1,0)/100</f>
        <v/>
      </c>
      <c r="N97" s="829">
        <f>VLOOKUP($I$1&amp;N$8,DATA!$A:$EB,'2403'!$A97,0)/100+VLOOKUP($I$1&amp;N$8,DATA!$A:$EB,'2403'!$A97+1,0)/100</f>
        <v/>
      </c>
      <c r="O97" s="829">
        <f>VLOOKUP($I$1&amp;O$8,DATA!$A:$EB,'2403'!$A97,0)/100+VLOOKUP($I$1&amp;O$8,DATA!$A:$EB,'2403'!$A97+1,0)/100</f>
        <v/>
      </c>
      <c r="P97" s="829">
        <f>VLOOKUP($I$1&amp;P$8,DATA!$A:$EB,'2403'!$A97,0)/100+VLOOKUP($I$1&amp;P$8,DATA!$A:$EB,'2403'!$A97+1,0)/100</f>
        <v/>
      </c>
      <c r="Q97" s="829">
        <f>VLOOKUP($I$1&amp;Q$8,DATA!$A:$EB,'2403'!$A97,0)/100+VLOOKUP($I$1&amp;Q$8,DATA!$A:$EB,'2403'!$A97+1,0)/100</f>
        <v/>
      </c>
      <c r="R97" s="829">
        <f>VLOOKUP($I$1&amp;R$8,DATA!$A:$EB,'2403'!$A97,0)/100+VLOOKUP($I$1&amp;R$8,DATA!$A:$EB,'2403'!$A97+1,0)/100</f>
        <v/>
      </c>
      <c r="S97" s="829">
        <f>VLOOKUP($I$1&amp;S$8,DATA!$A:$EB,'2403'!$A97,0)/100+VLOOKUP($I$1&amp;S$8,DATA!$A:$EB,'2403'!$A97+1,0)/100</f>
        <v/>
      </c>
      <c r="T97" s="829">
        <f>VLOOKUP($I$1&amp;T$8,DATA!$A:$EB,'2403'!$A97,0)/100+VLOOKUP($I$1&amp;T$8,DATA!$A:$EB,'2403'!$A97+1,0)/100</f>
        <v/>
      </c>
      <c r="U97" s="13" t="n"/>
    </row>
    <row r="98" ht="16.5" customHeight="1" s="760">
      <c r="A98" s="642">
        <f>DATA!CH1</f>
        <v/>
      </c>
      <c r="E98" s="643" t="n"/>
      <c r="F98" s="657" t="inlineStr">
        <is>
          <t>5~10년</t>
        </is>
      </c>
      <c r="H98" s="643" t="n"/>
      <c r="I98" s="829">
        <f>VLOOKUP($I$1&amp;I$8,DATA!$A:$EB,'2403'!$A98,0)/100</f>
        <v/>
      </c>
      <c r="J98" s="845">
        <f>VLOOKUP($I$1&amp;J$8,DATA!$A:$EB,'2403'!$A98,0)/100</f>
        <v/>
      </c>
      <c r="K98" s="829">
        <f>VLOOKUP($I$1&amp;K$8,DATA!$A:$EB,'2403'!$A98,0)/100</f>
        <v/>
      </c>
      <c r="L98" s="829">
        <f>VLOOKUP($I$1&amp;L$8,DATA!$A:$EB,'2403'!$A98,0)/100</f>
        <v/>
      </c>
      <c r="M98" s="829">
        <f>VLOOKUP($I$1&amp;M$8,DATA!$A:$EB,'2403'!$A98,0)/100</f>
        <v/>
      </c>
      <c r="N98" s="829">
        <f>VLOOKUP($I$1&amp;N$8,DATA!$A:$EB,'2403'!$A98,0)/100</f>
        <v/>
      </c>
      <c r="O98" s="829">
        <f>VLOOKUP($I$1&amp;O$8,DATA!$A:$EB,'2403'!$A98,0)/100</f>
        <v/>
      </c>
      <c r="P98" s="845">
        <f>VLOOKUP($I$1&amp;P$8,DATA!$A:$EB,'2403'!$A98,0)/100</f>
        <v/>
      </c>
      <c r="Q98" s="829">
        <f>VLOOKUP($I$1&amp;Q$8,DATA!$A:$EB,'2403'!$A98,0)/100</f>
        <v/>
      </c>
      <c r="R98" s="829">
        <f>VLOOKUP($I$1&amp;R$8,DATA!$A:$EB,'2403'!$A98,0)/100</f>
        <v/>
      </c>
      <c r="S98" s="829">
        <f>VLOOKUP($I$1&amp;S$8,DATA!$A:$EB,'2403'!$A98,0)/100</f>
        <v/>
      </c>
      <c r="T98" s="829">
        <f>VLOOKUP($I$1&amp;T$8,DATA!$A:$EB,'2403'!$A98,0)/100</f>
        <v/>
      </c>
      <c r="U98" s="13" t="n"/>
    </row>
    <row r="99" ht="16.5" customHeight="1" s="760">
      <c r="A99" s="642">
        <f>DATA!CI1</f>
        <v/>
      </c>
      <c r="C99" s="645" t="n"/>
      <c r="D99" s="645" t="n"/>
      <c r="E99" s="646" t="n"/>
      <c r="F99" s="689" t="inlineStr">
        <is>
          <t>10년 초과</t>
        </is>
      </c>
      <c r="G99" s="645" t="n"/>
      <c r="H99" s="646" t="n"/>
      <c r="I99" s="832">
        <f>VLOOKUP($I$1&amp;I$8,DATA!$A:$EB,'2403'!$A99,0)/100</f>
        <v/>
      </c>
      <c r="J99" s="678" t="n"/>
      <c r="K99" s="832">
        <f>VLOOKUP($I$1&amp;K$8,DATA!$A:$EB,'2403'!$A99,0)/100</f>
        <v/>
      </c>
      <c r="L99" s="832">
        <f>VLOOKUP($I$1&amp;L$8,DATA!$A:$EB,'2403'!$A99,0)/100</f>
        <v/>
      </c>
      <c r="M99" s="832">
        <f>VLOOKUP($I$1&amp;M$8,DATA!$A:$EB,'2403'!$A99,0)/100</f>
        <v/>
      </c>
      <c r="N99" s="832">
        <f>VLOOKUP($I$1&amp;N$8,DATA!$A:$EB,'2403'!$A99,0)/100</f>
        <v/>
      </c>
      <c r="O99" s="832">
        <f>VLOOKUP($I$1&amp;O$8,DATA!$A:$EB,'2403'!$A99,0)/100</f>
        <v/>
      </c>
      <c r="P99" s="678" t="n"/>
      <c r="Q99" s="832">
        <f>VLOOKUP($I$1&amp;Q$8,DATA!$A:$EB,'2403'!$A99,0)/100</f>
        <v/>
      </c>
      <c r="R99" s="832">
        <f>VLOOKUP($I$1&amp;R$8,DATA!$A:$EB,'2403'!$A99,0)/100</f>
        <v/>
      </c>
      <c r="S99" s="832">
        <f>VLOOKUP($I$1&amp;S$8,DATA!$A:$EB,'2403'!$A99,0)/100</f>
        <v/>
      </c>
      <c r="T99" s="832">
        <f>VLOOKUP($I$1&amp;T$8,DATA!$A:$EB,'2403'!$A99,0)/100</f>
        <v/>
      </c>
      <c r="U99" s="13" t="n"/>
    </row>
    <row r="100" ht="16.5" customHeight="1" s="760">
      <c r="C100" s="12" t="inlineStr">
        <is>
          <t>* CSM상각률 : CSM상각액 / (CSM잔액 + CSM상각액)  * (4 / 분기)</t>
        </is>
      </c>
      <c r="D100" s="209" t="n"/>
      <c r="E100" s="809" t="n"/>
      <c r="F100" s="809" t="n"/>
      <c r="G100" s="809" t="n"/>
      <c r="H100" s="809" t="n"/>
      <c r="I100" s="809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</row>
    <row r="101" ht="16.5" customHeight="1" s="760">
      <c r="C101" s="12" t="inlineStr">
        <is>
          <t>* 기간별 상각금액 비중 : 순부채 기준</t>
        </is>
      </c>
      <c r="D101" s="209" t="n"/>
      <c r="E101" s="809" t="n"/>
      <c r="F101" s="809" t="n"/>
      <c r="G101" s="809" t="n"/>
      <c r="H101" s="809" t="n"/>
      <c r="I101" s="809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 ht="16.5" customHeight="1" s="760">
      <c r="C102" s="111" t="n"/>
      <c r="D102" s="209" t="n"/>
      <c r="E102" s="809" t="n"/>
      <c r="F102" s="809" t="n"/>
      <c r="G102" s="809" t="n"/>
      <c r="H102" s="809" t="n"/>
      <c r="I102" s="833">
        <f>+I92/I89</f>
        <v/>
      </c>
      <c r="J102" s="833">
        <f>+J92/J89</f>
        <v/>
      </c>
      <c r="K102" s="833">
        <f>+K92/K89</f>
        <v/>
      </c>
      <c r="L102" s="833">
        <f>+L92/L89</f>
        <v/>
      </c>
      <c r="M102" s="833">
        <f>+M92/M89</f>
        <v/>
      </c>
      <c r="N102" s="833">
        <f>+N92/N89</f>
        <v/>
      </c>
      <c r="O102" s="833">
        <f>+O92/O89</f>
        <v/>
      </c>
      <c r="P102" s="833">
        <f>+P92/P89</f>
        <v/>
      </c>
      <c r="Q102" s="833">
        <f>+Q92/Q89</f>
        <v/>
      </c>
      <c r="R102" s="833">
        <f>+R92/R89</f>
        <v/>
      </c>
      <c r="S102" s="833">
        <f>+S92/S89</f>
        <v/>
      </c>
      <c r="T102" s="833">
        <f>+T92/T89</f>
        <v/>
      </c>
      <c r="U102" s="13" t="n"/>
    </row>
    <row r="103" ht="16.5" customHeight="1" s="760">
      <c r="A103" s="642">
        <f>DATA!CB1</f>
        <v/>
      </c>
      <c r="C103" s="111" t="n"/>
      <c r="D103" s="209" t="n"/>
      <c r="E103" s="809" t="inlineStr">
        <is>
          <t>전기말</t>
        </is>
      </c>
      <c r="F103" s="809" t="n"/>
      <c r="G103" s="809" t="n"/>
      <c r="H103" s="809" t="n"/>
      <c r="I103" s="786">
        <f>VLOOKUP($I$1&amp;I$8,DATA!$A:$EB,'2403'!$A103,0)/100</f>
        <v/>
      </c>
      <c r="J103" s="786">
        <f>VLOOKUP($I$1&amp;J$8,DATA!$A:$EB,'2403'!$A103,0)/100</f>
        <v/>
      </c>
      <c r="K103" s="787">
        <f>VLOOKUP($I$1&amp;K$8,DATA!$A:$EB,'2403'!$A103,0)/100</f>
        <v/>
      </c>
      <c r="L103" s="787">
        <f>VLOOKUP($I$1&amp;L$8,DATA!$A:$EB,'2403'!$A103,0)/100</f>
        <v/>
      </c>
      <c r="M103" s="787">
        <f>VLOOKUP($I$1&amp;M$8,DATA!$A:$EB,'2403'!$A103,0)/100</f>
        <v/>
      </c>
      <c r="N103" s="787">
        <f>VLOOKUP($I$1&amp;N$8,DATA!$A:$EB,'2403'!$A103,0)/100</f>
        <v/>
      </c>
      <c r="O103" s="787">
        <f>VLOOKUP($I$1&amp;O$8,DATA!$A:$EB,'2403'!$A103,0)/100</f>
        <v/>
      </c>
      <c r="P103" s="787">
        <f>VLOOKUP($I$1&amp;P$8,DATA!$A:$EB,'2403'!$A103,0)/100</f>
        <v/>
      </c>
      <c r="Q103" s="787">
        <f>VLOOKUP($I$1&amp;Q$8,DATA!$A:$EB,'2403'!$A103,0)/100</f>
        <v/>
      </c>
      <c r="R103" s="787">
        <f>VLOOKUP($I$1&amp;R$8,DATA!$A:$EB,'2403'!$A103,0)/100</f>
        <v/>
      </c>
      <c r="S103" s="787">
        <f>VLOOKUP($I$1&amp;S$8,DATA!$A:$EB,'2403'!$A103,0)/100</f>
        <v/>
      </c>
      <c r="T103" s="787">
        <f>VLOOKUP($I$1&amp;T$8,DATA!$A:$EB,'2403'!$A103,0)/100</f>
        <v/>
      </c>
      <c r="U103" s="13" t="n"/>
    </row>
    <row r="104" ht="16.5" customHeight="1" s="760">
      <c r="C104" s="111" t="n"/>
      <c r="D104" s="209" t="n"/>
      <c r="E104" s="809" t="n"/>
      <c r="F104" s="809" t="n"/>
      <c r="G104" s="809" t="n"/>
      <c r="H104" s="809" t="n"/>
      <c r="I104" s="787">
        <f>I89-SUM(I96:I99)</f>
        <v/>
      </c>
      <c r="J104" s="787">
        <f>J89-SUM(J96:J99)</f>
        <v/>
      </c>
      <c r="K104" s="787">
        <f>K89-SUM(K96:K99)</f>
        <v/>
      </c>
      <c r="L104" s="787">
        <f>L89-SUM(L96:L99)</f>
        <v/>
      </c>
      <c r="M104" s="787">
        <f>M89-SUM(M96:M99)</f>
        <v/>
      </c>
      <c r="N104" s="787">
        <f>N89-SUM(N96:N99)</f>
        <v/>
      </c>
      <c r="O104" s="787">
        <f>O89-SUM(O96:O99)</f>
        <v/>
      </c>
      <c r="P104" s="787">
        <f>P89-SUM(P96:P99)</f>
        <v/>
      </c>
      <c r="Q104" s="787">
        <f>Q89-SUM(Q96:Q99)</f>
        <v/>
      </c>
      <c r="R104" s="787">
        <f>R89-SUM(R96:R99)</f>
        <v/>
      </c>
      <c r="S104" s="787">
        <f>S89-SUM(S96:S99)</f>
        <v/>
      </c>
      <c r="T104" s="787">
        <f>T89-SUM(T96:T99)</f>
        <v/>
      </c>
      <c r="U104" s="13" t="n"/>
    </row>
    <row r="105" ht="16.5" customHeight="1" s="760">
      <c r="A105" s="642">
        <f>DATA!BZ1</f>
        <v/>
      </c>
      <c r="C105" s="111" t="n"/>
      <c r="D105" s="209" t="n"/>
      <c r="E105" s="809" t="inlineStr">
        <is>
          <t>CSM조정</t>
        </is>
      </c>
      <c r="F105" s="809" t="n"/>
      <c r="G105" s="809" t="n"/>
      <c r="H105" s="809" t="n"/>
      <c r="I105" s="834">
        <f>VLOOKUP($I$1&amp;I$8,DATA!$A:$EB,'2403'!$A105,0)/100</f>
        <v/>
      </c>
      <c r="J105" s="834">
        <f>VLOOKUP($I$1&amp;J$8,DATA!$A:$EB,'2403'!$A105,0)/100</f>
        <v/>
      </c>
      <c r="K105" s="835">
        <f>VLOOKUP($I$1&amp;K$8,DATA!$A:$EB,'2403'!$A105,0)/100</f>
        <v/>
      </c>
      <c r="L105" s="835">
        <f>VLOOKUP($I$1&amp;L$8,DATA!$A:$EB,'2403'!$A105,0)/100</f>
        <v/>
      </c>
      <c r="M105" s="835">
        <f>VLOOKUP($I$1&amp;M$8,DATA!$A:$EB,'2403'!$A105,0)/100</f>
        <v/>
      </c>
      <c r="N105" s="835">
        <f>VLOOKUP($I$1&amp;N$8,DATA!$A:$EB,'2403'!$A105,0)/100</f>
        <v/>
      </c>
      <c r="O105" s="835">
        <f>VLOOKUP($I$1&amp;O$8,DATA!$A:$EB,'2403'!$A105,0)/100</f>
        <v/>
      </c>
      <c r="P105" s="835">
        <f>VLOOKUP($I$1&amp;P$8,DATA!$A:$EB,'2403'!$A105,0)/100</f>
        <v/>
      </c>
      <c r="Q105" s="835">
        <f>VLOOKUP($I$1&amp;Q$8,DATA!$A:$EB,'2403'!$A105,0)/100</f>
        <v/>
      </c>
      <c r="R105" s="835">
        <f>VLOOKUP($I$1&amp;R$8,DATA!$A:$EB,'2403'!$A105,0)/100</f>
        <v/>
      </c>
      <c r="S105" s="835">
        <f>VLOOKUP($I$1&amp;S$8,DATA!$A:$EB,'2403'!$A105,0)/100</f>
        <v/>
      </c>
      <c r="T105" s="835">
        <f>VLOOKUP($I$1&amp;T$8,DATA!$A:$EB,'2403'!$A105,0)/100</f>
        <v/>
      </c>
      <c r="U105" s="13" t="n"/>
    </row>
    <row r="106" ht="16.5" customHeight="1" s="760">
      <c r="C106" s="111" t="n"/>
      <c r="D106" s="209" t="n"/>
      <c r="E106" s="809" t="n"/>
      <c r="F106" s="809" t="n"/>
      <c r="G106" s="809" t="n"/>
      <c r="H106" s="809" t="n"/>
      <c r="I106" s="833">
        <f>I105/I89</f>
        <v/>
      </c>
      <c r="J106" s="833">
        <f>J105/J89</f>
        <v/>
      </c>
      <c r="K106" s="833">
        <f>K105/K89</f>
        <v/>
      </c>
      <c r="L106" s="833">
        <f>L105/L89</f>
        <v/>
      </c>
      <c r="M106" s="833">
        <f>M105/M89</f>
        <v/>
      </c>
      <c r="N106" s="833">
        <f>N105/N89</f>
        <v/>
      </c>
      <c r="O106" s="833">
        <f>O105/O89</f>
        <v/>
      </c>
      <c r="P106" s="833">
        <f>P105/P89</f>
        <v/>
      </c>
      <c r="Q106" s="833">
        <f>Q105/Q89</f>
        <v/>
      </c>
      <c r="R106" s="833">
        <f>R105/R89</f>
        <v/>
      </c>
      <c r="S106" s="833">
        <f>S105/S89</f>
        <v/>
      </c>
      <c r="T106" s="833">
        <f>T105/T89</f>
        <v/>
      </c>
      <c r="U106" s="13" t="n"/>
    </row>
    <row r="107" ht="16.5" customHeight="1" s="760">
      <c r="C107" s="6" t="inlineStr">
        <is>
          <t>4. 경영효율지표</t>
        </is>
      </c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</row>
    <row r="108" ht="16.5" customHeight="1" s="760">
      <c r="C108" s="11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111" t="n"/>
      <c r="N108" s="111" t="n"/>
      <c r="O108" s="13" t="n"/>
      <c r="P108" s="111" t="n"/>
      <c r="Q108" s="111" t="n"/>
      <c r="R108" s="13" t="n"/>
      <c r="S108" s="13" t="n"/>
      <c r="T108" s="13" t="n"/>
      <c r="U108" s="13" t="n"/>
    </row>
    <row r="109" ht="16.5" customHeight="1" s="760">
      <c r="C109" s="650" t="inlineStr">
        <is>
          <t>구분</t>
        </is>
      </c>
      <c r="D109" s="648" t="n"/>
      <c r="E109" s="648" t="n"/>
      <c r="F109" s="648" t="n"/>
      <c r="G109" s="648" t="n"/>
      <c r="H109" s="649" t="n"/>
      <c r="I109" s="8" t="inlineStr">
        <is>
          <t>미래에셋생명</t>
        </is>
      </c>
      <c r="J109" s="8" t="inlineStr">
        <is>
          <t>삼성생명</t>
        </is>
      </c>
      <c r="K109" s="8" t="inlineStr">
        <is>
          <t>교보생명</t>
        </is>
      </c>
      <c r="L109" s="8" t="inlineStr">
        <is>
          <t>한화생명</t>
        </is>
      </c>
      <c r="M109" s="8" t="inlineStr">
        <is>
          <t>신한라이프</t>
        </is>
      </c>
      <c r="N109" s="8" t="inlineStr">
        <is>
          <t>동양생명</t>
        </is>
      </c>
      <c r="O109" s="9" t="inlineStr">
        <is>
          <t>KB라이프</t>
        </is>
      </c>
      <c r="P109" s="9" t="inlineStr">
        <is>
          <t>삼성화재</t>
        </is>
      </c>
      <c r="Q109" s="9" t="inlineStr">
        <is>
          <t>현대해상</t>
        </is>
      </c>
      <c r="R109" s="9" t="inlineStr">
        <is>
          <t>메리츠화재</t>
        </is>
      </c>
      <c r="S109" s="9" t="inlineStr">
        <is>
          <t>KB손보</t>
        </is>
      </c>
      <c r="T109" s="9" t="inlineStr">
        <is>
          <t>DB손보</t>
        </is>
      </c>
      <c r="U109" s="13" t="n"/>
    </row>
    <row r="110" ht="16.5" customHeight="1" s="760">
      <c r="C110" s="665" t="inlineStr">
        <is>
          <t>ROE</t>
        </is>
      </c>
      <c r="D110" s="648" t="n"/>
      <c r="E110" s="648" t="n"/>
      <c r="F110" s="648" t="n"/>
      <c r="G110" s="648" t="n"/>
      <c r="H110" s="649" t="n"/>
      <c r="I110" s="836">
        <f>I74/AVERAGE(I120,I121)*(4/$J$1)</f>
        <v/>
      </c>
      <c r="J110" s="836">
        <f>J74/AVERAGE(J120,J121)*(4/$J$1)</f>
        <v/>
      </c>
      <c r="K110" s="836">
        <f>K74/AVERAGE(K120,K121)*(4/$J$1)</f>
        <v/>
      </c>
      <c r="L110" s="836">
        <f>L74/AVERAGE(L120,L121)*(4/$J$1)</f>
        <v/>
      </c>
      <c r="M110" s="836">
        <f>M74/AVERAGE(M120,M121)*(4/$J$1)</f>
        <v/>
      </c>
      <c r="N110" s="836">
        <f>N74/AVERAGE(N120,N121)*(4/$J$1)</f>
        <v/>
      </c>
      <c r="O110" s="837">
        <f>O74/AVERAGE(O120,O121)*(4/$J$1)</f>
        <v/>
      </c>
      <c r="P110" s="837">
        <f>P74/AVERAGE(P120,P121)*(4/$J$1)</f>
        <v/>
      </c>
      <c r="Q110" s="837">
        <f>Q74/AVERAGE(Q120,Q121)*(4/$J$1)</f>
        <v/>
      </c>
      <c r="R110" s="837">
        <f>R74/AVERAGE(R120,R121)*(4/$J$1)</f>
        <v/>
      </c>
      <c r="S110" s="837">
        <f>S74/AVERAGE(S120,S121)*(4/$J$1)</f>
        <v/>
      </c>
      <c r="T110" s="837">
        <f>T74/AVERAGE(T120,T121)*(4/$J$1)</f>
        <v/>
      </c>
      <c r="U110" s="13" t="n"/>
    </row>
    <row r="111" ht="16.5" customHeight="1" s="760">
      <c r="C111" s="687" t="inlineStr">
        <is>
          <t>RAROC (연환산)</t>
        </is>
      </c>
      <c r="H111" s="643" t="n"/>
      <c r="I111" s="794">
        <f>+I92/(I52*150%)*(4/$J$1)</f>
        <v/>
      </c>
      <c r="J111" s="794">
        <f>+J92/(J52*150%)*(4/$J$1)</f>
        <v/>
      </c>
      <c r="K111" s="794">
        <f>+K92/(K52*150%)*(4/$J$1)</f>
        <v/>
      </c>
      <c r="L111" s="794">
        <f>+L92/(L52*150%)*(4/$J$1)</f>
        <v/>
      </c>
      <c r="M111" s="794">
        <f>+M92/(M52*150%)*(4/$J$1)</f>
        <v/>
      </c>
      <c r="N111" s="794">
        <f>+N92/(N52*150%)*(4/$J$1)</f>
        <v/>
      </c>
      <c r="O111" s="797">
        <f>+O92/(O52*150%)*(4/$J$1)</f>
        <v/>
      </c>
      <c r="P111" s="797">
        <f>+P92/(P52*150%)*(4/$J$1)</f>
        <v/>
      </c>
      <c r="Q111" s="797">
        <f>+Q92/(Q52*150%)*(4/$J$1)</f>
        <v/>
      </c>
      <c r="R111" s="797">
        <f>+R92/(R52*150%)*(4/$J$1)</f>
        <v/>
      </c>
      <c r="S111" s="797">
        <f>+S92/(S52*150%)*(4/$J$1)</f>
        <v/>
      </c>
      <c r="T111" s="797">
        <f>+T92/(T52*150%)*(4/$J$1)</f>
        <v/>
      </c>
      <c r="U111" s="13" t="n"/>
    </row>
    <row r="112" ht="16.5" customHeight="1" s="760">
      <c r="C112" s="655" t="inlineStr">
        <is>
          <t>CSM</t>
        </is>
      </c>
      <c r="D112" s="648" t="n"/>
      <c r="E112" s="679" t="inlineStr">
        <is>
          <t>÷ 자기자본</t>
        </is>
      </c>
      <c r="F112" s="652" t="n"/>
      <c r="G112" s="652" t="n"/>
      <c r="H112" s="653" t="n"/>
      <c r="I112" s="838">
        <f>I89/I121</f>
        <v/>
      </c>
      <c r="J112" s="838">
        <f>J89/J121</f>
        <v/>
      </c>
      <c r="K112" s="838">
        <f>K89/K121</f>
        <v/>
      </c>
      <c r="L112" s="838">
        <f>L89/L121</f>
        <v/>
      </c>
      <c r="M112" s="838">
        <f>M89/M121</f>
        <v/>
      </c>
      <c r="N112" s="838">
        <f>N89/N121</f>
        <v/>
      </c>
      <c r="O112" s="838">
        <f>O89/O121</f>
        <v/>
      </c>
      <c r="P112" s="838">
        <f>P89/P121</f>
        <v/>
      </c>
      <c r="Q112" s="838">
        <f>Q89/Q121</f>
        <v/>
      </c>
      <c r="R112" s="838">
        <f>R89/R121</f>
        <v/>
      </c>
      <c r="S112" s="838">
        <f>S89/S121</f>
        <v/>
      </c>
      <c r="T112" s="838">
        <f>T89/T121</f>
        <v/>
      </c>
      <c r="U112" s="13" t="n"/>
    </row>
    <row r="113" ht="16.5" customHeight="1" s="760">
      <c r="E113" s="662" t="inlineStr">
        <is>
          <t>÷ (요구자본x150%)</t>
        </is>
      </c>
      <c r="F113" s="663" t="n"/>
      <c r="G113" s="663" t="n"/>
      <c r="H113" s="664" t="n"/>
      <c r="I113" s="839">
        <f>I89/(I52*150%)</f>
        <v/>
      </c>
      <c r="J113" s="839">
        <f>J89/(J52*150%)</f>
        <v/>
      </c>
      <c r="K113" s="839">
        <f>K89/(K52*150%)</f>
        <v/>
      </c>
      <c r="L113" s="839">
        <f>L89/(L52*150%)</f>
        <v/>
      </c>
      <c r="M113" s="839">
        <f>M89/(M52*150%)</f>
        <v/>
      </c>
      <c r="N113" s="839">
        <f>N89/(N52*150%)</f>
        <v/>
      </c>
      <c r="O113" s="839">
        <f>O89/(O52*150%)</f>
        <v/>
      </c>
      <c r="P113" s="839">
        <f>P89/(P52*150%)</f>
        <v/>
      </c>
      <c r="Q113" s="839">
        <f>Q89/(Q52*150%)</f>
        <v/>
      </c>
      <c r="R113" s="839">
        <f>R89/(R52*150%)</f>
        <v/>
      </c>
      <c r="S113" s="839">
        <f>S89/(S52*150%)</f>
        <v/>
      </c>
      <c r="T113" s="839">
        <f>T89/(T52*150%)</f>
        <v/>
      </c>
      <c r="U113" s="13" t="n"/>
    </row>
    <row r="114" ht="16.5" customHeight="1" s="760">
      <c r="C114" s="207" t="n"/>
      <c r="D114" s="207" t="n"/>
      <c r="E114" s="688" t="inlineStr">
        <is>
          <t>÷ (요구자본x180%)</t>
        </is>
      </c>
      <c r="F114" s="659" t="n"/>
      <c r="G114" s="659" t="n"/>
      <c r="H114" s="660" t="n"/>
      <c r="I114" s="840">
        <f>I89/(I52*180%)</f>
        <v/>
      </c>
      <c r="J114" s="840">
        <f>J89/(J52*180%)</f>
        <v/>
      </c>
      <c r="K114" s="840">
        <f>K89/(K52*180%)</f>
        <v/>
      </c>
      <c r="L114" s="840">
        <f>L89/(L52*180%)</f>
        <v/>
      </c>
      <c r="M114" s="840">
        <f>M89/(M52*180%)</f>
        <v/>
      </c>
      <c r="N114" s="840">
        <f>N89/(N52*180%)</f>
        <v/>
      </c>
      <c r="O114" s="840">
        <f>O89/(O52*180%)</f>
        <v/>
      </c>
      <c r="P114" s="840">
        <f>P89/(P52*180%)</f>
        <v/>
      </c>
      <c r="Q114" s="840">
        <f>Q89/(Q52*180%)</f>
        <v/>
      </c>
      <c r="R114" s="840">
        <f>R89/(R52*180%)</f>
        <v/>
      </c>
      <c r="S114" s="840">
        <f>S89/(S52*180%)</f>
        <v/>
      </c>
      <c r="T114" s="840">
        <f>T89/(T52*180%)</f>
        <v/>
      </c>
      <c r="U114" s="13" t="n"/>
    </row>
    <row r="115" ht="16.5" customHeight="1" s="760">
      <c r="C115" s="682" t="inlineStr">
        <is>
          <t>CSM
상각액
(연환산)</t>
        </is>
      </c>
      <c r="D115" s="649" t="n"/>
      <c r="E115" s="651" t="inlineStr">
        <is>
          <t>÷ 자기자본</t>
        </is>
      </c>
      <c r="F115" s="652" t="n"/>
      <c r="G115" s="652" t="n"/>
      <c r="H115" s="653" t="n"/>
      <c r="I115" s="838">
        <f>I93/I121*(4/$J$1)</f>
        <v/>
      </c>
      <c r="J115" s="838">
        <f>J93/J121*(4/$J$1)</f>
        <v/>
      </c>
      <c r="K115" s="838">
        <f>K93/K121*(4/$J$1)</f>
        <v/>
      </c>
      <c r="L115" s="838">
        <f>L93/L121*(4/$J$1)</f>
        <v/>
      </c>
      <c r="M115" s="838">
        <f>M93/M121*(4/$J$1)</f>
        <v/>
      </c>
      <c r="N115" s="838">
        <f>N93/N121*(4/$J$1)</f>
        <v/>
      </c>
      <c r="O115" s="838">
        <f>O93/O121*(4/$J$1)</f>
        <v/>
      </c>
      <c r="P115" s="838">
        <f>P93/P121*(4/$J$1)</f>
        <v/>
      </c>
      <c r="Q115" s="838">
        <f>Q93/Q121*(4/$J$1)</f>
        <v/>
      </c>
      <c r="R115" s="838">
        <f>R93/R121*(4/$J$1)</f>
        <v/>
      </c>
      <c r="S115" s="838">
        <f>S93/S121*(4/$J$1)</f>
        <v/>
      </c>
      <c r="T115" s="838">
        <f>T93/T121*(4/$J$1)</f>
        <v/>
      </c>
      <c r="U115" s="13" t="n"/>
    </row>
    <row r="116" ht="16.5" customHeight="1" s="760">
      <c r="D116" s="643" t="n"/>
      <c r="E116" s="662" t="inlineStr">
        <is>
          <t>÷ (요구자본x150%)</t>
        </is>
      </c>
      <c r="F116" s="663" t="n"/>
      <c r="G116" s="663" t="n"/>
      <c r="H116" s="664" t="n"/>
      <c r="I116" s="839">
        <f>I93/(I52*150%)*(4/$J$1)</f>
        <v/>
      </c>
      <c r="J116" s="839">
        <f>J93/(J52*150%)*(4/$J$1)</f>
        <v/>
      </c>
      <c r="K116" s="839">
        <f>K93/(K52*150%)*(4/$J$1)</f>
        <v/>
      </c>
      <c r="L116" s="839">
        <f>L93/(L52*150%)*(4/$J$1)</f>
        <v/>
      </c>
      <c r="M116" s="839">
        <f>M93/(M52*150%)*(4/$J$1)</f>
        <v/>
      </c>
      <c r="N116" s="839">
        <f>N93/(N52*150%)*(4/$J$1)</f>
        <v/>
      </c>
      <c r="O116" s="839">
        <f>O93/(O52*150%)*(4/$J$1)</f>
        <v/>
      </c>
      <c r="P116" s="839">
        <f>P93/(P52*150%)*(4/$J$1)</f>
        <v/>
      </c>
      <c r="Q116" s="839">
        <f>Q93/(Q52*150%)*(4/$J$1)</f>
        <v/>
      </c>
      <c r="R116" s="839">
        <f>R93/(R52*150%)*(4/$J$1)</f>
        <v/>
      </c>
      <c r="S116" s="839">
        <f>S93/(S52*150%)*(4/$J$1)</f>
        <v/>
      </c>
      <c r="T116" s="839">
        <f>T93/(T52*150%)*(4/$J$1)</f>
        <v/>
      </c>
      <c r="U116" s="13" t="n"/>
    </row>
    <row r="117" ht="16.5" customHeight="1" s="760">
      <c r="C117" s="645" t="n"/>
      <c r="D117" s="646" t="n"/>
      <c r="E117" s="658" t="inlineStr">
        <is>
          <t>÷ (요구자본x180%)</t>
        </is>
      </c>
      <c r="F117" s="659" t="n"/>
      <c r="G117" s="659" t="n"/>
      <c r="H117" s="660" t="n"/>
      <c r="I117" s="840">
        <f>I93/(I52*180%)*(4/$J$1)</f>
        <v/>
      </c>
      <c r="J117" s="840">
        <f>J93/(J52*180%)*(4/$J$1)</f>
        <v/>
      </c>
      <c r="K117" s="840">
        <f>K93/(K52*180%)*(4/$J$1)</f>
        <v/>
      </c>
      <c r="L117" s="840">
        <f>L93/(L52*180%)*(4/$J$1)</f>
        <v/>
      </c>
      <c r="M117" s="840">
        <f>M93/(M52*180%)*(4/$J$1)</f>
        <v/>
      </c>
      <c r="N117" s="840">
        <f>N93/(N52*180%)*(4/$J$1)</f>
        <v/>
      </c>
      <c r="O117" s="840">
        <f>O93/(O52*180%)*(4/$J$1)</f>
        <v/>
      </c>
      <c r="P117" s="840">
        <f>P93/(P52*180%)*(4/$J$1)</f>
        <v/>
      </c>
      <c r="Q117" s="840">
        <f>Q93/(Q52*180%)*(4/$J$1)</f>
        <v/>
      </c>
      <c r="R117" s="840">
        <f>R93/(R52*180%)*(4/$J$1)</f>
        <v/>
      </c>
      <c r="S117" s="840">
        <f>S93/(S52*180%)*(4/$J$1)</f>
        <v/>
      </c>
      <c r="T117" s="840">
        <f>T93/(T52*180%)*(4/$J$1)</f>
        <v/>
      </c>
      <c r="U117" s="13" t="n"/>
    </row>
    <row r="118" ht="16.5" customHeight="1" s="760">
      <c r="C118" s="12" t="inlineStr">
        <is>
          <t>* ROE = 당기순이익 / (회계정책 변경후 기시 자기자본 기준, 분기말 자기자본의 평균) * (4/분기),  RAROC = 신계약CSM ÷ (요구자본x150%) * (4/분기)</t>
        </is>
      </c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</row>
    <row r="119" ht="16.5" customHeight="1" s="760"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</row>
    <row r="120" ht="16.5" customHeight="1" s="760">
      <c r="A120" s="642">
        <f>DATA!T1</f>
        <v/>
      </c>
      <c r="C120" s="13" t="n"/>
      <c r="D120" s="13" t="n"/>
      <c r="E120" s="642" t="inlineStr">
        <is>
          <t>전기자기자본</t>
        </is>
      </c>
      <c r="F120" s="13" t="n"/>
      <c r="G120" s="13" t="n"/>
      <c r="H120" s="13" t="n"/>
      <c r="I120" s="786">
        <f>VLOOKUP($I$1&amp;I$8,DATA!$A:$EB,'2403'!$A120,0)/100</f>
        <v/>
      </c>
      <c r="J120" s="786">
        <f>VLOOKUP($I$1&amp;J$8,DATA!$A:$EB,'2403'!$A120,0)/100</f>
        <v/>
      </c>
      <c r="K120" s="787">
        <f>VLOOKUP($I$1&amp;K$8,DATA!$A:$EB,'2403'!$A120,0)/100</f>
        <v/>
      </c>
      <c r="L120" s="787">
        <f>VLOOKUP($I$1&amp;L$8,DATA!$A:$EB,'2403'!$A120,0)/100</f>
        <v/>
      </c>
      <c r="M120" s="787">
        <f>VLOOKUP($I$1&amp;M$8,DATA!$A:$EB,'2403'!$A120,0)/100</f>
        <v/>
      </c>
      <c r="N120" s="787">
        <f>VLOOKUP($I$1&amp;N$8,DATA!$A:$EB,'2403'!$A120,0)/100</f>
        <v/>
      </c>
      <c r="O120" s="787">
        <f>VLOOKUP($I$1&amp;O$8,DATA!$A:$EB,'2403'!$A120,0)/100</f>
        <v/>
      </c>
      <c r="P120" s="787">
        <f>VLOOKUP($I$1&amp;P$8,DATA!$A:$EB,'2403'!$A120,0)/100</f>
        <v/>
      </c>
      <c r="Q120" s="787">
        <f>VLOOKUP($I$1&amp;Q$8,DATA!$A:$EB,'2403'!$A120,0)/100</f>
        <v/>
      </c>
      <c r="R120" s="787">
        <f>VLOOKUP($I$1&amp;R$8,DATA!$A:$EB,'2403'!$A120,0)/100</f>
        <v/>
      </c>
      <c r="S120" s="787">
        <f>VLOOKUP($I$1&amp;S$8,DATA!$A:$EB,'2403'!$A120,0)/100</f>
        <v/>
      </c>
      <c r="T120" s="787">
        <f>VLOOKUP($I$1&amp;T$8,DATA!$A:$EB,'2403'!$A120,0)/100</f>
        <v/>
      </c>
      <c r="U120" s="13" t="n"/>
    </row>
    <row r="121" ht="16.5" customHeight="1" s="760">
      <c r="A121" s="642">
        <f>DATA!N1</f>
        <v/>
      </c>
      <c r="C121" s="696" t="n"/>
      <c r="D121" s="696" t="n"/>
      <c r="E121" s="642" t="inlineStr">
        <is>
          <t>자기자본</t>
        </is>
      </c>
      <c r="F121" s="696" t="n"/>
      <c r="G121" s="696" t="n"/>
      <c r="H121" s="696" t="n"/>
      <c r="I121" s="786">
        <f>VLOOKUP($I$1&amp;I$8,DATA!$A:$EB,'2403'!$A121,0)/100</f>
        <v/>
      </c>
      <c r="J121" s="786">
        <f>VLOOKUP($I$1&amp;J$8,DATA!$A:$EB,'2403'!$A121,0)/100</f>
        <v/>
      </c>
      <c r="K121" s="787">
        <f>VLOOKUP($I$1&amp;K$8,DATA!$A:$EB,'2403'!$A121,0)/100</f>
        <v/>
      </c>
      <c r="L121" s="787">
        <f>VLOOKUP($I$1&amp;L$8,DATA!$A:$EB,'2403'!$A121,0)/100</f>
        <v/>
      </c>
      <c r="M121" s="787">
        <f>VLOOKUP($I$1&amp;M$8,DATA!$A:$EB,'2403'!$A121,0)/100</f>
        <v/>
      </c>
      <c r="N121" s="787">
        <f>VLOOKUP($I$1&amp;N$8,DATA!$A:$EB,'2403'!$A121,0)/100</f>
        <v/>
      </c>
      <c r="O121" s="787">
        <f>VLOOKUP($I$1&amp;O$8,DATA!$A:$EB,'2403'!$A121,0)/100</f>
        <v/>
      </c>
      <c r="P121" s="787">
        <f>VLOOKUP($I$1&amp;P$8,DATA!$A:$EB,'2403'!$A121,0)/100</f>
        <v/>
      </c>
      <c r="Q121" s="787">
        <f>VLOOKUP($I$1&amp;Q$8,DATA!$A:$EB,'2403'!$A121,0)/100</f>
        <v/>
      </c>
      <c r="R121" s="787">
        <f>VLOOKUP($I$1&amp;R$8,DATA!$A:$EB,'2403'!$A121,0)/100</f>
        <v/>
      </c>
      <c r="S121" s="787">
        <f>VLOOKUP($I$1&amp;S$8,DATA!$A:$EB,'2403'!$A121,0)/100</f>
        <v/>
      </c>
      <c r="T121" s="787">
        <f>VLOOKUP($I$1&amp;T$8,DATA!$A:$EB,'2403'!$A121,0)/100</f>
        <v/>
      </c>
      <c r="U121" s="696" t="n"/>
    </row>
    <row r="122" ht="16.5" customHeight="1" s="760">
      <c r="C122" s="696" t="n"/>
      <c r="D122" s="696" t="n"/>
      <c r="E122" s="696" t="n"/>
      <c r="F122" s="696" t="n"/>
      <c r="G122" s="696" t="n"/>
      <c r="H122" s="696" t="n"/>
      <c r="I122" s="696" t="n"/>
      <c r="J122" s="696" t="n"/>
      <c r="K122" s="696" t="n"/>
      <c r="L122" s="696" t="n"/>
      <c r="M122" s="696" t="n"/>
      <c r="N122" s="696" t="n"/>
      <c r="O122" s="696" t="n"/>
      <c r="P122" s="696" t="n"/>
      <c r="Q122" s="696" t="n"/>
      <c r="R122" s="696" t="n"/>
      <c r="S122" s="696" t="n"/>
      <c r="T122" s="696" t="n"/>
      <c r="U122" s="696" t="n"/>
    </row>
    <row r="123" ht="16.5" customHeight="1" s="760">
      <c r="C123" s="696" t="n"/>
      <c r="D123" s="696" t="n"/>
      <c r="E123" s="696" t="n"/>
      <c r="F123" s="696" t="n"/>
      <c r="G123" s="696" t="n"/>
      <c r="H123" s="696" t="n"/>
      <c r="I123" s="696" t="n"/>
      <c r="J123" s="696" t="n"/>
      <c r="K123" s="696" t="n"/>
      <c r="L123" s="696" t="n"/>
      <c r="M123" s="696" t="n"/>
      <c r="N123" s="696" t="n"/>
      <c r="O123" s="841" t="n"/>
      <c r="P123" s="696" t="n"/>
      <c r="Q123" s="696" t="n"/>
      <c r="R123" s="696" t="n"/>
      <c r="S123" s="696" t="n"/>
      <c r="T123" s="841" t="n"/>
      <c r="U123" s="696" t="n"/>
    </row>
  </sheetData>
  <mergeCells count="59">
    <mergeCell ref="C94:H94"/>
    <mergeCell ref="C109:H109"/>
    <mergeCell ref="C65:H65"/>
    <mergeCell ref="C10:H10"/>
    <mergeCell ref="C16:H16"/>
    <mergeCell ref="E116:H116"/>
    <mergeCell ref="C93:H93"/>
    <mergeCell ref="C50:H50"/>
    <mergeCell ref="E113:H113"/>
    <mergeCell ref="C9:H9"/>
    <mergeCell ref="D68:E69"/>
    <mergeCell ref="F97:H97"/>
    <mergeCell ref="C12:H12"/>
    <mergeCell ref="E112:H112"/>
    <mergeCell ref="C96:E99"/>
    <mergeCell ref="C90:H90"/>
    <mergeCell ref="C21:H21"/>
    <mergeCell ref="C59:H59"/>
    <mergeCell ref="E115:H115"/>
    <mergeCell ref="J98:J99"/>
    <mergeCell ref="P98:P99"/>
    <mergeCell ref="C95:H95"/>
    <mergeCell ref="C71:H71"/>
    <mergeCell ref="C51:H51"/>
    <mergeCell ref="C60:H60"/>
    <mergeCell ref="C11:H11"/>
    <mergeCell ref="C52:H52"/>
    <mergeCell ref="C70:H70"/>
    <mergeCell ref="C110:H110"/>
    <mergeCell ref="C8:H8"/>
    <mergeCell ref="F96:H96"/>
    <mergeCell ref="C17:H17"/>
    <mergeCell ref="E117:H117"/>
    <mergeCell ref="C91:H91"/>
    <mergeCell ref="C72:H72"/>
    <mergeCell ref="C57:H57"/>
    <mergeCell ref="C19:H19"/>
    <mergeCell ref="F98:H98"/>
    <mergeCell ref="C66:H66"/>
    <mergeCell ref="C13:H13"/>
    <mergeCell ref="C115:D117"/>
    <mergeCell ref="C111:H111"/>
    <mergeCell ref="C49:H49"/>
    <mergeCell ref="C18:H18"/>
    <mergeCell ref="C92:H92"/>
    <mergeCell ref="F69:H69"/>
    <mergeCell ref="C15:H15"/>
    <mergeCell ref="F99:H99"/>
    <mergeCell ref="F68:H68"/>
    <mergeCell ref="C58:H58"/>
    <mergeCell ref="C89:H89"/>
    <mergeCell ref="C14:H14"/>
    <mergeCell ref="C112:D113"/>
    <mergeCell ref="C74:H74"/>
    <mergeCell ref="E114:H114"/>
    <mergeCell ref="D67:H67"/>
    <mergeCell ref="C73:H73"/>
    <mergeCell ref="C88:H88"/>
    <mergeCell ref="C20:H20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08"/>
  <sheetViews>
    <sheetView showGridLines="0" zoomScaleNormal="10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Z26" sqref="Z26"/>
    </sheetView>
  </sheetViews>
  <sheetFormatPr baseColWidth="8" defaultRowHeight="16.5"/>
  <cols>
    <col width="40" bestFit="1" customWidth="1" style="34" min="2" max="2"/>
    <col width="7" bestFit="1" customWidth="1" style="34" min="3" max="3"/>
    <col width="17.125" bestFit="1" customWidth="1" style="34" min="4" max="6"/>
    <col width="14.625" bestFit="1" customWidth="1" style="34" min="7" max="7"/>
    <col width="17.125" bestFit="1" customWidth="1" style="34" min="8" max="8"/>
    <col width="16.125" bestFit="1" customWidth="1" style="34" min="9" max="9"/>
    <col width="13.625" bestFit="1" customWidth="1" style="34" min="10" max="11"/>
    <col width="16.125" bestFit="1" customWidth="1" style="34" min="12" max="12"/>
    <col width="17.125" bestFit="1" customWidth="1" style="34" min="13" max="13"/>
    <col width="18.625" customWidth="1" style="14" min="14" max="17"/>
    <col width="9" customWidth="1" style="14" min="18" max="18"/>
    <col width="17.75" bestFit="1" customWidth="1" style="760" min="19" max="19"/>
    <col width="6.25" bestFit="1" customWidth="1" style="760" min="22" max="22"/>
    <col width="13" bestFit="1" customWidth="1" style="760" min="23" max="23"/>
    <col width="19.375" customWidth="1" style="760" min="24" max="24"/>
    <col width="13.625" customWidth="1" style="760" min="25" max="25"/>
    <col width="17.625" customWidth="1" style="760" min="26" max="27"/>
    <col width="19.375" bestFit="1" customWidth="1" style="760" min="28" max="28"/>
    <col width="15.125" bestFit="1" customWidth="1" style="760" min="29" max="29"/>
    <col width="44.375" customWidth="1" style="760" min="34" max="34"/>
    <col width="19" customWidth="1" style="760" min="35" max="35"/>
    <col width="51.75" bestFit="1" customWidth="1" style="760" min="38" max="38"/>
  </cols>
  <sheetData>
    <row r="1">
      <c r="A1" s="696" t="inlineStr">
        <is>
          <t>분류코드</t>
        </is>
      </c>
      <c r="B1" s="34" t="inlineStr">
        <is>
          <t>계정과목</t>
        </is>
      </c>
      <c r="C1" s="34" t="inlineStr">
        <is>
          <t>수식</t>
        </is>
      </c>
      <c r="D1" s="145" t="inlineStr">
        <is>
          <t>공시</t>
        </is>
      </c>
      <c r="E1" s="145" t="inlineStr">
        <is>
          <t>Conversion</t>
        </is>
      </c>
      <c r="F1" s="145" t="inlineStr">
        <is>
          <t>변액</t>
        </is>
      </c>
      <c r="G1" s="145" t="inlineStr">
        <is>
          <t>퇴직(실적)</t>
        </is>
      </c>
      <c r="H1" s="146" t="inlineStr">
        <is>
          <t>총괄</t>
        </is>
      </c>
      <c r="I1" s="145" t="inlineStr">
        <is>
          <t>신개인 연금</t>
        </is>
      </c>
      <c r="J1" s="145" t="inlineStr">
        <is>
          <t>자산연계형</t>
        </is>
      </c>
      <c r="K1" s="145" t="inlineStr">
        <is>
          <t>퇴직보험</t>
        </is>
      </c>
      <c r="L1" s="145" t="inlineStr">
        <is>
          <t>퇴직연금(원리)</t>
        </is>
      </c>
      <c r="M1" s="145" t="inlineStr">
        <is>
          <t>일반</t>
        </is>
      </c>
      <c r="N1" s="14" t="inlineStr">
        <is>
          <t>일반계정</t>
        </is>
      </c>
      <c r="O1" s="14" t="inlineStr">
        <is>
          <t>변액보험</t>
        </is>
      </c>
      <c r="P1" s="14" t="inlineStr">
        <is>
          <t>퇴직보험/연금(원리금)</t>
        </is>
      </c>
      <c r="Q1" s="14" t="inlineStr">
        <is>
          <t>퇴직실적</t>
        </is>
      </c>
      <c r="R1" s="14" t="inlineStr">
        <is>
          <t>구분</t>
        </is>
      </c>
      <c r="AH1" s="696" t="inlineStr">
        <is>
          <t>* 공시용</t>
        </is>
      </c>
    </row>
    <row r="2">
      <c r="A2" s="696" t="n">
        <v>1</v>
      </c>
      <c r="B2" s="34" t="inlineStr">
        <is>
          <t xml:space="preserve">  [자 산 총 계]</t>
        </is>
      </c>
      <c r="D2" s="33" t="n">
        <v>32855181935106</v>
      </c>
      <c r="E2" s="33" t="n">
        <v>13679774848594</v>
      </c>
      <c r="F2" s="33" t="n">
        <v>13323148118922</v>
      </c>
      <c r="G2" s="33" t="n">
        <v>356626729672</v>
      </c>
      <c r="H2" s="147" t="n">
        <v>32855181935106</v>
      </c>
      <c r="I2" s="33" t="n">
        <v>1505771962170</v>
      </c>
      <c r="J2" s="33" t="n">
        <v>34862287173</v>
      </c>
      <c r="K2" s="33" t="n">
        <v>17246396780</v>
      </c>
      <c r="L2" s="33" t="n">
        <v>1858720460727</v>
      </c>
      <c r="M2" s="33" t="n">
        <v>29438580828256</v>
      </c>
      <c r="N2" s="17">
        <f>+M2+I2+J2</f>
        <v/>
      </c>
      <c r="O2" s="17">
        <f>+F2</f>
        <v/>
      </c>
      <c r="P2" s="17">
        <f>+K2+L2</f>
        <v/>
      </c>
      <c r="Q2" s="17">
        <f>+G2</f>
        <v/>
      </c>
      <c r="R2" s="14" t="inlineStr">
        <is>
          <t>총자산</t>
        </is>
      </c>
      <c r="S2" s="16">
        <f>+SUM(N2:Q2)-H2</f>
        <v/>
      </c>
      <c r="AH2" s="18" t="inlineStr">
        <is>
          <t>계정과목</t>
        </is>
      </c>
      <c r="AI2" s="19" t="inlineStr">
        <is>
          <t xml:space="preserve">금    액 </t>
        </is>
      </c>
    </row>
    <row r="3">
      <c r="A3" s="696" t="n">
        <v>2</v>
      </c>
      <c r="B3" s="34" t="inlineStr">
        <is>
          <t xml:space="preserve">　  [현금및현금성자산]</t>
        </is>
      </c>
      <c r="D3" s="34" t="n">
        <v>0</v>
      </c>
      <c r="E3" s="34" t="n">
        <v>0</v>
      </c>
      <c r="F3" s="34" t="n">
        <v>0</v>
      </c>
      <c r="G3" s="34" t="n">
        <v>0</v>
      </c>
      <c r="H3" s="148" t="n">
        <v>0</v>
      </c>
      <c r="I3" s="34" t="n">
        <v>0</v>
      </c>
      <c r="J3" s="34" t="n">
        <v>0</v>
      </c>
      <c r="K3" s="34" t="n">
        <v>0</v>
      </c>
      <c r="L3" s="34" t="n">
        <v>0</v>
      </c>
      <c r="M3" s="34" t="n">
        <v>0</v>
      </c>
      <c r="N3" s="17">
        <f>+M3+I3+J3</f>
        <v/>
      </c>
      <c r="O3" s="17">
        <f>+F3</f>
        <v/>
      </c>
      <c r="P3" s="17">
        <f>+K3+L3</f>
        <v/>
      </c>
      <c r="Q3" s="17">
        <f>+G3</f>
        <v/>
      </c>
      <c r="S3" s="16">
        <f>+SUM(N3:Q3)-H3</f>
        <v/>
      </c>
      <c r="AH3" s="20" t="inlineStr">
        <is>
          <t xml:space="preserve">  I. 현금 및 현금성자산 </t>
        </is>
      </c>
      <c r="AI3" s="846" t="n">
        <v>713309680187</v>
      </c>
    </row>
    <row r="4">
      <c r="A4" s="696" t="n">
        <v>3</v>
      </c>
      <c r="B4" s="34" t="inlineStr">
        <is>
          <t xml:space="preserve">　  [당기손익-공정가치측정유가증권]</t>
        </is>
      </c>
      <c r="D4" s="34" t="n">
        <v>0</v>
      </c>
      <c r="E4" s="34" t="n">
        <v>0</v>
      </c>
      <c r="F4" s="34" t="n">
        <v>0</v>
      </c>
      <c r="G4" s="34" t="n">
        <v>0</v>
      </c>
      <c r="H4" s="148" t="n">
        <v>0</v>
      </c>
      <c r="I4" s="34" t="n">
        <v>0</v>
      </c>
      <c r="J4" s="34" t="n">
        <v>0</v>
      </c>
      <c r="K4" s="34" t="n">
        <v>0</v>
      </c>
      <c r="L4" s="34" t="n">
        <v>0</v>
      </c>
      <c r="M4" s="34" t="n">
        <v>0</v>
      </c>
      <c r="N4" s="17">
        <f>+M4+I4+J4</f>
        <v/>
      </c>
      <c r="O4" s="17">
        <f>+F4</f>
        <v/>
      </c>
      <c r="P4" s="17">
        <f>+K4+L4</f>
        <v/>
      </c>
      <c r="Q4" s="17">
        <f>+G4</f>
        <v/>
      </c>
      <c r="S4" s="16">
        <f>+SUM(N4:Q4)-H4</f>
        <v/>
      </c>
      <c r="AH4" s="20" t="inlineStr">
        <is>
          <t xml:space="preserve">     1.현금 과 예금</t>
        </is>
      </c>
      <c r="AI4" s="846" t="n">
        <v>713309680187</v>
      </c>
    </row>
    <row r="5">
      <c r="A5" s="696" t="n">
        <v>4</v>
      </c>
      <c r="B5" s="34" t="inlineStr">
        <is>
          <t xml:space="preserve">　  [당기손익-공정가치측정지정금융자산]</t>
        </is>
      </c>
      <c r="D5" s="34" t="n">
        <v>0</v>
      </c>
      <c r="E5" s="34" t="n">
        <v>0</v>
      </c>
      <c r="F5" s="34" t="n">
        <v>0</v>
      </c>
      <c r="G5" s="34" t="n">
        <v>0</v>
      </c>
      <c r="H5" s="148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17">
        <f>+M5+I5+J5</f>
        <v/>
      </c>
      <c r="O5" s="17">
        <f>+F5</f>
        <v/>
      </c>
      <c r="P5" s="17">
        <f>+K5+L5</f>
        <v/>
      </c>
      <c r="Q5" s="17">
        <f>+G5</f>
        <v/>
      </c>
      <c r="S5" s="16">
        <f>+SUM(N5:Q5)-H5</f>
        <v/>
      </c>
      <c r="AH5" s="20" t="inlineStr">
        <is>
          <t xml:space="preserve">        (1) 현    금 </t>
        </is>
      </c>
      <c r="AI5" s="847" t="n">
        <v>0</v>
      </c>
    </row>
    <row r="6">
      <c r="A6" s="696" t="n">
        <v>5</v>
      </c>
      <c r="B6" s="34" t="inlineStr">
        <is>
          <t xml:space="preserve">　  [기타포괄손익-공정가치측정유가증권]</t>
        </is>
      </c>
      <c r="D6" s="34" t="n">
        <v>0</v>
      </c>
      <c r="E6" s="34" t="n">
        <v>0</v>
      </c>
      <c r="F6" s="34" t="n">
        <v>0</v>
      </c>
      <c r="G6" s="34" t="n">
        <v>0</v>
      </c>
      <c r="H6" s="148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34" t="n">
        <v>0</v>
      </c>
      <c r="N6" s="17">
        <f>+M6+I6+J6</f>
        <v/>
      </c>
      <c r="O6" s="17">
        <f>+F6</f>
        <v/>
      </c>
      <c r="P6" s="17">
        <f>+K6+L6</f>
        <v/>
      </c>
      <c r="Q6" s="17">
        <f>+G6</f>
        <v/>
      </c>
      <c r="S6" s="16">
        <f>+SUM(N6:Q6)-H6</f>
        <v/>
      </c>
      <c r="AH6" s="20" t="inlineStr">
        <is>
          <t xml:space="preserve">        (2) 당좌예금</t>
        </is>
      </c>
      <c r="AI6" s="847" t="n">
        <v>7985571496</v>
      </c>
    </row>
    <row r="7">
      <c r="A7" s="696" t="n">
        <v>6</v>
      </c>
      <c r="B7" s="34" t="inlineStr">
        <is>
          <t xml:space="preserve">　  [상각후원가측정유가증권]</t>
        </is>
      </c>
      <c r="D7" s="34" t="n">
        <v>0</v>
      </c>
      <c r="E7" s="34" t="n">
        <v>0</v>
      </c>
      <c r="F7" s="34" t="n">
        <v>0</v>
      </c>
      <c r="G7" s="34" t="n">
        <v>0</v>
      </c>
      <c r="H7" s="148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17">
        <f>+M7+I7+J7</f>
        <v/>
      </c>
      <c r="O7" s="17">
        <f>+F7</f>
        <v/>
      </c>
      <c r="P7" s="17">
        <f>+K7+L7</f>
        <v/>
      </c>
      <c r="Q7" s="17">
        <f>+G7</f>
        <v/>
      </c>
      <c r="S7" s="16">
        <f>+SUM(N7:Q7)-H7</f>
        <v/>
      </c>
      <c r="AH7" s="20" t="inlineStr">
        <is>
          <t xml:space="preserve">        (3) 보통예금</t>
        </is>
      </c>
      <c r="AI7" s="847" t="n">
        <v>7668430524</v>
      </c>
    </row>
    <row r="8">
      <c r="A8" s="696" t="n">
        <v>7</v>
      </c>
      <c r="B8" s="34" t="inlineStr">
        <is>
          <t xml:space="preserve">　  [관계·종속기업투자주식]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148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4" t="n">
        <v>0</v>
      </c>
      <c r="N8" s="17">
        <f>+M8+I8+J8</f>
        <v/>
      </c>
      <c r="O8" s="17">
        <f>+F8</f>
        <v/>
      </c>
      <c r="P8" s="17">
        <f>+K8+L8</f>
        <v/>
      </c>
      <c r="Q8" s="17">
        <f>+G8</f>
        <v/>
      </c>
      <c r="S8" s="16">
        <f>+SUM(N8:Q8)-H8</f>
        <v/>
      </c>
      <c r="AH8" s="20" t="inlineStr">
        <is>
          <t xml:space="preserve">        (4) 정기예금</t>
        </is>
      </c>
      <c r="AI8" s="847" t="n">
        <v>0</v>
      </c>
    </row>
    <row r="9">
      <c r="A9" s="696" t="n">
        <v>8</v>
      </c>
      <c r="B9" s="34" t="inlineStr">
        <is>
          <t xml:space="preserve">　  [상각후원가측정대출채권]</t>
        </is>
      </c>
      <c r="D9" s="34" t="n">
        <v>0</v>
      </c>
      <c r="E9" s="34" t="n">
        <v>0</v>
      </c>
      <c r="F9" s="34" t="n">
        <v>0</v>
      </c>
      <c r="G9" s="34" t="n">
        <v>0</v>
      </c>
      <c r="H9" s="148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17">
        <f>+M9+I9+J9</f>
        <v/>
      </c>
      <c r="O9" s="17">
        <f>+F9</f>
        <v/>
      </c>
      <c r="P9" s="17">
        <f>+K9+L9</f>
        <v/>
      </c>
      <c r="Q9" s="17">
        <f>+G9</f>
        <v/>
      </c>
      <c r="S9" s="16">
        <f>+SUM(N9:Q9)-H9</f>
        <v/>
      </c>
      <c r="AH9" s="20" t="inlineStr">
        <is>
          <t xml:space="preserve">        (5) 정기적금</t>
        </is>
      </c>
      <c r="AI9" s="847" t="n">
        <v>0</v>
      </c>
    </row>
    <row r="10">
      <c r="A10" s="696" t="n">
        <v>9</v>
      </c>
      <c r="B10" s="34" t="inlineStr">
        <is>
          <t xml:space="preserve">　  [당기손익-공정가치측정대출채권]</t>
        </is>
      </c>
      <c r="D10" s="34" t="n">
        <v>0</v>
      </c>
      <c r="E10" s="34" t="n">
        <v>0</v>
      </c>
      <c r="F10" s="34" t="n">
        <v>0</v>
      </c>
      <c r="G10" s="34" t="n">
        <v>0</v>
      </c>
      <c r="H10" s="148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17">
        <f>+M10+I10+J10</f>
        <v/>
      </c>
      <c r="O10" s="17">
        <f>+F10</f>
        <v/>
      </c>
      <c r="P10" s="17">
        <f>+K10+L10</f>
        <v/>
      </c>
      <c r="Q10" s="17">
        <f>+G10</f>
        <v/>
      </c>
      <c r="S10" s="16">
        <f>+SUM(N10:Q10)-H10</f>
        <v/>
      </c>
      <c r="AH10" s="20" t="inlineStr">
        <is>
          <t xml:space="preserve">        (6) 해외제예금 </t>
        </is>
      </c>
      <c r="AI10" s="847" t="n">
        <v>0</v>
      </c>
    </row>
    <row r="11">
      <c r="A11" s="696" t="n">
        <v>10</v>
      </c>
      <c r="B11" s="34" t="inlineStr">
        <is>
          <t xml:space="preserve">　  [기타포괄손익-공정가치측정대출채권]</t>
        </is>
      </c>
      <c r="D11" s="34" t="n">
        <v>0</v>
      </c>
      <c r="E11" s="34" t="n">
        <v>0</v>
      </c>
      <c r="F11" s="34" t="n">
        <v>0</v>
      </c>
      <c r="G11" s="34" t="n">
        <v>0</v>
      </c>
      <c r="H11" s="148" t="n">
        <v>0</v>
      </c>
      <c r="I11" s="34" t="n">
        <v>0</v>
      </c>
      <c r="J11" s="34" t="n">
        <v>0</v>
      </c>
      <c r="K11" s="34" t="n">
        <v>0</v>
      </c>
      <c r="L11" s="34" t="n">
        <v>0</v>
      </c>
      <c r="M11" s="34" t="n">
        <v>0</v>
      </c>
      <c r="N11" s="17">
        <f>+M11+I11+J11</f>
        <v/>
      </c>
      <c r="O11" s="17">
        <f>+F11</f>
        <v/>
      </c>
      <c r="P11" s="17">
        <f>+K11+L11</f>
        <v/>
      </c>
      <c r="Q11" s="17">
        <f>+G11</f>
        <v/>
      </c>
      <c r="S11" s="16">
        <f>+SUM(N11:Q11)-H11</f>
        <v/>
      </c>
      <c r="AH11" s="20" t="inlineStr">
        <is>
          <t xml:space="preserve">        (7) 기타예금</t>
        </is>
      </c>
      <c r="AI11" s="846" t="n">
        <v>697655678167</v>
      </c>
    </row>
    <row r="12">
      <c r="A12" s="696" t="n">
        <v>11</v>
      </c>
      <c r="B12" s="34" t="inlineStr">
        <is>
          <t xml:space="preserve">　  [위험회피회계적용파생상품자산]</t>
        </is>
      </c>
      <c r="D12" s="34" t="n">
        <v>0</v>
      </c>
      <c r="E12" s="34" t="n">
        <v>0</v>
      </c>
      <c r="F12" s="34" t="n">
        <v>0</v>
      </c>
      <c r="G12" s="34" t="n">
        <v>0</v>
      </c>
      <c r="H12" s="148" t="n">
        <v>0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17">
        <f>+M12+I12+J12</f>
        <v/>
      </c>
      <c r="O12" s="17">
        <f>+F12</f>
        <v/>
      </c>
      <c r="P12" s="17">
        <f>+K12+L12</f>
        <v/>
      </c>
      <c r="Q12" s="17">
        <f>+G12</f>
        <v/>
      </c>
      <c r="S12" s="16">
        <f>+SUM(N12:Q12)-H12</f>
        <v/>
      </c>
      <c r="AH12" s="20" t="inlineStr">
        <is>
          <t xml:space="preserve">     2.금 전 신 탁 </t>
        </is>
      </c>
      <c r="AI12" s="847" t="n">
        <v>0</v>
      </c>
    </row>
    <row r="13">
      <c r="A13" s="696" t="n">
        <v>12</v>
      </c>
      <c r="B13" s="34" t="inlineStr">
        <is>
          <t xml:space="preserve">　  [기타금융자산]</t>
        </is>
      </c>
      <c r="D13" s="34" t="n">
        <v>0</v>
      </c>
      <c r="E13" s="34" t="n">
        <v>0</v>
      </c>
      <c r="F13" s="34" t="n">
        <v>0</v>
      </c>
      <c r="G13" s="34" t="n">
        <v>0</v>
      </c>
      <c r="H13" s="148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17">
        <f>+M13+I13+J13</f>
        <v/>
      </c>
      <c r="O13" s="17">
        <f>+F13</f>
        <v/>
      </c>
      <c r="P13" s="17">
        <f>+K13+L13</f>
        <v/>
      </c>
      <c r="Q13" s="17">
        <f>+G13</f>
        <v/>
      </c>
      <c r="S13" s="16">
        <f>+SUM(N13:Q13)-H13</f>
        <v/>
      </c>
      <c r="AH13" s="20" t="inlineStr">
        <is>
          <t xml:space="preserve">  II. 당기손익-공정가치측정 금융자산</t>
        </is>
      </c>
      <c r="AI13" s="847" t="n">
        <v>15919160828799</v>
      </c>
    </row>
    <row r="14">
      <c r="A14" s="696" t="n">
        <v>13</v>
      </c>
      <c r="B14" s="34" t="inlineStr">
        <is>
          <t xml:space="preserve">　  [비금융자산]</t>
        </is>
      </c>
      <c r="D14" s="34" t="n">
        <v>0</v>
      </c>
      <c r="E14" s="34" t="n">
        <v>0</v>
      </c>
      <c r="F14" s="34" t="n">
        <v>0</v>
      </c>
      <c r="G14" s="34" t="n">
        <v>0</v>
      </c>
      <c r="H14" s="148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0</v>
      </c>
      <c r="N14" s="17">
        <f>+M14+I14+J14</f>
        <v/>
      </c>
      <c r="O14" s="17">
        <f>+F14</f>
        <v/>
      </c>
      <c r="P14" s="17">
        <f>+K14+L14</f>
        <v/>
      </c>
      <c r="Q14" s="17">
        <f>+G14</f>
        <v/>
      </c>
      <c r="S14" s="16">
        <f>+SUM(N14:Q14)-H14</f>
        <v/>
      </c>
      <c r="W14" s="696" t="inlineStr">
        <is>
          <t>특별계정자산</t>
        </is>
      </c>
      <c r="X14" s="16">
        <f>+X15+X16</f>
        <v/>
      </c>
      <c r="Y14" s="848">
        <f>+X14/10^8</f>
        <v/>
      </c>
      <c r="AH14" s="20" t="inlineStr">
        <is>
          <t xml:space="preserve">     1.당기손익-공정가치측정 금융자산</t>
        </is>
      </c>
      <c r="AI14" s="847" t="n">
        <v>15874266089364</v>
      </c>
    </row>
    <row r="15">
      <c r="A15" s="696" t="n">
        <v>14</v>
      </c>
      <c r="B15" s="34" t="inlineStr">
        <is>
          <t xml:space="preserve">　  [매각예정처분자산집단에포함된자산]</t>
        </is>
      </c>
      <c r="D15" s="34" t="n">
        <v>0</v>
      </c>
      <c r="E15" s="34" t="n">
        <v>0</v>
      </c>
      <c r="F15" s="34" t="n">
        <v>0</v>
      </c>
      <c r="G15" s="34" t="n">
        <v>0</v>
      </c>
      <c r="H15" s="148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17">
        <f>+M15+I15+J15</f>
        <v/>
      </c>
      <c r="O15" s="17">
        <f>+F15</f>
        <v/>
      </c>
      <c r="P15" s="17">
        <f>+K15+L15</f>
        <v/>
      </c>
      <c r="Q15" s="17">
        <f>+G15</f>
        <v/>
      </c>
      <c r="S15" s="16">
        <f>+SUM(N15:Q15)-H15</f>
        <v/>
      </c>
      <c r="W15" s="696" t="inlineStr">
        <is>
          <t>변액보험</t>
        </is>
      </c>
      <c r="X15" s="16">
        <f>SUMIFS(N:N,$R:$R,$W15)</f>
        <v/>
      </c>
      <c r="Y15" s="848">
        <f>+X15/10^8</f>
        <v/>
      </c>
      <c r="AH15" s="20" t="inlineStr">
        <is>
          <t xml:space="preserve">        (1) 당기손익-공정가치측정 유가증권</t>
        </is>
      </c>
      <c r="AI15" s="847" t="n">
        <v>15605085009793</v>
      </c>
    </row>
    <row r="16">
      <c r="A16" s="696" t="n">
        <v>15</v>
      </c>
      <c r="B16" s="34" t="inlineStr">
        <is>
          <t xml:space="preserve">　  [특별계정자산)</t>
        </is>
      </c>
      <c r="D16" s="34" t="n">
        <v>0</v>
      </c>
      <c r="E16" s="34" t="n">
        <v>0</v>
      </c>
      <c r="F16" s="34" t="n">
        <v>0</v>
      </c>
      <c r="G16" s="34" t="n">
        <v>0</v>
      </c>
      <c r="H16" s="148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34" t="n">
        <v>0</v>
      </c>
      <c r="N16" s="17">
        <f>+M16+I16+J16</f>
        <v/>
      </c>
      <c r="O16" s="17">
        <f>+F16</f>
        <v/>
      </c>
      <c r="P16" s="17">
        <f>+K16+L16</f>
        <v/>
      </c>
      <c r="Q16" s="17">
        <f>+G16</f>
        <v/>
      </c>
      <c r="S16" s="16">
        <f>+SUM(N16:Q16)-H16</f>
        <v/>
      </c>
      <c r="W16" s="696" t="inlineStr">
        <is>
          <t>퇴직실적</t>
        </is>
      </c>
      <c r="X16" s="16">
        <f>SUMIFS(N:N,$R:$R,$W16)</f>
        <v/>
      </c>
      <c r="Y16" s="848">
        <f>+X16/10^8</f>
        <v/>
      </c>
      <c r="AH16" s="20" t="inlineStr">
        <is>
          <t xml:space="preserve">          1) 주식</t>
        </is>
      </c>
      <c r="AI16" s="847" t="n">
        <v>218209087000</v>
      </c>
    </row>
    <row r="17">
      <c r="A17" s="696" t="n">
        <v>16</v>
      </c>
      <c r="B17" s="34" t="inlineStr">
        <is>
          <t xml:space="preserve">　  Ⅰ.운 용 자 산</t>
        </is>
      </c>
      <c r="D17" s="33" t="n">
        <v>31995760390644</v>
      </c>
      <c r="E17" s="34" t="n">
        <v>0</v>
      </c>
      <c r="F17" s="33" t="n">
        <v>13106414567769</v>
      </c>
      <c r="G17" s="33" t="n">
        <v>348256525819</v>
      </c>
      <c r="H17" s="147" t="n">
        <v>18541089297056</v>
      </c>
      <c r="I17" s="33" t="n">
        <v>1468764624607</v>
      </c>
      <c r="J17" s="33" t="n">
        <v>33551993783</v>
      </c>
      <c r="K17" s="33" t="n">
        <v>17232912157</v>
      </c>
      <c r="L17" s="33" t="n">
        <v>1784148066674</v>
      </c>
      <c r="M17" s="33" t="n">
        <v>15237391699835</v>
      </c>
      <c r="N17" s="17">
        <f>+M17+I17+J17</f>
        <v/>
      </c>
      <c r="O17" s="17">
        <f>+F17</f>
        <v/>
      </c>
      <c r="P17" s="17">
        <f>+K17+L17</f>
        <v/>
      </c>
      <c r="Q17" s="17">
        <f>+G17</f>
        <v/>
      </c>
      <c r="S17" s="16">
        <f>+SUM(N17:Q17)-H17</f>
        <v/>
      </c>
      <c r="AH17" s="20" t="inlineStr">
        <is>
          <t xml:space="preserve">             (가) 상장주식</t>
        </is>
      </c>
      <c r="AI17" s="847" t="n">
        <v>132095366740</v>
      </c>
    </row>
    <row r="18">
      <c r="A18" s="696" t="n">
        <v>17</v>
      </c>
      <c r="B18" s="34" t="inlineStr">
        <is>
          <t xml:space="preserve">　　    1.현금 및 예치금</t>
        </is>
      </c>
      <c r="D18" s="33" t="n">
        <v>1062605988002</v>
      </c>
      <c r="E18" s="34" t="n">
        <v>0</v>
      </c>
      <c r="F18" s="33" t="n">
        <v>506578752068</v>
      </c>
      <c r="G18" s="33" t="n">
        <v>28856952837</v>
      </c>
      <c r="H18" s="147" t="n">
        <v>527170283097</v>
      </c>
      <c r="I18" s="33" t="n">
        <v>107645757960</v>
      </c>
      <c r="J18" s="33" t="n">
        <v>2630294803</v>
      </c>
      <c r="K18" s="33" t="n">
        <v>16235053757</v>
      </c>
      <c r="L18" s="33" t="n">
        <v>153504663422</v>
      </c>
      <c r="M18" s="33" t="n">
        <v>247154513155</v>
      </c>
      <c r="N18" s="17">
        <f>+M18+I18+J18</f>
        <v/>
      </c>
      <c r="O18" s="17">
        <f>+F18</f>
        <v/>
      </c>
      <c r="P18" s="17">
        <f>+K18+L18</f>
        <v/>
      </c>
      <c r="Q18" s="17">
        <f>+G18</f>
        <v/>
      </c>
      <c r="S18" s="16">
        <f>+SUM(N18:Q18)-H18</f>
        <v/>
      </c>
      <c r="AH18" s="20" t="inlineStr">
        <is>
          <t xml:space="preserve">             (나) 기타주식</t>
        </is>
      </c>
      <c r="AI18" s="847" t="n">
        <v>95383116265</v>
      </c>
    </row>
    <row r="19">
      <c r="A19" s="696" t="n">
        <v>18</v>
      </c>
      <c r="B19" s="34" t="inlineStr">
        <is>
          <t xml:space="preserve">　　　      가.현금과예금</t>
        </is>
      </c>
      <c r="D19" s="33" t="n">
        <v>1044694842300</v>
      </c>
      <c r="E19" s="34" t="n">
        <v>0</v>
      </c>
      <c r="F19" s="33" t="n">
        <v>505978752068</v>
      </c>
      <c r="G19" s="33" t="n">
        <v>28856952837</v>
      </c>
      <c r="H19" s="147" t="n">
        <v>509859137395</v>
      </c>
      <c r="I19" s="33" t="n">
        <v>107645757960</v>
      </c>
      <c r="J19" s="33" t="n">
        <v>2630294803</v>
      </c>
      <c r="K19" s="33" t="n">
        <v>16235053757</v>
      </c>
      <c r="L19" s="33" t="n">
        <v>153504663422</v>
      </c>
      <c r="M19" s="33" t="n">
        <v>229843367453</v>
      </c>
      <c r="N19" s="17">
        <f>+M19+I19+J19</f>
        <v/>
      </c>
      <c r="O19" s="17">
        <f>+F19</f>
        <v/>
      </c>
      <c r="P19" s="17">
        <f>+K19+L19</f>
        <v/>
      </c>
      <c r="Q19" s="17">
        <f>+G19</f>
        <v/>
      </c>
      <c r="S19" s="16">
        <f>+SUM(N19:Q19)-H19</f>
        <v/>
      </c>
      <c r="AH19" s="20" t="inlineStr">
        <is>
          <t xml:space="preserve">             (다) 평가이익조정</t>
        </is>
      </c>
      <c r="AI19" s="847" t="n">
        <v>-9269396005</v>
      </c>
    </row>
    <row r="20">
      <c r="A20" s="696" t="n">
        <v>19</v>
      </c>
      <c r="B20" s="34" t="inlineStr">
        <is>
          <t xml:space="preserve">　　　　       (1) 현금</t>
        </is>
      </c>
      <c r="D20" s="34" t="n">
        <v>0</v>
      </c>
      <c r="E20" s="34" t="n">
        <v>0</v>
      </c>
      <c r="F20" s="34" t="n">
        <v>0</v>
      </c>
      <c r="G20" s="34" t="n">
        <v>0</v>
      </c>
      <c r="H20" s="148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17">
        <f>+M20+I20+J20</f>
        <v/>
      </c>
      <c r="O20" s="17">
        <f>+F20</f>
        <v/>
      </c>
      <c r="P20" s="17">
        <f>+K20+L20</f>
        <v/>
      </c>
      <c r="Q20" s="17">
        <f>+G20</f>
        <v/>
      </c>
      <c r="S20" s="16">
        <f>+SUM(N20:Q20)-H20</f>
        <v/>
      </c>
      <c r="AH20" s="20" t="inlineStr">
        <is>
          <t xml:space="preserve">          2) 출자금 </t>
        </is>
      </c>
      <c r="AI20" s="847" t="n">
        <v>77810206123</v>
      </c>
    </row>
    <row r="21">
      <c r="A21" s="696" t="n">
        <v>20</v>
      </c>
      <c r="B21" s="34" t="inlineStr">
        <is>
          <t xml:space="preserve">　　　　       (2) 당좌예금</t>
        </is>
      </c>
      <c r="D21" s="33" t="n">
        <v>7333643458</v>
      </c>
      <c r="E21" s="34" t="n">
        <v>0</v>
      </c>
      <c r="F21" s="34" t="n">
        <v>0</v>
      </c>
      <c r="G21" s="34" t="n">
        <v>0</v>
      </c>
      <c r="H21" s="147" t="n">
        <v>7333643458</v>
      </c>
      <c r="I21" s="34" t="n">
        <v>0</v>
      </c>
      <c r="J21" s="34" t="n">
        <v>0</v>
      </c>
      <c r="K21" s="34" t="n">
        <v>0</v>
      </c>
      <c r="L21" s="34" t="n">
        <v>0</v>
      </c>
      <c r="M21" s="33" t="n">
        <v>7333643458</v>
      </c>
      <c r="N21" s="17">
        <f>+M21+I21+J21</f>
        <v/>
      </c>
      <c r="O21" s="17">
        <f>+F21</f>
        <v/>
      </c>
      <c r="P21" s="17">
        <f>+K21+L21</f>
        <v/>
      </c>
      <c r="Q21" s="17">
        <f>+G21</f>
        <v/>
      </c>
      <c r="S21" s="16">
        <f>+SUM(N21:Q21)-H21</f>
        <v/>
      </c>
      <c r="AH21" s="20" t="inlineStr">
        <is>
          <t xml:space="preserve">          3) 국ㆍ공채</t>
        </is>
      </c>
      <c r="AI21" s="847" t="n">
        <v>48558924704</v>
      </c>
      <c r="AJ21" s="696" t="inlineStr">
        <is>
          <t>국내채권</t>
        </is>
      </c>
    </row>
    <row r="22">
      <c r="A22" s="696" t="n">
        <v>21</v>
      </c>
      <c r="B22" s="34" t="inlineStr">
        <is>
          <t xml:space="preserve">　　　　       (3) 보통예금</t>
        </is>
      </c>
      <c r="D22" s="33" t="n">
        <v>24608927043</v>
      </c>
      <c r="E22" s="34" t="n">
        <v>0</v>
      </c>
      <c r="F22" s="34" t="n">
        <v>0</v>
      </c>
      <c r="G22" s="34" t="n">
        <v>0</v>
      </c>
      <c r="H22" s="147" t="n">
        <v>24608927043</v>
      </c>
      <c r="I22" s="34" t="n">
        <v>0</v>
      </c>
      <c r="J22" s="34" t="n">
        <v>0</v>
      </c>
      <c r="K22" s="34" t="n">
        <v>0</v>
      </c>
      <c r="L22" s="34" t="n">
        <v>0</v>
      </c>
      <c r="M22" s="33" t="n">
        <v>24608927043</v>
      </c>
      <c r="N22" s="17">
        <f>+M22+I22+J22</f>
        <v/>
      </c>
      <c r="O22" s="17">
        <f>+F22</f>
        <v/>
      </c>
      <c r="P22" s="17">
        <f>+K22+L22</f>
        <v/>
      </c>
      <c r="Q22" s="17">
        <f>+G22</f>
        <v/>
      </c>
      <c r="S22" s="16">
        <f>+SUM(N22:Q22)-H22</f>
        <v/>
      </c>
      <c r="AH22" s="20" t="inlineStr">
        <is>
          <t xml:space="preserve">             (가) 국 채 </t>
        </is>
      </c>
      <c r="AI22" s="847" t="n">
        <v>48558924704</v>
      </c>
    </row>
    <row r="23">
      <c r="A23" s="696" t="n">
        <v>22</v>
      </c>
      <c r="B23" s="34" t="inlineStr">
        <is>
          <t xml:space="preserve">　　　　       (4) 정기예금</t>
        </is>
      </c>
      <c r="D23" s="34" t="n">
        <v>0</v>
      </c>
      <c r="E23" s="34" t="n">
        <v>0</v>
      </c>
      <c r="F23" s="34" t="n">
        <v>0</v>
      </c>
      <c r="G23" s="34" t="n">
        <v>0</v>
      </c>
      <c r="H23" s="148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17">
        <f>+M23+I23+J23</f>
        <v/>
      </c>
      <c r="O23" s="17">
        <f>+F23</f>
        <v/>
      </c>
      <c r="P23" s="17">
        <f>+K23+L23</f>
        <v/>
      </c>
      <c r="Q23" s="17">
        <f>+G23</f>
        <v/>
      </c>
      <c r="S23" s="16">
        <f>+SUM(N23:Q23)-H23</f>
        <v/>
      </c>
      <c r="AH23" s="20" t="inlineStr">
        <is>
          <t xml:space="preserve">             (나) 공 채 </t>
        </is>
      </c>
      <c r="AI23" s="847" t="n">
        <v>0</v>
      </c>
    </row>
    <row r="24">
      <c r="A24" s="696" t="n">
        <v>23</v>
      </c>
      <c r="B24" s="34" t="inlineStr">
        <is>
          <t xml:space="preserve">　　　　       (5) 정기적금</t>
        </is>
      </c>
      <c r="D24" s="34" t="n">
        <v>0</v>
      </c>
      <c r="E24" s="34" t="n">
        <v>0</v>
      </c>
      <c r="F24" s="34" t="n">
        <v>0</v>
      </c>
      <c r="G24" s="34" t="n">
        <v>0</v>
      </c>
      <c r="H24" s="148" t="n">
        <v>0</v>
      </c>
      <c r="I24" s="34" t="n">
        <v>0</v>
      </c>
      <c r="J24" s="34" t="n">
        <v>0</v>
      </c>
      <c r="K24" s="34" t="n">
        <v>0</v>
      </c>
      <c r="L24" s="34" t="n">
        <v>0</v>
      </c>
      <c r="M24" s="34" t="n">
        <v>0</v>
      </c>
      <c r="N24" s="17">
        <f>+M24+I24+J24</f>
        <v/>
      </c>
      <c r="O24" s="17">
        <f>+F24</f>
        <v/>
      </c>
      <c r="P24" s="17">
        <f>+K24+L24</f>
        <v/>
      </c>
      <c r="Q24" s="17">
        <f>+G24</f>
        <v/>
      </c>
      <c r="S24" s="16">
        <f>+SUM(N24:Q24)-H24</f>
        <v/>
      </c>
      <c r="AH24" s="20" t="inlineStr">
        <is>
          <t xml:space="preserve">          4) 특 수 채 </t>
        </is>
      </c>
      <c r="AI24" s="847" t="n">
        <v>24987769998</v>
      </c>
      <c r="AJ24" s="696" t="inlineStr">
        <is>
          <t>국내채권</t>
        </is>
      </c>
    </row>
    <row r="25">
      <c r="A25" s="696" t="n">
        <v>24</v>
      </c>
      <c r="B25" s="34" t="inlineStr">
        <is>
          <t xml:space="preserve">　　　　       (6) 해외제예금</t>
        </is>
      </c>
      <c r="D25" s="34" t="n">
        <v>0</v>
      </c>
      <c r="E25" s="34" t="n">
        <v>0</v>
      </c>
      <c r="F25" s="34" t="n">
        <v>0</v>
      </c>
      <c r="G25" s="34" t="n">
        <v>0</v>
      </c>
      <c r="H25" s="148" t="n">
        <v>0</v>
      </c>
      <c r="I25" s="34" t="n">
        <v>0</v>
      </c>
      <c r="J25" s="34" t="n">
        <v>0</v>
      </c>
      <c r="K25" s="34" t="n">
        <v>0</v>
      </c>
      <c r="L25" s="34" t="n">
        <v>0</v>
      </c>
      <c r="M25" s="34" t="n">
        <v>0</v>
      </c>
      <c r="N25" s="17">
        <f>+M25+I25+J25</f>
        <v/>
      </c>
      <c r="O25" s="17">
        <f>+F25</f>
        <v/>
      </c>
      <c r="P25" s="17">
        <f>+K25+L25</f>
        <v/>
      </c>
      <c r="Q25" s="17">
        <f>+G25</f>
        <v/>
      </c>
      <c r="S25" s="16">
        <f>+SUM(N25:Q25)-H25</f>
        <v/>
      </c>
      <c r="AH25" s="20" t="inlineStr">
        <is>
          <t xml:space="preserve">          5) 금 융 채 </t>
        </is>
      </c>
      <c r="AI25" s="847" t="n">
        <v>0</v>
      </c>
      <c r="AJ25" s="696" t="inlineStr">
        <is>
          <t>국내채권</t>
        </is>
      </c>
    </row>
    <row r="26">
      <c r="A26" s="696" t="n">
        <v>25</v>
      </c>
      <c r="B26" s="34" t="inlineStr">
        <is>
          <t xml:space="preserve">　　　　       (7) 기타예금</t>
        </is>
      </c>
      <c r="D26" s="33" t="n">
        <v>1012752271799</v>
      </c>
      <c r="E26" s="34" t="n">
        <v>0</v>
      </c>
      <c r="F26" s="33" t="n">
        <v>505978752068</v>
      </c>
      <c r="G26" s="33" t="n">
        <v>28856952837</v>
      </c>
      <c r="H26" s="147" t="n">
        <v>477916566894</v>
      </c>
      <c r="I26" s="33" t="n">
        <v>107645757960</v>
      </c>
      <c r="J26" s="33" t="n">
        <v>2630294803</v>
      </c>
      <c r="K26" s="33" t="n">
        <v>16235053757</v>
      </c>
      <c r="L26" s="33" t="n">
        <v>153504663422</v>
      </c>
      <c r="M26" s="33" t="n">
        <v>197900796952</v>
      </c>
      <c r="N26" s="17">
        <f>+M26+I26+J26</f>
        <v/>
      </c>
      <c r="O26" s="17">
        <f>+F26</f>
        <v/>
      </c>
      <c r="P26" s="17">
        <f>+K26+L26</f>
        <v/>
      </c>
      <c r="Q26" s="17">
        <f>+G26</f>
        <v/>
      </c>
      <c r="S26" s="16">
        <f>+SUM(N26:Q26)-H26</f>
        <v/>
      </c>
      <c r="AH26" s="20" t="inlineStr">
        <is>
          <t xml:space="preserve">          6) 회 사 채 </t>
        </is>
      </c>
      <c r="AI26" s="847" t="n">
        <v>0</v>
      </c>
      <c r="AJ26" s="696" t="inlineStr">
        <is>
          <t>국내채권</t>
        </is>
      </c>
    </row>
    <row r="27">
      <c r="A27" s="696" t="n">
        <v>26</v>
      </c>
      <c r="B27" s="34" t="inlineStr">
        <is>
          <t xml:space="preserve">　　　      나.금전신탁</t>
        </is>
      </c>
      <c r="D27" s="34" t="n">
        <v>0</v>
      </c>
      <c r="E27" s="34" t="n">
        <v>0</v>
      </c>
      <c r="F27" s="34" t="n">
        <v>0</v>
      </c>
      <c r="G27" s="34" t="n">
        <v>0</v>
      </c>
      <c r="H27" s="148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0</v>
      </c>
      <c r="N27" s="17">
        <f>+M27+I27+J27</f>
        <v/>
      </c>
      <c r="O27" s="17">
        <f>+F27</f>
        <v/>
      </c>
      <c r="P27" s="17">
        <f>+K27+L27</f>
        <v/>
      </c>
      <c r="Q27" s="17">
        <f>+G27</f>
        <v/>
      </c>
      <c r="S27" s="16">
        <f>+SUM(N27:Q27)-H27</f>
        <v/>
      </c>
      <c r="AH27" s="20" t="inlineStr">
        <is>
          <t xml:space="preserve">            (가) 보증사채</t>
        </is>
      </c>
      <c r="AI27" s="847" t="n">
        <v>0</v>
      </c>
    </row>
    <row r="28" ht="33" customHeight="1" s="760">
      <c r="A28" s="696" t="n">
        <v>27</v>
      </c>
      <c r="B28" s="34" t="inlineStr">
        <is>
          <t xml:space="preserve">　　　      다.선물거래예치금</t>
        </is>
      </c>
      <c r="D28" s="34" t="n">
        <v>0</v>
      </c>
      <c r="E28" s="34" t="n">
        <v>0</v>
      </c>
      <c r="F28" s="34" t="n">
        <v>0</v>
      </c>
      <c r="G28" s="34" t="n">
        <v>0</v>
      </c>
      <c r="H28" s="148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17">
        <f>+M28+I28+J28</f>
        <v/>
      </c>
      <c r="O28" s="17">
        <f>+F28</f>
        <v/>
      </c>
      <c r="P28" s="17">
        <f>+K28+L28</f>
        <v/>
      </c>
      <c r="Q28" s="17">
        <f>+G28</f>
        <v/>
      </c>
      <c r="S28" s="16">
        <f>+SUM(N28:Q28)-H28</f>
        <v/>
      </c>
      <c r="X28" s="21" t="inlineStr">
        <is>
          <t>일반계정
(신개인 등 포함)</t>
        </is>
      </c>
      <c r="Y28" s="696" t="inlineStr">
        <is>
          <t>변액보험</t>
        </is>
      </c>
      <c r="Z28" s="696" t="inlineStr">
        <is>
          <t>퇴직연금/보험</t>
        </is>
      </c>
      <c r="AA28" s="696" t="inlineStr">
        <is>
          <t>퇴직실적</t>
        </is>
      </c>
      <c r="AB28" s="696" t="inlineStr">
        <is>
          <t>합계</t>
        </is>
      </c>
      <c r="AH28" s="20" t="inlineStr">
        <is>
          <t xml:space="preserve">            (나) 무보증사채 </t>
        </is>
      </c>
      <c r="AI28" s="847" t="n">
        <v>0</v>
      </c>
    </row>
    <row r="29">
      <c r="A29" s="696" t="n">
        <v>28</v>
      </c>
      <c r="B29" s="34" t="inlineStr">
        <is>
          <t xml:space="preserve">　　　      라.기타예치금</t>
        </is>
      </c>
      <c r="D29" s="33" t="n">
        <v>17911145702</v>
      </c>
      <c r="E29" s="34" t="n">
        <v>0</v>
      </c>
      <c r="F29" s="33" t="n">
        <v>600000000</v>
      </c>
      <c r="G29" s="34" t="n">
        <v>0</v>
      </c>
      <c r="H29" s="147" t="n">
        <v>17311145702</v>
      </c>
      <c r="I29" s="34" t="n">
        <v>0</v>
      </c>
      <c r="J29" s="34" t="n">
        <v>0</v>
      </c>
      <c r="K29" s="34" t="n">
        <v>0</v>
      </c>
      <c r="L29" s="34" t="n">
        <v>0</v>
      </c>
      <c r="M29" s="33" t="n">
        <v>17311145702</v>
      </c>
      <c r="N29" s="17">
        <f>+M29+I29+J29</f>
        <v/>
      </c>
      <c r="O29" s="17">
        <f>+F29</f>
        <v/>
      </c>
      <c r="P29" s="17">
        <f>+K29+L29</f>
        <v/>
      </c>
      <c r="Q29" s="17">
        <f>+G29</f>
        <v/>
      </c>
      <c r="S29" s="16">
        <f>+SUM(N29:Q29)-H29</f>
        <v/>
      </c>
      <c r="V29" s="696" t="inlineStr">
        <is>
          <t>당사</t>
        </is>
      </c>
      <c r="W29" s="696" t="inlineStr">
        <is>
          <t>FVPL</t>
        </is>
      </c>
      <c r="X29" s="848">
        <f>SUMIFS(N:N,$R:$R,$W29)</f>
        <v/>
      </c>
      <c r="Y29" s="848">
        <f>SUMIFS(O:O,$R:$R,$W29)</f>
        <v/>
      </c>
      <c r="Z29" s="848">
        <f>SUMIFS(P:P,$R:$R,$W29)</f>
        <v/>
      </c>
      <c r="AA29" s="848">
        <f>SUMIFS(Q:Q,$R:$R,$W29)</f>
        <v/>
      </c>
      <c r="AB29" s="848">
        <f>SUM(X29:AA29)</f>
        <v/>
      </c>
      <c r="AH29" s="20" t="inlineStr">
        <is>
          <t xml:space="preserve">          7) 수익증권</t>
        </is>
      </c>
      <c r="AI29" s="847" t="n">
        <v>9821858718633</v>
      </c>
      <c r="AJ29" s="696" t="inlineStr">
        <is>
          <t>수익증권</t>
        </is>
      </c>
    </row>
    <row r="30">
      <c r="A30" s="696" t="n">
        <v>29</v>
      </c>
      <c r="B30" s="34" t="inlineStr">
        <is>
          <t xml:space="preserve">　　    2.유가증권</t>
        </is>
      </c>
      <c r="D30" s="33" t="n">
        <v>28704975259799</v>
      </c>
      <c r="E30" s="34" t="n">
        <v>0</v>
      </c>
      <c r="F30" s="33" t="n">
        <v>12409035815701</v>
      </c>
      <c r="G30" s="33" t="n">
        <v>319399572982</v>
      </c>
      <c r="H30" s="147" t="n">
        <v>15976539871116</v>
      </c>
      <c r="I30" s="33" t="n">
        <v>1361118866647</v>
      </c>
      <c r="J30" s="33" t="n">
        <v>30921698980</v>
      </c>
      <c r="K30" s="33" t="n">
        <v>997858400</v>
      </c>
      <c r="L30" s="33" t="n">
        <v>1507609299992</v>
      </c>
      <c r="M30" s="33" t="n">
        <v>13075892147097</v>
      </c>
      <c r="N30" s="17">
        <f>+M30+I30+J30</f>
        <v/>
      </c>
      <c r="O30" s="17">
        <f>+F30</f>
        <v/>
      </c>
      <c r="P30" s="17">
        <f>+K30+L30</f>
        <v/>
      </c>
      <c r="Q30" s="17">
        <f>+G30</f>
        <v/>
      </c>
      <c r="R30" s="14" t="inlineStr">
        <is>
          <t>유가증권</t>
        </is>
      </c>
      <c r="S30" s="16">
        <f>+SUM(N30:Q30)-H30</f>
        <v/>
      </c>
      <c r="W30" s="696" t="inlineStr">
        <is>
          <t>주식/출자금</t>
        </is>
      </c>
      <c r="X30" s="848">
        <f>SUMIFS(N:N,$R:$R,$W30)</f>
        <v/>
      </c>
      <c r="Y30" s="848">
        <f>SUMIFS(O:O,$R:$R,$W30)</f>
        <v/>
      </c>
      <c r="Z30" s="848">
        <f>SUMIFS(P:P,$R:$R,$W30)</f>
        <v/>
      </c>
      <c r="AA30" s="848">
        <f>SUMIFS(Q:Q,$R:$R,$W30)</f>
        <v/>
      </c>
      <c r="AB30" s="848">
        <f>SUM(X30:AA30)</f>
        <v/>
      </c>
      <c r="AH30" s="20" t="inlineStr">
        <is>
          <t xml:space="preserve">            (가) 수익증권</t>
        </is>
      </c>
      <c r="AI30" s="847" t="n">
        <v>9664671871963</v>
      </c>
    </row>
    <row r="31">
      <c r="A31" s="696" t="n">
        <v>30</v>
      </c>
      <c r="B31" s="34" t="inlineStr">
        <is>
          <t xml:space="preserve">　　　     2-1.당기손익-공정가치측정유가증권</t>
        </is>
      </c>
      <c r="D31" s="33" t="n">
        <v>16899374928281</v>
      </c>
      <c r="E31" s="34" t="n">
        <v>0</v>
      </c>
      <c r="F31" s="33" t="n">
        <v>12409035815701</v>
      </c>
      <c r="G31" s="33" t="n">
        <v>319399572982</v>
      </c>
      <c r="H31" s="147" t="n">
        <v>4170939539598</v>
      </c>
      <c r="I31" s="33" t="n">
        <v>43788959224</v>
      </c>
      <c r="J31" s="33" t="n">
        <v>30921698980</v>
      </c>
      <c r="K31" s="33" t="n">
        <v>997858400</v>
      </c>
      <c r="L31" s="33" t="n">
        <v>468245347790</v>
      </c>
      <c r="M31" s="33" t="n">
        <v>3626985675204</v>
      </c>
      <c r="N31" s="17">
        <f>+M31+I31+J31</f>
        <v/>
      </c>
      <c r="O31" s="17">
        <f>+F31</f>
        <v/>
      </c>
      <c r="P31" s="17">
        <f>+K31+L31</f>
        <v/>
      </c>
      <c r="Q31" s="17">
        <f>+G31</f>
        <v/>
      </c>
      <c r="R31" s="14" t="inlineStr">
        <is>
          <t>FVPL</t>
        </is>
      </c>
      <c r="S31" s="16">
        <f>+SUM(N31:Q31)-H31</f>
        <v/>
      </c>
      <c r="W31" s="696" t="inlineStr">
        <is>
          <t>해외주식</t>
        </is>
      </c>
      <c r="X31" s="848">
        <f>SUMIFS(N:N,$R:$R,$W31)</f>
        <v/>
      </c>
      <c r="Y31" s="848">
        <f>SUMIFS(O:O,$R:$R,$W31)</f>
        <v/>
      </c>
      <c r="Z31" s="848">
        <f>SUMIFS(P:P,$R:$R,$W31)</f>
        <v/>
      </c>
      <c r="AA31" s="848">
        <f>SUMIFS(Q:Q,$R:$R,$W31)</f>
        <v/>
      </c>
      <c r="AB31" s="848">
        <f>SUM(X31:AA31)</f>
        <v/>
      </c>
      <c r="AH31" s="20" t="inlineStr">
        <is>
          <t xml:space="preserve">            (나) 평가이익조정</t>
        </is>
      </c>
      <c r="AI31" s="847" t="n">
        <v>157186846670</v>
      </c>
    </row>
    <row r="32">
      <c r="A32" s="696" t="n">
        <v>31</v>
      </c>
      <c r="B32" s="34" t="inlineStr">
        <is>
          <t xml:space="preserve">　　　　      [당기손익-공정가치측정유가증권]</t>
        </is>
      </c>
      <c r="D32" s="33" t="n">
        <v>16899374928281</v>
      </c>
      <c r="E32" s="34" t="n">
        <v>0</v>
      </c>
      <c r="F32" s="33" t="n">
        <v>12409035815701</v>
      </c>
      <c r="G32" s="33" t="n">
        <v>319399572982</v>
      </c>
      <c r="H32" s="147" t="n">
        <v>4170939539598</v>
      </c>
      <c r="I32" s="33" t="n">
        <v>43788959224</v>
      </c>
      <c r="J32" s="33" t="n">
        <v>30921698980</v>
      </c>
      <c r="K32" s="33" t="n">
        <v>997858400</v>
      </c>
      <c r="L32" s="33" t="n">
        <v>468245347790</v>
      </c>
      <c r="M32" s="33" t="n">
        <v>3626985675204</v>
      </c>
      <c r="N32" s="17">
        <f>+M32+I32+J32</f>
        <v/>
      </c>
      <c r="O32" s="17">
        <f>+F32</f>
        <v/>
      </c>
      <c r="P32" s="17">
        <f>+K32+L32</f>
        <v/>
      </c>
      <c r="Q32" s="17">
        <f>+G32</f>
        <v/>
      </c>
      <c r="S32" s="16">
        <f>+SUM(N32:Q32)-H32</f>
        <v/>
      </c>
      <c r="W32" s="696" t="inlineStr">
        <is>
          <t>국내채권</t>
        </is>
      </c>
      <c r="X32" s="848">
        <f>SUMIFS(N:N,$R:$R,$W32)</f>
        <v/>
      </c>
      <c r="Y32" s="848">
        <f>SUMIFS(O:O,$R:$R,$W32)</f>
        <v/>
      </c>
      <c r="Z32" s="848">
        <f>SUMIFS(P:P,$R:$R,$W32)</f>
        <v/>
      </c>
      <c r="AA32" s="848">
        <f>SUMIFS(Q:Q,$R:$R,$W32)</f>
        <v/>
      </c>
      <c r="AB32" s="848">
        <f>SUM(X32:AA32)</f>
        <v/>
      </c>
      <c r="AH32" s="20" t="inlineStr">
        <is>
          <t xml:space="preserve">          8) 외화 유가증권</t>
        </is>
      </c>
      <c r="AI32" s="847" t="n">
        <v>5413660303335</v>
      </c>
    </row>
    <row r="33">
      <c r="A33" s="696" t="n">
        <v>32</v>
      </c>
      <c r="B33" s="34" t="inlineStr">
        <is>
          <t xml:space="preserve">　　　　　         가.주 식</t>
        </is>
      </c>
      <c r="D33" s="33" t="n">
        <v>181359358667</v>
      </c>
      <c r="E33" s="34" t="n">
        <v>0</v>
      </c>
      <c r="F33" s="34" t="n">
        <v>0</v>
      </c>
      <c r="G33" s="34" t="n">
        <v>0</v>
      </c>
      <c r="H33" s="147" t="n">
        <v>181359358667</v>
      </c>
      <c r="I33" s="34" t="n">
        <v>0</v>
      </c>
      <c r="J33" s="34" t="n">
        <v>0</v>
      </c>
      <c r="K33" s="34" t="n">
        <v>0</v>
      </c>
      <c r="L33" s="34" t="n">
        <v>0</v>
      </c>
      <c r="M33" s="33" t="n">
        <v>181359358667</v>
      </c>
      <c r="N33" s="17">
        <f>+M33+I33+J33</f>
        <v/>
      </c>
      <c r="O33" s="17">
        <f>+F33</f>
        <v/>
      </c>
      <c r="P33" s="17">
        <f>+K33+L33</f>
        <v/>
      </c>
      <c r="Q33" s="17">
        <f>+G33</f>
        <v/>
      </c>
      <c r="R33" s="14" t="inlineStr">
        <is>
          <t>주식/출자금</t>
        </is>
      </c>
      <c r="S33" s="16">
        <f>+SUM(N33:Q33)-H33</f>
        <v/>
      </c>
      <c r="W33" s="696" t="inlineStr">
        <is>
          <t>해외채권</t>
        </is>
      </c>
      <c r="X33" s="848">
        <f>SUMIFS(N:N,$R:$R,$W33)</f>
        <v/>
      </c>
      <c r="Y33" s="848">
        <f>SUMIFS(O:O,$R:$R,$W33)</f>
        <v/>
      </c>
      <c r="Z33" s="848">
        <f>SUMIFS(P:P,$R:$R,$W33)</f>
        <v/>
      </c>
      <c r="AA33" s="848">
        <f>SUMIFS(Q:Q,$R:$R,$W33)</f>
        <v/>
      </c>
      <c r="AB33" s="848">
        <f>SUM(X33:AA33)</f>
        <v/>
      </c>
      <c r="AH33" s="20" t="inlineStr">
        <is>
          <t xml:space="preserve">            (가) 주 식 </t>
        </is>
      </c>
      <c r="AI33" s="847" t="n">
        <v>2248508865247</v>
      </c>
      <c r="AJ33" s="696" t="inlineStr">
        <is>
          <t>해외주식</t>
        </is>
      </c>
    </row>
    <row r="34">
      <c r="A34" s="696" t="n">
        <v>33</v>
      </c>
      <c r="B34" s="34" t="inlineStr">
        <is>
          <t xml:space="preserve">　　　　　　          (1) 상장주식</t>
        </is>
      </c>
      <c r="D34" s="33" t="n">
        <v>81407497870</v>
      </c>
      <c r="E34" s="34" t="n">
        <v>0</v>
      </c>
      <c r="F34" s="34" t="n">
        <v>0</v>
      </c>
      <c r="G34" s="34" t="n">
        <v>0</v>
      </c>
      <c r="H34" s="147" t="n">
        <v>81407497870</v>
      </c>
      <c r="I34" s="34" t="n">
        <v>0</v>
      </c>
      <c r="J34" s="34" t="n">
        <v>0</v>
      </c>
      <c r="K34" s="34" t="n">
        <v>0</v>
      </c>
      <c r="L34" s="34" t="n">
        <v>0</v>
      </c>
      <c r="M34" s="33" t="n">
        <v>81407497870</v>
      </c>
      <c r="N34" s="17">
        <f>+M34+I34+J34</f>
        <v/>
      </c>
      <c r="O34" s="17">
        <f>+F34</f>
        <v/>
      </c>
      <c r="P34" s="17">
        <f>+K34+L34</f>
        <v/>
      </c>
      <c r="Q34" s="17">
        <f>+G34</f>
        <v/>
      </c>
      <c r="S34" s="16">
        <f>+SUM(N34:Q34)-H34</f>
        <v/>
      </c>
      <c r="W34" s="696" t="inlineStr">
        <is>
          <t>수익증권</t>
        </is>
      </c>
      <c r="X34" s="848">
        <f>SUMIFS(N:N,$R:$R,$W34)</f>
        <v/>
      </c>
      <c r="Y34" s="848">
        <f>SUMIFS(O:O,$R:$R,$W34)</f>
        <v/>
      </c>
      <c r="Z34" s="848">
        <f>SUMIFS(P:P,$R:$R,$W34)</f>
        <v/>
      </c>
      <c r="AA34" s="848">
        <f>SUMIFS(Q:Q,$R:$R,$W34)</f>
        <v/>
      </c>
      <c r="AB34" s="848">
        <f>SUM(X34:AA34)</f>
        <v/>
      </c>
      <c r="AH34" s="20" t="inlineStr">
        <is>
          <t xml:space="preserve">            (나) 채 권 </t>
        </is>
      </c>
      <c r="AI34" s="847" t="n">
        <v>80054741433</v>
      </c>
      <c r="AJ34" s="696" t="inlineStr">
        <is>
          <t>해외채권</t>
        </is>
      </c>
    </row>
    <row r="35">
      <c r="A35" s="696" t="n">
        <v>34</v>
      </c>
      <c r="B35" s="34" t="inlineStr">
        <is>
          <t xml:space="preserve">　　　　　　          (2) 기타</t>
        </is>
      </c>
      <c r="D35" s="33" t="n">
        <v>99951860797</v>
      </c>
      <c r="E35" s="34" t="n">
        <v>0</v>
      </c>
      <c r="F35" s="34" t="n">
        <v>0</v>
      </c>
      <c r="G35" s="34" t="n">
        <v>0</v>
      </c>
      <c r="H35" s="147" t="n">
        <v>99951860797</v>
      </c>
      <c r="I35" s="34" t="n">
        <v>0</v>
      </c>
      <c r="J35" s="34" t="n">
        <v>0</v>
      </c>
      <c r="K35" s="34" t="n">
        <v>0</v>
      </c>
      <c r="L35" s="34" t="n">
        <v>0</v>
      </c>
      <c r="M35" s="33" t="n">
        <v>99951860797</v>
      </c>
      <c r="N35" s="17">
        <f>+M35+I35+J35</f>
        <v/>
      </c>
      <c r="O35" s="17">
        <f>+F35</f>
        <v/>
      </c>
      <c r="P35" s="17">
        <f>+K35+L35</f>
        <v/>
      </c>
      <c r="Q35" s="17">
        <f>+G35</f>
        <v/>
      </c>
      <c r="S35" s="16">
        <f>+SUM(N35:Q35)-H35</f>
        <v/>
      </c>
      <c r="W35" s="696" t="inlineStr">
        <is>
          <t>외화수익증권</t>
        </is>
      </c>
      <c r="X35" s="848">
        <f>SUMIFS(N:N,$R:$R,$W35)</f>
        <v/>
      </c>
      <c r="Y35" s="848">
        <f>SUMIFS(O:O,$R:$R,$W35)</f>
        <v/>
      </c>
      <c r="Z35" s="848">
        <f>SUMIFS(P:P,$R:$R,$W35)</f>
        <v/>
      </c>
      <c r="AA35" s="848">
        <f>SUMIFS(Q:Q,$R:$R,$W35)</f>
        <v/>
      </c>
      <c r="AB35" s="848">
        <f>SUM(X35:AA35)</f>
        <v/>
      </c>
      <c r="AH35" s="20" t="inlineStr">
        <is>
          <t xml:space="preserve">            (다) 수익증권</t>
        </is>
      </c>
      <c r="AI35" s="847" t="n">
        <v>2469187361181</v>
      </c>
      <c r="AJ35" s="696" t="inlineStr">
        <is>
          <t>외화수익증권</t>
        </is>
      </c>
    </row>
    <row r="36">
      <c r="A36" s="696" t="n">
        <v>35</v>
      </c>
      <c r="B36" s="34" t="inlineStr">
        <is>
          <t xml:space="preserve">　　　　　         나.출 자 금</t>
        </is>
      </c>
      <c r="D36" s="33" t="n">
        <v>72780568642</v>
      </c>
      <c r="E36" s="34" t="n">
        <v>0</v>
      </c>
      <c r="F36" s="34" t="n">
        <v>0</v>
      </c>
      <c r="G36" s="34" t="n">
        <v>0</v>
      </c>
      <c r="H36" s="147" t="n">
        <v>72780568642</v>
      </c>
      <c r="I36" s="34" t="n">
        <v>0</v>
      </c>
      <c r="J36" s="34" t="n">
        <v>0</v>
      </c>
      <c r="K36" s="34" t="n">
        <v>0</v>
      </c>
      <c r="L36" s="33" t="n">
        <v>5839049083</v>
      </c>
      <c r="M36" s="33" t="n">
        <v>66941519559</v>
      </c>
      <c r="N36" s="17">
        <f>+M36+I36+J36</f>
        <v/>
      </c>
      <c r="O36" s="17">
        <f>+F36</f>
        <v/>
      </c>
      <c r="P36" s="17">
        <f>+K36+L36</f>
        <v/>
      </c>
      <c r="Q36" s="17">
        <f>+G36</f>
        <v/>
      </c>
      <c r="R36" s="14" t="inlineStr">
        <is>
          <t>주식/출자금</t>
        </is>
      </c>
      <c r="S36" s="16">
        <f>+SUM(N36:Q36)-H36</f>
        <v/>
      </c>
      <c r="U36" s="642" t="n"/>
      <c r="V36" s="642" t="n"/>
      <c r="W36" s="642" t="inlineStr">
        <is>
          <t>기타</t>
        </is>
      </c>
      <c r="X36" s="786">
        <f>SUMIFS(N:N,$R:$R,$W36)</f>
        <v/>
      </c>
      <c r="Y36" s="786">
        <f>SUMIFS(O:O,$R:$R,$W36)</f>
        <v/>
      </c>
      <c r="Z36" s="786">
        <f>SUMIFS(P:P,$R:$R,$W36)</f>
        <v/>
      </c>
      <c r="AA36" s="786">
        <f>SUMIFS(Q:Q,$R:$R,$W36)</f>
        <v/>
      </c>
      <c r="AB36" s="786">
        <f>SUM(X36:AA36)</f>
        <v/>
      </c>
      <c r="AH36" s="20" t="inlineStr">
        <is>
          <t xml:space="preserve">            (라) 신종유가증권</t>
        </is>
      </c>
      <c r="AI36" s="847" t="n">
        <v>0</v>
      </c>
    </row>
    <row r="37">
      <c r="A37" s="696" t="n">
        <v>36</v>
      </c>
      <c r="B37" s="34" t="inlineStr">
        <is>
          <t xml:space="preserve">　　　　　         다.국·공채</t>
        </is>
      </c>
      <c r="D37" s="33" t="n">
        <v>116775029075</v>
      </c>
      <c r="E37" s="34" t="n">
        <v>0</v>
      </c>
      <c r="F37" s="34" t="n">
        <v>0</v>
      </c>
      <c r="G37" s="34" t="n">
        <v>0</v>
      </c>
      <c r="H37" s="147" t="n">
        <v>116775029075</v>
      </c>
      <c r="I37" s="34" t="n">
        <v>0</v>
      </c>
      <c r="J37" s="33" t="n">
        <v>27813370080</v>
      </c>
      <c r="K37" s="33" t="n">
        <v>997858400</v>
      </c>
      <c r="L37" s="34" t="n">
        <v>0</v>
      </c>
      <c r="M37" s="33" t="n">
        <v>87963800595</v>
      </c>
      <c r="N37" s="17">
        <f>+M37+I37+J37</f>
        <v/>
      </c>
      <c r="O37" s="17">
        <f>+F37</f>
        <v/>
      </c>
      <c r="P37" s="17">
        <f>+K37+L37</f>
        <v/>
      </c>
      <c r="Q37" s="17">
        <f>+G37</f>
        <v/>
      </c>
      <c r="R37" s="14" t="inlineStr">
        <is>
          <t>국내채권</t>
        </is>
      </c>
      <c r="S37" s="16">
        <f>+SUM(N37:Q37)-H37</f>
        <v/>
      </c>
      <c r="U37" s="642" t="n"/>
      <c r="V37" s="642" t="n"/>
      <c r="W37" s="642" t="inlineStr">
        <is>
          <t>FVOCI</t>
        </is>
      </c>
      <c r="X37" s="848">
        <f>SUMIFS(N:N,$R:$R,$W37)</f>
        <v/>
      </c>
      <c r="Y37" s="848">
        <f>SUMIFS(O:O,$R:$R,$W37)</f>
        <v/>
      </c>
      <c r="Z37" s="848">
        <f>SUMIFS(P:P,$R:$R,$W37)</f>
        <v/>
      </c>
      <c r="AA37" s="848">
        <f>SUMIFS(Q:Q,$R:$R,$W37)</f>
        <v/>
      </c>
      <c r="AB37" s="848">
        <f>SUM(X37:AA37)</f>
        <v/>
      </c>
      <c r="AH37" s="20" t="inlineStr">
        <is>
          <t xml:space="preserve">            (마) 기타유가증권</t>
        </is>
      </c>
      <c r="AI37" s="847" t="n">
        <v>0</v>
      </c>
    </row>
    <row r="38">
      <c r="A38" s="696" t="n">
        <v>37</v>
      </c>
      <c r="B38" s="34" t="inlineStr">
        <is>
          <t xml:space="preserve">　　　　　　          (1) 국  채</t>
        </is>
      </c>
      <c r="D38" s="33" t="n">
        <v>116775029075</v>
      </c>
      <c r="E38" s="34" t="n">
        <v>0</v>
      </c>
      <c r="F38" s="34" t="n">
        <v>0</v>
      </c>
      <c r="G38" s="34" t="n">
        <v>0</v>
      </c>
      <c r="H38" s="147" t="n">
        <v>116775029075</v>
      </c>
      <c r="I38" s="34" t="n">
        <v>0</v>
      </c>
      <c r="J38" s="33" t="n">
        <v>27813370080</v>
      </c>
      <c r="K38" s="33" t="n">
        <v>997858400</v>
      </c>
      <c r="L38" s="34" t="n">
        <v>0</v>
      </c>
      <c r="M38" s="33" t="n">
        <v>87963800595</v>
      </c>
      <c r="N38" s="17">
        <f>+M38+I38+J38</f>
        <v/>
      </c>
      <c r="O38" s="17">
        <f>+F38</f>
        <v/>
      </c>
      <c r="P38" s="17">
        <f>+K38+L38</f>
        <v/>
      </c>
      <c r="Q38" s="17">
        <f>+G38</f>
        <v/>
      </c>
      <c r="S38" s="16">
        <f>+SUM(N38:Q38)-H38</f>
        <v/>
      </c>
      <c r="U38" s="642" t="n"/>
      <c r="W38" s="696" t="inlineStr">
        <is>
          <t>AC</t>
        </is>
      </c>
      <c r="X38" s="848">
        <f>SUMIFS(N:N,$R:$R,$W38)</f>
        <v/>
      </c>
      <c r="Y38" s="848">
        <f>SUMIFS(O:O,$R:$R,$W38)</f>
        <v/>
      </c>
      <c r="Z38" s="848">
        <f>SUMIFS(P:P,$R:$R,$W38)</f>
        <v/>
      </c>
      <c r="AA38" s="848">
        <f>SUMIFS(Q:Q,$R:$R,$W38)</f>
        <v/>
      </c>
      <c r="AB38" s="848">
        <f>SUM(X38:AA38)</f>
        <v/>
      </c>
      <c r="AH38" s="20" t="inlineStr">
        <is>
          <t xml:space="preserve">            (바) 평가이익조정</t>
        </is>
      </c>
      <c r="AI38" s="847" t="n">
        <v>615909335474</v>
      </c>
    </row>
    <row r="39">
      <c r="A39" s="696" t="n">
        <v>38</v>
      </c>
      <c r="B39" s="34" t="inlineStr">
        <is>
          <t xml:space="preserve">　　　　　　          (2) 공  채</t>
        </is>
      </c>
      <c r="D39" s="34" t="n">
        <v>0</v>
      </c>
      <c r="E39" s="34" t="n">
        <v>0</v>
      </c>
      <c r="F39" s="34" t="n">
        <v>0</v>
      </c>
      <c r="G39" s="34" t="n">
        <v>0</v>
      </c>
      <c r="H39" s="148" t="n">
        <v>0</v>
      </c>
      <c r="I39" s="34" t="n">
        <v>0</v>
      </c>
      <c r="J39" s="34" t="n">
        <v>0</v>
      </c>
      <c r="K39" s="34" t="n">
        <v>0</v>
      </c>
      <c r="L39" s="34" t="n">
        <v>0</v>
      </c>
      <c r="M39" s="34" t="n">
        <v>0</v>
      </c>
      <c r="N39" s="17">
        <f>+M39+I39+J39</f>
        <v/>
      </c>
      <c r="O39" s="17">
        <f>+F39</f>
        <v/>
      </c>
      <c r="P39" s="17">
        <f>+K39+L39</f>
        <v/>
      </c>
      <c r="Q39" s="17">
        <f>+G39</f>
        <v/>
      </c>
      <c r="S39" s="16">
        <f>+SUM(N39:Q39)-H39</f>
        <v/>
      </c>
      <c r="U39" s="642" t="n"/>
      <c r="X39" s="848" t="n"/>
      <c r="Y39" s="848" t="n"/>
      <c r="Z39" s="848" t="n"/>
      <c r="AA39" s="848" t="n"/>
      <c r="AB39" s="848" t="n"/>
      <c r="AH39" s="20" t="inlineStr">
        <is>
          <t xml:space="preserve">          9) 기타 유가증권</t>
        </is>
      </c>
      <c r="AI39" s="847" t="n">
        <v>0</v>
      </c>
      <c r="AJ39" s="696" t="inlineStr">
        <is>
          <t>기타</t>
        </is>
      </c>
    </row>
    <row r="40">
      <c r="A40" s="696" t="n">
        <v>39</v>
      </c>
      <c r="B40" s="34" t="inlineStr">
        <is>
          <t xml:space="preserve">　　　　　         라.특 수 채</t>
        </is>
      </c>
      <c r="D40" s="33" t="n">
        <v>25297099998</v>
      </c>
      <c r="E40" s="34" t="n">
        <v>0</v>
      </c>
      <c r="F40" s="34" t="n">
        <v>0</v>
      </c>
      <c r="G40" s="34" t="n">
        <v>0</v>
      </c>
      <c r="H40" s="147" t="n">
        <v>25297099998</v>
      </c>
      <c r="I40" s="34" t="n">
        <v>0</v>
      </c>
      <c r="J40" s="34" t="n">
        <v>0</v>
      </c>
      <c r="K40" s="34" t="n">
        <v>0</v>
      </c>
      <c r="L40" s="34" t="n">
        <v>0</v>
      </c>
      <c r="M40" s="33" t="n">
        <v>25297099998</v>
      </c>
      <c r="N40" s="17">
        <f>+M40+I40+J40</f>
        <v/>
      </c>
      <c r="O40" s="17">
        <f>+F40</f>
        <v/>
      </c>
      <c r="P40" s="17">
        <f>+K40+L40</f>
        <v/>
      </c>
      <c r="Q40" s="17">
        <f>+G40</f>
        <v/>
      </c>
      <c r="R40" s="14" t="inlineStr">
        <is>
          <t>국내채권</t>
        </is>
      </c>
      <c r="S40" s="16">
        <f>+SUM(N40:Q40)-H40</f>
        <v/>
      </c>
      <c r="U40" s="642" t="n"/>
      <c r="X40" s="848" t="n"/>
      <c r="Y40" s="848" t="n"/>
      <c r="Z40" s="848" t="n"/>
      <c r="AA40" s="848" t="n"/>
      <c r="AB40" s="848" t="n"/>
      <c r="AH40" s="20" t="inlineStr">
        <is>
          <t xml:space="preserve">            (가) 기업어음 등 </t>
        </is>
      </c>
      <c r="AI40" s="847" t="n">
        <v>0</v>
      </c>
    </row>
    <row r="41">
      <c r="A41" s="696" t="n">
        <v>40</v>
      </c>
      <c r="B41" s="34" t="inlineStr">
        <is>
          <t xml:space="preserve">　　　　　         마.금 융 채</t>
        </is>
      </c>
      <c r="D41" s="34" t="n">
        <v>0</v>
      </c>
      <c r="E41" s="34" t="n">
        <v>0</v>
      </c>
      <c r="F41" s="34" t="n">
        <v>0</v>
      </c>
      <c r="G41" s="34" t="n">
        <v>0</v>
      </c>
      <c r="H41" s="148" t="n">
        <v>0</v>
      </c>
      <c r="I41" s="34" t="n">
        <v>0</v>
      </c>
      <c r="J41" s="34" t="n">
        <v>0</v>
      </c>
      <c r="K41" s="34" t="n">
        <v>0</v>
      </c>
      <c r="L41" s="34" t="n">
        <v>0</v>
      </c>
      <c r="M41" s="34" t="n">
        <v>0</v>
      </c>
      <c r="N41" s="17">
        <f>+M41+I41+J41</f>
        <v/>
      </c>
      <c r="O41" s="17">
        <f>+F41</f>
        <v/>
      </c>
      <c r="P41" s="17">
        <f>+K41+L41</f>
        <v/>
      </c>
      <c r="Q41" s="17">
        <f>+G41</f>
        <v/>
      </c>
      <c r="R41" s="14" t="inlineStr">
        <is>
          <t>국내채권</t>
        </is>
      </c>
      <c r="S41" s="16">
        <f>+SUM(N41:Q41)-H41</f>
        <v/>
      </c>
      <c r="U41" s="642" t="n"/>
      <c r="AH41" s="20" t="inlineStr">
        <is>
          <t xml:space="preserve">        (2) 당기손익-공정가치측정지정금융자산 </t>
        </is>
      </c>
      <c r="AI41" s="847" t="n">
        <v>0</v>
      </c>
    </row>
    <row r="42">
      <c r="A42" s="696" t="n">
        <v>41</v>
      </c>
      <c r="B42" s="34" t="inlineStr">
        <is>
          <t xml:space="preserve">　　　　　         바.회 사 채</t>
        </is>
      </c>
      <c r="D42" s="34" t="n">
        <v>0</v>
      </c>
      <c r="E42" s="34" t="n">
        <v>0</v>
      </c>
      <c r="F42" s="34" t="n">
        <v>0</v>
      </c>
      <c r="G42" s="34" t="n">
        <v>0</v>
      </c>
      <c r="H42" s="148" t="n">
        <v>0</v>
      </c>
      <c r="I42" s="34" t="n">
        <v>0</v>
      </c>
      <c r="J42" s="34" t="n">
        <v>0</v>
      </c>
      <c r="K42" s="34" t="n">
        <v>0</v>
      </c>
      <c r="L42" s="34" t="n">
        <v>0</v>
      </c>
      <c r="M42" s="34" t="n">
        <v>0</v>
      </c>
      <c r="N42" s="17">
        <f>+M42+I42+J42</f>
        <v/>
      </c>
      <c r="O42" s="17">
        <f>+F42</f>
        <v/>
      </c>
      <c r="P42" s="17">
        <f>+K42+L42</f>
        <v/>
      </c>
      <c r="Q42" s="17">
        <f>+G42</f>
        <v/>
      </c>
      <c r="R42" s="14" t="inlineStr">
        <is>
          <t>국내채권</t>
        </is>
      </c>
      <c r="S42" s="16">
        <f>+SUM(N42:Q42)-H42</f>
        <v/>
      </c>
      <c r="U42" s="642" t="n"/>
      <c r="AH42" s="20" t="inlineStr">
        <is>
          <t xml:space="preserve">          1) 주 식 </t>
        </is>
      </c>
      <c r="AI42" s="847" t="n">
        <v>0</v>
      </c>
    </row>
    <row r="43">
      <c r="A43" s="696" t="n">
        <v>42</v>
      </c>
      <c r="B43" s="34" t="inlineStr">
        <is>
          <t xml:space="preserve">　　　　　　          (1) 보증사채</t>
        </is>
      </c>
      <c r="D43" s="34" t="n">
        <v>0</v>
      </c>
      <c r="E43" s="34" t="n">
        <v>0</v>
      </c>
      <c r="F43" s="34" t="n">
        <v>0</v>
      </c>
      <c r="G43" s="34" t="n">
        <v>0</v>
      </c>
      <c r="H43" s="148" t="n">
        <v>0</v>
      </c>
      <c r="I43" s="34" t="n">
        <v>0</v>
      </c>
      <c r="J43" s="34" t="n">
        <v>0</v>
      </c>
      <c r="K43" s="34" t="n">
        <v>0</v>
      </c>
      <c r="L43" s="34" t="n">
        <v>0</v>
      </c>
      <c r="M43" s="34" t="n">
        <v>0</v>
      </c>
      <c r="N43" s="17">
        <f>+M43+I43+J43</f>
        <v/>
      </c>
      <c r="O43" s="17">
        <f>+F43</f>
        <v/>
      </c>
      <c r="P43" s="17">
        <f>+K43+L43</f>
        <v/>
      </c>
      <c r="Q43" s="17">
        <f>+G43</f>
        <v/>
      </c>
      <c r="S43" s="16">
        <f>+SUM(N43:Q43)-H43</f>
        <v/>
      </c>
      <c r="U43" s="642" t="n"/>
      <c r="AH43" s="20" t="inlineStr">
        <is>
          <t xml:space="preserve">             (가) 상장주식</t>
        </is>
      </c>
      <c r="AI43" s="847" t="n">
        <v>0</v>
      </c>
    </row>
    <row r="44">
      <c r="A44" s="696" t="n">
        <v>43</v>
      </c>
      <c r="B44" s="34" t="inlineStr">
        <is>
          <t xml:space="preserve">　　　　　　          (2) 무보증사채</t>
        </is>
      </c>
      <c r="D44" s="34" t="n">
        <v>0</v>
      </c>
      <c r="E44" s="34" t="n">
        <v>0</v>
      </c>
      <c r="F44" s="34" t="n">
        <v>0</v>
      </c>
      <c r="G44" s="34" t="n">
        <v>0</v>
      </c>
      <c r="H44" s="148" t="n">
        <v>0</v>
      </c>
      <c r="I44" s="34" t="n">
        <v>0</v>
      </c>
      <c r="J44" s="34" t="n">
        <v>0</v>
      </c>
      <c r="K44" s="34" t="n">
        <v>0</v>
      </c>
      <c r="L44" s="34" t="n">
        <v>0</v>
      </c>
      <c r="M44" s="34" t="n">
        <v>0</v>
      </c>
      <c r="N44" s="17">
        <f>+M44+I44+J44</f>
        <v/>
      </c>
      <c r="O44" s="17">
        <f>+F44</f>
        <v/>
      </c>
      <c r="P44" s="17">
        <f>+K44+L44</f>
        <v/>
      </c>
      <c r="Q44" s="17">
        <f>+G44</f>
        <v/>
      </c>
      <c r="S44" s="16">
        <f>+SUM(N44:Q44)-H44</f>
        <v/>
      </c>
      <c r="U44" s="642" t="n"/>
      <c r="AH44" s="20" t="inlineStr">
        <is>
          <t xml:space="preserve">             (나) 기타주식</t>
        </is>
      </c>
      <c r="AI44" s="847" t="n">
        <v>0</v>
      </c>
    </row>
    <row r="45">
      <c r="A45" s="696" t="n">
        <v>44</v>
      </c>
      <c r="B45" s="34" t="inlineStr">
        <is>
          <t xml:space="preserve">　　　　　         사.수익증권</t>
        </is>
      </c>
      <c r="D45" s="33" t="n">
        <v>9936326647363</v>
      </c>
      <c r="E45" s="34" t="n">
        <v>0</v>
      </c>
      <c r="F45" s="33" t="n">
        <v>6168830802777</v>
      </c>
      <c r="G45" s="33" t="n">
        <v>91445068345</v>
      </c>
      <c r="H45" s="147" t="n">
        <v>3676050776241</v>
      </c>
      <c r="I45" s="33" t="n">
        <v>43788959224</v>
      </c>
      <c r="J45" s="33" t="n">
        <v>3108328900</v>
      </c>
      <c r="K45" s="34" t="n">
        <v>0</v>
      </c>
      <c r="L45" s="33" t="n">
        <v>366677173356</v>
      </c>
      <c r="M45" s="33" t="n">
        <v>3262476314761</v>
      </c>
      <c r="N45" s="17">
        <f>+M45+I45+J45</f>
        <v/>
      </c>
      <c r="O45" s="17">
        <f>+F45</f>
        <v/>
      </c>
      <c r="P45" s="17">
        <f>+K45+L45</f>
        <v/>
      </c>
      <c r="Q45" s="17">
        <f>+G45</f>
        <v/>
      </c>
      <c r="R45" s="14" t="inlineStr">
        <is>
          <t>수익증권</t>
        </is>
      </c>
      <c r="S45" s="16">
        <f>+SUM(N45:Q45)-H45</f>
        <v/>
      </c>
      <c r="U45" s="642" t="n"/>
      <c r="AH45" s="20" t="inlineStr">
        <is>
          <t xml:space="preserve">             (다) 단기매매기타주식-기타</t>
        </is>
      </c>
      <c r="AI45" s="847" t="n">
        <v>0</v>
      </c>
    </row>
    <row r="46">
      <c r="A46" s="696" t="n">
        <v>45</v>
      </c>
      <c r="B46" s="34" t="inlineStr">
        <is>
          <t xml:space="preserve">　　　　　         아.외화표시유가증권</t>
        </is>
      </c>
      <c r="D46" s="33" t="n">
        <v>6566836224536</v>
      </c>
      <c r="E46" s="34" t="n">
        <v>0</v>
      </c>
      <c r="F46" s="33" t="n">
        <v>6240205012924</v>
      </c>
      <c r="G46" s="33" t="n">
        <v>227954504637</v>
      </c>
      <c r="H46" s="147" t="n">
        <v>98676706975</v>
      </c>
      <c r="I46" s="34" t="n">
        <v>0</v>
      </c>
      <c r="J46" s="34" t="n">
        <v>0</v>
      </c>
      <c r="K46" s="34" t="n">
        <v>0</v>
      </c>
      <c r="L46" s="33" t="n">
        <v>95729125351</v>
      </c>
      <c r="M46" s="33" t="n">
        <v>2947581624</v>
      </c>
      <c r="N46" s="17">
        <f>+M46+I46+J46</f>
        <v/>
      </c>
      <c r="O46" s="17">
        <f>+F46</f>
        <v/>
      </c>
      <c r="P46" s="17">
        <f>+K46+L46</f>
        <v/>
      </c>
      <c r="Q46" s="17">
        <f>+G46</f>
        <v/>
      </c>
      <c r="S46" s="16">
        <f>+SUM(N46:Q46)-H46</f>
        <v/>
      </c>
      <c r="U46" s="642" t="n"/>
      <c r="AH46" s="20" t="inlineStr">
        <is>
          <t xml:space="preserve">          2) 국ㆍ 공채</t>
        </is>
      </c>
      <c r="AI46" s="847" t="n">
        <v>0</v>
      </c>
    </row>
    <row r="47">
      <c r="A47" s="696" t="n">
        <v>46</v>
      </c>
      <c r="B47" s="34" t="inlineStr">
        <is>
          <t xml:space="preserve">　　　　　　          (1) 주식</t>
        </is>
      </c>
      <c r="D47" s="33" t="n">
        <v>2760419168841</v>
      </c>
      <c r="E47" s="34" t="n">
        <v>0</v>
      </c>
      <c r="F47" s="33" t="n">
        <v>2639770186137</v>
      </c>
      <c r="G47" s="33" t="n">
        <v>111195885898</v>
      </c>
      <c r="H47" s="147" t="n">
        <v>9453096806</v>
      </c>
      <c r="I47" s="34" t="n">
        <v>0</v>
      </c>
      <c r="J47" s="34" t="n">
        <v>0</v>
      </c>
      <c r="K47" s="34" t="n">
        <v>0</v>
      </c>
      <c r="L47" s="33" t="n">
        <v>6505515182</v>
      </c>
      <c r="M47" s="33" t="n">
        <v>2947581624</v>
      </c>
      <c r="N47" s="17">
        <f>+M47+I47+J47</f>
        <v/>
      </c>
      <c r="O47" s="17">
        <f>+F47</f>
        <v/>
      </c>
      <c r="P47" s="17">
        <f>+K47+L47</f>
        <v/>
      </c>
      <c r="Q47" s="17">
        <f>+G47</f>
        <v/>
      </c>
      <c r="R47" s="14" t="inlineStr">
        <is>
          <t>해외주식</t>
        </is>
      </c>
      <c r="S47" s="16">
        <f>+SUM(N47:Q47)-H47</f>
        <v/>
      </c>
      <c r="U47" s="642" t="n"/>
      <c r="AH47" s="20" t="inlineStr">
        <is>
          <t xml:space="preserve">             (가) 국 채 </t>
        </is>
      </c>
      <c r="AI47" s="847" t="n">
        <v>0</v>
      </c>
    </row>
    <row r="48">
      <c r="A48" s="696" t="n">
        <v>47</v>
      </c>
      <c r="B48" s="34" t="inlineStr">
        <is>
          <t xml:space="preserve">　　　　　　          (2) 채권</t>
        </is>
      </c>
      <c r="D48" s="33" t="n">
        <v>89223610169</v>
      </c>
      <c r="E48" s="34" t="n">
        <v>0</v>
      </c>
      <c r="F48" s="34" t="n">
        <v>0</v>
      </c>
      <c r="G48" s="34" t="n">
        <v>0</v>
      </c>
      <c r="H48" s="147" t="n">
        <v>89223610169</v>
      </c>
      <c r="I48" s="34" t="n">
        <v>0</v>
      </c>
      <c r="J48" s="34" t="n">
        <v>0</v>
      </c>
      <c r="K48" s="34" t="n">
        <v>0</v>
      </c>
      <c r="L48" s="33" t="n">
        <v>89223610169</v>
      </c>
      <c r="M48" s="34" t="n">
        <v>0</v>
      </c>
      <c r="N48" s="17">
        <f>+M48+I48+J48</f>
        <v/>
      </c>
      <c r="O48" s="17">
        <f>+F48</f>
        <v/>
      </c>
      <c r="P48" s="17">
        <f>+K48+L48</f>
        <v/>
      </c>
      <c r="Q48" s="17">
        <f>+G48</f>
        <v/>
      </c>
      <c r="R48" s="14" t="inlineStr">
        <is>
          <t>해외채권</t>
        </is>
      </c>
      <c r="S48" s="16">
        <f>+SUM(N48:Q48)-H48</f>
        <v/>
      </c>
      <c r="U48" s="642" t="n"/>
      <c r="AH48" s="20" t="inlineStr">
        <is>
          <t xml:space="preserve">             (나) 공 채 </t>
        </is>
      </c>
      <c r="AI48" s="847" t="n">
        <v>0</v>
      </c>
    </row>
    <row r="49">
      <c r="A49" s="696" t="n">
        <v>48</v>
      </c>
      <c r="B49" s="34" t="inlineStr">
        <is>
          <t xml:space="preserve">　　　　　　          (3) 수익증권</t>
        </is>
      </c>
      <c r="D49" s="33" t="n">
        <v>3717193445526</v>
      </c>
      <c r="E49" s="34" t="n">
        <v>0</v>
      </c>
      <c r="F49" s="33" t="n">
        <v>3600434826787</v>
      </c>
      <c r="G49" s="33" t="n">
        <v>116758618739</v>
      </c>
      <c r="H49" s="148" t="n">
        <v>0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17">
        <f>+M49+I49+J49</f>
        <v/>
      </c>
      <c r="O49" s="17">
        <f>+F49</f>
        <v/>
      </c>
      <c r="P49" s="17">
        <f>+K49+L49</f>
        <v/>
      </c>
      <c r="Q49" s="17">
        <f>+G49</f>
        <v/>
      </c>
      <c r="R49" s="14" t="inlineStr">
        <is>
          <t>외화수익증권</t>
        </is>
      </c>
      <c r="S49" s="16">
        <f>+SUM(N49:Q49)-H49</f>
        <v/>
      </c>
      <c r="U49" s="642" t="n"/>
      <c r="AH49" s="20" t="inlineStr">
        <is>
          <t xml:space="preserve">          3) 특 수 채 </t>
        </is>
      </c>
      <c r="AI49" s="847" t="n">
        <v>0</v>
      </c>
    </row>
    <row r="50">
      <c r="A50" s="696" t="n">
        <v>49</v>
      </c>
      <c r="B50" s="34" t="inlineStr">
        <is>
          <t xml:space="preserve">　　　　　　          (4) 신종유가증권</t>
        </is>
      </c>
      <c r="D50" s="34" t="n">
        <v>0</v>
      </c>
      <c r="E50" s="34" t="n">
        <v>0</v>
      </c>
      <c r="F50" s="34" t="n">
        <v>0</v>
      </c>
      <c r="G50" s="34" t="n">
        <v>0</v>
      </c>
      <c r="H50" s="148" t="n">
        <v>0</v>
      </c>
      <c r="I50" s="34" t="n">
        <v>0</v>
      </c>
      <c r="J50" s="34" t="n">
        <v>0</v>
      </c>
      <c r="K50" s="34" t="n">
        <v>0</v>
      </c>
      <c r="L50" s="34" t="n">
        <v>0</v>
      </c>
      <c r="M50" s="34" t="n">
        <v>0</v>
      </c>
      <c r="N50" s="17">
        <f>+M50+I50+J50</f>
        <v/>
      </c>
      <c r="O50" s="17">
        <f>+F50</f>
        <v/>
      </c>
      <c r="P50" s="17">
        <f>+K50+L50</f>
        <v/>
      </c>
      <c r="Q50" s="17">
        <f>+G50</f>
        <v/>
      </c>
      <c r="S50" s="16">
        <f>+SUM(N50:Q50)-H50</f>
        <v/>
      </c>
      <c r="V50" s="642" t="n"/>
      <c r="W50" s="642" t="n"/>
      <c r="X50" s="642" t="n"/>
      <c r="Y50" s="642" t="n"/>
      <c r="Z50" s="642" t="n"/>
      <c r="AA50" s="642" t="n"/>
      <c r="AB50" s="642" t="n"/>
      <c r="AH50" s="20" t="inlineStr">
        <is>
          <t xml:space="preserve">          4) 금 융 채 </t>
        </is>
      </c>
      <c r="AI50" s="847" t="n">
        <v>0</v>
      </c>
    </row>
    <row r="51">
      <c r="A51" s="696" t="n">
        <v>50</v>
      </c>
      <c r="B51" s="34" t="inlineStr">
        <is>
          <t xml:space="preserve">　　　　　　          (5) 기타유가증권</t>
        </is>
      </c>
      <c r="D51" s="34" t="n">
        <v>0</v>
      </c>
      <c r="E51" s="34" t="n">
        <v>0</v>
      </c>
      <c r="F51" s="34" t="n">
        <v>0</v>
      </c>
      <c r="G51" s="34" t="n">
        <v>0</v>
      </c>
      <c r="H51" s="148" t="n">
        <v>0</v>
      </c>
      <c r="I51" s="34" t="n">
        <v>0</v>
      </c>
      <c r="J51" s="34" t="n">
        <v>0</v>
      </c>
      <c r="K51" s="34" t="n">
        <v>0</v>
      </c>
      <c r="L51" s="34" t="n">
        <v>0</v>
      </c>
      <c r="M51" s="34" t="n">
        <v>0</v>
      </c>
      <c r="N51" s="17">
        <f>+M51+I51+J51</f>
        <v/>
      </c>
      <c r="O51" s="17">
        <f>+F51</f>
        <v/>
      </c>
      <c r="P51" s="17">
        <f>+K51+L51</f>
        <v/>
      </c>
      <c r="Q51" s="17">
        <f>+G51</f>
        <v/>
      </c>
      <c r="S51" s="16">
        <f>+SUM(N51:Q51)-H51</f>
        <v/>
      </c>
      <c r="AH51" s="20" t="inlineStr">
        <is>
          <t xml:space="preserve">          5) 회 사 채 </t>
        </is>
      </c>
      <c r="AI51" s="847" t="n">
        <v>0</v>
      </c>
    </row>
    <row r="52">
      <c r="A52" s="696" t="n">
        <v>51</v>
      </c>
      <c r="B52" s="34" t="inlineStr">
        <is>
          <t xml:space="preserve">　　　　　         자.기타유가증권</t>
        </is>
      </c>
      <c r="D52" s="34" t="n">
        <v>0</v>
      </c>
      <c r="E52" s="34" t="n">
        <v>0</v>
      </c>
      <c r="F52" s="34" t="n">
        <v>0</v>
      </c>
      <c r="G52" s="34" t="n">
        <v>0</v>
      </c>
      <c r="H52" s="148" t="n">
        <v>0</v>
      </c>
      <c r="I52" s="34" t="n">
        <v>0</v>
      </c>
      <c r="J52" s="34" t="n">
        <v>0</v>
      </c>
      <c r="K52" s="34" t="n">
        <v>0</v>
      </c>
      <c r="L52" s="34" t="n">
        <v>0</v>
      </c>
      <c r="M52" s="34" t="n">
        <v>0</v>
      </c>
      <c r="N52" s="17">
        <f>+M52+I52+J52</f>
        <v/>
      </c>
      <c r="O52" s="17">
        <f>+F52</f>
        <v/>
      </c>
      <c r="P52" s="17">
        <f>+K52+L52</f>
        <v/>
      </c>
      <c r="Q52" s="17">
        <f>+G52</f>
        <v/>
      </c>
      <c r="R52" s="14" t="inlineStr">
        <is>
          <t>기타</t>
        </is>
      </c>
      <c r="S52" s="16">
        <f>+SUM(N52:Q52)-H52</f>
        <v/>
      </c>
      <c r="AH52" s="20" t="inlineStr">
        <is>
          <t xml:space="preserve">             (가) 보증사채</t>
        </is>
      </c>
      <c r="AI52" s="847" t="n">
        <v>0</v>
      </c>
    </row>
    <row r="53">
      <c r="A53" s="696" t="n">
        <v>52</v>
      </c>
      <c r="B53" s="34" t="inlineStr">
        <is>
          <t xml:space="preserve">　　　　      [당기손익-공정가치측정지정금융자산]</t>
        </is>
      </c>
      <c r="D53" s="34" t="n">
        <v>0</v>
      </c>
      <c r="E53" s="34" t="n">
        <v>0</v>
      </c>
      <c r="F53" s="34" t="n">
        <v>0</v>
      </c>
      <c r="G53" s="34" t="n">
        <v>0</v>
      </c>
      <c r="H53" s="148" t="n">
        <v>0</v>
      </c>
      <c r="I53" s="34" t="n">
        <v>0</v>
      </c>
      <c r="J53" s="34" t="n">
        <v>0</v>
      </c>
      <c r="K53" s="34" t="n">
        <v>0</v>
      </c>
      <c r="L53" s="34" t="n">
        <v>0</v>
      </c>
      <c r="M53" s="34" t="n">
        <v>0</v>
      </c>
      <c r="N53" s="17">
        <f>+M53+I53+J53</f>
        <v/>
      </c>
      <c r="O53" s="17">
        <f>+F53</f>
        <v/>
      </c>
      <c r="P53" s="17">
        <f>+K53+L53</f>
        <v/>
      </c>
      <c r="Q53" s="17">
        <f>+G53</f>
        <v/>
      </c>
      <c r="S53" s="16">
        <f>+SUM(N53:Q53)-H53</f>
        <v/>
      </c>
      <c r="V53" s="22" t="inlineStr">
        <is>
          <t>□ 당사 FVPL 자산 현황</t>
        </is>
      </c>
      <c r="W53" s="642" t="n"/>
      <c r="X53" s="642" t="n"/>
      <c r="Y53" s="642" t="n"/>
      <c r="Z53" s="642" t="n"/>
      <c r="AA53" s="642" t="n"/>
      <c r="AB53" s="642" t="n"/>
      <c r="AH53" s="20" t="inlineStr">
        <is>
          <t xml:space="preserve">             (나) 무보증사채 </t>
        </is>
      </c>
      <c r="AI53" s="847" t="n">
        <v>0</v>
      </c>
    </row>
    <row r="54">
      <c r="A54" s="696" t="n">
        <v>53</v>
      </c>
      <c r="B54" s="34" t="inlineStr">
        <is>
          <t xml:space="preserve">　　　      2-2.기타포괄손익-공정가치측정유가증권</t>
        </is>
      </c>
      <c r="D54" s="33" t="n">
        <v>11663557366015</v>
      </c>
      <c r="E54" s="34" t="n">
        <v>0</v>
      </c>
      <c r="F54" s="34" t="n">
        <v>0</v>
      </c>
      <c r="G54" s="34" t="n">
        <v>0</v>
      </c>
      <c r="H54" s="147" t="n">
        <v>11663557366015</v>
      </c>
      <c r="I54" s="33" t="n">
        <v>1317329907423</v>
      </c>
      <c r="J54" s="34" t="n">
        <v>0</v>
      </c>
      <c r="K54" s="34" t="n">
        <v>0</v>
      </c>
      <c r="L54" s="33" t="n">
        <v>1039363952202</v>
      </c>
      <c r="M54" s="33" t="n">
        <v>9306863506390</v>
      </c>
      <c r="N54" s="17">
        <f>+M54+I54+J54</f>
        <v/>
      </c>
      <c r="O54" s="17">
        <f>+F54</f>
        <v/>
      </c>
      <c r="P54" s="17">
        <f>+K54+L54</f>
        <v/>
      </c>
      <c r="Q54" s="17">
        <f>+G54</f>
        <v/>
      </c>
      <c r="R54" s="14" t="inlineStr">
        <is>
          <t>FVOCI</t>
        </is>
      </c>
      <c r="S54" s="16">
        <f>+SUM(N54:Q54)-H54</f>
        <v/>
      </c>
      <c r="W54" s="642" t="n"/>
      <c r="X54" s="642" t="n"/>
      <c r="Y54" s="642" t="n"/>
      <c r="Z54" s="642" t="n"/>
      <c r="AA54" s="642" t="n"/>
      <c r="AB54" s="212" t="inlineStr">
        <is>
          <t>(단위 :억원)</t>
        </is>
      </c>
      <c r="AH54" s="20" t="inlineStr">
        <is>
          <t xml:space="preserve">          6) 수익증권</t>
        </is>
      </c>
      <c r="AI54" s="847" t="n">
        <v>0</v>
      </c>
    </row>
    <row r="55" ht="30" customHeight="1" s="760">
      <c r="A55" s="696" t="n">
        <v>54</v>
      </c>
      <c r="B55" s="34" t="inlineStr">
        <is>
          <t xml:space="preserve">　　　　         가.주 식</t>
        </is>
      </c>
      <c r="D55" s="34" t="n">
        <v>0</v>
      </c>
      <c r="E55" s="34" t="n">
        <v>0</v>
      </c>
      <c r="F55" s="34" t="n">
        <v>0</v>
      </c>
      <c r="G55" s="34" t="n">
        <v>0</v>
      </c>
      <c r="H55" s="148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0</v>
      </c>
      <c r="N55" s="17">
        <f>+M55+I55+J55</f>
        <v/>
      </c>
      <c r="O55" s="17">
        <f>+F55</f>
        <v/>
      </c>
      <c r="P55" s="17">
        <f>+K55+L55</f>
        <v/>
      </c>
      <c r="Q55" s="17">
        <f>+G55</f>
        <v/>
      </c>
      <c r="S55" s="16">
        <f>+SUM(N55:Q55)-H55</f>
        <v/>
      </c>
      <c r="V55" s="692" t="inlineStr">
        <is>
          <t>구분</t>
        </is>
      </c>
      <c r="W55" s="693" t="n"/>
      <c r="X55" s="23" t="inlineStr">
        <is>
          <t>일반계정
(신개인/자산연계 포함)</t>
        </is>
      </c>
      <c r="Y55" s="215" t="inlineStr">
        <is>
          <t>변액보험</t>
        </is>
      </c>
      <c r="Z55" s="23" t="inlineStr">
        <is>
          <t>퇴직보험/
퇴직연금(원리금보장)</t>
        </is>
      </c>
      <c r="AA55" s="23" t="inlineStr">
        <is>
          <t>퇴직연금
(실적배당형)</t>
        </is>
      </c>
      <c r="AB55" s="24" t="inlineStr">
        <is>
          <t>합계</t>
        </is>
      </c>
      <c r="AC55" s="696" t="inlineStr">
        <is>
          <t>공시용</t>
        </is>
      </c>
      <c r="AH55" s="20" t="inlineStr">
        <is>
          <t xml:space="preserve">          7) 외화 유가증권</t>
        </is>
      </c>
      <c r="AI55" s="847" t="n">
        <v>0</v>
      </c>
    </row>
    <row r="56" ht="18.75" customHeight="1" s="760">
      <c r="A56" s="696" t="n">
        <v>55</v>
      </c>
      <c r="B56" s="34" t="inlineStr">
        <is>
          <t xml:space="preserve">　　　　　          (1) 상장주식</t>
        </is>
      </c>
      <c r="D56" s="34" t="n">
        <v>0</v>
      </c>
      <c r="E56" s="34" t="n">
        <v>0</v>
      </c>
      <c r="F56" s="34" t="n">
        <v>0</v>
      </c>
      <c r="G56" s="34" t="n">
        <v>0</v>
      </c>
      <c r="H56" s="148" t="n">
        <v>0</v>
      </c>
      <c r="I56" s="34" t="n">
        <v>0</v>
      </c>
      <c r="J56" s="34" t="n">
        <v>0</v>
      </c>
      <c r="K56" s="34" t="n">
        <v>0</v>
      </c>
      <c r="L56" s="34" t="n">
        <v>0</v>
      </c>
      <c r="M56" s="34" t="n">
        <v>0</v>
      </c>
      <c r="N56" s="17">
        <f>+M56+I56+J56</f>
        <v/>
      </c>
      <c r="O56" s="17">
        <f>+F56</f>
        <v/>
      </c>
      <c r="P56" s="17">
        <f>+K56+L56</f>
        <v/>
      </c>
      <c r="Q56" s="17">
        <f>+G56</f>
        <v/>
      </c>
      <c r="S56" s="16">
        <f>+SUM(N56:Q56)-H56</f>
        <v/>
      </c>
      <c r="V56" s="694" t="inlineStr">
        <is>
          <t xml:space="preserve">FVPL </t>
        </is>
      </c>
      <c r="W56" s="695" t="n"/>
      <c r="X56" s="849">
        <f>+X29/10^8+AC72</f>
        <v/>
      </c>
      <c r="Y56" s="850">
        <f>+Y29/10^8</f>
        <v/>
      </c>
      <c r="Z56" s="850">
        <f>+Z29/10^8</f>
        <v/>
      </c>
      <c r="AA56" s="850">
        <f>+AA29/10^8</f>
        <v/>
      </c>
      <c r="AB56" s="851">
        <f>+AB29/10^8+AC72</f>
        <v/>
      </c>
      <c r="AC56" s="848">
        <f>AI13/10^8</f>
        <v/>
      </c>
      <c r="AH56" s="20" t="inlineStr">
        <is>
          <t xml:space="preserve">             (가) 주 식 </t>
        </is>
      </c>
      <c r="AI56" s="847" t="n">
        <v>0</v>
      </c>
    </row>
    <row r="57" ht="18.75" customHeight="1" s="760">
      <c r="A57" s="696" t="n">
        <v>56</v>
      </c>
      <c r="B57" s="34" t="inlineStr">
        <is>
          <t xml:space="preserve">　　　　　          (2) 기  타</t>
        </is>
      </c>
      <c r="D57" s="34" t="n">
        <v>0</v>
      </c>
      <c r="E57" s="34" t="n">
        <v>0</v>
      </c>
      <c r="F57" s="34" t="n">
        <v>0</v>
      </c>
      <c r="G57" s="34" t="n">
        <v>0</v>
      </c>
      <c r="H57" s="148" t="n"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s="34" t="n">
        <v>0</v>
      </c>
      <c r="N57" s="17">
        <f>+M57+I57+J57</f>
        <v/>
      </c>
      <c r="O57" s="17">
        <f>+F57</f>
        <v/>
      </c>
      <c r="P57" s="17">
        <f>+K57+L57</f>
        <v/>
      </c>
      <c r="Q57" s="17">
        <f>+G57</f>
        <v/>
      </c>
      <c r="S57" s="16">
        <f>+SUM(N57:Q57)-H57</f>
        <v/>
      </c>
      <c r="V57" s="25" t="n"/>
      <c r="W57" s="26" t="inlineStr">
        <is>
          <t>주식/출자금</t>
        </is>
      </c>
      <c r="X57" s="852">
        <f>+X30/10^8</f>
        <v/>
      </c>
      <c r="Y57" s="852">
        <f>+Y30/10^8</f>
        <v/>
      </c>
      <c r="Z57" s="852">
        <f>+Z30/10^8</f>
        <v/>
      </c>
      <c r="AA57" s="852">
        <f>+AA30/10^8</f>
        <v/>
      </c>
      <c r="AB57" s="853">
        <f>+AB30/10^8</f>
        <v/>
      </c>
      <c r="AC57" s="854">
        <f>(AI16+AI20)/10^8</f>
        <v/>
      </c>
      <c r="AH57" s="20" t="inlineStr">
        <is>
          <t xml:space="preserve">             (나) 채 권 </t>
        </is>
      </c>
      <c r="AI57" s="847" t="n">
        <v>0</v>
      </c>
    </row>
    <row r="58" ht="18.75" customHeight="1" s="760">
      <c r="A58" s="696" t="n">
        <v>57</v>
      </c>
      <c r="B58" s="34" t="inlineStr">
        <is>
          <t xml:space="preserve">　　　　         나.출 자 금</t>
        </is>
      </c>
      <c r="D58" s="34" t="n">
        <v>0</v>
      </c>
      <c r="E58" s="34" t="n">
        <v>0</v>
      </c>
      <c r="F58" s="34" t="n">
        <v>0</v>
      </c>
      <c r="G58" s="34" t="n">
        <v>0</v>
      </c>
      <c r="H58" s="148" t="n">
        <v>0</v>
      </c>
      <c r="I58" s="34" t="n">
        <v>0</v>
      </c>
      <c r="J58" s="34" t="n">
        <v>0</v>
      </c>
      <c r="K58" s="34" t="n">
        <v>0</v>
      </c>
      <c r="L58" s="34" t="n">
        <v>0</v>
      </c>
      <c r="M58" s="34" t="n">
        <v>0</v>
      </c>
      <c r="N58" s="17">
        <f>+M58+I58+J58</f>
        <v/>
      </c>
      <c r="O58" s="17">
        <f>+F58</f>
        <v/>
      </c>
      <c r="P58" s="17">
        <f>+K58+L58</f>
        <v/>
      </c>
      <c r="Q58" s="17">
        <f>+G58</f>
        <v/>
      </c>
      <c r="V58" s="25" t="n"/>
      <c r="W58" s="27" t="inlineStr">
        <is>
          <t>(비중)</t>
        </is>
      </c>
      <c r="X58" s="855">
        <f>+X57/X$56</f>
        <v/>
      </c>
      <c r="Y58" s="855">
        <f>+Y57/Y$56</f>
        <v/>
      </c>
      <c r="Z58" s="855">
        <f>+Z57/Z$56</f>
        <v/>
      </c>
      <c r="AA58" s="855">
        <f>+AA57/AA$56</f>
        <v/>
      </c>
      <c r="AB58" s="856">
        <f>+AB57/AB$56</f>
        <v/>
      </c>
      <c r="AH58" s="20" t="inlineStr">
        <is>
          <t xml:space="preserve">             (다) 수익증권</t>
        </is>
      </c>
      <c r="AI58" s="847" t="n">
        <v>0</v>
      </c>
    </row>
    <row r="59" ht="18.75" customHeight="1" s="760">
      <c r="A59" s="696" t="n">
        <v>58</v>
      </c>
      <c r="B59" s="34" t="inlineStr">
        <is>
          <t xml:space="preserve">　　　　         다.국·공채</t>
        </is>
      </c>
      <c r="D59" s="33" t="n">
        <v>7140769809852</v>
      </c>
      <c r="E59" s="34" t="n">
        <v>0</v>
      </c>
      <c r="F59" s="34" t="n">
        <v>0</v>
      </c>
      <c r="G59" s="34" t="n">
        <v>0</v>
      </c>
      <c r="H59" s="147" t="n">
        <v>7140769809852</v>
      </c>
      <c r="I59" s="33" t="n">
        <v>602763815753</v>
      </c>
      <c r="J59" s="34" t="n">
        <v>0</v>
      </c>
      <c r="K59" s="34" t="n">
        <v>0</v>
      </c>
      <c r="L59" s="33" t="n">
        <v>139387330087</v>
      </c>
      <c r="M59" s="33" t="n">
        <v>6398618664012</v>
      </c>
      <c r="N59" s="17">
        <f>+M59+I59+J59</f>
        <v/>
      </c>
      <c r="O59" s="17">
        <f>+F59</f>
        <v/>
      </c>
      <c r="P59" s="17">
        <f>+K59+L59</f>
        <v/>
      </c>
      <c r="Q59" s="17">
        <f>+G59</f>
        <v/>
      </c>
      <c r="V59" s="25" t="n"/>
      <c r="W59" s="26" t="inlineStr">
        <is>
          <t>해외주식</t>
        </is>
      </c>
      <c r="X59" s="852">
        <f>+X31/10^8</f>
        <v/>
      </c>
      <c r="Y59" s="852">
        <f>+Y31/10^8</f>
        <v/>
      </c>
      <c r="Z59" s="852">
        <f>+Z31/10^8</f>
        <v/>
      </c>
      <c r="AA59" s="852">
        <f>+AA31/10^8</f>
        <v/>
      </c>
      <c r="AB59" s="853">
        <f>+AB31/10^8</f>
        <v/>
      </c>
      <c r="AC59" s="857">
        <f>SUMIFS(AI:AI,AJ:AJ,W59)/10^8</f>
        <v/>
      </c>
      <c r="AH59" s="20" t="inlineStr">
        <is>
          <t xml:space="preserve">             (라) 신종유가증권</t>
        </is>
      </c>
      <c r="AI59" s="847" t="n">
        <v>0</v>
      </c>
    </row>
    <row r="60" ht="18.75" customHeight="1" s="760">
      <c r="A60" s="696" t="n">
        <v>59</v>
      </c>
      <c r="B60" s="34" t="inlineStr">
        <is>
          <t xml:space="preserve">　　　　　           (1) 국 채</t>
        </is>
      </c>
      <c r="D60" s="33" t="n">
        <v>7140769809852</v>
      </c>
      <c r="E60" s="34" t="n">
        <v>0</v>
      </c>
      <c r="F60" s="34" t="n">
        <v>0</v>
      </c>
      <c r="G60" s="34" t="n">
        <v>0</v>
      </c>
      <c r="H60" s="147" t="n">
        <v>7140769809852</v>
      </c>
      <c r="I60" s="33" t="n">
        <v>602763815753</v>
      </c>
      <c r="J60" s="34" t="n">
        <v>0</v>
      </c>
      <c r="K60" s="34" t="n">
        <v>0</v>
      </c>
      <c r="L60" s="33" t="n">
        <v>139387330087</v>
      </c>
      <c r="M60" s="33" t="n">
        <v>6398618664012</v>
      </c>
      <c r="N60" s="17">
        <f>+M60+I60+J60</f>
        <v/>
      </c>
      <c r="O60" s="17">
        <f>+F60</f>
        <v/>
      </c>
      <c r="P60" s="17">
        <f>+K60+L60</f>
        <v/>
      </c>
      <c r="Q60" s="17">
        <f>+G60</f>
        <v/>
      </c>
      <c r="V60" s="25" t="n"/>
      <c r="W60" s="27" t="inlineStr">
        <is>
          <t>(비중)</t>
        </is>
      </c>
      <c r="X60" s="855">
        <f>+X59/X$56</f>
        <v/>
      </c>
      <c r="Y60" s="855">
        <f>+Y59/Y$56</f>
        <v/>
      </c>
      <c r="Z60" s="855">
        <f>+Z59/Z$56</f>
        <v/>
      </c>
      <c r="AA60" s="855">
        <f>+AA59/AA$56</f>
        <v/>
      </c>
      <c r="AB60" s="856">
        <f>+AB59/AB$56</f>
        <v/>
      </c>
      <c r="AH60" s="20" t="inlineStr">
        <is>
          <t xml:space="preserve">             (마) 기타유가증권</t>
        </is>
      </c>
      <c r="AI60" s="847" t="n">
        <v>0</v>
      </c>
    </row>
    <row r="61" ht="18.75" customHeight="1" s="760">
      <c r="A61" s="696" t="n">
        <v>60</v>
      </c>
      <c r="B61" s="34" t="inlineStr">
        <is>
          <t xml:space="preserve">　　　　　           (2) 공 채</t>
        </is>
      </c>
      <c r="D61" s="34" t="n">
        <v>0</v>
      </c>
      <c r="E61" s="34" t="n">
        <v>0</v>
      </c>
      <c r="F61" s="34" t="n">
        <v>0</v>
      </c>
      <c r="G61" s="34" t="n">
        <v>0</v>
      </c>
      <c r="H61" s="148" t="n">
        <v>0</v>
      </c>
      <c r="I61" s="34" t="n">
        <v>0</v>
      </c>
      <c r="J61" s="34" t="n">
        <v>0</v>
      </c>
      <c r="K61" s="34" t="n">
        <v>0</v>
      </c>
      <c r="L61" s="34" t="n">
        <v>0</v>
      </c>
      <c r="M61" s="34" t="n">
        <v>0</v>
      </c>
      <c r="N61" s="17">
        <f>+M61+I61+J61</f>
        <v/>
      </c>
      <c r="O61" s="17">
        <f>+F61</f>
        <v/>
      </c>
      <c r="P61" s="17">
        <f>+K61+L61</f>
        <v/>
      </c>
      <c r="Q61" s="17">
        <f>+G61</f>
        <v/>
      </c>
      <c r="V61" s="25" t="n"/>
      <c r="W61" s="26" t="inlineStr">
        <is>
          <t>국내채권</t>
        </is>
      </c>
      <c r="X61" s="852">
        <f>+X32/10^8</f>
        <v/>
      </c>
      <c r="Y61" s="852">
        <f>+Y32/10^8</f>
        <v/>
      </c>
      <c r="Z61" s="852">
        <f>+Z32/10^8</f>
        <v/>
      </c>
      <c r="AA61" s="852">
        <f>+AA32/10^8</f>
        <v/>
      </c>
      <c r="AB61" s="853">
        <f>+AB32/10^8</f>
        <v/>
      </c>
      <c r="AC61" s="857">
        <f>SUMIFS(AI:AI,AJ:AJ,W61)/10^8</f>
        <v/>
      </c>
      <c r="AH61" s="20" t="inlineStr">
        <is>
          <t xml:space="preserve">          8) 기타 유가증권</t>
        </is>
      </c>
      <c r="AI61" s="847" t="n">
        <v>0</v>
      </c>
    </row>
    <row r="62" ht="18.75" customHeight="1" s="760">
      <c r="A62" s="696" t="n">
        <v>61</v>
      </c>
      <c r="B62" s="34" t="inlineStr">
        <is>
          <t xml:space="preserve">　　　　         라.특 수 채</t>
        </is>
      </c>
      <c r="D62" s="33" t="n">
        <v>2590372890919</v>
      </c>
      <c r="E62" s="34" t="n">
        <v>0</v>
      </c>
      <c r="F62" s="34" t="n">
        <v>0</v>
      </c>
      <c r="G62" s="34" t="n">
        <v>0</v>
      </c>
      <c r="H62" s="147" t="n">
        <v>2590372890919</v>
      </c>
      <c r="I62" s="33" t="n">
        <v>485216719575</v>
      </c>
      <c r="J62" s="34" t="n">
        <v>0</v>
      </c>
      <c r="K62" s="34" t="n">
        <v>0</v>
      </c>
      <c r="L62" s="33" t="n">
        <v>571113739998</v>
      </c>
      <c r="M62" s="33" t="n">
        <v>1534042431346</v>
      </c>
      <c r="N62" s="17">
        <f>+M62+I62+J62</f>
        <v/>
      </c>
      <c r="O62" s="17">
        <f>+F62</f>
        <v/>
      </c>
      <c r="P62" s="17">
        <f>+K62+L62</f>
        <v/>
      </c>
      <c r="Q62" s="17">
        <f>+G62</f>
        <v/>
      </c>
      <c r="V62" s="25" t="n"/>
      <c r="W62" s="27" t="inlineStr">
        <is>
          <t>(비중)</t>
        </is>
      </c>
      <c r="X62" s="855">
        <f>+X61/X$56</f>
        <v/>
      </c>
      <c r="Y62" s="855">
        <f>+Y61/Y$56</f>
        <v/>
      </c>
      <c r="Z62" s="855">
        <f>+Z61/Z$56</f>
        <v/>
      </c>
      <c r="AA62" s="855">
        <f>+AA61/AA$56</f>
        <v/>
      </c>
      <c r="AB62" s="856">
        <f>+AB61/AB$56</f>
        <v/>
      </c>
      <c r="AH62" s="20" t="inlineStr">
        <is>
          <t xml:space="preserve">             (가) 파생결합증권</t>
        </is>
      </c>
      <c r="AI62" s="847" t="n">
        <v>0</v>
      </c>
    </row>
    <row r="63" ht="18.75" customHeight="1" s="760">
      <c r="A63" s="696" t="n">
        <v>62</v>
      </c>
      <c r="B63" s="34" t="inlineStr">
        <is>
          <t xml:space="preserve">　　　　         마.금 융 채</t>
        </is>
      </c>
      <c r="D63" s="33" t="n">
        <v>140392002912</v>
      </c>
      <c r="E63" s="34" t="n">
        <v>0</v>
      </c>
      <c r="F63" s="34" t="n">
        <v>0</v>
      </c>
      <c r="G63" s="34" t="n">
        <v>0</v>
      </c>
      <c r="H63" s="147" t="n">
        <v>140392002912</v>
      </c>
      <c r="I63" s="33" t="n">
        <v>50093105406</v>
      </c>
      <c r="J63" s="34" t="n">
        <v>0</v>
      </c>
      <c r="K63" s="34" t="n">
        <v>0</v>
      </c>
      <c r="L63" s="33" t="n">
        <v>90298897506</v>
      </c>
      <c r="M63" s="34" t="n">
        <v>0</v>
      </c>
      <c r="N63" s="17">
        <f>+M63+I63+J63</f>
        <v/>
      </c>
      <c r="O63" s="17">
        <f>+F63</f>
        <v/>
      </c>
      <c r="P63" s="17">
        <f>+K63+L63</f>
        <v/>
      </c>
      <c r="Q63" s="17">
        <f>+G63</f>
        <v/>
      </c>
      <c r="V63" s="25" t="n"/>
      <c r="W63" s="26" t="inlineStr">
        <is>
          <t>해외채권</t>
        </is>
      </c>
      <c r="X63" s="852">
        <f>+X33/10^8</f>
        <v/>
      </c>
      <c r="Y63" s="852">
        <f>+Y33/10^8</f>
        <v/>
      </c>
      <c r="Z63" s="852">
        <f>+Z33/10^8</f>
        <v/>
      </c>
      <c r="AA63" s="852">
        <f>+AA33/10^8</f>
        <v/>
      </c>
      <c r="AB63" s="853">
        <f>+AB33/10^8</f>
        <v/>
      </c>
      <c r="AC63" s="857">
        <f>SUMIFS(AI:AI,AJ:AJ,W63)/10^8</f>
        <v/>
      </c>
      <c r="AH63" s="20" t="inlineStr">
        <is>
          <t xml:space="preserve">        (3) 파생상품자산</t>
        </is>
      </c>
      <c r="AI63" s="847" t="n">
        <v>269181079571</v>
      </c>
      <c r="AJ63" s="696" t="inlineStr">
        <is>
          <t>파생상품자산</t>
        </is>
      </c>
    </row>
    <row r="64" ht="18.75" customHeight="1" s="760">
      <c r="A64" s="696" t="n">
        <v>63</v>
      </c>
      <c r="B64" s="34" t="inlineStr">
        <is>
          <t xml:space="preserve">　　　　         바.회 사 채</t>
        </is>
      </c>
      <c r="D64" s="33" t="n">
        <v>464177002278</v>
      </c>
      <c r="E64" s="34" t="n">
        <v>0</v>
      </c>
      <c r="F64" s="34" t="n">
        <v>0</v>
      </c>
      <c r="G64" s="34" t="n">
        <v>0</v>
      </c>
      <c r="H64" s="147" t="n">
        <v>464177002278</v>
      </c>
      <c r="I64" s="33" t="n">
        <v>148859876002</v>
      </c>
      <c r="J64" s="34" t="n">
        <v>0</v>
      </c>
      <c r="K64" s="34" t="n">
        <v>0</v>
      </c>
      <c r="L64" s="33" t="n">
        <v>238563984611</v>
      </c>
      <c r="M64" s="33" t="n">
        <v>76753141665</v>
      </c>
      <c r="N64" s="17">
        <f>+M64+I64+J64</f>
        <v/>
      </c>
      <c r="O64" s="17">
        <f>+F64</f>
        <v/>
      </c>
      <c r="P64" s="17">
        <f>+K64+L64</f>
        <v/>
      </c>
      <c r="Q64" s="17">
        <f>+G64</f>
        <v/>
      </c>
      <c r="V64" s="25" t="n"/>
      <c r="W64" s="27" t="inlineStr">
        <is>
          <t>(비중)</t>
        </is>
      </c>
      <c r="X64" s="855">
        <f>+X63/X$56</f>
        <v/>
      </c>
      <c r="Y64" s="855">
        <f>+Y63/Y$56</f>
        <v/>
      </c>
      <c r="Z64" s="855">
        <f>+Z63/Z$56</f>
        <v/>
      </c>
      <c r="AA64" s="855">
        <f>+AA63/AA$56</f>
        <v/>
      </c>
      <c r="AB64" s="856">
        <f>+AB63/AB$56</f>
        <v/>
      </c>
      <c r="AH64" s="20" t="inlineStr">
        <is>
          <t xml:space="preserve">          1) 채무증권</t>
        </is>
      </c>
      <c r="AI64" s="847" t="n">
        <v>269181079571</v>
      </c>
    </row>
    <row r="65" ht="18.75" customHeight="1" s="760">
      <c r="A65" s="696" t="n">
        <v>64</v>
      </c>
      <c r="B65" s="34" t="inlineStr">
        <is>
          <t xml:space="preserve">　　　　　           (1) 보증사채</t>
        </is>
      </c>
      <c r="D65" s="34" t="n">
        <v>0</v>
      </c>
      <c r="E65" s="34" t="n">
        <v>0</v>
      </c>
      <c r="F65" s="34" t="n">
        <v>0</v>
      </c>
      <c r="G65" s="34" t="n">
        <v>0</v>
      </c>
      <c r="H65" s="148" t="n">
        <v>0</v>
      </c>
      <c r="I65" s="34" t="n">
        <v>0</v>
      </c>
      <c r="J65" s="34" t="n">
        <v>0</v>
      </c>
      <c r="K65" s="34" t="n">
        <v>0</v>
      </c>
      <c r="L65" s="34" t="n">
        <v>0</v>
      </c>
      <c r="M65" s="34" t="n">
        <v>0</v>
      </c>
      <c r="N65" s="17">
        <f>+M65+I65+J65</f>
        <v/>
      </c>
      <c r="O65" s="17">
        <f>+F65</f>
        <v/>
      </c>
      <c r="P65" s="17">
        <f>+K65+L65</f>
        <v/>
      </c>
      <c r="Q65" s="17">
        <f>+G65</f>
        <v/>
      </c>
      <c r="V65" s="25" t="n"/>
      <c r="W65" s="26" t="inlineStr">
        <is>
          <t>수익증권</t>
        </is>
      </c>
      <c r="X65" s="852">
        <f>+X34/10^8</f>
        <v/>
      </c>
      <c r="Y65" s="852">
        <f>+Y34/10^8</f>
        <v/>
      </c>
      <c r="Z65" s="852">
        <f>+Z34/10^8</f>
        <v/>
      </c>
      <c r="AA65" s="852">
        <f>+AA34/10^8</f>
        <v/>
      </c>
      <c r="AB65" s="853">
        <f>+AB34/10^8</f>
        <v/>
      </c>
      <c r="AC65" s="857">
        <f>SUMIFS(AI:AI,AJ:AJ,W65)/10^8</f>
        <v/>
      </c>
      <c r="AH65" s="20" t="inlineStr">
        <is>
          <t xml:space="preserve">             (가) 통 화 </t>
        </is>
      </c>
      <c r="AI65" s="847" t="n">
        <v>57492384007</v>
      </c>
    </row>
    <row r="66" ht="18.75" customHeight="1" s="760">
      <c r="A66" s="696" t="n">
        <v>65</v>
      </c>
      <c r="B66" s="34" t="inlineStr">
        <is>
          <t xml:space="preserve">　　　　　           (2) 무보증사채</t>
        </is>
      </c>
      <c r="D66" s="33" t="n">
        <v>464177002278</v>
      </c>
      <c r="E66" s="34" t="n">
        <v>0</v>
      </c>
      <c r="F66" s="34" t="n">
        <v>0</v>
      </c>
      <c r="G66" s="34" t="n">
        <v>0</v>
      </c>
      <c r="H66" s="147" t="n">
        <v>464177002278</v>
      </c>
      <c r="I66" s="33" t="n">
        <v>148859876002</v>
      </c>
      <c r="J66" s="34" t="n">
        <v>0</v>
      </c>
      <c r="K66" s="34" t="n">
        <v>0</v>
      </c>
      <c r="L66" s="33" t="n">
        <v>238563984611</v>
      </c>
      <c r="M66" s="33" t="n">
        <v>76753141665</v>
      </c>
      <c r="N66" s="17">
        <f>+M66+I66+J66</f>
        <v/>
      </c>
      <c r="O66" s="17">
        <f>+F66</f>
        <v/>
      </c>
      <c r="P66" s="17">
        <f>+K66+L66</f>
        <v/>
      </c>
      <c r="Q66" s="17">
        <f>+G66</f>
        <v/>
      </c>
      <c r="V66" s="25" t="n"/>
      <c r="W66" s="27" t="inlineStr">
        <is>
          <t>(비중)</t>
        </is>
      </c>
      <c r="X66" s="855">
        <f>+X65/X$56</f>
        <v/>
      </c>
      <c r="Y66" s="855">
        <f>+Y65/Y$56</f>
        <v/>
      </c>
      <c r="Z66" s="855">
        <f>+Z65/Z$56</f>
        <v/>
      </c>
      <c r="AA66" s="855">
        <f>+AA65/AA$56</f>
        <v/>
      </c>
      <c r="AB66" s="856">
        <f>+AB65/AB$56</f>
        <v/>
      </c>
      <c r="AH66" s="20" t="inlineStr">
        <is>
          <t xml:space="preserve">                a)통화선도</t>
        </is>
      </c>
      <c r="AI66" s="847" t="n">
        <v>0</v>
      </c>
    </row>
    <row r="67" ht="18.75" customHeight="1" s="760">
      <c r="A67" s="696" t="n">
        <v>66</v>
      </c>
      <c r="B67" s="34" t="inlineStr">
        <is>
          <t xml:space="preserve">　　　　         사.수익증권</t>
        </is>
      </c>
      <c r="D67" s="34" t="n">
        <v>0</v>
      </c>
      <c r="E67" s="34" t="n">
        <v>0</v>
      </c>
      <c r="F67" s="34" t="n">
        <v>0</v>
      </c>
      <c r="G67" s="34" t="n">
        <v>0</v>
      </c>
      <c r="H67" s="148" t="n">
        <v>0</v>
      </c>
      <c r="I67" s="34" t="n">
        <v>0</v>
      </c>
      <c r="J67" s="34" t="n">
        <v>0</v>
      </c>
      <c r="K67" s="34" t="n">
        <v>0</v>
      </c>
      <c r="L67" s="34" t="n">
        <v>0</v>
      </c>
      <c r="M67" s="34" t="n">
        <v>0</v>
      </c>
      <c r="N67" s="17">
        <f>+M67+I67+J67</f>
        <v/>
      </c>
      <c r="O67" s="17">
        <f>+F67</f>
        <v/>
      </c>
      <c r="P67" s="17">
        <f>+K67+L67</f>
        <v/>
      </c>
      <c r="Q67" s="17">
        <f>+G67</f>
        <v/>
      </c>
      <c r="V67" s="25" t="n"/>
      <c r="W67" s="26" t="inlineStr">
        <is>
          <t>외화수익증권</t>
        </is>
      </c>
      <c r="X67" s="852">
        <f>+X35/10^8</f>
        <v/>
      </c>
      <c r="Y67" s="852">
        <f>+Y35/10^8</f>
        <v/>
      </c>
      <c r="Z67" s="852">
        <f>+Z35/10^8</f>
        <v/>
      </c>
      <c r="AA67" s="852">
        <f>+AA35/10^8</f>
        <v/>
      </c>
      <c r="AB67" s="853">
        <f>+AB35/10^8</f>
        <v/>
      </c>
      <c r="AC67" s="857">
        <f>SUMIFS(AI:AI,AJ:AJ,W67)/10^8</f>
        <v/>
      </c>
      <c r="AH67" s="20" t="inlineStr">
        <is>
          <t xml:space="preserve">                b)통화스왑</t>
        </is>
      </c>
      <c r="AI67" s="847" t="n">
        <v>9715857505</v>
      </c>
    </row>
    <row r="68" ht="18.75" customHeight="1" s="760">
      <c r="A68" s="696" t="n">
        <v>67</v>
      </c>
      <c r="B68" s="34" t="inlineStr">
        <is>
          <t xml:space="preserve">　　　　         아.외화표시유가증권</t>
        </is>
      </c>
      <c r="D68" s="33" t="n">
        <v>1327845660054</v>
      </c>
      <c r="E68" s="34" t="n">
        <v>0</v>
      </c>
      <c r="F68" s="34" t="n">
        <v>0</v>
      </c>
      <c r="G68" s="34" t="n">
        <v>0</v>
      </c>
      <c r="H68" s="147" t="n">
        <v>1327845660054</v>
      </c>
      <c r="I68" s="33" t="n">
        <v>30396390687</v>
      </c>
      <c r="J68" s="34" t="n">
        <v>0</v>
      </c>
      <c r="K68" s="34" t="n">
        <v>0</v>
      </c>
      <c r="L68" s="34" t="n">
        <v>0</v>
      </c>
      <c r="M68" s="33" t="n">
        <v>1297449269367</v>
      </c>
      <c r="N68" s="17">
        <f>+M68+I68+J68</f>
        <v/>
      </c>
      <c r="O68" s="17">
        <f>+F68</f>
        <v/>
      </c>
      <c r="P68" s="17">
        <f>+K68+L68</f>
        <v/>
      </c>
      <c r="Q68" s="17">
        <f>+G68</f>
        <v/>
      </c>
      <c r="V68" s="25" t="n"/>
      <c r="W68" s="27" t="inlineStr">
        <is>
          <t>(비중)</t>
        </is>
      </c>
      <c r="X68" s="855">
        <f>+X67/X$56</f>
        <v/>
      </c>
      <c r="Y68" s="855">
        <f>+Y67/Y$56</f>
        <v/>
      </c>
      <c r="Z68" s="855">
        <f>+Z67/Z$56</f>
        <v/>
      </c>
      <c r="AA68" s="855">
        <f>+AA67/AA$56</f>
        <v/>
      </c>
      <c r="AB68" s="856">
        <f>+AB67/AB$56</f>
        <v/>
      </c>
      <c r="AH68" s="20" t="inlineStr">
        <is>
          <t xml:space="preserve">                C)평가이익조정</t>
        </is>
      </c>
      <c r="AI68" s="847" t="n">
        <v>47776526502</v>
      </c>
    </row>
    <row r="69" ht="18.75" customHeight="1" s="760">
      <c r="A69" s="696" t="n">
        <v>68</v>
      </c>
      <c r="B69" s="34" t="inlineStr">
        <is>
          <t xml:space="preserve">　　　　　          (1) 주식</t>
        </is>
      </c>
      <c r="D69" s="34" t="n">
        <v>0</v>
      </c>
      <c r="E69" s="34" t="n">
        <v>0</v>
      </c>
      <c r="F69" s="34" t="n">
        <v>0</v>
      </c>
      <c r="G69" s="34" t="n">
        <v>0</v>
      </c>
      <c r="H69" s="148" t="n">
        <v>0</v>
      </c>
      <c r="I69" s="34" t="n">
        <v>0</v>
      </c>
      <c r="J69" s="34" t="n">
        <v>0</v>
      </c>
      <c r="K69" s="34" t="n">
        <v>0</v>
      </c>
      <c r="L69" s="34" t="n">
        <v>0</v>
      </c>
      <c r="M69" s="34" t="n">
        <v>0</v>
      </c>
      <c r="N69" s="17">
        <f>+M69+I69+J69</f>
        <v/>
      </c>
      <c r="O69" s="17">
        <f>+F69</f>
        <v/>
      </c>
      <c r="P69" s="17">
        <f>+K69+L69</f>
        <v/>
      </c>
      <c r="Q69" s="17">
        <f>+G69</f>
        <v/>
      </c>
      <c r="V69" s="25" t="n"/>
      <c r="W69" s="26" t="inlineStr">
        <is>
          <t>기타</t>
        </is>
      </c>
      <c r="X69" s="858">
        <f>+X36/10^8+AC72</f>
        <v/>
      </c>
      <c r="Y69" s="859">
        <f>+Y36/10^8</f>
        <v/>
      </c>
      <c r="Z69" s="859">
        <f>+Z36/10^8</f>
        <v/>
      </c>
      <c r="AA69" s="859">
        <f>+AA36/10^8</f>
        <v/>
      </c>
      <c r="AB69" s="860">
        <f>+AB36/10^8+AC72</f>
        <v/>
      </c>
      <c r="AC69" s="857">
        <f>SUMIFS(AI:AI,AJ:AJ,W69)/10^8</f>
        <v/>
      </c>
      <c r="AH69" s="20" t="inlineStr">
        <is>
          <t xml:space="preserve">             (나) 이 자 율 </t>
        </is>
      </c>
      <c r="AI69" s="847" t="n">
        <v>211688695564</v>
      </c>
    </row>
    <row r="70" ht="18.75" customHeight="1" s="760">
      <c r="A70" s="696" t="n">
        <v>69</v>
      </c>
      <c r="B70" s="34" t="inlineStr">
        <is>
          <t xml:space="preserve">　　　　　          (2) 채권</t>
        </is>
      </c>
      <c r="D70" s="33" t="n">
        <v>1327845660054</v>
      </c>
      <c r="E70" s="34" t="n">
        <v>0</v>
      </c>
      <c r="F70" s="34" t="n">
        <v>0</v>
      </c>
      <c r="G70" s="34" t="n">
        <v>0</v>
      </c>
      <c r="H70" s="147" t="n">
        <v>1327845660054</v>
      </c>
      <c r="I70" s="33" t="n">
        <v>30396390687</v>
      </c>
      <c r="J70" s="34" t="n">
        <v>0</v>
      </c>
      <c r="K70" s="34" t="n">
        <v>0</v>
      </c>
      <c r="L70" s="34" t="n">
        <v>0</v>
      </c>
      <c r="M70" s="33" t="n">
        <v>1297449269367</v>
      </c>
      <c r="N70" s="17">
        <f>+M70+I70+J70</f>
        <v/>
      </c>
      <c r="O70" s="17">
        <f>+F70</f>
        <v/>
      </c>
      <c r="P70" s="17">
        <f>+K70+L70</f>
        <v/>
      </c>
      <c r="Q70" s="17">
        <f>+G70</f>
        <v/>
      </c>
      <c r="V70" s="28" t="n"/>
      <c r="W70" s="29" t="inlineStr">
        <is>
          <t>(비중)</t>
        </is>
      </c>
      <c r="X70" s="861">
        <f>+X69/X$56</f>
        <v/>
      </c>
      <c r="Y70" s="861">
        <f>+Y69/Y$56</f>
        <v/>
      </c>
      <c r="Z70" s="861">
        <f>+Z69/Z$56</f>
        <v/>
      </c>
      <c r="AA70" s="861">
        <f>+AA69/AA$56</f>
        <v/>
      </c>
      <c r="AB70" s="862">
        <f>+AB69/AB$56</f>
        <v/>
      </c>
      <c r="AH70" s="20" t="inlineStr">
        <is>
          <t xml:space="preserve">             (다) 신 용 </t>
        </is>
      </c>
      <c r="AI70" s="847" t="n">
        <v>0</v>
      </c>
    </row>
    <row r="71">
      <c r="A71" s="696" t="n">
        <v>70</v>
      </c>
      <c r="B71" s="34" t="inlineStr">
        <is>
          <t xml:space="preserve">　　　　　          (3) 수익증권</t>
        </is>
      </c>
      <c r="D71" s="34" t="n">
        <v>0</v>
      </c>
      <c r="E71" s="34" t="n">
        <v>0</v>
      </c>
      <c r="F71" s="34" t="n">
        <v>0</v>
      </c>
      <c r="G71" s="34" t="n">
        <v>0</v>
      </c>
      <c r="H71" s="148" t="n">
        <v>0</v>
      </c>
      <c r="I71" s="34" t="n">
        <v>0</v>
      </c>
      <c r="J71" s="34" t="n">
        <v>0</v>
      </c>
      <c r="K71" s="34" t="n">
        <v>0</v>
      </c>
      <c r="L71" s="34" t="n">
        <v>0</v>
      </c>
      <c r="M71" s="34" t="n">
        <v>0</v>
      </c>
      <c r="N71" s="17">
        <f>+M71+I71+J71</f>
        <v/>
      </c>
      <c r="O71" s="17">
        <f>+F71</f>
        <v/>
      </c>
      <c r="P71" s="17">
        <f>+K71+L71</f>
        <v/>
      </c>
      <c r="Q71" s="17">
        <f>+G71</f>
        <v/>
      </c>
      <c r="V71" s="642" t="inlineStr">
        <is>
          <t xml:space="preserve"> * 감독회계 기준</t>
        </is>
      </c>
      <c r="X71" s="642" t="n"/>
      <c r="Y71" s="642" t="n"/>
      <c r="Z71" s="642" t="n"/>
      <c r="AA71" s="642" t="n"/>
      <c r="AB71" s="642" t="n"/>
      <c r="AC71" s="857">
        <f>SUMIFS(AI:AI,AJ:AJ,AD71)/10^8</f>
        <v/>
      </c>
      <c r="AD71" s="696" t="inlineStr">
        <is>
          <t>파생상품자산</t>
        </is>
      </c>
      <c r="AH71" s="20" t="inlineStr">
        <is>
          <t xml:space="preserve">             (라) 주 식 </t>
        </is>
      </c>
      <c r="AI71" s="847" t="n">
        <v>0</v>
      </c>
    </row>
    <row r="72">
      <c r="A72" s="696" t="n">
        <v>71</v>
      </c>
      <c r="B72" s="34" t="inlineStr">
        <is>
          <t xml:space="preserve">　　　　　          (4) 신종유가증권</t>
        </is>
      </c>
      <c r="D72" s="34" t="n">
        <v>0</v>
      </c>
      <c r="E72" s="34" t="n">
        <v>0</v>
      </c>
      <c r="F72" s="34" t="n">
        <v>0</v>
      </c>
      <c r="G72" s="34" t="n">
        <v>0</v>
      </c>
      <c r="H72" s="148" t="n">
        <v>0</v>
      </c>
      <c r="I72" s="34" t="n">
        <v>0</v>
      </c>
      <c r="J72" s="34" t="n">
        <v>0</v>
      </c>
      <c r="K72" s="34" t="n">
        <v>0</v>
      </c>
      <c r="L72" s="34" t="n">
        <v>0</v>
      </c>
      <c r="M72" s="34" t="n">
        <v>0</v>
      </c>
      <c r="N72" s="17">
        <f>+M72+I72+J72</f>
        <v/>
      </c>
      <c r="O72" s="17">
        <f>+F72</f>
        <v/>
      </c>
      <c r="P72" s="17">
        <f>+K72+L72</f>
        <v/>
      </c>
      <c r="Q72" s="17">
        <f>+G72</f>
        <v/>
      </c>
      <c r="V72" s="642" t="inlineStr">
        <is>
          <t xml:space="preserve"> * 공시기준 FVPL자산 16조 4,320억(파생상품자산, 기타예금 분류 차이)</t>
        </is>
      </c>
      <c r="AC72" s="857">
        <f>SUMIFS(AI:AI,AJ:AJ,AD72)/10^8</f>
        <v/>
      </c>
      <c r="AD72" s="696" t="inlineStr">
        <is>
          <t>기타예금</t>
        </is>
      </c>
      <c r="AH72" s="20" t="inlineStr">
        <is>
          <t xml:space="preserve">             (마) 기 타</t>
        </is>
      </c>
      <c r="AI72" s="847" t="n">
        <v>0</v>
      </c>
    </row>
    <row r="73">
      <c r="A73" s="696" t="n">
        <v>72</v>
      </c>
      <c r="B73" s="34" t="inlineStr">
        <is>
          <t xml:space="preserve">　　　　　          (5) 기타유가증권</t>
        </is>
      </c>
      <c r="D73" s="34" t="n">
        <v>0</v>
      </c>
      <c r="E73" s="34" t="n">
        <v>0</v>
      </c>
      <c r="F73" s="34" t="n">
        <v>0</v>
      </c>
      <c r="G73" s="34" t="n">
        <v>0</v>
      </c>
      <c r="H73" s="148" t="n">
        <v>0</v>
      </c>
      <c r="I73" s="34" t="n">
        <v>0</v>
      </c>
      <c r="J73" s="34" t="n">
        <v>0</v>
      </c>
      <c r="K73" s="34" t="n">
        <v>0</v>
      </c>
      <c r="L73" s="34" t="n">
        <v>0</v>
      </c>
      <c r="M73" s="34" t="n">
        <v>0</v>
      </c>
      <c r="N73" s="17">
        <f>+M73+I73+J73</f>
        <v/>
      </c>
      <c r="O73" s="17">
        <f>+F73</f>
        <v/>
      </c>
      <c r="P73" s="17">
        <f>+K73+L73</f>
        <v/>
      </c>
      <c r="Q73" s="17">
        <f>+G73</f>
        <v/>
      </c>
      <c r="AC73" s="863">
        <f>+AC56-AC57-AC59-AC61-AC63-AC65-AC67-AC69-AC71-AC72</f>
        <v/>
      </c>
      <c r="AD73" s="696" t="inlineStr">
        <is>
          <t>CHECK</t>
        </is>
      </c>
      <c r="AH73" s="20" t="inlineStr">
        <is>
          <t xml:space="preserve">     2.당기손익-공정가치측정 대출채권 및 수취채권</t>
        </is>
      </c>
      <c r="AI73" s="847" t="n">
        <v>44894739435</v>
      </c>
    </row>
    <row r="74">
      <c r="A74" s="696" t="n">
        <v>73</v>
      </c>
      <c r="B74" s="34" t="inlineStr">
        <is>
          <t xml:space="preserve">　　　　         자.기타유가증권</t>
        </is>
      </c>
      <c r="D74" s="34" t="n">
        <v>0</v>
      </c>
      <c r="E74" s="34" t="n">
        <v>0</v>
      </c>
      <c r="F74" s="34" t="n">
        <v>0</v>
      </c>
      <c r="G74" s="34" t="n">
        <v>0</v>
      </c>
      <c r="H74" s="148" t="n">
        <v>0</v>
      </c>
      <c r="I74" s="34" t="n">
        <v>0</v>
      </c>
      <c r="J74" s="34" t="n">
        <v>0</v>
      </c>
      <c r="K74" s="34" t="n">
        <v>0</v>
      </c>
      <c r="L74" s="34" t="n">
        <v>0</v>
      </c>
      <c r="M74" s="34" t="n">
        <v>0</v>
      </c>
      <c r="N74" s="17">
        <f>+M74+I74+J74</f>
        <v/>
      </c>
      <c r="O74" s="17">
        <f>+F74</f>
        <v/>
      </c>
      <c r="P74" s="17">
        <f>+K74+L74</f>
        <v/>
      </c>
      <c r="Q74" s="17">
        <f>+G74</f>
        <v/>
      </c>
      <c r="X74" s="863">
        <f>+X56-X57-X59-X61-X63-X65-X67-X69</f>
        <v/>
      </c>
      <c r="Y74" s="863">
        <f>+Y56-Y57-Y59-Y61-Y63-Y65-Y67-Y69</f>
        <v/>
      </c>
      <c r="Z74" s="863">
        <f>+Z56-Z57-Z59-Z61-Z63-Z65-Z67-Z69</f>
        <v/>
      </c>
      <c r="AA74" s="863">
        <f>+AA56-AA57-AA59-AA61-AA63-AA65-AA67-AA69</f>
        <v/>
      </c>
      <c r="AB74" s="863">
        <f>+AB56-AB57-AB59-AB61-AB63-AB65-AB67-AB69</f>
        <v/>
      </c>
      <c r="AH74" s="20" t="inlineStr">
        <is>
          <t xml:space="preserve">       (1) 대출채권 </t>
        </is>
      </c>
      <c r="AI74" s="847" t="n">
        <v>0</v>
      </c>
    </row>
    <row r="75">
      <c r="A75" s="696" t="n">
        <v>74</v>
      </c>
      <c r="B75" s="34" t="inlineStr">
        <is>
          <t xml:space="preserve">　　　      2-3.상각후원가측정유가증권</t>
        </is>
      </c>
      <c r="D75" s="34" t="n">
        <v>0</v>
      </c>
      <c r="E75" s="34" t="n">
        <v>0</v>
      </c>
      <c r="F75" s="34" t="n">
        <v>0</v>
      </c>
      <c r="G75" s="34" t="n">
        <v>0</v>
      </c>
      <c r="H75" s="148" t="n">
        <v>0</v>
      </c>
      <c r="I75" s="34" t="n">
        <v>0</v>
      </c>
      <c r="J75" s="34" t="n">
        <v>0</v>
      </c>
      <c r="K75" s="34" t="n">
        <v>0</v>
      </c>
      <c r="L75" s="34" t="n">
        <v>0</v>
      </c>
      <c r="M75" s="34" t="n">
        <v>0</v>
      </c>
      <c r="N75" s="17">
        <f>+M75+I75+J75</f>
        <v/>
      </c>
      <c r="O75" s="17">
        <f>+F75</f>
        <v/>
      </c>
      <c r="P75" s="17">
        <f>+K75+L75</f>
        <v/>
      </c>
      <c r="Q75" s="17">
        <f>+G75</f>
        <v/>
      </c>
      <c r="R75" s="14" t="inlineStr">
        <is>
          <t>AC</t>
        </is>
      </c>
      <c r="X75" s="30">
        <f>1-X58-X60-X62-X64-X66-X68-X70</f>
        <v/>
      </c>
      <c r="Y75" s="30">
        <f>1-Y58-Y60-Y62-Y64-Y66-Y68-Y70</f>
        <v/>
      </c>
      <c r="Z75" s="30">
        <f>1-Z58-Z60-Z62-Z64-Z66-Z68-Z70</f>
        <v/>
      </c>
      <c r="AA75" s="30">
        <f>1-AA58-AA60-AA62-AA64-AA66-AA68-AA70</f>
        <v/>
      </c>
      <c r="AB75" s="30">
        <f>1-AB58-AB60-AB62-AB64-AB66-AB68-AB70</f>
        <v/>
      </c>
      <c r="AH75" s="20" t="inlineStr">
        <is>
          <t xml:space="preserve">          1) 콜   론 </t>
        </is>
      </c>
      <c r="AI75" s="847" t="n">
        <v>0</v>
      </c>
    </row>
    <row r="76">
      <c r="A76" s="696" t="n">
        <v>75</v>
      </c>
      <c r="B76" s="34" t="inlineStr">
        <is>
          <t xml:space="preserve">　　　　         (손실충당금)</t>
        </is>
      </c>
      <c r="D76" s="34" t="n">
        <v>0</v>
      </c>
      <c r="E76" s="34" t="n">
        <v>0</v>
      </c>
      <c r="F76" s="34" t="n">
        <v>0</v>
      </c>
      <c r="G76" s="34" t="n">
        <v>0</v>
      </c>
      <c r="H76" s="148" t="n">
        <v>0</v>
      </c>
      <c r="I76" s="34" t="n">
        <v>0</v>
      </c>
      <c r="J76" s="34" t="n">
        <v>0</v>
      </c>
      <c r="K76" s="34" t="n">
        <v>0</v>
      </c>
      <c r="L76" s="34" t="n">
        <v>0</v>
      </c>
      <c r="M76" s="34" t="n">
        <v>0</v>
      </c>
      <c r="N76" s="17">
        <f>+M76+I76+J76</f>
        <v/>
      </c>
      <c r="O76" s="17">
        <f>+F76</f>
        <v/>
      </c>
      <c r="P76" s="17">
        <f>+K76+L76</f>
        <v/>
      </c>
      <c r="Q76" s="17">
        <f>+G76</f>
        <v/>
      </c>
      <c r="AH76" s="20" t="inlineStr">
        <is>
          <t xml:space="preserve">          2) 유가증권담보대출금</t>
        </is>
      </c>
      <c r="AI76" s="847" t="n">
        <v>0</v>
      </c>
    </row>
    <row r="77">
      <c r="A77" s="696" t="n">
        <v>76</v>
      </c>
      <c r="B77" s="34" t="inlineStr">
        <is>
          <t xml:space="preserve">　　　　         가.국·공채</t>
        </is>
      </c>
      <c r="D77" s="34" t="n">
        <v>0</v>
      </c>
      <c r="E77" s="34" t="n">
        <v>0</v>
      </c>
      <c r="F77" s="34" t="n">
        <v>0</v>
      </c>
      <c r="G77" s="34" t="n">
        <v>0</v>
      </c>
      <c r="H77" s="148" t="n">
        <v>0</v>
      </c>
      <c r="I77" s="34" t="n">
        <v>0</v>
      </c>
      <c r="J77" s="34" t="n">
        <v>0</v>
      </c>
      <c r="K77" s="34" t="n">
        <v>0</v>
      </c>
      <c r="L77" s="34" t="n">
        <v>0</v>
      </c>
      <c r="M77" s="34" t="n">
        <v>0</v>
      </c>
      <c r="N77" s="17">
        <f>+M77+I77+J77</f>
        <v/>
      </c>
      <c r="O77" s="17">
        <f>+F77</f>
        <v/>
      </c>
      <c r="P77" s="17">
        <f>+K77+L77</f>
        <v/>
      </c>
      <c r="Q77" s="17">
        <f>+G77</f>
        <v/>
      </c>
      <c r="AH77" s="20" t="inlineStr">
        <is>
          <t xml:space="preserve">          3) 수익증권담보대출금</t>
        </is>
      </c>
      <c r="AI77" s="847" t="n">
        <v>0</v>
      </c>
    </row>
    <row r="78">
      <c r="A78" s="696" t="n">
        <v>77</v>
      </c>
      <c r="B78" s="34" t="inlineStr">
        <is>
          <t xml:space="preserve">　　　　　          (1) 국 채</t>
        </is>
      </c>
      <c r="D78" s="34" t="n">
        <v>0</v>
      </c>
      <c r="E78" s="34" t="n">
        <v>0</v>
      </c>
      <c r="F78" s="34" t="n">
        <v>0</v>
      </c>
      <c r="G78" s="34" t="n">
        <v>0</v>
      </c>
      <c r="H78" s="148" t="n">
        <v>0</v>
      </c>
      <c r="I78" s="34" t="n">
        <v>0</v>
      </c>
      <c r="J78" s="34" t="n">
        <v>0</v>
      </c>
      <c r="K78" s="34" t="n">
        <v>0</v>
      </c>
      <c r="L78" s="34" t="n">
        <v>0</v>
      </c>
      <c r="M78" s="34" t="n">
        <v>0</v>
      </c>
      <c r="N78" s="17">
        <f>+M78+I78+J78</f>
        <v/>
      </c>
      <c r="O78" s="17">
        <f>+F78</f>
        <v/>
      </c>
      <c r="P78" s="17">
        <f>+K78+L78</f>
        <v/>
      </c>
      <c r="Q78" s="17">
        <f>+G78</f>
        <v/>
      </c>
      <c r="AH78" s="20" t="inlineStr">
        <is>
          <t xml:space="preserve">          4) 부동산담보대출금</t>
        </is>
      </c>
      <c r="AI78" s="847" t="n">
        <v>0</v>
      </c>
    </row>
    <row r="79">
      <c r="A79" s="696" t="n">
        <v>78</v>
      </c>
      <c r="B79" s="34" t="inlineStr">
        <is>
          <t xml:space="preserve">　　　　　          (2) 공 채</t>
        </is>
      </c>
      <c r="D79" s="34" t="n">
        <v>0</v>
      </c>
      <c r="E79" s="34" t="n">
        <v>0</v>
      </c>
      <c r="F79" s="34" t="n">
        <v>0</v>
      </c>
      <c r="G79" s="34" t="n">
        <v>0</v>
      </c>
      <c r="H79" s="148" t="n">
        <v>0</v>
      </c>
      <c r="I79" s="34" t="n">
        <v>0</v>
      </c>
      <c r="J79" s="34" t="n">
        <v>0</v>
      </c>
      <c r="K79" s="34" t="n">
        <v>0</v>
      </c>
      <c r="L79" s="34" t="n">
        <v>0</v>
      </c>
      <c r="M79" s="34" t="n">
        <v>0</v>
      </c>
      <c r="N79" s="17">
        <f>+M79+I79+J79</f>
        <v/>
      </c>
      <c r="O79" s="17">
        <f>+F79</f>
        <v/>
      </c>
      <c r="P79" s="17">
        <f>+K79+L79</f>
        <v/>
      </c>
      <c r="Q79" s="17">
        <f>+G79</f>
        <v/>
      </c>
      <c r="AH79" s="20" t="inlineStr">
        <is>
          <t xml:space="preserve">          5) 신용대출금</t>
        </is>
      </c>
      <c r="AI79" s="847" t="n">
        <v>0</v>
      </c>
    </row>
    <row r="80">
      <c r="A80" s="696" t="n">
        <v>79</v>
      </c>
      <c r="B80" s="34" t="inlineStr">
        <is>
          <t xml:space="preserve">　　　　         나.특 수 채</t>
        </is>
      </c>
      <c r="D80" s="34" t="n">
        <v>0</v>
      </c>
      <c r="E80" s="34" t="n">
        <v>0</v>
      </c>
      <c r="F80" s="34" t="n">
        <v>0</v>
      </c>
      <c r="G80" s="34" t="n">
        <v>0</v>
      </c>
      <c r="H80" s="148" t="n">
        <v>0</v>
      </c>
      <c r="I80" s="34" t="n">
        <v>0</v>
      </c>
      <c r="J80" s="34" t="n">
        <v>0</v>
      </c>
      <c r="K80" s="34" t="n">
        <v>0</v>
      </c>
      <c r="L80" s="34" t="n">
        <v>0</v>
      </c>
      <c r="M80" s="34" t="n">
        <v>0</v>
      </c>
      <c r="N80" s="17">
        <f>+M80+I80+J80</f>
        <v/>
      </c>
      <c r="O80" s="17">
        <f>+F80</f>
        <v/>
      </c>
      <c r="P80" s="17">
        <f>+K80+L80</f>
        <v/>
      </c>
      <c r="Q80" s="17">
        <f>+G80</f>
        <v/>
      </c>
      <c r="AH80" s="20" t="inlineStr">
        <is>
          <t xml:space="preserve">          6) 어음할인대출금</t>
        </is>
      </c>
      <c r="AI80" s="847" t="n">
        <v>0</v>
      </c>
    </row>
    <row r="81">
      <c r="A81" s="696" t="n">
        <v>80</v>
      </c>
      <c r="B81" s="34" t="inlineStr">
        <is>
          <t xml:space="preserve">　　　　         다.금 융 채</t>
        </is>
      </c>
      <c r="D81" s="34" t="n">
        <v>0</v>
      </c>
      <c r="E81" s="34" t="n">
        <v>0</v>
      </c>
      <c r="F81" s="34" t="n">
        <v>0</v>
      </c>
      <c r="G81" s="34" t="n">
        <v>0</v>
      </c>
      <c r="H81" s="148" t="n">
        <v>0</v>
      </c>
      <c r="I81" s="34" t="n">
        <v>0</v>
      </c>
      <c r="J81" s="34" t="n">
        <v>0</v>
      </c>
      <c r="K81" s="34" t="n">
        <v>0</v>
      </c>
      <c r="L81" s="34" t="n">
        <v>0</v>
      </c>
      <c r="M81" s="34" t="n">
        <v>0</v>
      </c>
      <c r="N81" s="17">
        <f>+M81+I81+J81</f>
        <v/>
      </c>
      <c r="O81" s="17">
        <f>+F81</f>
        <v/>
      </c>
      <c r="P81" s="17">
        <f>+K81+L81</f>
        <v/>
      </c>
      <c r="Q81" s="17">
        <f>+G81</f>
        <v/>
      </c>
      <c r="AH81" s="20" t="inlineStr">
        <is>
          <t xml:space="preserve">          7) 지급보증대출금</t>
        </is>
      </c>
      <c r="AI81" s="847" t="n">
        <v>0</v>
      </c>
    </row>
    <row r="82">
      <c r="A82" s="696" t="n">
        <v>81</v>
      </c>
      <c r="B82" s="34" t="inlineStr">
        <is>
          <t xml:space="preserve">　　　　         라.회 사 채</t>
        </is>
      </c>
      <c r="D82" s="34" t="n">
        <v>0</v>
      </c>
      <c r="E82" s="34" t="n">
        <v>0</v>
      </c>
      <c r="F82" s="34" t="n">
        <v>0</v>
      </c>
      <c r="G82" s="34" t="n">
        <v>0</v>
      </c>
      <c r="H82" s="148" t="n">
        <v>0</v>
      </c>
      <c r="I82" s="34" t="n">
        <v>0</v>
      </c>
      <c r="J82" s="34" t="n">
        <v>0</v>
      </c>
      <c r="K82" s="34" t="n">
        <v>0</v>
      </c>
      <c r="L82" s="34" t="n">
        <v>0</v>
      </c>
      <c r="M82" s="34" t="n">
        <v>0</v>
      </c>
      <c r="N82" s="17">
        <f>+M82+I82+J82</f>
        <v/>
      </c>
      <c r="O82" s="17">
        <f>+F82</f>
        <v/>
      </c>
      <c r="P82" s="17">
        <f>+K82+L82</f>
        <v/>
      </c>
      <c r="Q82" s="17">
        <f>+G82</f>
        <v/>
      </c>
      <c r="AH82" s="20" t="inlineStr">
        <is>
          <t xml:space="preserve">          8) 기타대출금</t>
        </is>
      </c>
      <c r="AI82" s="847" t="n">
        <v>0</v>
      </c>
    </row>
    <row r="83">
      <c r="A83" s="696" t="n">
        <v>82</v>
      </c>
      <c r="B83" s="34" t="inlineStr">
        <is>
          <t xml:space="preserve">　　　　　          (1) 보증사채</t>
        </is>
      </c>
      <c r="D83" s="34" t="n">
        <v>0</v>
      </c>
      <c r="E83" s="34" t="n">
        <v>0</v>
      </c>
      <c r="F83" s="34" t="n">
        <v>0</v>
      </c>
      <c r="G83" s="34" t="n">
        <v>0</v>
      </c>
      <c r="H83" s="148" t="n">
        <v>0</v>
      </c>
      <c r="I83" s="34" t="n">
        <v>0</v>
      </c>
      <c r="J83" s="34" t="n">
        <v>0</v>
      </c>
      <c r="K83" s="34" t="n">
        <v>0</v>
      </c>
      <c r="L83" s="34" t="n">
        <v>0</v>
      </c>
      <c r="M83" s="34" t="n">
        <v>0</v>
      </c>
      <c r="N83" s="17">
        <f>+M83+I83+J83</f>
        <v/>
      </c>
      <c r="O83" s="17">
        <f>+F83</f>
        <v/>
      </c>
      <c r="P83" s="17">
        <f>+K83+L83</f>
        <v/>
      </c>
      <c r="Q83" s="17">
        <f>+G83</f>
        <v/>
      </c>
      <c r="AH83" s="20" t="inlineStr">
        <is>
          <t xml:space="preserve">            (가) 주택보험대출 </t>
        </is>
      </c>
      <c r="AI83" s="847" t="n">
        <v>0</v>
      </c>
    </row>
    <row r="84">
      <c r="A84" s="696" t="n">
        <v>83</v>
      </c>
      <c r="B84" s="34" t="inlineStr">
        <is>
          <t xml:space="preserve">　　　　　          (2) 무보증사채</t>
        </is>
      </c>
      <c r="D84" s="34" t="n">
        <v>0</v>
      </c>
      <c r="E84" s="34" t="n">
        <v>0</v>
      </c>
      <c r="F84" s="34" t="n">
        <v>0</v>
      </c>
      <c r="G84" s="34" t="n">
        <v>0</v>
      </c>
      <c r="H84" s="148" t="n">
        <v>0</v>
      </c>
      <c r="I84" s="34" t="n">
        <v>0</v>
      </c>
      <c r="J84" s="34" t="n">
        <v>0</v>
      </c>
      <c r="K84" s="34" t="n">
        <v>0</v>
      </c>
      <c r="L84" s="34" t="n">
        <v>0</v>
      </c>
      <c r="M84" s="34" t="n">
        <v>0</v>
      </c>
      <c r="N84" s="17">
        <f>+M84+I84+J84</f>
        <v/>
      </c>
      <c r="O84" s="17">
        <f>+F84</f>
        <v/>
      </c>
      <c r="P84" s="17">
        <f>+K84+L84</f>
        <v/>
      </c>
      <c r="Q84" s="17">
        <f>+G84</f>
        <v/>
      </c>
      <c r="AH84" s="20" t="inlineStr">
        <is>
          <t xml:space="preserve">            (나) 사모사채</t>
        </is>
      </c>
      <c r="AI84" s="847" t="n">
        <v>0</v>
      </c>
    </row>
    <row r="85">
      <c r="A85" s="696" t="n">
        <v>84</v>
      </c>
      <c r="B85" s="34" t="inlineStr">
        <is>
          <t xml:space="preserve">　　　　         마.수익증권</t>
        </is>
      </c>
      <c r="D85" s="34" t="n">
        <v>0</v>
      </c>
      <c r="E85" s="34" t="n">
        <v>0</v>
      </c>
      <c r="F85" s="34" t="n">
        <v>0</v>
      </c>
      <c r="G85" s="34" t="n">
        <v>0</v>
      </c>
      <c r="H85" s="148" t="n">
        <v>0</v>
      </c>
      <c r="I85" s="34" t="n">
        <v>0</v>
      </c>
      <c r="J85" s="34" t="n">
        <v>0</v>
      </c>
      <c r="K85" s="34" t="n">
        <v>0</v>
      </c>
      <c r="L85" s="34" t="n">
        <v>0</v>
      </c>
      <c r="M85" s="34" t="n">
        <v>0</v>
      </c>
      <c r="N85" s="17">
        <f>+M85+I85+J85</f>
        <v/>
      </c>
      <c r="O85" s="17">
        <f>+F85</f>
        <v/>
      </c>
      <c r="P85" s="17">
        <f>+K85+L85</f>
        <v/>
      </c>
      <c r="Q85" s="17">
        <f>+G85</f>
        <v/>
      </c>
      <c r="AH85" s="20" t="inlineStr">
        <is>
          <t xml:space="preserve">            (다) CP</t>
        </is>
      </c>
      <c r="AI85" s="847" t="n">
        <v>0</v>
      </c>
    </row>
    <row r="86">
      <c r="A86" s="696" t="n">
        <v>85</v>
      </c>
      <c r="B86" s="34" t="inlineStr">
        <is>
          <t xml:space="preserve">　　　　         바.외화표시유가증권</t>
        </is>
      </c>
      <c r="D86" s="34" t="n">
        <v>0</v>
      </c>
      <c r="E86" s="34" t="n">
        <v>0</v>
      </c>
      <c r="F86" s="34" t="n">
        <v>0</v>
      </c>
      <c r="G86" s="34" t="n">
        <v>0</v>
      </c>
      <c r="H86" s="148" t="n">
        <v>0</v>
      </c>
      <c r="I86" s="34" t="n">
        <v>0</v>
      </c>
      <c r="J86" s="34" t="n">
        <v>0</v>
      </c>
      <c r="K86" s="34" t="n">
        <v>0</v>
      </c>
      <c r="L86" s="34" t="n">
        <v>0</v>
      </c>
      <c r="M86" s="34" t="n">
        <v>0</v>
      </c>
      <c r="N86" s="17">
        <f>+M86+I86+J86</f>
        <v/>
      </c>
      <c r="O86" s="17">
        <f>+F86</f>
        <v/>
      </c>
      <c r="P86" s="17">
        <f>+K86+L86</f>
        <v/>
      </c>
      <c r="Q86" s="17">
        <f>+G86</f>
        <v/>
      </c>
      <c r="AH86" s="20" t="inlineStr">
        <is>
          <t xml:space="preserve">            (라) RP</t>
        </is>
      </c>
      <c r="AI86" s="847" t="n">
        <v>0</v>
      </c>
    </row>
    <row r="87">
      <c r="A87" s="696" t="n">
        <v>86</v>
      </c>
      <c r="B87" s="34" t="inlineStr">
        <is>
          <t xml:space="preserve">　　　　　          (1) 채권</t>
        </is>
      </c>
      <c r="D87" s="34" t="n">
        <v>0</v>
      </c>
      <c r="E87" s="34" t="n">
        <v>0</v>
      </c>
      <c r="F87" s="34" t="n">
        <v>0</v>
      </c>
      <c r="G87" s="34" t="n">
        <v>0</v>
      </c>
      <c r="H87" s="148" t="n">
        <v>0</v>
      </c>
      <c r="I87" s="34" t="n">
        <v>0</v>
      </c>
      <c r="J87" s="34" t="n">
        <v>0</v>
      </c>
      <c r="K87" s="34" t="n">
        <v>0</v>
      </c>
      <c r="L87" s="34" t="n">
        <v>0</v>
      </c>
      <c r="M87" s="34" t="n">
        <v>0</v>
      </c>
      <c r="N87" s="17">
        <f>+M87+I87+J87</f>
        <v/>
      </c>
      <c r="O87" s="17">
        <f>+F87</f>
        <v/>
      </c>
      <c r="P87" s="17">
        <f>+K87+L87</f>
        <v/>
      </c>
      <c r="Q87" s="17">
        <f>+G87</f>
        <v/>
      </c>
      <c r="AH87" s="20" t="inlineStr">
        <is>
          <t xml:space="preserve">            (마) 기   타</t>
        </is>
      </c>
      <c r="AI87" s="847" t="n">
        <v>0</v>
      </c>
    </row>
    <row r="88">
      <c r="A88" s="696" t="n">
        <v>87</v>
      </c>
      <c r="B88" s="34" t="inlineStr">
        <is>
          <t xml:space="preserve">　　　　　          (2) 수익증권</t>
        </is>
      </c>
      <c r="D88" s="34" t="n">
        <v>0</v>
      </c>
      <c r="E88" s="34" t="n">
        <v>0</v>
      </c>
      <c r="F88" s="34" t="n">
        <v>0</v>
      </c>
      <c r="G88" s="34" t="n">
        <v>0</v>
      </c>
      <c r="H88" s="148" t="n">
        <v>0</v>
      </c>
      <c r="I88" s="34" t="n">
        <v>0</v>
      </c>
      <c r="J88" s="34" t="n">
        <v>0</v>
      </c>
      <c r="K88" s="34" t="n">
        <v>0</v>
      </c>
      <c r="L88" s="34" t="n">
        <v>0</v>
      </c>
      <c r="M88" s="34" t="n">
        <v>0</v>
      </c>
      <c r="N88" s="17">
        <f>+M88+I88+J88</f>
        <v/>
      </c>
      <c r="O88" s="17">
        <f>+F88</f>
        <v/>
      </c>
      <c r="P88" s="17">
        <f>+K88+L88</f>
        <v/>
      </c>
      <c r="Q88" s="17">
        <f>+G88</f>
        <v/>
      </c>
      <c r="AH88" s="20" t="inlineStr">
        <is>
          <t xml:space="preserve">       (2) 기타 수취채권</t>
        </is>
      </c>
      <c r="AI88" s="847" t="n">
        <v>44894739435</v>
      </c>
    </row>
    <row r="89">
      <c r="A89" s="696" t="n">
        <v>88</v>
      </c>
      <c r="B89" s="34" t="inlineStr">
        <is>
          <t xml:space="preserve">　　　　　          (3) 신종유가증권</t>
        </is>
      </c>
      <c r="D89" s="34" t="n">
        <v>0</v>
      </c>
      <c r="E89" s="34" t="n">
        <v>0</v>
      </c>
      <c r="F89" s="34" t="n">
        <v>0</v>
      </c>
      <c r="G89" s="34" t="n">
        <v>0</v>
      </c>
      <c r="H89" s="148" t="n">
        <v>0</v>
      </c>
      <c r="I89" s="34" t="n">
        <v>0</v>
      </c>
      <c r="J89" s="34" t="n">
        <v>0</v>
      </c>
      <c r="K89" s="34" t="n">
        <v>0</v>
      </c>
      <c r="L89" s="34" t="n">
        <v>0</v>
      </c>
      <c r="M89" s="34" t="n">
        <v>0</v>
      </c>
      <c r="N89" s="17">
        <f>+M89+I89+J89</f>
        <v/>
      </c>
      <c r="O89" s="17">
        <f>+F89</f>
        <v/>
      </c>
      <c r="P89" s="17">
        <f>+K89+L89</f>
        <v/>
      </c>
      <c r="Q89" s="17">
        <f>+G89</f>
        <v/>
      </c>
      <c r="AH89" s="20" t="inlineStr">
        <is>
          <t xml:space="preserve">          1) 기타예금</t>
        </is>
      </c>
      <c r="AI89" s="847" t="n">
        <v>44894739435</v>
      </c>
      <c r="AJ89" s="696" t="inlineStr">
        <is>
          <t>기타예금</t>
        </is>
      </c>
    </row>
    <row r="90">
      <c r="A90" s="696" t="n">
        <v>89</v>
      </c>
      <c r="B90" s="34" t="inlineStr">
        <is>
          <t xml:space="preserve">　　　　　          (4) 기타유가증권</t>
        </is>
      </c>
      <c r="D90" s="34" t="n">
        <v>0</v>
      </c>
      <c r="E90" s="34" t="n">
        <v>0</v>
      </c>
      <c r="F90" s="34" t="n">
        <v>0</v>
      </c>
      <c r="G90" s="34" t="n">
        <v>0</v>
      </c>
      <c r="H90" s="148" t="n">
        <v>0</v>
      </c>
      <c r="I90" s="34" t="n">
        <v>0</v>
      </c>
      <c r="J90" s="34" t="n">
        <v>0</v>
      </c>
      <c r="K90" s="34" t="n">
        <v>0</v>
      </c>
      <c r="L90" s="34" t="n">
        <v>0</v>
      </c>
      <c r="M90" s="34" t="n">
        <v>0</v>
      </c>
      <c r="N90" s="17">
        <f>+M90+I90+J90</f>
        <v/>
      </c>
      <c r="O90" s="17">
        <f>+F90</f>
        <v/>
      </c>
      <c r="P90" s="17">
        <f>+K90+L90</f>
        <v/>
      </c>
      <c r="Q90" s="17">
        <f>+G90</f>
        <v/>
      </c>
      <c r="AH90" s="20" t="inlineStr">
        <is>
          <t xml:space="preserve">  III. 기타포괄손익-공정가치측정 금융자산</t>
        </is>
      </c>
      <c r="AI90" s="847" t="n">
        <v>11814069090092</v>
      </c>
    </row>
    <row r="91">
      <c r="A91" s="696" t="n">
        <v>90</v>
      </c>
      <c r="B91" s="34" t="inlineStr">
        <is>
          <t xml:space="preserve">　　　　         사.기타유가증권</t>
        </is>
      </c>
      <c r="D91" s="34" t="n">
        <v>0</v>
      </c>
      <c r="E91" s="34" t="n">
        <v>0</v>
      </c>
      <c r="F91" s="34" t="n">
        <v>0</v>
      </c>
      <c r="G91" s="34" t="n">
        <v>0</v>
      </c>
      <c r="H91" s="148" t="n">
        <v>0</v>
      </c>
      <c r="I91" s="34" t="n">
        <v>0</v>
      </c>
      <c r="J91" s="34" t="n">
        <v>0</v>
      </c>
      <c r="K91" s="34" t="n">
        <v>0</v>
      </c>
      <c r="L91" s="34" t="n">
        <v>0</v>
      </c>
      <c r="M91" s="34" t="n">
        <v>0</v>
      </c>
      <c r="N91" s="17">
        <f>+M91+I91+J91</f>
        <v/>
      </c>
      <c r="O91" s="17">
        <f>+F91</f>
        <v/>
      </c>
      <c r="P91" s="17">
        <f>+K91+L91</f>
        <v/>
      </c>
      <c r="Q91" s="17">
        <f>+G91</f>
        <v/>
      </c>
      <c r="AH91" s="20" t="inlineStr">
        <is>
          <t xml:space="preserve">     1.기타포괄손익-공정가치측정금융자산_유가증권</t>
        </is>
      </c>
      <c r="AI91" s="847" t="n">
        <v>11814069090092</v>
      </c>
    </row>
    <row r="92">
      <c r="A92" s="696" t="n">
        <v>91</v>
      </c>
      <c r="B92" s="34" t="inlineStr">
        <is>
          <t xml:space="preserve">　　　      2-4.관계·종속기업투자주식</t>
        </is>
      </c>
      <c r="D92" s="33" t="n">
        <v>142042965503</v>
      </c>
      <c r="E92" s="34" t="n">
        <v>0</v>
      </c>
      <c r="F92" s="34" t="n">
        <v>0</v>
      </c>
      <c r="G92" s="34" t="n">
        <v>0</v>
      </c>
      <c r="H92" s="147" t="n">
        <v>142042965503</v>
      </c>
      <c r="I92" s="34" t="n">
        <v>0</v>
      </c>
      <c r="J92" s="34" t="n">
        <v>0</v>
      </c>
      <c r="K92" s="34" t="n">
        <v>0</v>
      </c>
      <c r="L92" s="34" t="n">
        <v>0</v>
      </c>
      <c r="M92" s="33" t="n">
        <v>142042965503</v>
      </c>
      <c r="N92" s="17">
        <f>+M92+I92+J92</f>
        <v/>
      </c>
      <c r="O92" s="17">
        <f>+F92</f>
        <v/>
      </c>
      <c r="P92" s="17">
        <f>+K92+L92</f>
        <v/>
      </c>
      <c r="Q92" s="17">
        <f>+G92</f>
        <v/>
      </c>
      <c r="R92" s="14" t="inlineStr">
        <is>
          <t>관계종속기업투자주식</t>
        </is>
      </c>
      <c r="AH92" s="20" t="inlineStr">
        <is>
          <t xml:space="preserve">       (1) 주  식 </t>
        </is>
      </c>
      <c r="AI92" s="847" t="n">
        <v>0</v>
      </c>
    </row>
    <row r="93">
      <c r="A93" s="696" t="n">
        <v>92</v>
      </c>
      <c r="B93" s="34" t="inlineStr">
        <is>
          <t xml:space="preserve">　　　　         [종속기업투자자산]</t>
        </is>
      </c>
      <c r="D93" s="34" t="n">
        <v>0</v>
      </c>
      <c r="E93" s="34" t="n">
        <v>0</v>
      </c>
      <c r="F93" s="34" t="n">
        <v>0</v>
      </c>
      <c r="G93" s="34" t="n">
        <v>0</v>
      </c>
      <c r="H93" s="148" t="n">
        <v>0</v>
      </c>
      <c r="I93" s="34" t="n">
        <v>0</v>
      </c>
      <c r="J93" s="34" t="n">
        <v>0</v>
      </c>
      <c r="K93" s="34" t="n">
        <v>0</v>
      </c>
      <c r="L93" s="34" t="n">
        <v>0</v>
      </c>
      <c r="M93" s="34" t="n">
        <v>0</v>
      </c>
      <c r="N93" s="17">
        <f>+M93+I93+J93</f>
        <v/>
      </c>
      <c r="O93" s="17">
        <f>+F93</f>
        <v/>
      </c>
      <c r="P93" s="17">
        <f>+K93+L93</f>
        <v/>
      </c>
      <c r="Q93" s="17">
        <f>+G93</f>
        <v/>
      </c>
      <c r="AH93" s="20" t="inlineStr">
        <is>
          <t xml:space="preserve">       (2) 출 자 금 </t>
        </is>
      </c>
      <c r="AI93" s="847" t="n">
        <v>0</v>
      </c>
    </row>
    <row r="94">
      <c r="A94" s="696" t="n">
        <v>93</v>
      </c>
      <c r="B94" s="34" t="inlineStr">
        <is>
          <t xml:space="preserve">　　　　         [관계기업투자자산]</t>
        </is>
      </c>
      <c r="D94" s="34" t="n">
        <v>0</v>
      </c>
      <c r="E94" s="34" t="n">
        <v>0</v>
      </c>
      <c r="F94" s="34" t="n">
        <v>0</v>
      </c>
      <c r="G94" s="34" t="n">
        <v>0</v>
      </c>
      <c r="H94" s="148" t="n">
        <v>0</v>
      </c>
      <c r="I94" s="34" t="n">
        <v>0</v>
      </c>
      <c r="J94" s="34" t="n">
        <v>0</v>
      </c>
      <c r="K94" s="34" t="n">
        <v>0</v>
      </c>
      <c r="L94" s="34" t="n">
        <v>0</v>
      </c>
      <c r="M94" s="34" t="n">
        <v>0</v>
      </c>
      <c r="N94" s="17">
        <f>+M94+I94+J94</f>
        <v/>
      </c>
      <c r="O94" s="17">
        <f>+F94</f>
        <v/>
      </c>
      <c r="P94" s="17">
        <f>+K94+L94</f>
        <v/>
      </c>
      <c r="Q94" s="17">
        <f>+G94</f>
        <v/>
      </c>
      <c r="AH94" s="20" t="inlineStr">
        <is>
          <t xml:space="preserve">       (3) 국ㆍ공채</t>
        </is>
      </c>
      <c r="AI94" s="847" t="n">
        <v>7322635719612</v>
      </c>
    </row>
    <row r="95">
      <c r="A95" s="696" t="n">
        <v>94</v>
      </c>
      <c r="B95" s="34" t="inlineStr">
        <is>
          <t xml:space="preserve">　　　　         가.주 식</t>
        </is>
      </c>
      <c r="D95" s="33" t="n">
        <v>142042965503</v>
      </c>
      <c r="E95" s="34" t="n">
        <v>0</v>
      </c>
      <c r="F95" s="34" t="n">
        <v>0</v>
      </c>
      <c r="G95" s="34" t="n">
        <v>0</v>
      </c>
      <c r="H95" s="147" t="n">
        <v>142042965503</v>
      </c>
      <c r="I95" s="34" t="n">
        <v>0</v>
      </c>
      <c r="J95" s="34" t="n">
        <v>0</v>
      </c>
      <c r="K95" s="34" t="n">
        <v>0</v>
      </c>
      <c r="L95" s="34" t="n">
        <v>0</v>
      </c>
      <c r="M95" s="33" t="n">
        <v>142042965503</v>
      </c>
      <c r="N95" s="17">
        <f>+M95+I95+J95</f>
        <v/>
      </c>
      <c r="O95" s="17">
        <f>+F95</f>
        <v/>
      </c>
      <c r="P95" s="17">
        <f>+K95+L95</f>
        <v/>
      </c>
      <c r="Q95" s="17">
        <f>+G95</f>
        <v/>
      </c>
      <c r="AH95" s="20" t="inlineStr">
        <is>
          <t xml:space="preserve">           1) 국 채 </t>
        </is>
      </c>
      <c r="AI95" s="847" t="n">
        <v>7322635719612</v>
      </c>
    </row>
    <row r="96">
      <c r="A96" s="696" t="n">
        <v>95</v>
      </c>
      <c r="B96" s="34" t="inlineStr">
        <is>
          <t xml:space="preserve">　　　　         나.출 자 금</t>
        </is>
      </c>
      <c r="D96" s="34" t="n">
        <v>0</v>
      </c>
      <c r="E96" s="34" t="n">
        <v>0</v>
      </c>
      <c r="F96" s="34" t="n">
        <v>0</v>
      </c>
      <c r="G96" s="34" t="n">
        <v>0</v>
      </c>
      <c r="H96" s="148" t="n">
        <v>0</v>
      </c>
      <c r="I96" s="34" t="n">
        <v>0</v>
      </c>
      <c r="J96" s="34" t="n">
        <v>0</v>
      </c>
      <c r="K96" s="34" t="n">
        <v>0</v>
      </c>
      <c r="L96" s="34" t="n">
        <v>0</v>
      </c>
      <c r="M96" s="34" t="n">
        <v>0</v>
      </c>
      <c r="N96" s="17">
        <f>+M96+I96+J96</f>
        <v/>
      </c>
      <c r="O96" s="17">
        <f>+F96</f>
        <v/>
      </c>
      <c r="P96" s="17">
        <f>+K96+L96</f>
        <v/>
      </c>
      <c r="Q96" s="17">
        <f>+G96</f>
        <v/>
      </c>
      <c r="AH96" s="20" t="inlineStr">
        <is>
          <t xml:space="preserve">           2) 공 채 </t>
        </is>
      </c>
      <c r="AI96" s="847" t="n">
        <v>0</v>
      </c>
    </row>
    <row r="97">
      <c r="A97" s="696" t="n">
        <v>96</v>
      </c>
      <c r="B97" s="34" t="inlineStr">
        <is>
          <t xml:space="preserve">　　　　         다.기 타</t>
        </is>
      </c>
      <c r="D97" s="34" t="n">
        <v>0</v>
      </c>
      <c r="E97" s="34" t="n">
        <v>0</v>
      </c>
      <c r="F97" s="34" t="n">
        <v>0</v>
      </c>
      <c r="G97" s="34" t="n">
        <v>0</v>
      </c>
      <c r="H97" s="148" t="n">
        <v>0</v>
      </c>
      <c r="I97" s="34" t="n">
        <v>0</v>
      </c>
      <c r="J97" s="34" t="n">
        <v>0</v>
      </c>
      <c r="K97" s="34" t="n">
        <v>0</v>
      </c>
      <c r="L97" s="34" t="n">
        <v>0</v>
      </c>
      <c r="M97" s="34" t="n">
        <v>0</v>
      </c>
      <c r="N97" s="17">
        <f>+M97+I97+J97</f>
        <v/>
      </c>
      <c r="O97" s="17">
        <f>+F97</f>
        <v/>
      </c>
      <c r="P97" s="17">
        <f>+K97+L97</f>
        <v/>
      </c>
      <c r="Q97" s="17">
        <f>+G97</f>
        <v/>
      </c>
      <c r="AH97" s="20" t="inlineStr">
        <is>
          <t xml:space="preserve">       (4) 특 수 채 </t>
        </is>
      </c>
      <c r="AI97" s="847" t="n">
        <v>2689859205480</v>
      </c>
    </row>
    <row r="98">
      <c r="A98" s="696" t="n">
        <v>97</v>
      </c>
      <c r="B98" s="34" t="inlineStr">
        <is>
          <t xml:space="preserve">　　     3.대 출 채 권</t>
        </is>
      </c>
      <c r="D98" s="33" t="n">
        <v>2158965156917</v>
      </c>
      <c r="E98" s="34" t="n">
        <v>0</v>
      </c>
      <c r="F98" s="33" t="n">
        <v>190800000000</v>
      </c>
      <c r="G98" s="34" t="n">
        <v>0</v>
      </c>
      <c r="H98" s="147" t="n">
        <v>1968165156917</v>
      </c>
      <c r="I98" s="34" t="n">
        <v>0</v>
      </c>
      <c r="J98" s="34" t="n">
        <v>0</v>
      </c>
      <c r="K98" s="34" t="n">
        <v>0</v>
      </c>
      <c r="L98" s="33" t="n">
        <v>123034103260</v>
      </c>
      <c r="M98" s="33" t="n">
        <v>1845131053657</v>
      </c>
      <c r="N98" s="17">
        <f>+M98+I98+J98</f>
        <v/>
      </c>
      <c r="O98" s="17">
        <f>+F98</f>
        <v/>
      </c>
      <c r="P98" s="17">
        <f>+K98+L98</f>
        <v/>
      </c>
      <c r="Q98" s="17">
        <f>+G98</f>
        <v/>
      </c>
      <c r="R98" s="14" t="inlineStr">
        <is>
          <t>AC</t>
        </is>
      </c>
      <c r="AH98" s="20" t="inlineStr">
        <is>
          <t xml:space="preserve">       (5) 금 융 채 </t>
        </is>
      </c>
      <c r="AI98" s="847" t="n">
        <v>91234155097</v>
      </c>
    </row>
    <row r="99">
      <c r="A99" s="696" t="n">
        <v>98</v>
      </c>
      <c r="B99" s="34" t="inlineStr">
        <is>
          <t xml:space="preserve">　　　      [당기손익-공정가치측정대출채권]</t>
        </is>
      </c>
      <c r="D99" s="34" t="n">
        <v>0</v>
      </c>
      <c r="E99" s="34" t="n">
        <v>0</v>
      </c>
      <c r="F99" s="34" t="n">
        <v>0</v>
      </c>
      <c r="G99" s="34" t="n">
        <v>0</v>
      </c>
      <c r="H99" s="148" t="n">
        <v>0</v>
      </c>
      <c r="I99" s="34" t="n">
        <v>0</v>
      </c>
      <c r="J99" s="34" t="n">
        <v>0</v>
      </c>
      <c r="K99" s="34" t="n">
        <v>0</v>
      </c>
      <c r="L99" s="34" t="n">
        <v>0</v>
      </c>
      <c r="M99" s="34" t="n">
        <v>0</v>
      </c>
      <c r="N99" s="17">
        <f>+M99+I99+J99</f>
        <v/>
      </c>
      <c r="O99" s="17">
        <f>+F99</f>
        <v/>
      </c>
      <c r="P99" s="17">
        <f>+K99+L99</f>
        <v/>
      </c>
      <c r="Q99" s="17">
        <f>+G99</f>
        <v/>
      </c>
      <c r="AH99" s="20" t="inlineStr">
        <is>
          <t xml:space="preserve">       (6) 회 사 채 </t>
        </is>
      </c>
      <c r="AI99" s="847" t="n">
        <v>417532318275</v>
      </c>
    </row>
    <row r="100">
      <c r="A100" s="696" t="n">
        <v>99</v>
      </c>
      <c r="B100" s="34" t="inlineStr">
        <is>
          <t xml:space="preserve">　　　      [기타포괄손익-공정가치측정대출채권]</t>
        </is>
      </c>
      <c r="D100" s="34" t="n">
        <v>0</v>
      </c>
      <c r="E100" s="34" t="n">
        <v>0</v>
      </c>
      <c r="F100" s="34" t="n">
        <v>0</v>
      </c>
      <c r="G100" s="34" t="n">
        <v>0</v>
      </c>
      <c r="H100" s="148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4" t="n">
        <v>0</v>
      </c>
      <c r="N100" s="17">
        <f>+M100+I100+J100</f>
        <v/>
      </c>
      <c r="O100" s="17">
        <f>+F100</f>
        <v/>
      </c>
      <c r="P100" s="17">
        <f>+K100+L100</f>
        <v/>
      </c>
      <c r="Q100" s="17">
        <f>+G100</f>
        <v/>
      </c>
      <c r="AH100" s="20" t="inlineStr">
        <is>
          <t xml:space="preserve">          1) 보증사채</t>
        </is>
      </c>
      <c r="AI100" s="847" t="n">
        <v>0</v>
      </c>
    </row>
    <row r="101">
      <c r="A101" s="696" t="n">
        <v>100</v>
      </c>
      <c r="B101" s="34" t="inlineStr">
        <is>
          <t xml:space="preserve">　　　      [상각후원가측정대출채권]</t>
        </is>
      </c>
      <c r="D101" s="34" t="n">
        <v>0</v>
      </c>
      <c r="E101" s="34" t="n">
        <v>0</v>
      </c>
      <c r="F101" s="34" t="n">
        <v>0</v>
      </c>
      <c r="G101" s="34" t="n">
        <v>0</v>
      </c>
      <c r="H101" s="148" t="n">
        <v>0</v>
      </c>
      <c r="I101" s="34" t="n">
        <v>0</v>
      </c>
      <c r="J101" s="34" t="n">
        <v>0</v>
      </c>
      <c r="K101" s="34" t="n">
        <v>0</v>
      </c>
      <c r="L101" s="34" t="n">
        <v>0</v>
      </c>
      <c r="M101" s="34" t="n">
        <v>0</v>
      </c>
      <c r="N101" s="17">
        <f>+M101+I101+J101</f>
        <v/>
      </c>
      <c r="O101" s="17">
        <f>+F101</f>
        <v/>
      </c>
      <c r="P101" s="17">
        <f>+K101+L101</f>
        <v/>
      </c>
      <c r="Q101" s="17">
        <f>+G101</f>
        <v/>
      </c>
      <c r="AH101" s="20" t="inlineStr">
        <is>
          <t xml:space="preserve">          2) 무보증사채 </t>
        </is>
      </c>
      <c r="AI101" s="847" t="n">
        <v>417532318275</v>
      </c>
    </row>
    <row r="102">
      <c r="A102" s="696" t="n">
        <v>101</v>
      </c>
      <c r="B102" s="34" t="inlineStr">
        <is>
          <t xml:space="preserve">　　　      (현재가치할인차금)</t>
        </is>
      </c>
      <c r="D102" s="34" t="n">
        <v>0</v>
      </c>
      <c r="E102" s="34" t="n">
        <v>0</v>
      </c>
      <c r="F102" s="34" t="n">
        <v>0</v>
      </c>
      <c r="G102" s="34" t="n">
        <v>0</v>
      </c>
      <c r="H102" s="148" t="n">
        <v>0</v>
      </c>
      <c r="I102" s="34" t="n">
        <v>0</v>
      </c>
      <c r="J102" s="34" t="n">
        <v>0</v>
      </c>
      <c r="K102" s="34" t="n">
        <v>0</v>
      </c>
      <c r="L102" s="34" t="n">
        <v>0</v>
      </c>
      <c r="M102" s="34" t="n">
        <v>0</v>
      </c>
      <c r="N102" s="17">
        <f>+M102+I102+J102</f>
        <v/>
      </c>
      <c r="O102" s="17">
        <f>+F102</f>
        <v/>
      </c>
      <c r="P102" s="17">
        <f>+K102+L102</f>
        <v/>
      </c>
      <c r="Q102" s="17">
        <f>+G102</f>
        <v/>
      </c>
      <c r="AH102" s="20" t="inlineStr">
        <is>
          <t xml:space="preserve">       (7) 수익증권</t>
        </is>
      </c>
      <c r="AI102" s="847" t="n">
        <v>0</v>
      </c>
    </row>
    <row r="103">
      <c r="A103" s="696" t="n">
        <v>102</v>
      </c>
      <c r="B103" s="34" t="inlineStr">
        <is>
          <t xml:space="preserve">　　　      (대손충당금)</t>
        </is>
      </c>
      <c r="D103" s="33" t="n">
        <v>-17520403098</v>
      </c>
      <c r="E103" s="34" t="n">
        <v>0</v>
      </c>
      <c r="F103" s="34" t="n">
        <v>0</v>
      </c>
      <c r="G103" s="34" t="n">
        <v>0</v>
      </c>
      <c r="H103" s="147" t="n">
        <v>-17520403098</v>
      </c>
      <c r="I103" s="34" t="n">
        <v>0</v>
      </c>
      <c r="J103" s="34" t="n">
        <v>0</v>
      </c>
      <c r="K103" s="34" t="n">
        <v>0</v>
      </c>
      <c r="L103" s="33" t="n">
        <v>-136259268</v>
      </c>
      <c r="M103" s="33" t="n">
        <v>-17384143830</v>
      </c>
      <c r="N103" s="17">
        <f>+M103+I103+J103</f>
        <v/>
      </c>
      <c r="O103" s="17">
        <f>+F103</f>
        <v/>
      </c>
      <c r="P103" s="17">
        <f>+K103+L103</f>
        <v/>
      </c>
      <c r="Q103" s="17">
        <f>+G103</f>
        <v/>
      </c>
      <c r="AH103" s="20" t="inlineStr">
        <is>
          <t xml:space="preserve">       (8) 외화유가증권</t>
        </is>
      </c>
      <c r="AI103" s="847" t="n">
        <v>1292807691628</v>
      </c>
    </row>
    <row r="104">
      <c r="A104" s="696" t="n">
        <v>103</v>
      </c>
      <c r="B104" s="34" t="inlineStr">
        <is>
          <t xml:space="preserve">　　　      (이연대출부대손익)</t>
        </is>
      </c>
      <c r="D104" s="33" t="n">
        <v>-1376951108</v>
      </c>
      <c r="E104" s="34" t="n">
        <v>0</v>
      </c>
      <c r="F104" s="34" t="n">
        <v>0</v>
      </c>
      <c r="G104" s="34" t="n">
        <v>0</v>
      </c>
      <c r="H104" s="147" t="n">
        <v>-1376951108</v>
      </c>
      <c r="I104" s="34" t="n">
        <v>0</v>
      </c>
      <c r="J104" s="34" t="n">
        <v>0</v>
      </c>
      <c r="K104" s="34" t="n">
        <v>0</v>
      </c>
      <c r="L104" s="33" t="n">
        <v>-118164519</v>
      </c>
      <c r="M104" s="33" t="n">
        <v>-1258786589</v>
      </c>
      <c r="N104" s="17">
        <f>+M104+I104+J104</f>
        <v/>
      </c>
      <c r="O104" s="17">
        <f>+F104</f>
        <v/>
      </c>
      <c r="P104" s="17">
        <f>+K104+L104</f>
        <v/>
      </c>
      <c r="Q104" s="17">
        <f>+G104</f>
        <v/>
      </c>
      <c r="AH104" s="20" t="inlineStr">
        <is>
          <t xml:space="preserve">          1) 주 식 </t>
        </is>
      </c>
      <c r="AI104" s="847" t="n">
        <v>0</v>
      </c>
    </row>
    <row r="105">
      <c r="A105" s="696" t="n">
        <v>104</v>
      </c>
      <c r="B105" s="34" t="inlineStr">
        <is>
          <t xml:space="preserve">　　　      가.콜론</t>
        </is>
      </c>
      <c r="D105" s="34" t="n">
        <v>0</v>
      </c>
      <c r="E105" s="34" t="n">
        <v>0</v>
      </c>
      <c r="F105" s="34" t="n">
        <v>0</v>
      </c>
      <c r="G105" s="34" t="n">
        <v>0</v>
      </c>
      <c r="H105" s="148" t="n">
        <v>0</v>
      </c>
      <c r="I105" s="34" t="n">
        <v>0</v>
      </c>
      <c r="J105" s="34" t="n">
        <v>0</v>
      </c>
      <c r="K105" s="34" t="n">
        <v>0</v>
      </c>
      <c r="L105" s="34" t="n">
        <v>0</v>
      </c>
      <c r="M105" s="34" t="n">
        <v>0</v>
      </c>
      <c r="N105" s="17">
        <f>+M105+I105+J105</f>
        <v/>
      </c>
      <c r="O105" s="17">
        <f>+F105</f>
        <v/>
      </c>
      <c r="P105" s="17">
        <f>+K105+L105</f>
        <v/>
      </c>
      <c r="Q105" s="17">
        <f>+G105</f>
        <v/>
      </c>
      <c r="AH105" s="20" t="inlineStr">
        <is>
          <t xml:space="preserve">          2) 채 권 </t>
        </is>
      </c>
      <c r="AI105" s="847" t="n">
        <v>1292807691628</v>
      </c>
    </row>
    <row r="106">
      <c r="A106" s="696" t="n">
        <v>105</v>
      </c>
      <c r="B106" s="34" t="inlineStr">
        <is>
          <t xml:space="preserve">　　　      나.유가증권담보대출금</t>
        </is>
      </c>
      <c r="D106" s="34" t="n">
        <v>0</v>
      </c>
      <c r="E106" s="34" t="n">
        <v>0</v>
      </c>
      <c r="F106" s="34" t="n">
        <v>0</v>
      </c>
      <c r="G106" s="34" t="n">
        <v>0</v>
      </c>
      <c r="H106" s="148" t="n">
        <v>0</v>
      </c>
      <c r="I106" s="34" t="n">
        <v>0</v>
      </c>
      <c r="J106" s="34" t="n">
        <v>0</v>
      </c>
      <c r="K106" s="34" t="n">
        <v>0</v>
      </c>
      <c r="L106" s="34" t="n">
        <v>0</v>
      </c>
      <c r="M106" s="34" t="n">
        <v>0</v>
      </c>
      <c r="N106" s="17">
        <f>+M106+I106+J106</f>
        <v/>
      </c>
      <c r="O106" s="17">
        <f>+F106</f>
        <v/>
      </c>
      <c r="P106" s="17">
        <f>+K106+L106</f>
        <v/>
      </c>
      <c r="Q106" s="17">
        <f>+G106</f>
        <v/>
      </c>
      <c r="AH106" s="20" t="inlineStr">
        <is>
          <t xml:space="preserve">          3) 수익증권</t>
        </is>
      </c>
      <c r="AI106" s="847" t="n">
        <v>0</v>
      </c>
    </row>
    <row r="107">
      <c r="A107" s="696" t="n">
        <v>106</v>
      </c>
      <c r="B107" s="34" t="inlineStr">
        <is>
          <t xml:space="preserve">　　　      다.부동산담보대출금</t>
        </is>
      </c>
      <c r="D107" s="33" t="n">
        <v>311921335545</v>
      </c>
      <c r="E107" s="34" t="n">
        <v>0</v>
      </c>
      <c r="F107" s="34" t="n">
        <v>0</v>
      </c>
      <c r="G107" s="34" t="n">
        <v>0</v>
      </c>
      <c r="H107" s="147" t="n">
        <v>311921335545</v>
      </c>
      <c r="I107" s="34" t="n">
        <v>0</v>
      </c>
      <c r="J107" s="34" t="n">
        <v>0</v>
      </c>
      <c r="K107" s="34" t="n">
        <v>0</v>
      </c>
      <c r="L107" s="33" t="n">
        <v>110000000000</v>
      </c>
      <c r="M107" s="33" t="n">
        <v>201921335545</v>
      </c>
      <c r="N107" s="17">
        <f>+M107+I107+J107</f>
        <v/>
      </c>
      <c r="O107" s="17">
        <f>+F107</f>
        <v/>
      </c>
      <c r="P107" s="17">
        <f>+K107+L107</f>
        <v/>
      </c>
      <c r="Q107" s="17">
        <f>+G107</f>
        <v/>
      </c>
      <c r="AH107" s="20" t="inlineStr">
        <is>
          <t xml:space="preserve">          4) 신종유가증권</t>
        </is>
      </c>
      <c r="AI107" s="847" t="n">
        <v>0</v>
      </c>
    </row>
    <row r="108">
      <c r="A108" s="696" t="n">
        <v>107</v>
      </c>
      <c r="B108" s="34" t="inlineStr">
        <is>
          <t xml:space="preserve">　　　      라.신용대출금</t>
        </is>
      </c>
      <c r="D108" s="33" t="n">
        <v>426808634854</v>
      </c>
      <c r="E108" s="34" t="n">
        <v>0</v>
      </c>
      <c r="F108" s="34" t="n">
        <v>0</v>
      </c>
      <c r="G108" s="34" t="n">
        <v>0</v>
      </c>
      <c r="H108" s="147" t="n">
        <v>426808634854</v>
      </c>
      <c r="I108" s="34" t="n">
        <v>0</v>
      </c>
      <c r="J108" s="34" t="n">
        <v>0</v>
      </c>
      <c r="K108" s="34" t="n">
        <v>0</v>
      </c>
      <c r="L108" s="34" t="n">
        <v>0</v>
      </c>
      <c r="M108" s="33" t="n">
        <v>426808634854</v>
      </c>
      <c r="N108" s="17">
        <f>+M108+I108+J108</f>
        <v/>
      </c>
      <c r="O108" s="17">
        <f>+F108</f>
        <v/>
      </c>
      <c r="P108" s="17">
        <f>+K108+L108</f>
        <v/>
      </c>
      <c r="Q108" s="17">
        <f>+G108</f>
        <v/>
      </c>
      <c r="AH108" s="20" t="inlineStr">
        <is>
          <t xml:space="preserve">          5) 기타유가증권</t>
        </is>
      </c>
      <c r="AI108" s="847" t="n">
        <v>0</v>
      </c>
    </row>
    <row r="109">
      <c r="A109" s="696" t="n">
        <v>108</v>
      </c>
      <c r="B109" s="34" t="inlineStr">
        <is>
          <t xml:space="preserve">　　　      마.어음할인대출금</t>
        </is>
      </c>
      <c r="D109" s="34" t="n">
        <v>0</v>
      </c>
      <c r="E109" s="34" t="n">
        <v>0</v>
      </c>
      <c r="F109" s="34" t="n">
        <v>0</v>
      </c>
      <c r="G109" s="34" t="n">
        <v>0</v>
      </c>
      <c r="H109" s="148" t="n">
        <v>0</v>
      </c>
      <c r="I109" s="34" t="n">
        <v>0</v>
      </c>
      <c r="J109" s="34" t="n">
        <v>0</v>
      </c>
      <c r="K109" s="34" t="n">
        <v>0</v>
      </c>
      <c r="L109" s="34" t="n">
        <v>0</v>
      </c>
      <c r="M109" s="34" t="n">
        <v>0</v>
      </c>
      <c r="N109" s="17">
        <f>+M109+I109+J109</f>
        <v/>
      </c>
      <c r="O109" s="17">
        <f>+F109</f>
        <v/>
      </c>
      <c r="P109" s="17">
        <f>+K109+L109</f>
        <v/>
      </c>
      <c r="Q109" s="17">
        <f>+G109</f>
        <v/>
      </c>
      <c r="AH109" s="20" t="inlineStr">
        <is>
          <t xml:space="preserve">       (9) 기타 유가증권</t>
        </is>
      </c>
      <c r="AI109" s="847" t="n">
        <v>0</v>
      </c>
    </row>
    <row r="110">
      <c r="A110" s="696" t="n">
        <v>109</v>
      </c>
      <c r="B110" s="34" t="inlineStr">
        <is>
          <t xml:space="preserve">　　　　       (1) 상업어음할인</t>
        </is>
      </c>
      <c r="D110" s="34" t="n">
        <v>0</v>
      </c>
      <c r="E110" s="34" t="n">
        <v>0</v>
      </c>
      <c r="F110" s="34" t="n">
        <v>0</v>
      </c>
      <c r="G110" s="34" t="n">
        <v>0</v>
      </c>
      <c r="H110" s="148" t="n">
        <v>0</v>
      </c>
      <c r="I110" s="34" t="n">
        <v>0</v>
      </c>
      <c r="J110" s="34" t="n">
        <v>0</v>
      </c>
      <c r="K110" s="34" t="n">
        <v>0</v>
      </c>
      <c r="L110" s="34" t="n">
        <v>0</v>
      </c>
      <c r="M110" s="34" t="n">
        <v>0</v>
      </c>
      <c r="N110" s="17">
        <f>+M110+I110+J110</f>
        <v/>
      </c>
      <c r="O110" s="17">
        <f>+F110</f>
        <v/>
      </c>
      <c r="P110" s="17">
        <f>+K110+L110</f>
        <v/>
      </c>
      <c r="Q110" s="17">
        <f>+G110</f>
        <v/>
      </c>
      <c r="AH110" s="20" t="inlineStr">
        <is>
          <t xml:space="preserve">          1) 기업어음등 </t>
        </is>
      </c>
      <c r="AI110" s="847" t="n">
        <v>0</v>
      </c>
    </row>
    <row r="111">
      <c r="A111" s="696" t="n">
        <v>110</v>
      </c>
      <c r="B111" s="34" t="inlineStr">
        <is>
          <t xml:space="preserve">　　　　       (2) 무역어음할임</t>
        </is>
      </c>
      <c r="D111" s="34" t="n">
        <v>0</v>
      </c>
      <c r="E111" s="34" t="n">
        <v>0</v>
      </c>
      <c r="F111" s="34" t="n">
        <v>0</v>
      </c>
      <c r="G111" s="34" t="n">
        <v>0</v>
      </c>
      <c r="H111" s="148" t="n">
        <v>0</v>
      </c>
      <c r="I111" s="34" t="n">
        <v>0</v>
      </c>
      <c r="J111" s="34" t="n">
        <v>0</v>
      </c>
      <c r="K111" s="34" t="n">
        <v>0</v>
      </c>
      <c r="L111" s="34" t="n">
        <v>0</v>
      </c>
      <c r="M111" s="34" t="n">
        <v>0</v>
      </c>
      <c r="N111" s="17">
        <f>+M111+I111+J111</f>
        <v/>
      </c>
      <c r="O111" s="17">
        <f>+F111</f>
        <v/>
      </c>
      <c r="P111" s="17">
        <f>+K111+L111</f>
        <v/>
      </c>
      <c r="Q111" s="17">
        <f>+G111</f>
        <v/>
      </c>
      <c r="AH111" s="20" t="inlineStr">
        <is>
          <t xml:space="preserve">     2.기타포괄손익-공정가치측정금융자산_대출채권 </t>
        </is>
      </c>
      <c r="AI111" s="847" t="n">
        <v>0</v>
      </c>
    </row>
    <row r="112">
      <c r="A112" s="696" t="n">
        <v>111</v>
      </c>
      <c r="B112" s="34" t="inlineStr">
        <is>
          <t xml:space="preserve">　　　　       (3) 기   타</t>
        </is>
      </c>
      <c r="D112" s="34" t="n">
        <v>0</v>
      </c>
      <c r="E112" s="34" t="n">
        <v>0</v>
      </c>
      <c r="F112" s="34" t="n">
        <v>0</v>
      </c>
      <c r="G112" s="34" t="n">
        <v>0</v>
      </c>
      <c r="H112" s="148" t="n">
        <v>0</v>
      </c>
      <c r="I112" s="34" t="n">
        <v>0</v>
      </c>
      <c r="J112" s="34" t="n">
        <v>0</v>
      </c>
      <c r="K112" s="34" t="n">
        <v>0</v>
      </c>
      <c r="L112" s="34" t="n">
        <v>0</v>
      </c>
      <c r="M112" s="34" t="n">
        <v>0</v>
      </c>
      <c r="N112" s="17">
        <f>+M112+I112+J112</f>
        <v/>
      </c>
      <c r="O112" s="17">
        <f>+F112</f>
        <v/>
      </c>
      <c r="P112" s="17">
        <f>+K112+L112</f>
        <v/>
      </c>
      <c r="Q112" s="17">
        <f>+G112</f>
        <v/>
      </c>
      <c r="AH112" s="20" t="inlineStr">
        <is>
          <t xml:space="preserve">       (현재가치할인차금)</t>
        </is>
      </c>
      <c r="AI112" s="847" t="n">
        <v>0</v>
      </c>
    </row>
    <row r="113">
      <c r="A113" s="696" t="n">
        <v>112</v>
      </c>
      <c r="B113" s="34" t="inlineStr">
        <is>
          <t xml:space="preserve">　　　      바.지급보증대출금</t>
        </is>
      </c>
      <c r="D113" s="33" t="n">
        <v>304071811873</v>
      </c>
      <c r="E113" s="34" t="n">
        <v>0</v>
      </c>
      <c r="F113" s="34" t="n">
        <v>0</v>
      </c>
      <c r="G113" s="34" t="n">
        <v>0</v>
      </c>
      <c r="H113" s="147" t="n">
        <v>304071811873</v>
      </c>
      <c r="I113" s="34" t="n">
        <v>0</v>
      </c>
      <c r="J113" s="34" t="n">
        <v>0</v>
      </c>
      <c r="K113" s="34" t="n">
        <v>0</v>
      </c>
      <c r="L113" s="33" t="n">
        <v>13288527047</v>
      </c>
      <c r="M113" s="33" t="n">
        <v>290783284826</v>
      </c>
      <c r="N113" s="17">
        <f>+M113+I113+J113</f>
        <v/>
      </c>
      <c r="O113" s="17">
        <f>+F113</f>
        <v/>
      </c>
      <c r="P113" s="17">
        <f>+K113+L113</f>
        <v/>
      </c>
      <c r="Q113" s="17">
        <f>+G113</f>
        <v/>
      </c>
      <c r="AH113" s="20" t="inlineStr">
        <is>
          <t xml:space="preserve">       (대 손 충 당 금)</t>
        </is>
      </c>
      <c r="AI113" s="847" t="n">
        <v>0</v>
      </c>
    </row>
    <row r="114">
      <c r="A114" s="696" t="n">
        <v>113</v>
      </c>
      <c r="B114" s="34" t="inlineStr">
        <is>
          <t xml:space="preserve">　　　      사.기타대출금</t>
        </is>
      </c>
      <c r="D114" s="33" t="n">
        <v>1135060728851</v>
      </c>
      <c r="E114" s="34" t="n">
        <v>0</v>
      </c>
      <c r="F114" s="33" t="n">
        <v>190800000000</v>
      </c>
      <c r="G114" s="34" t="n">
        <v>0</v>
      </c>
      <c r="H114" s="147" t="n">
        <v>944260728851</v>
      </c>
      <c r="I114" s="34" t="n">
        <v>0</v>
      </c>
      <c r="J114" s="34" t="n">
        <v>0</v>
      </c>
      <c r="K114" s="34" t="n">
        <v>0</v>
      </c>
      <c r="L114" s="34" t="n">
        <v>0</v>
      </c>
      <c r="M114" s="33" t="n">
        <v>944260728851</v>
      </c>
      <c r="N114" s="17">
        <f>+M114+I114+J114</f>
        <v/>
      </c>
      <c r="O114" s="17">
        <f>+F114</f>
        <v/>
      </c>
      <c r="P114" s="17">
        <f>+K114+L114</f>
        <v/>
      </c>
      <c r="Q114" s="17">
        <f>+G114</f>
        <v/>
      </c>
      <c r="AH114" s="20" t="inlineStr">
        <is>
          <t xml:space="preserve">       (이연대출부대손익)</t>
        </is>
      </c>
      <c r="AI114" s="847" t="n">
        <v>0</v>
      </c>
    </row>
    <row r="115">
      <c r="A115" s="696" t="n">
        <v>114</v>
      </c>
      <c r="B115" s="34" t="inlineStr">
        <is>
          <t xml:space="preserve">　　　　       (1) 사모사채</t>
        </is>
      </c>
      <c r="D115" s="33" t="n">
        <v>65998221428</v>
      </c>
      <c r="E115" s="34" t="n">
        <v>0</v>
      </c>
      <c r="F115" s="34" t="n">
        <v>0</v>
      </c>
      <c r="G115" s="34" t="n">
        <v>0</v>
      </c>
      <c r="H115" s="147" t="n">
        <v>65998221428</v>
      </c>
      <c r="I115" s="34" t="n">
        <v>0</v>
      </c>
      <c r="J115" s="34" t="n">
        <v>0</v>
      </c>
      <c r="K115" s="34" t="n">
        <v>0</v>
      </c>
      <c r="L115" s="34" t="n">
        <v>0</v>
      </c>
      <c r="M115" s="33" t="n">
        <v>65998221428</v>
      </c>
      <c r="N115" s="17">
        <f>+M115+I115+J115</f>
        <v/>
      </c>
      <c r="O115" s="17">
        <f>+F115</f>
        <v/>
      </c>
      <c r="P115" s="17">
        <f>+K115+L115</f>
        <v/>
      </c>
      <c r="Q115" s="17">
        <f>+G115</f>
        <v/>
      </c>
      <c r="AH115" s="20" t="inlineStr">
        <is>
          <t xml:space="preserve">       (1) 콜   론 </t>
        </is>
      </c>
      <c r="AI115" s="847" t="n">
        <v>0</v>
      </c>
    </row>
    <row r="116">
      <c r="A116" s="696" t="n">
        <v>115</v>
      </c>
      <c r="B116" s="34" t="inlineStr">
        <is>
          <t xml:space="preserve">　　　　       (2) C P</t>
        </is>
      </c>
      <c r="D116" s="34" t="n">
        <v>0</v>
      </c>
      <c r="E116" s="34" t="n">
        <v>0</v>
      </c>
      <c r="F116" s="34" t="n">
        <v>0</v>
      </c>
      <c r="G116" s="34" t="n">
        <v>0</v>
      </c>
      <c r="H116" s="148" t="n">
        <v>0</v>
      </c>
      <c r="I116" s="34" t="n">
        <v>0</v>
      </c>
      <c r="J116" s="34" t="n">
        <v>0</v>
      </c>
      <c r="K116" s="34" t="n">
        <v>0</v>
      </c>
      <c r="L116" s="34" t="n">
        <v>0</v>
      </c>
      <c r="M116" s="34" t="n">
        <v>0</v>
      </c>
      <c r="N116" s="17">
        <f>+M116+I116+J116</f>
        <v/>
      </c>
      <c r="O116" s="17">
        <f>+F116</f>
        <v/>
      </c>
      <c r="P116" s="17">
        <f>+K116+L116</f>
        <v/>
      </c>
      <c r="Q116" s="17">
        <f>+G116</f>
        <v/>
      </c>
      <c r="AH116" s="20" t="inlineStr">
        <is>
          <t xml:space="preserve">       (2) 유가증권담보대출금</t>
        </is>
      </c>
      <c r="AI116" s="847" t="n">
        <v>0</v>
      </c>
    </row>
    <row r="117">
      <c r="A117" s="696" t="n">
        <v>116</v>
      </c>
      <c r="B117" s="34" t="inlineStr">
        <is>
          <t xml:space="preserve">　　　　       (3) 투자계약 보험계약대출</t>
        </is>
      </c>
      <c r="D117" s="34" t="n">
        <v>0</v>
      </c>
      <c r="E117" s="34" t="n">
        <v>0</v>
      </c>
      <c r="F117" s="34" t="n">
        <v>0</v>
      </c>
      <c r="G117" s="34" t="n">
        <v>0</v>
      </c>
      <c r="H117" s="148" t="n">
        <v>0</v>
      </c>
      <c r="I117" s="34" t="n">
        <v>0</v>
      </c>
      <c r="J117" s="34" t="n">
        <v>0</v>
      </c>
      <c r="K117" s="34" t="n">
        <v>0</v>
      </c>
      <c r="L117" s="34" t="n">
        <v>0</v>
      </c>
      <c r="M117" s="34" t="n">
        <v>0</v>
      </c>
      <c r="N117" s="17">
        <f>+M117+I117+J117</f>
        <v/>
      </c>
      <c r="O117" s="17">
        <f>+F117</f>
        <v/>
      </c>
      <c r="P117" s="17">
        <f>+K117+L117</f>
        <v/>
      </c>
      <c r="Q117" s="17">
        <f>+G117</f>
        <v/>
      </c>
      <c r="AH117" s="20" t="inlineStr">
        <is>
          <t xml:space="preserve">       (3) 수익증권담보대출금</t>
        </is>
      </c>
      <c r="AI117" s="847" t="n">
        <v>0</v>
      </c>
    </row>
    <row r="118">
      <c r="A118" s="696" t="n">
        <v>117</v>
      </c>
      <c r="B118" s="34" t="inlineStr">
        <is>
          <t xml:space="preserve">　　　　       (4) 기타</t>
        </is>
      </c>
      <c r="D118" s="33" t="n">
        <v>1069062507423</v>
      </c>
      <c r="E118" s="34" t="n">
        <v>0</v>
      </c>
      <c r="F118" s="33" t="n">
        <v>190800000000</v>
      </c>
      <c r="G118" s="34" t="n">
        <v>0</v>
      </c>
      <c r="H118" s="147" t="n">
        <v>878262507423</v>
      </c>
      <c r="I118" s="34" t="n">
        <v>0</v>
      </c>
      <c r="J118" s="34" t="n">
        <v>0</v>
      </c>
      <c r="K118" s="34" t="n">
        <v>0</v>
      </c>
      <c r="L118" s="34" t="n">
        <v>0</v>
      </c>
      <c r="M118" s="33" t="n">
        <v>878262507423</v>
      </c>
      <c r="N118" s="17">
        <f>+M118+I118+J118</f>
        <v/>
      </c>
      <c r="O118" s="17">
        <f>+F118</f>
        <v/>
      </c>
      <c r="P118" s="17">
        <f>+K118+L118</f>
        <v/>
      </c>
      <c r="Q118" s="17">
        <f>+G118</f>
        <v/>
      </c>
      <c r="AH118" s="20" t="inlineStr">
        <is>
          <t xml:space="preserve">       (4) 부동산담보대출금</t>
        </is>
      </c>
      <c r="AI118" s="847" t="n">
        <v>0</v>
      </c>
    </row>
    <row r="119">
      <c r="A119" s="696" t="n">
        <v>118</v>
      </c>
      <c r="B119" s="34" t="inlineStr">
        <is>
          <t xml:space="preserve">　　     4.부 동 산</t>
        </is>
      </c>
      <c r="D119" s="33" t="n">
        <v>69213985926</v>
      </c>
      <c r="E119" s="34" t="n">
        <v>0</v>
      </c>
      <c r="F119" s="34" t="n">
        <v>0</v>
      </c>
      <c r="G119" s="34" t="n">
        <v>0</v>
      </c>
      <c r="H119" s="147" t="n">
        <v>69213985926</v>
      </c>
      <c r="I119" s="34" t="n">
        <v>0</v>
      </c>
      <c r="J119" s="34" t="n">
        <v>0</v>
      </c>
      <c r="K119" s="34" t="n">
        <v>0</v>
      </c>
      <c r="L119" s="34" t="n">
        <v>0</v>
      </c>
      <c r="M119" s="33" t="n">
        <v>69213985926</v>
      </c>
      <c r="N119" s="17">
        <f>+M119+I119+J119</f>
        <v/>
      </c>
      <c r="O119" s="17">
        <f>+F119</f>
        <v/>
      </c>
      <c r="P119" s="17">
        <f>+K119+L119</f>
        <v/>
      </c>
      <c r="Q119" s="17">
        <f>+G119</f>
        <v/>
      </c>
      <c r="AH119" s="20" t="inlineStr">
        <is>
          <t xml:space="preserve">       (5) 신용대출금</t>
        </is>
      </c>
      <c r="AI119" s="847" t="n">
        <v>0</v>
      </c>
    </row>
    <row r="120">
      <c r="A120" s="696" t="n">
        <v>119</v>
      </c>
      <c r="B120" s="34" t="inlineStr">
        <is>
          <t xml:space="preserve">　　　       (손상차손누계액)</t>
        </is>
      </c>
      <c r="D120" s="34" t="n">
        <v>0</v>
      </c>
      <c r="E120" s="34" t="n">
        <v>0</v>
      </c>
      <c r="F120" s="34" t="n">
        <v>0</v>
      </c>
      <c r="G120" s="34" t="n">
        <v>0</v>
      </c>
      <c r="H120" s="148" t="n">
        <v>0</v>
      </c>
      <c r="I120" s="34" t="n">
        <v>0</v>
      </c>
      <c r="J120" s="34" t="n">
        <v>0</v>
      </c>
      <c r="K120" s="34" t="n">
        <v>0</v>
      </c>
      <c r="L120" s="34" t="n">
        <v>0</v>
      </c>
      <c r="M120" s="34" t="n">
        <v>0</v>
      </c>
      <c r="N120" s="17">
        <f>+M120+I120+J120</f>
        <v/>
      </c>
      <c r="O120" s="17">
        <f>+F120</f>
        <v/>
      </c>
      <c r="P120" s="17">
        <f>+K120+L120</f>
        <v/>
      </c>
      <c r="Q120" s="17">
        <f>+G120</f>
        <v/>
      </c>
      <c r="AH120" s="20" t="inlineStr">
        <is>
          <t xml:space="preserve">       (6) 어음할인대출금</t>
        </is>
      </c>
      <c r="AI120" s="847" t="n">
        <v>0</v>
      </c>
    </row>
    <row r="121">
      <c r="A121" s="696" t="n">
        <v>120</v>
      </c>
      <c r="B121" s="34" t="inlineStr">
        <is>
          <t xml:space="preserve">　　　       [투자부동산]</t>
        </is>
      </c>
      <c r="D121" s="34" t="n">
        <v>0</v>
      </c>
      <c r="E121" s="34" t="n">
        <v>0</v>
      </c>
      <c r="F121" s="34" t="n">
        <v>0</v>
      </c>
      <c r="G121" s="34" t="n">
        <v>0</v>
      </c>
      <c r="H121" s="148" t="n">
        <v>0</v>
      </c>
      <c r="I121" s="34" t="n">
        <v>0</v>
      </c>
      <c r="J121" s="34" t="n">
        <v>0</v>
      </c>
      <c r="K121" s="34" t="n">
        <v>0</v>
      </c>
      <c r="L121" s="34" t="n">
        <v>0</v>
      </c>
      <c r="M121" s="34" t="n">
        <v>0</v>
      </c>
      <c r="N121" s="17">
        <f>+M121+I121+J121</f>
        <v/>
      </c>
      <c r="O121" s="17">
        <f>+F121</f>
        <v/>
      </c>
      <c r="P121" s="17">
        <f>+K121+L121</f>
        <v/>
      </c>
      <c r="Q121" s="17">
        <f>+G121</f>
        <v/>
      </c>
      <c r="AH121" s="20" t="inlineStr">
        <is>
          <t xml:space="preserve">       (7) 지급보증대출금</t>
        </is>
      </c>
      <c r="AI121" s="847" t="n">
        <v>0</v>
      </c>
    </row>
    <row r="122">
      <c r="A122" s="696" t="n">
        <v>121</v>
      </c>
      <c r="B122" s="34" t="inlineStr">
        <is>
          <t xml:space="preserve">　　　　        -투자부동산(토지)</t>
        </is>
      </c>
      <c r="D122" s="34" t="n">
        <v>0</v>
      </c>
      <c r="E122" s="34" t="n">
        <v>0</v>
      </c>
      <c r="F122" s="34" t="n">
        <v>0</v>
      </c>
      <c r="G122" s="34" t="n">
        <v>0</v>
      </c>
      <c r="H122" s="148" t="n">
        <v>0</v>
      </c>
      <c r="I122" s="34" t="n">
        <v>0</v>
      </c>
      <c r="J122" s="34" t="n">
        <v>0</v>
      </c>
      <c r="K122" s="34" t="n">
        <v>0</v>
      </c>
      <c r="L122" s="34" t="n">
        <v>0</v>
      </c>
      <c r="M122" s="34" t="n">
        <v>0</v>
      </c>
      <c r="N122" s="17">
        <f>+M122+I122+J122</f>
        <v/>
      </c>
      <c r="O122" s="17">
        <f>+F122</f>
        <v/>
      </c>
      <c r="P122" s="17">
        <f>+K122+L122</f>
        <v/>
      </c>
      <c r="Q122" s="17">
        <f>+G122</f>
        <v/>
      </c>
      <c r="AH122" s="20" t="inlineStr">
        <is>
          <t xml:space="preserve">       (8) 기타대출금</t>
        </is>
      </c>
      <c r="AI122" s="847" t="n">
        <v>0</v>
      </c>
    </row>
    <row r="123">
      <c r="A123" s="696" t="n">
        <v>122</v>
      </c>
      <c r="B123" s="34" t="inlineStr">
        <is>
          <t xml:space="preserve">　　　　        -투자부동산(건물)</t>
        </is>
      </c>
      <c r="D123" s="34" t="n">
        <v>0</v>
      </c>
      <c r="E123" s="34" t="n">
        <v>0</v>
      </c>
      <c r="F123" s="34" t="n">
        <v>0</v>
      </c>
      <c r="G123" s="34" t="n">
        <v>0</v>
      </c>
      <c r="H123" s="148" t="n">
        <v>0</v>
      </c>
      <c r="I123" s="34" t="n">
        <v>0</v>
      </c>
      <c r="J123" s="34" t="n">
        <v>0</v>
      </c>
      <c r="K123" s="34" t="n">
        <v>0</v>
      </c>
      <c r="L123" s="34" t="n">
        <v>0</v>
      </c>
      <c r="M123" s="34" t="n">
        <v>0</v>
      </c>
      <c r="N123" s="17">
        <f>+M123+I123+J123</f>
        <v/>
      </c>
      <c r="O123" s="17">
        <f>+F123</f>
        <v/>
      </c>
      <c r="P123" s="17">
        <f>+K123+L123</f>
        <v/>
      </c>
      <c r="Q123" s="17">
        <f>+G123</f>
        <v/>
      </c>
      <c r="AH123" s="20" t="inlineStr">
        <is>
          <t xml:space="preserve">          1) 주택보험대출 </t>
        </is>
      </c>
      <c r="AI123" s="847" t="n">
        <v>0</v>
      </c>
    </row>
    <row r="124">
      <c r="A124" s="696" t="n">
        <v>123</v>
      </c>
      <c r="B124" s="34" t="inlineStr">
        <is>
          <t xml:space="preserve">　　　　        -투자부동산(해외부동산)</t>
        </is>
      </c>
      <c r="D124" s="34" t="n">
        <v>0</v>
      </c>
      <c r="E124" s="34" t="n">
        <v>0</v>
      </c>
      <c r="F124" s="34" t="n">
        <v>0</v>
      </c>
      <c r="G124" s="34" t="n">
        <v>0</v>
      </c>
      <c r="H124" s="148" t="n">
        <v>0</v>
      </c>
      <c r="I124" s="34" t="n">
        <v>0</v>
      </c>
      <c r="J124" s="34" t="n">
        <v>0</v>
      </c>
      <c r="K124" s="34" t="n">
        <v>0</v>
      </c>
      <c r="L124" s="34" t="n">
        <v>0</v>
      </c>
      <c r="M124" s="34" t="n">
        <v>0</v>
      </c>
      <c r="N124" s="17">
        <f>+M124+I124+J124</f>
        <v/>
      </c>
      <c r="O124" s="17">
        <f>+F124</f>
        <v/>
      </c>
      <c r="P124" s="17">
        <f>+K124+L124</f>
        <v/>
      </c>
      <c r="Q124" s="17">
        <f>+G124</f>
        <v/>
      </c>
      <c r="AH124" s="20" t="inlineStr">
        <is>
          <t xml:space="preserve">          2) 사모사채</t>
        </is>
      </c>
      <c r="AI124" s="847" t="n">
        <v>0</v>
      </c>
    </row>
    <row r="125">
      <c r="A125" s="696" t="n">
        <v>124</v>
      </c>
      <c r="B125" s="34" t="inlineStr">
        <is>
          <t xml:space="preserve">　　　　        -투자부동산(기타)</t>
        </is>
      </c>
      <c r="D125" s="34" t="n">
        <v>0</v>
      </c>
      <c r="E125" s="34" t="n">
        <v>0</v>
      </c>
      <c r="F125" s="34" t="n">
        <v>0</v>
      </c>
      <c r="G125" s="34" t="n">
        <v>0</v>
      </c>
      <c r="H125" s="148" t="n">
        <v>0</v>
      </c>
      <c r="I125" s="34" t="n">
        <v>0</v>
      </c>
      <c r="J125" s="34" t="n">
        <v>0</v>
      </c>
      <c r="K125" s="34" t="n">
        <v>0</v>
      </c>
      <c r="L125" s="34" t="n">
        <v>0</v>
      </c>
      <c r="M125" s="34" t="n">
        <v>0</v>
      </c>
      <c r="N125" s="17">
        <f>+M125+I125+J125</f>
        <v/>
      </c>
      <c r="O125" s="17">
        <f>+F125</f>
        <v/>
      </c>
      <c r="P125" s="17">
        <f>+K125+L125</f>
        <v/>
      </c>
      <c r="Q125" s="17">
        <f>+G125</f>
        <v/>
      </c>
      <c r="AH125" s="20" t="inlineStr">
        <is>
          <t xml:space="preserve">          3) CP</t>
        </is>
      </c>
      <c r="AI125" s="847" t="n">
        <v>0</v>
      </c>
    </row>
    <row r="126">
      <c r="A126" s="696" t="n">
        <v>125</v>
      </c>
      <c r="B126" s="34" t="inlineStr">
        <is>
          <t xml:space="preserve">　　　       가.토  지</t>
        </is>
      </c>
      <c r="D126" s="33" t="n">
        <v>6787826704</v>
      </c>
      <c r="E126" s="34" t="n">
        <v>0</v>
      </c>
      <c r="F126" s="34" t="n">
        <v>0</v>
      </c>
      <c r="G126" s="34" t="n">
        <v>0</v>
      </c>
      <c r="H126" s="147" t="n">
        <v>6787826704</v>
      </c>
      <c r="I126" s="34" t="n">
        <v>0</v>
      </c>
      <c r="J126" s="34" t="n">
        <v>0</v>
      </c>
      <c r="K126" s="34" t="n">
        <v>0</v>
      </c>
      <c r="L126" s="34" t="n">
        <v>0</v>
      </c>
      <c r="M126" s="33" t="n">
        <v>6787826704</v>
      </c>
      <c r="N126" s="17">
        <f>+M126+I126+J126</f>
        <v/>
      </c>
      <c r="O126" s="17">
        <f>+F126</f>
        <v/>
      </c>
      <c r="P126" s="17">
        <f>+K126+L126</f>
        <v/>
      </c>
      <c r="Q126" s="17">
        <f>+G126</f>
        <v/>
      </c>
      <c r="AH126" s="20" t="inlineStr">
        <is>
          <t xml:space="preserve">          4) RP</t>
        </is>
      </c>
      <c r="AI126" s="847" t="n">
        <v>0</v>
      </c>
    </row>
    <row r="127">
      <c r="A127" s="696" t="n">
        <v>126</v>
      </c>
      <c r="B127" s="34" t="inlineStr">
        <is>
          <t xml:space="preserve">　　　       나.건  물</t>
        </is>
      </c>
      <c r="D127" s="33" t="n">
        <v>62426159222</v>
      </c>
      <c r="E127" s="34" t="n">
        <v>0</v>
      </c>
      <c r="F127" s="34" t="n">
        <v>0</v>
      </c>
      <c r="G127" s="34" t="n">
        <v>0</v>
      </c>
      <c r="H127" s="147" t="n">
        <v>62426159222</v>
      </c>
      <c r="I127" s="34" t="n">
        <v>0</v>
      </c>
      <c r="J127" s="34" t="n">
        <v>0</v>
      </c>
      <c r="K127" s="34" t="n">
        <v>0</v>
      </c>
      <c r="L127" s="34" t="n">
        <v>0</v>
      </c>
      <c r="M127" s="33" t="n">
        <v>62426159222</v>
      </c>
      <c r="N127" s="17">
        <f>+M127+I127+J127</f>
        <v/>
      </c>
      <c r="O127" s="17">
        <f>+F127</f>
        <v/>
      </c>
      <c r="P127" s="17">
        <f>+K127+L127</f>
        <v/>
      </c>
      <c r="Q127" s="17">
        <f>+G127</f>
        <v/>
      </c>
      <c r="AH127" s="20" t="inlineStr">
        <is>
          <t xml:space="preserve">          5) 기타</t>
        </is>
      </c>
      <c r="AI127" s="847" t="n">
        <v>0</v>
      </c>
    </row>
    <row r="128">
      <c r="A128" s="696" t="n">
        <v>127</v>
      </c>
      <c r="B128" s="34" t="inlineStr">
        <is>
          <t xml:space="preserve">　　　　          (감가상각누계액)</t>
        </is>
      </c>
      <c r="D128" s="33" t="n">
        <v>-9330712488</v>
      </c>
      <c r="E128" s="34" t="n">
        <v>0</v>
      </c>
      <c r="F128" s="34" t="n">
        <v>0</v>
      </c>
      <c r="G128" s="34" t="n">
        <v>0</v>
      </c>
      <c r="H128" s="147" t="n">
        <v>-9330712488</v>
      </c>
      <c r="I128" s="34" t="n">
        <v>0</v>
      </c>
      <c r="J128" s="34" t="n">
        <v>0</v>
      </c>
      <c r="K128" s="34" t="n">
        <v>0</v>
      </c>
      <c r="L128" s="34" t="n">
        <v>0</v>
      </c>
      <c r="M128" s="33" t="n">
        <v>-9330712488</v>
      </c>
      <c r="N128" s="17">
        <f>+M128+I128+J128</f>
        <v/>
      </c>
      <c r="O128" s="17">
        <f>+F128</f>
        <v/>
      </c>
      <c r="P128" s="17">
        <f>+K128+L128</f>
        <v/>
      </c>
      <c r="Q128" s="17">
        <f>+G128</f>
        <v/>
      </c>
      <c r="AH128" s="20" t="inlineStr">
        <is>
          <t xml:space="preserve">  IV. 상각후원가측정 금융자산</t>
        </is>
      </c>
      <c r="AI128" s="847" t="n">
        <v>0</v>
      </c>
    </row>
    <row r="129">
      <c r="A129" s="696" t="n">
        <v>128</v>
      </c>
      <c r="B129" s="34" t="inlineStr">
        <is>
          <t xml:space="preserve">　　　       다.구 축 물</t>
        </is>
      </c>
      <c r="D129" s="34" t="n">
        <v>0</v>
      </c>
      <c r="E129" s="34" t="n">
        <v>0</v>
      </c>
      <c r="F129" s="34" t="n">
        <v>0</v>
      </c>
      <c r="G129" s="34" t="n">
        <v>0</v>
      </c>
      <c r="H129" s="148" t="n">
        <v>0</v>
      </c>
      <c r="I129" s="34" t="n">
        <v>0</v>
      </c>
      <c r="J129" s="34" t="n">
        <v>0</v>
      </c>
      <c r="K129" s="34" t="n">
        <v>0</v>
      </c>
      <c r="L129" s="34" t="n">
        <v>0</v>
      </c>
      <c r="M129" s="34" t="n">
        <v>0</v>
      </c>
      <c r="N129" s="17">
        <f>+M129+I129+J129</f>
        <v/>
      </c>
      <c r="O129" s="17">
        <f>+F129</f>
        <v/>
      </c>
      <c r="P129" s="17">
        <f>+K129+L129</f>
        <v/>
      </c>
      <c r="Q129" s="17">
        <f>+G129</f>
        <v/>
      </c>
      <c r="AH129" s="20" t="inlineStr">
        <is>
          <t xml:space="preserve">     1.상각후원가측정유가증권</t>
        </is>
      </c>
      <c r="AI129" s="847" t="n">
        <v>0</v>
      </c>
    </row>
    <row r="130">
      <c r="A130" s="696" t="n">
        <v>129</v>
      </c>
      <c r="B130" s="34" t="inlineStr">
        <is>
          <t xml:space="preserve">　　　　          (감가상각누계액)</t>
        </is>
      </c>
      <c r="D130" s="34" t="n">
        <v>0</v>
      </c>
      <c r="E130" s="34" t="n">
        <v>0</v>
      </c>
      <c r="F130" s="34" t="n">
        <v>0</v>
      </c>
      <c r="G130" s="34" t="n">
        <v>0</v>
      </c>
      <c r="H130" s="148" t="n">
        <v>0</v>
      </c>
      <c r="I130" s="34" t="n">
        <v>0</v>
      </c>
      <c r="J130" s="34" t="n">
        <v>0</v>
      </c>
      <c r="K130" s="34" t="n">
        <v>0</v>
      </c>
      <c r="L130" s="34" t="n">
        <v>0</v>
      </c>
      <c r="M130" s="34" t="n">
        <v>0</v>
      </c>
      <c r="N130" s="17">
        <f>+M130+I130+J130</f>
        <v/>
      </c>
      <c r="O130" s="17">
        <f>+F130</f>
        <v/>
      </c>
      <c r="P130" s="17">
        <f>+K130+L130</f>
        <v/>
      </c>
      <c r="Q130" s="17">
        <f>+G130</f>
        <v/>
      </c>
      <c r="AH130" s="20" t="inlineStr">
        <is>
          <t xml:space="preserve">       (대손충당금)</t>
        </is>
      </c>
      <c r="AI130" s="847" t="n">
        <v>0</v>
      </c>
    </row>
    <row r="131">
      <c r="A131" s="696" t="n">
        <v>130</v>
      </c>
      <c r="B131" s="34" t="inlineStr">
        <is>
          <t xml:space="preserve">　　　       라.해외부동산</t>
        </is>
      </c>
      <c r="D131" s="34" t="n">
        <v>0</v>
      </c>
      <c r="E131" s="34" t="n">
        <v>0</v>
      </c>
      <c r="F131" s="34" t="n">
        <v>0</v>
      </c>
      <c r="G131" s="34" t="n">
        <v>0</v>
      </c>
      <c r="H131" s="148" t="n">
        <v>0</v>
      </c>
      <c r="I131" s="34" t="n">
        <v>0</v>
      </c>
      <c r="J131" s="34" t="n">
        <v>0</v>
      </c>
      <c r="K131" s="34" t="n">
        <v>0</v>
      </c>
      <c r="L131" s="34" t="n">
        <v>0</v>
      </c>
      <c r="M131" s="34" t="n">
        <v>0</v>
      </c>
      <c r="N131" s="17">
        <f>+M131+I131+J131</f>
        <v/>
      </c>
      <c r="O131" s="17">
        <f>+F131</f>
        <v/>
      </c>
      <c r="P131" s="17">
        <f>+K131+L131</f>
        <v/>
      </c>
      <c r="Q131" s="17">
        <f>+G131</f>
        <v/>
      </c>
      <c r="AH131" s="20" t="inlineStr">
        <is>
          <t xml:space="preserve">       (1) 국·공채 </t>
        </is>
      </c>
      <c r="AI131" s="847" t="n">
        <v>0</v>
      </c>
    </row>
    <row r="132">
      <c r="A132" s="696" t="n">
        <v>131</v>
      </c>
      <c r="B132" s="34" t="inlineStr">
        <is>
          <t xml:space="preserve">　　　　          (감가상각누계액)</t>
        </is>
      </c>
      <c r="D132" s="34" t="n">
        <v>0</v>
      </c>
      <c r="E132" s="34" t="n">
        <v>0</v>
      </c>
      <c r="F132" s="34" t="n">
        <v>0</v>
      </c>
      <c r="G132" s="34" t="n">
        <v>0</v>
      </c>
      <c r="H132" s="148" t="n">
        <v>0</v>
      </c>
      <c r="I132" s="34" t="n">
        <v>0</v>
      </c>
      <c r="J132" s="34" t="n">
        <v>0</v>
      </c>
      <c r="K132" s="34" t="n">
        <v>0</v>
      </c>
      <c r="L132" s="34" t="n">
        <v>0</v>
      </c>
      <c r="M132" s="34" t="n">
        <v>0</v>
      </c>
      <c r="N132" s="17">
        <f>+M132+I132+J132</f>
        <v/>
      </c>
      <c r="O132" s="17">
        <f>+F132</f>
        <v/>
      </c>
      <c r="P132" s="17">
        <f>+K132+L132</f>
        <v/>
      </c>
      <c r="Q132" s="17">
        <f>+G132</f>
        <v/>
      </c>
      <c r="AH132" s="20" t="inlineStr">
        <is>
          <t xml:space="preserve">           1) 국 채 </t>
        </is>
      </c>
      <c r="AI132" s="847" t="n">
        <v>0</v>
      </c>
    </row>
    <row r="133">
      <c r="A133" s="696" t="n">
        <v>132</v>
      </c>
      <c r="B133" s="34" t="inlineStr">
        <is>
          <t xml:space="preserve">　　　　          (1) 토 지</t>
        </is>
      </c>
      <c r="D133" s="34" t="n">
        <v>0</v>
      </c>
      <c r="E133" s="34" t="n">
        <v>0</v>
      </c>
      <c r="F133" s="34" t="n">
        <v>0</v>
      </c>
      <c r="G133" s="34" t="n">
        <v>0</v>
      </c>
      <c r="H133" s="148" t="n">
        <v>0</v>
      </c>
      <c r="I133" s="34" t="n">
        <v>0</v>
      </c>
      <c r="J133" s="34" t="n">
        <v>0</v>
      </c>
      <c r="K133" s="34" t="n">
        <v>0</v>
      </c>
      <c r="L133" s="34" t="n">
        <v>0</v>
      </c>
      <c r="M133" s="34" t="n">
        <v>0</v>
      </c>
      <c r="N133" s="17">
        <f>+M133+I133+J133</f>
        <v/>
      </c>
      <c r="O133" s="17">
        <f>+F133</f>
        <v/>
      </c>
      <c r="P133" s="17">
        <f>+K133+L133</f>
        <v/>
      </c>
      <c r="Q133" s="17">
        <f>+G133</f>
        <v/>
      </c>
      <c r="AH133" s="20" t="inlineStr">
        <is>
          <t xml:space="preserve">           2) 공 채 </t>
        </is>
      </c>
      <c r="AI133" s="847" t="n">
        <v>0</v>
      </c>
    </row>
    <row r="134">
      <c r="A134" s="696" t="n">
        <v>133</v>
      </c>
      <c r="B134" s="34" t="inlineStr">
        <is>
          <t xml:space="preserve">　　　　          (2) 건 물</t>
        </is>
      </c>
      <c r="D134" s="34" t="n">
        <v>0</v>
      </c>
      <c r="E134" s="34" t="n">
        <v>0</v>
      </c>
      <c r="F134" s="34" t="n">
        <v>0</v>
      </c>
      <c r="G134" s="34" t="n">
        <v>0</v>
      </c>
      <c r="H134" s="148" t="n">
        <v>0</v>
      </c>
      <c r="I134" s="34" t="n">
        <v>0</v>
      </c>
      <c r="J134" s="34" t="n">
        <v>0</v>
      </c>
      <c r="K134" s="34" t="n">
        <v>0</v>
      </c>
      <c r="L134" s="34" t="n">
        <v>0</v>
      </c>
      <c r="M134" s="34" t="n">
        <v>0</v>
      </c>
      <c r="N134" s="17">
        <f>+M134+I134+J134</f>
        <v/>
      </c>
      <c r="O134" s="17">
        <f>+F134</f>
        <v/>
      </c>
      <c r="P134" s="17">
        <f>+K134+L134</f>
        <v/>
      </c>
      <c r="Q134" s="17">
        <f>+G134</f>
        <v/>
      </c>
      <c r="AH134" s="20" t="inlineStr">
        <is>
          <t xml:space="preserve">       (2) 특 수 채 </t>
        </is>
      </c>
      <c r="AI134" s="847" t="n">
        <v>0</v>
      </c>
    </row>
    <row r="135">
      <c r="A135" s="696" t="n">
        <v>134</v>
      </c>
      <c r="B135" s="34" t="inlineStr">
        <is>
          <t xml:space="preserve">　　　　          (3) 구 축 물</t>
        </is>
      </c>
      <c r="D135" s="34" t="n">
        <v>0</v>
      </c>
      <c r="E135" s="34" t="n">
        <v>0</v>
      </c>
      <c r="F135" s="34" t="n">
        <v>0</v>
      </c>
      <c r="G135" s="34" t="n">
        <v>0</v>
      </c>
      <c r="H135" s="148" t="n">
        <v>0</v>
      </c>
      <c r="I135" s="34" t="n">
        <v>0</v>
      </c>
      <c r="J135" s="34" t="n">
        <v>0</v>
      </c>
      <c r="K135" s="34" t="n">
        <v>0</v>
      </c>
      <c r="L135" s="34" t="n">
        <v>0</v>
      </c>
      <c r="M135" s="34" t="n">
        <v>0</v>
      </c>
      <c r="N135" s="17">
        <f>+M135+I135+J135</f>
        <v/>
      </c>
      <c r="O135" s="17">
        <f>+F135</f>
        <v/>
      </c>
      <c r="P135" s="17">
        <f>+K135+L135</f>
        <v/>
      </c>
      <c r="Q135" s="17">
        <f>+G135</f>
        <v/>
      </c>
      <c r="AH135" s="20" t="inlineStr">
        <is>
          <t xml:space="preserve">       (3) 금 융 채 </t>
        </is>
      </c>
      <c r="AI135" s="847" t="n">
        <v>0</v>
      </c>
    </row>
    <row r="136">
      <c r="A136" s="696" t="n">
        <v>135</v>
      </c>
      <c r="B136" s="34" t="inlineStr">
        <is>
          <t xml:space="preserve">　　　　          (4) 건설중인자산</t>
        </is>
      </c>
      <c r="D136" s="34" t="n">
        <v>0</v>
      </c>
      <c r="E136" s="34" t="n">
        <v>0</v>
      </c>
      <c r="F136" s="34" t="n">
        <v>0</v>
      </c>
      <c r="G136" s="34" t="n">
        <v>0</v>
      </c>
      <c r="H136" s="148" t="n">
        <v>0</v>
      </c>
      <c r="I136" s="34" t="n">
        <v>0</v>
      </c>
      <c r="J136" s="34" t="n">
        <v>0</v>
      </c>
      <c r="K136" s="34" t="n">
        <v>0</v>
      </c>
      <c r="L136" s="34" t="n">
        <v>0</v>
      </c>
      <c r="M136" s="34" t="n">
        <v>0</v>
      </c>
      <c r="N136" s="17">
        <f>+M136+I136+J136</f>
        <v/>
      </c>
      <c r="O136" s="17">
        <f>+F136</f>
        <v/>
      </c>
      <c r="P136" s="17">
        <f>+K136+L136</f>
        <v/>
      </c>
      <c r="Q136" s="17">
        <f>+G136</f>
        <v/>
      </c>
      <c r="AH136" s="20" t="inlineStr">
        <is>
          <t xml:space="preserve">       (4) 회 사 채 </t>
        </is>
      </c>
      <c r="AI136" s="847" t="n">
        <v>0</v>
      </c>
    </row>
    <row r="137">
      <c r="A137" s="696" t="n">
        <v>136</v>
      </c>
      <c r="B137" s="34" t="inlineStr">
        <is>
          <t xml:space="preserve">　　　       마.건설중인자산</t>
        </is>
      </c>
      <c r="D137" s="34" t="n">
        <v>0</v>
      </c>
      <c r="E137" s="34" t="n">
        <v>0</v>
      </c>
      <c r="F137" s="34" t="n">
        <v>0</v>
      </c>
      <c r="G137" s="34" t="n">
        <v>0</v>
      </c>
      <c r="H137" s="148" t="n">
        <v>0</v>
      </c>
      <c r="I137" s="34" t="n">
        <v>0</v>
      </c>
      <c r="J137" s="34" t="n">
        <v>0</v>
      </c>
      <c r="K137" s="34" t="n">
        <v>0</v>
      </c>
      <c r="L137" s="34" t="n">
        <v>0</v>
      </c>
      <c r="M137" s="34" t="n">
        <v>0</v>
      </c>
      <c r="N137" s="17">
        <f>+M137+I137+J137</f>
        <v/>
      </c>
      <c r="O137" s="17">
        <f>+F137</f>
        <v/>
      </c>
      <c r="P137" s="17">
        <f>+K137+L137</f>
        <v/>
      </c>
      <c r="Q137" s="17">
        <f>+G137</f>
        <v/>
      </c>
      <c r="AH137" s="20" t="inlineStr">
        <is>
          <t xml:space="preserve">           1) 보증사채</t>
        </is>
      </c>
      <c r="AI137" s="847" t="n">
        <v>0</v>
      </c>
    </row>
    <row r="138">
      <c r="A138" s="696" t="n">
        <v>137</v>
      </c>
      <c r="B138" s="34" t="inlineStr">
        <is>
          <t xml:space="preserve">　　　       바.기타부동산</t>
        </is>
      </c>
      <c r="D138" s="34" t="n">
        <v>0</v>
      </c>
      <c r="E138" s="34" t="n">
        <v>0</v>
      </c>
      <c r="F138" s="34" t="n">
        <v>0</v>
      </c>
      <c r="G138" s="34" t="n">
        <v>0</v>
      </c>
      <c r="H138" s="148" t="n">
        <v>0</v>
      </c>
      <c r="I138" s="34" t="n">
        <v>0</v>
      </c>
      <c r="J138" s="34" t="n">
        <v>0</v>
      </c>
      <c r="K138" s="34" t="n">
        <v>0</v>
      </c>
      <c r="L138" s="34" t="n">
        <v>0</v>
      </c>
      <c r="M138" s="34" t="n">
        <v>0</v>
      </c>
      <c r="N138" s="17">
        <f>+M138+I138+J138</f>
        <v/>
      </c>
      <c r="O138" s="17">
        <f>+F138</f>
        <v/>
      </c>
      <c r="P138" s="17">
        <f>+K138+L138</f>
        <v/>
      </c>
      <c r="Q138" s="17">
        <f>+G138</f>
        <v/>
      </c>
      <c r="AH138" s="20" t="inlineStr">
        <is>
          <t xml:space="preserve">           2) 무보증사채 </t>
        </is>
      </c>
      <c r="AI138" s="847" t="n">
        <v>0</v>
      </c>
    </row>
    <row r="139">
      <c r="A139" s="696" t="n">
        <v>138</v>
      </c>
      <c r="B139" s="34" t="inlineStr">
        <is>
          <t xml:space="preserve">　　　　          (감가상각누계액)</t>
        </is>
      </c>
      <c r="D139" s="34" t="n">
        <v>0</v>
      </c>
      <c r="E139" s="34" t="n">
        <v>0</v>
      </c>
      <c r="F139" s="34" t="n">
        <v>0</v>
      </c>
      <c r="G139" s="34" t="n">
        <v>0</v>
      </c>
      <c r="H139" s="148" t="n">
        <v>0</v>
      </c>
      <c r="I139" s="34" t="n">
        <v>0</v>
      </c>
      <c r="J139" s="34" t="n">
        <v>0</v>
      </c>
      <c r="K139" s="34" t="n">
        <v>0</v>
      </c>
      <c r="L139" s="34" t="n">
        <v>0</v>
      </c>
      <c r="M139" s="34" t="n">
        <v>0</v>
      </c>
      <c r="N139" s="17">
        <f>+M139+I139+J139</f>
        <v/>
      </c>
      <c r="O139" s="17">
        <f>+F139</f>
        <v/>
      </c>
      <c r="P139" s="17">
        <f>+K139+L139</f>
        <v/>
      </c>
      <c r="Q139" s="17">
        <f>+G139</f>
        <v/>
      </c>
      <c r="AH139" s="20" t="inlineStr">
        <is>
          <t xml:space="preserve">       (5) 수익증권</t>
        </is>
      </c>
      <c r="AI139" s="847" t="n">
        <v>0</v>
      </c>
    </row>
    <row r="140">
      <c r="A140" s="696" t="n">
        <v>139</v>
      </c>
      <c r="B140" s="34" t="inlineStr">
        <is>
          <t xml:space="preserve">　  Ⅱ.비 운 용 자 산</t>
        </is>
      </c>
      <c r="D140" s="33" t="n">
        <v>859421544462</v>
      </c>
      <c r="E140" s="33" t="n">
        <v>192544754825</v>
      </c>
      <c r="F140" s="33" t="n">
        <v>216733551153</v>
      </c>
      <c r="G140" s="33" t="n">
        <v>8370203853</v>
      </c>
      <c r="H140" s="147" t="n">
        <v>826862544281</v>
      </c>
      <c r="I140" s="33" t="n">
        <v>37007337563</v>
      </c>
      <c r="J140" s="33" t="n">
        <v>1310293390</v>
      </c>
      <c r="K140" s="33" t="n">
        <v>13484623</v>
      </c>
      <c r="L140" s="33" t="n">
        <v>74572394053</v>
      </c>
      <c r="M140" s="33" t="n">
        <v>713959034652</v>
      </c>
      <c r="N140" s="17">
        <f>+M140+I140+J140</f>
        <v/>
      </c>
      <c r="O140" s="17">
        <f>+F140</f>
        <v/>
      </c>
      <c r="P140" s="17">
        <f>+K140+L140</f>
        <v/>
      </c>
      <c r="Q140" s="17">
        <f>+G140</f>
        <v/>
      </c>
      <c r="AH140" s="20" t="inlineStr">
        <is>
          <t xml:space="preserve">       (6) 외화 유가증권</t>
        </is>
      </c>
      <c r="AI140" s="847" t="n">
        <v>0</v>
      </c>
    </row>
    <row r="141">
      <c r="A141" s="696" t="n">
        <v>140</v>
      </c>
      <c r="B141" s="34" t="inlineStr">
        <is>
          <t xml:space="preserve">　　     1.보험계약자산</t>
        </is>
      </c>
      <c r="D141" s="34" t="n">
        <v>0</v>
      </c>
      <c r="E141" s="34" t="n">
        <v>0</v>
      </c>
      <c r="F141" s="34" t="n">
        <v>0</v>
      </c>
      <c r="G141" s="34" t="n">
        <v>0</v>
      </c>
      <c r="H141" s="148" t="n">
        <v>0</v>
      </c>
      <c r="I141" s="34" t="n">
        <v>0</v>
      </c>
      <c r="J141" s="34" t="n">
        <v>0</v>
      </c>
      <c r="K141" s="34" t="n">
        <v>0</v>
      </c>
      <c r="L141" s="34" t="n">
        <v>0</v>
      </c>
      <c r="M141" s="34" t="n">
        <v>0</v>
      </c>
      <c r="N141" s="17">
        <f>+M141+I141+J141</f>
        <v/>
      </c>
      <c r="O141" s="17">
        <f>+F141</f>
        <v/>
      </c>
      <c r="P141" s="17">
        <f>+K141+L141</f>
        <v/>
      </c>
      <c r="Q141" s="17">
        <f>+G141</f>
        <v/>
      </c>
      <c r="AH141" s="20" t="inlineStr">
        <is>
          <t xml:space="preserve">           1) 주 식 </t>
        </is>
      </c>
      <c r="AI141" s="847" t="n">
        <v>0</v>
      </c>
    </row>
    <row r="142">
      <c r="A142" s="696" t="n">
        <v>141</v>
      </c>
      <c r="B142" s="34" t="inlineStr">
        <is>
          <t xml:space="preserve">　　　       가.잔여보장요소</t>
        </is>
      </c>
      <c r="D142" s="34" t="n">
        <v>0</v>
      </c>
      <c r="E142" s="34" t="n">
        <v>0</v>
      </c>
      <c r="F142" s="34" t="n">
        <v>0</v>
      </c>
      <c r="G142" s="34" t="n">
        <v>0</v>
      </c>
      <c r="H142" s="148" t="n">
        <v>0</v>
      </c>
      <c r="I142" s="34" t="n">
        <v>0</v>
      </c>
      <c r="J142" s="34" t="n">
        <v>0</v>
      </c>
      <c r="K142" s="34" t="n">
        <v>0</v>
      </c>
      <c r="L142" s="34" t="n">
        <v>0</v>
      </c>
      <c r="M142" s="34" t="n">
        <v>0</v>
      </c>
      <c r="N142" s="17">
        <f>+M142+I142+J142</f>
        <v/>
      </c>
      <c r="O142" s="17">
        <f>+F142</f>
        <v/>
      </c>
      <c r="P142" s="17">
        <f>+K142+L142</f>
        <v/>
      </c>
      <c r="Q142" s="17">
        <f>+G142</f>
        <v/>
      </c>
      <c r="AH142" s="20" t="inlineStr">
        <is>
          <t xml:space="preserve">           2) 채 권 </t>
        </is>
      </c>
      <c r="AI142" s="847" t="n">
        <v>0</v>
      </c>
    </row>
    <row r="143">
      <c r="A143" s="696" t="n">
        <v>142</v>
      </c>
      <c r="B143" s="34" t="inlineStr">
        <is>
          <t xml:space="preserve">　　　　        (1) 최선추정</t>
        </is>
      </c>
      <c r="D143" s="34" t="n">
        <v>0</v>
      </c>
      <c r="E143" s="34" t="n">
        <v>0</v>
      </c>
      <c r="F143" s="34" t="n">
        <v>0</v>
      </c>
      <c r="G143" s="34" t="n">
        <v>0</v>
      </c>
      <c r="H143" s="148" t="n">
        <v>0</v>
      </c>
      <c r="I143" s="34" t="n">
        <v>0</v>
      </c>
      <c r="J143" s="34" t="n">
        <v>0</v>
      </c>
      <c r="K143" s="34" t="n">
        <v>0</v>
      </c>
      <c r="L143" s="34" t="n">
        <v>0</v>
      </c>
      <c r="M143" s="34" t="n">
        <v>0</v>
      </c>
      <c r="N143" s="17">
        <f>+M143+I143+J143</f>
        <v/>
      </c>
      <c r="O143" s="17">
        <f>+F143</f>
        <v/>
      </c>
      <c r="P143" s="17">
        <f>+K143+L143</f>
        <v/>
      </c>
      <c r="Q143" s="17">
        <f>+G143</f>
        <v/>
      </c>
      <c r="AH143" s="20" t="inlineStr">
        <is>
          <t xml:space="preserve">           3) 수익증권</t>
        </is>
      </c>
      <c r="AI143" s="847" t="n">
        <v>0</v>
      </c>
    </row>
    <row r="144">
      <c r="A144" s="696" t="n">
        <v>143</v>
      </c>
      <c r="B144" s="34" t="inlineStr">
        <is>
          <t xml:space="preserve">　　　　        (2) 위험조정</t>
        </is>
      </c>
      <c r="D144" s="34" t="n">
        <v>0</v>
      </c>
      <c r="E144" s="34" t="n">
        <v>0</v>
      </c>
      <c r="F144" s="34" t="n">
        <v>0</v>
      </c>
      <c r="G144" s="34" t="n">
        <v>0</v>
      </c>
      <c r="H144" s="148" t="n">
        <v>0</v>
      </c>
      <c r="I144" s="34" t="n">
        <v>0</v>
      </c>
      <c r="J144" s="34" t="n">
        <v>0</v>
      </c>
      <c r="K144" s="34" t="n">
        <v>0</v>
      </c>
      <c r="L144" s="34" t="n">
        <v>0</v>
      </c>
      <c r="M144" s="34" t="n">
        <v>0</v>
      </c>
      <c r="N144" s="17">
        <f>+M144+I144+J144</f>
        <v/>
      </c>
      <c r="O144" s="17">
        <f>+F144</f>
        <v/>
      </c>
      <c r="P144" s="17">
        <f>+K144+L144</f>
        <v/>
      </c>
      <c r="Q144" s="17">
        <f>+G144</f>
        <v/>
      </c>
      <c r="AH144" s="20" t="inlineStr">
        <is>
          <t xml:space="preserve">           4) 신종유가증권</t>
        </is>
      </c>
      <c r="AI144" s="847" t="n">
        <v>0</v>
      </c>
    </row>
    <row r="145">
      <c r="A145" s="696" t="n">
        <v>144</v>
      </c>
      <c r="B145" s="34" t="inlineStr">
        <is>
          <t xml:space="preserve">　　　　        (3) 보험계약마진</t>
        </is>
      </c>
      <c r="D145" s="34" t="n">
        <v>0</v>
      </c>
      <c r="E145" s="34" t="n">
        <v>0</v>
      </c>
      <c r="F145" s="34" t="n">
        <v>0</v>
      </c>
      <c r="G145" s="34" t="n">
        <v>0</v>
      </c>
      <c r="H145" s="148" t="n">
        <v>0</v>
      </c>
      <c r="I145" s="34" t="n">
        <v>0</v>
      </c>
      <c r="J145" s="34" t="n">
        <v>0</v>
      </c>
      <c r="K145" s="34" t="n">
        <v>0</v>
      </c>
      <c r="L145" s="34" t="n">
        <v>0</v>
      </c>
      <c r="M145" s="34" t="n">
        <v>0</v>
      </c>
      <c r="N145" s="17">
        <f>+M145+I145+J145</f>
        <v/>
      </c>
      <c r="O145" s="17">
        <f>+F145</f>
        <v/>
      </c>
      <c r="P145" s="17">
        <f>+K145+L145</f>
        <v/>
      </c>
      <c r="Q145" s="17">
        <f>+G145</f>
        <v/>
      </c>
      <c r="AH145" s="20" t="inlineStr">
        <is>
          <t xml:space="preserve">           5) 기타유가증권</t>
        </is>
      </c>
      <c r="AI145" s="847" t="n">
        <v>0</v>
      </c>
    </row>
    <row r="146">
      <c r="A146" s="696" t="n">
        <v>145</v>
      </c>
      <c r="B146" s="34" t="inlineStr">
        <is>
          <t xml:space="preserve">　　　　        (4) 보험료배분접근법적용</t>
        </is>
      </c>
      <c r="D146" s="34" t="n">
        <v>0</v>
      </c>
      <c r="E146" s="34" t="n">
        <v>0</v>
      </c>
      <c r="F146" s="34" t="n">
        <v>0</v>
      </c>
      <c r="G146" s="34" t="n">
        <v>0</v>
      </c>
      <c r="H146" s="148" t="n">
        <v>0</v>
      </c>
      <c r="I146" s="34" t="n">
        <v>0</v>
      </c>
      <c r="J146" s="34" t="n">
        <v>0</v>
      </c>
      <c r="K146" s="34" t="n">
        <v>0</v>
      </c>
      <c r="L146" s="34" t="n">
        <v>0</v>
      </c>
      <c r="M146" s="34" t="n">
        <v>0</v>
      </c>
      <c r="N146" s="17">
        <f>+M146+I146+J146</f>
        <v/>
      </c>
      <c r="O146" s="17">
        <f>+F146</f>
        <v/>
      </c>
      <c r="P146" s="17">
        <f>+K146+L146</f>
        <v/>
      </c>
      <c r="Q146" s="17">
        <f>+G146</f>
        <v/>
      </c>
      <c r="AH146" s="20" t="inlineStr">
        <is>
          <t xml:space="preserve">       (7) 기타 유가증권</t>
        </is>
      </c>
      <c r="AI146" s="847" t="n">
        <v>0</v>
      </c>
    </row>
    <row r="147">
      <c r="A147" s="696" t="n">
        <v>146</v>
      </c>
      <c r="B147" s="34" t="inlineStr">
        <is>
          <t xml:space="preserve">　　　       나.발생사고요소</t>
        </is>
      </c>
      <c r="D147" s="34" t="n">
        <v>0</v>
      </c>
      <c r="E147" s="34" t="n">
        <v>0</v>
      </c>
      <c r="F147" s="34" t="n">
        <v>0</v>
      </c>
      <c r="G147" s="34" t="n">
        <v>0</v>
      </c>
      <c r="H147" s="148" t="n">
        <v>0</v>
      </c>
      <c r="I147" s="34" t="n">
        <v>0</v>
      </c>
      <c r="J147" s="34" t="n">
        <v>0</v>
      </c>
      <c r="K147" s="34" t="n">
        <v>0</v>
      </c>
      <c r="L147" s="34" t="n">
        <v>0</v>
      </c>
      <c r="M147" s="34" t="n">
        <v>0</v>
      </c>
      <c r="N147" s="17">
        <f>+M147+I147+J147</f>
        <v/>
      </c>
      <c r="O147" s="17">
        <f>+F147</f>
        <v/>
      </c>
      <c r="P147" s="17">
        <f>+K147+L147</f>
        <v/>
      </c>
      <c r="Q147" s="17">
        <f>+G147</f>
        <v/>
      </c>
      <c r="AH147" s="20" t="inlineStr">
        <is>
          <t xml:space="preserve">  V. 상각후원가측정 대여금및수취채권 </t>
        </is>
      </c>
      <c r="AI147" s="846" t="n">
        <v>3420351209938</v>
      </c>
    </row>
    <row r="148">
      <c r="A148" s="696" t="n">
        <v>147</v>
      </c>
      <c r="B148" s="34" t="inlineStr">
        <is>
          <t xml:space="preserve">　　　　        (1) 최선추정</t>
        </is>
      </c>
      <c r="D148" s="34" t="n">
        <v>0</v>
      </c>
      <c r="E148" s="34" t="n">
        <v>0</v>
      </c>
      <c r="F148" s="34" t="n">
        <v>0</v>
      </c>
      <c r="G148" s="34" t="n">
        <v>0</v>
      </c>
      <c r="H148" s="148" t="n">
        <v>0</v>
      </c>
      <c r="I148" s="34" t="n">
        <v>0</v>
      </c>
      <c r="J148" s="34" t="n">
        <v>0</v>
      </c>
      <c r="K148" s="34" t="n">
        <v>0</v>
      </c>
      <c r="L148" s="34" t="n">
        <v>0</v>
      </c>
      <c r="M148" s="34" t="n">
        <v>0</v>
      </c>
      <c r="N148" s="17">
        <f>+M148+I148+J148</f>
        <v/>
      </c>
      <c r="O148" s="17">
        <f>+F148</f>
        <v/>
      </c>
      <c r="P148" s="17">
        <f>+K148+L148</f>
        <v/>
      </c>
      <c r="Q148" s="17">
        <f>+G148</f>
        <v/>
      </c>
      <c r="AH148" s="20" t="inlineStr">
        <is>
          <t xml:space="preserve">     1.대출채권 </t>
        </is>
      </c>
      <c r="AI148" s="847" t="n">
        <v>2711366577135</v>
      </c>
    </row>
    <row r="149">
      <c r="A149" s="696" t="n">
        <v>148</v>
      </c>
      <c r="B149" s="34" t="inlineStr">
        <is>
          <t xml:space="preserve">　　　　        (2) 위험조정</t>
        </is>
      </c>
      <c r="D149" s="34" t="n">
        <v>0</v>
      </c>
      <c r="E149" s="34" t="n">
        <v>0</v>
      </c>
      <c r="F149" s="34" t="n">
        <v>0</v>
      </c>
      <c r="G149" s="34" t="n">
        <v>0</v>
      </c>
      <c r="H149" s="148" t="n">
        <v>0</v>
      </c>
      <c r="I149" s="34" t="n">
        <v>0</v>
      </c>
      <c r="J149" s="34" t="n">
        <v>0</v>
      </c>
      <c r="K149" s="34" t="n">
        <v>0</v>
      </c>
      <c r="L149" s="34" t="n">
        <v>0</v>
      </c>
      <c r="M149" s="34" t="n">
        <v>0</v>
      </c>
      <c r="N149" s="17">
        <f>+M149+I149+J149</f>
        <v/>
      </c>
      <c r="O149" s="17">
        <f>+F149</f>
        <v/>
      </c>
      <c r="P149" s="17">
        <f>+K149+L149</f>
        <v/>
      </c>
      <c r="Q149" s="17">
        <f>+G149</f>
        <v/>
      </c>
      <c r="AH149" s="20" t="inlineStr">
        <is>
          <t xml:space="preserve">       (현재가치할인차금)</t>
        </is>
      </c>
      <c r="AI149" s="847" t="n">
        <v>-1537792</v>
      </c>
    </row>
    <row r="150">
      <c r="A150" s="696" t="n">
        <v>149</v>
      </c>
      <c r="B150" s="34" t="inlineStr">
        <is>
          <t xml:space="preserve">　　　       다.사전인식 보험취득현금흐름</t>
        </is>
      </c>
      <c r="D150" s="34" t="n">
        <v>0</v>
      </c>
      <c r="E150" s="34" t="n">
        <v>0</v>
      </c>
      <c r="F150" s="34" t="n">
        <v>0</v>
      </c>
      <c r="G150" s="34" t="n">
        <v>0</v>
      </c>
      <c r="H150" s="148" t="n">
        <v>0</v>
      </c>
      <c r="I150" s="34" t="n">
        <v>0</v>
      </c>
      <c r="J150" s="34" t="n">
        <v>0</v>
      </c>
      <c r="K150" s="34" t="n">
        <v>0</v>
      </c>
      <c r="L150" s="34" t="n">
        <v>0</v>
      </c>
      <c r="M150" s="34" t="n">
        <v>0</v>
      </c>
      <c r="N150" s="17">
        <f>+M150+I150+J150</f>
        <v/>
      </c>
      <c r="O150" s="17">
        <f>+F150</f>
        <v/>
      </c>
      <c r="P150" s="17">
        <f>+K150+L150</f>
        <v/>
      </c>
      <c r="Q150" s="17">
        <f>+G150</f>
        <v/>
      </c>
      <c r="AH150" s="20" t="inlineStr">
        <is>
          <t xml:space="preserve">       (대 손 충 당 금)</t>
        </is>
      </c>
      <c r="AI150" s="847" t="n">
        <v>-15797604448</v>
      </c>
    </row>
    <row r="151">
      <c r="A151" s="696" t="n">
        <v>150</v>
      </c>
      <c r="B151" s="34" t="inlineStr">
        <is>
          <t xml:space="preserve">　　　　           (손상차손누계액)</t>
        </is>
      </c>
      <c r="D151" s="34" t="n">
        <v>0</v>
      </c>
      <c r="E151" s="34" t="n">
        <v>0</v>
      </c>
      <c r="F151" s="34" t="n">
        <v>0</v>
      </c>
      <c r="G151" s="34" t="n">
        <v>0</v>
      </c>
      <c r="H151" s="148" t="n">
        <v>0</v>
      </c>
      <c r="I151" s="34" t="n">
        <v>0</v>
      </c>
      <c r="J151" s="34" t="n">
        <v>0</v>
      </c>
      <c r="K151" s="34" t="n">
        <v>0</v>
      </c>
      <c r="L151" s="34" t="n">
        <v>0</v>
      </c>
      <c r="M151" s="34" t="n">
        <v>0</v>
      </c>
      <c r="N151" s="17">
        <f>+M151+I151+J151</f>
        <v/>
      </c>
      <c r="O151" s="17">
        <f>+F151</f>
        <v/>
      </c>
      <c r="P151" s="17">
        <f>+K151+L151</f>
        <v/>
      </c>
      <c r="Q151" s="17">
        <f>+G151</f>
        <v/>
      </c>
      <c r="AH151" s="20" t="inlineStr">
        <is>
          <t xml:space="preserve">       (이연대출부대손익)</t>
        </is>
      </c>
      <c r="AI151" s="847" t="n">
        <v>-2063073293</v>
      </c>
    </row>
    <row r="152">
      <c r="A152" s="696" t="n">
        <v>151</v>
      </c>
      <c r="B152" s="34" t="inlineStr">
        <is>
          <t xml:space="preserve">　　     2.재보험계약자산</t>
        </is>
      </c>
      <c r="D152" s="33" t="n">
        <v>37355226946</v>
      </c>
      <c r="E152" s="34" t="n">
        <v>0</v>
      </c>
      <c r="F152" s="34" t="n">
        <v>0</v>
      </c>
      <c r="G152" s="34" t="n">
        <v>0</v>
      </c>
      <c r="H152" s="147" t="n">
        <v>37355226946</v>
      </c>
      <c r="I152" s="34" t="n">
        <v>0</v>
      </c>
      <c r="J152" s="34" t="n">
        <v>0</v>
      </c>
      <c r="K152" s="34" t="n">
        <v>0</v>
      </c>
      <c r="L152" s="34" t="n">
        <v>0</v>
      </c>
      <c r="M152" s="33" t="n">
        <v>37355226946</v>
      </c>
      <c r="N152" s="17">
        <f>+M152+I152+J152</f>
        <v/>
      </c>
      <c r="O152" s="17">
        <f>+F152</f>
        <v/>
      </c>
      <c r="P152" s="17">
        <f>+K152+L152</f>
        <v/>
      </c>
      <c r="Q152" s="17">
        <f>+G152</f>
        <v/>
      </c>
      <c r="AH152" s="20" t="inlineStr">
        <is>
          <t xml:space="preserve">       (1) 콜   론 </t>
        </is>
      </c>
      <c r="AI152" s="847" t="n">
        <v>0</v>
      </c>
    </row>
    <row r="153">
      <c r="A153" s="696" t="n">
        <v>152</v>
      </c>
      <c r="B153" s="34" t="inlineStr">
        <is>
          <t xml:space="preserve">　　　       가.잔여보장요소</t>
        </is>
      </c>
      <c r="D153" s="33" t="n">
        <v>-28204481519</v>
      </c>
      <c r="E153" s="34" t="n">
        <v>0</v>
      </c>
      <c r="F153" s="34" t="n">
        <v>0</v>
      </c>
      <c r="G153" s="34" t="n">
        <v>0</v>
      </c>
      <c r="H153" s="147" t="n">
        <v>-28204481519</v>
      </c>
      <c r="I153" s="34" t="n">
        <v>0</v>
      </c>
      <c r="J153" s="34" t="n">
        <v>0</v>
      </c>
      <c r="K153" s="34" t="n">
        <v>0</v>
      </c>
      <c r="L153" s="34" t="n">
        <v>0</v>
      </c>
      <c r="M153" s="33" t="n">
        <v>-28204481519</v>
      </c>
      <c r="N153" s="17">
        <f>+M153+I153+J153</f>
        <v/>
      </c>
      <c r="O153" s="17">
        <f>+F153</f>
        <v/>
      </c>
      <c r="P153" s="17">
        <f>+K153+L153</f>
        <v/>
      </c>
      <c r="Q153" s="17">
        <f>+G153</f>
        <v/>
      </c>
      <c r="AH153" s="20" t="inlineStr">
        <is>
          <t xml:space="preserve">       (2) 수익증권담보대출금</t>
        </is>
      </c>
      <c r="AI153" s="847" t="n">
        <v>0</v>
      </c>
    </row>
    <row r="154">
      <c r="A154" s="696" t="n">
        <v>153</v>
      </c>
      <c r="B154" s="34" t="inlineStr">
        <is>
          <t xml:space="preserve">　　　　        (1) 최선추정</t>
        </is>
      </c>
      <c r="D154" s="33" t="n">
        <v>-87840434639</v>
      </c>
      <c r="E154" s="34" t="n">
        <v>0</v>
      </c>
      <c r="F154" s="34" t="n">
        <v>0</v>
      </c>
      <c r="G154" s="34" t="n">
        <v>0</v>
      </c>
      <c r="H154" s="147" t="n">
        <v>-87840434639</v>
      </c>
      <c r="I154" s="34" t="n">
        <v>0</v>
      </c>
      <c r="J154" s="34" t="n">
        <v>0</v>
      </c>
      <c r="K154" s="34" t="n">
        <v>0</v>
      </c>
      <c r="L154" s="34" t="n">
        <v>0</v>
      </c>
      <c r="M154" s="33" t="n">
        <v>-87840434639</v>
      </c>
      <c r="N154" s="17">
        <f>+M154+I154+J154</f>
        <v/>
      </c>
      <c r="O154" s="17">
        <f>+F154</f>
        <v/>
      </c>
      <c r="P154" s="17">
        <f>+K154+L154</f>
        <v/>
      </c>
      <c r="Q154" s="17">
        <f>+G154</f>
        <v/>
      </c>
      <c r="AH154" s="20" t="inlineStr">
        <is>
          <t xml:space="preserve">       (3) 유가증권담보대출금</t>
        </is>
      </c>
      <c r="AI154" s="847" t="n">
        <v>0</v>
      </c>
    </row>
    <row r="155">
      <c r="A155" s="696" t="n">
        <v>154</v>
      </c>
      <c r="B155" s="34" t="inlineStr">
        <is>
          <t xml:space="preserve">　　　　        (2) 위험조정</t>
        </is>
      </c>
      <c r="D155" s="33" t="n">
        <v>9408706806</v>
      </c>
      <c r="E155" s="34" t="n">
        <v>0</v>
      </c>
      <c r="F155" s="34" t="n">
        <v>0</v>
      </c>
      <c r="G155" s="34" t="n">
        <v>0</v>
      </c>
      <c r="H155" s="147" t="n">
        <v>9408706806</v>
      </c>
      <c r="I155" s="34" t="n">
        <v>0</v>
      </c>
      <c r="J155" s="34" t="n">
        <v>0</v>
      </c>
      <c r="K155" s="34" t="n">
        <v>0</v>
      </c>
      <c r="L155" s="34" t="n">
        <v>0</v>
      </c>
      <c r="M155" s="33" t="n">
        <v>9408706806</v>
      </c>
      <c r="N155" s="17">
        <f>+M155+I155+J155</f>
        <v/>
      </c>
      <c r="O155" s="17">
        <f>+F155</f>
        <v/>
      </c>
      <c r="P155" s="17">
        <f>+K155+L155</f>
        <v/>
      </c>
      <c r="Q155" s="17">
        <f>+G155</f>
        <v/>
      </c>
      <c r="AH155" s="20" t="inlineStr">
        <is>
          <t xml:space="preserve">       (4) 부동산담보대출금</t>
        </is>
      </c>
      <c r="AI155" s="847" t="n">
        <v>715821520060</v>
      </c>
    </row>
    <row r="156">
      <c r="A156" s="696" t="n">
        <v>155</v>
      </c>
      <c r="B156" s="34" t="inlineStr">
        <is>
          <t xml:space="preserve">　　　　        (3) 보험계약마진</t>
        </is>
      </c>
      <c r="D156" s="33" t="n">
        <v>50227246314</v>
      </c>
      <c r="E156" s="34" t="n">
        <v>0</v>
      </c>
      <c r="F156" s="34" t="n">
        <v>0</v>
      </c>
      <c r="G156" s="34" t="n">
        <v>0</v>
      </c>
      <c r="H156" s="147" t="n">
        <v>50227246314</v>
      </c>
      <c r="I156" s="34" t="n">
        <v>0</v>
      </c>
      <c r="J156" s="34" t="n">
        <v>0</v>
      </c>
      <c r="K156" s="34" t="n">
        <v>0</v>
      </c>
      <c r="L156" s="34" t="n">
        <v>0</v>
      </c>
      <c r="M156" s="33" t="n">
        <v>50227246314</v>
      </c>
      <c r="N156" s="17">
        <f>+M156+I156+J156</f>
        <v/>
      </c>
      <c r="O156" s="17">
        <f>+F156</f>
        <v/>
      </c>
      <c r="P156" s="17">
        <f>+K156+L156</f>
        <v/>
      </c>
      <c r="Q156" s="17">
        <f>+G156</f>
        <v/>
      </c>
      <c r="AH156" s="20" t="inlineStr">
        <is>
          <t xml:space="preserve">       (5) 신용대출금</t>
        </is>
      </c>
      <c r="AI156" s="847" t="n">
        <v>441680038261</v>
      </c>
    </row>
    <row r="157">
      <c r="A157" s="696" t="n">
        <v>156</v>
      </c>
      <c r="B157" s="34" t="inlineStr">
        <is>
          <t xml:space="preserve">　　　　        (4) 보험료배분접근법적용</t>
        </is>
      </c>
      <c r="D157" s="34" t="n">
        <v>0</v>
      </c>
      <c r="E157" s="34" t="n">
        <v>0</v>
      </c>
      <c r="F157" s="34" t="n">
        <v>0</v>
      </c>
      <c r="G157" s="34" t="n">
        <v>0</v>
      </c>
      <c r="H157" s="148" t="n">
        <v>0</v>
      </c>
      <c r="I157" s="34" t="n">
        <v>0</v>
      </c>
      <c r="J157" s="34" t="n">
        <v>0</v>
      </c>
      <c r="K157" s="34" t="n">
        <v>0</v>
      </c>
      <c r="L157" s="34" t="n">
        <v>0</v>
      </c>
      <c r="M157" s="34" t="n">
        <v>0</v>
      </c>
      <c r="N157" s="17">
        <f>+M157+I157+J157</f>
        <v/>
      </c>
      <c r="O157" s="17">
        <f>+F157</f>
        <v/>
      </c>
      <c r="P157" s="17">
        <f>+K157+L157</f>
        <v/>
      </c>
      <c r="Q157" s="17">
        <f>+G157</f>
        <v/>
      </c>
      <c r="AH157" s="20" t="inlineStr">
        <is>
          <t xml:space="preserve">       (6) 어음할인대출금</t>
        </is>
      </c>
      <c r="AI157" s="847" t="n">
        <v>0</v>
      </c>
    </row>
    <row r="158">
      <c r="A158" s="696" t="n">
        <v>157</v>
      </c>
      <c r="B158" s="34" t="inlineStr">
        <is>
          <t xml:space="preserve">　　　       나.발생사고요소</t>
        </is>
      </c>
      <c r="D158" s="33" t="n">
        <v>65559708465</v>
      </c>
      <c r="E158" s="34" t="n">
        <v>0</v>
      </c>
      <c r="F158" s="34" t="n">
        <v>0</v>
      </c>
      <c r="G158" s="34" t="n">
        <v>0</v>
      </c>
      <c r="H158" s="147" t="n">
        <v>65559708465</v>
      </c>
      <c r="I158" s="34" t="n">
        <v>0</v>
      </c>
      <c r="J158" s="34" t="n">
        <v>0</v>
      </c>
      <c r="K158" s="34" t="n">
        <v>0</v>
      </c>
      <c r="L158" s="34" t="n">
        <v>0</v>
      </c>
      <c r="M158" s="33" t="n">
        <v>65559708465</v>
      </c>
      <c r="N158" s="17">
        <f>+M158+I158+J158</f>
        <v/>
      </c>
      <c r="O158" s="17">
        <f>+F158</f>
        <v/>
      </c>
      <c r="P158" s="17">
        <f>+K158+L158</f>
        <v/>
      </c>
      <c r="Q158" s="17">
        <f>+G158</f>
        <v/>
      </c>
      <c r="AH158" s="20" t="inlineStr">
        <is>
          <t xml:space="preserve">       (7) 지급보증대출금</t>
        </is>
      </c>
      <c r="AI158" s="847" t="n">
        <v>506555174321</v>
      </c>
    </row>
    <row r="159">
      <c r="A159" s="696" t="n">
        <v>158</v>
      </c>
      <c r="B159" s="34" t="inlineStr">
        <is>
          <t xml:space="preserve">　　　　        (1) 최선추정</t>
        </is>
      </c>
      <c r="D159" s="33" t="n">
        <v>64954057168</v>
      </c>
      <c r="E159" s="34" t="n">
        <v>0</v>
      </c>
      <c r="F159" s="34" t="n">
        <v>0</v>
      </c>
      <c r="G159" s="34" t="n">
        <v>0</v>
      </c>
      <c r="H159" s="147" t="n">
        <v>64954057168</v>
      </c>
      <c r="I159" s="34" t="n">
        <v>0</v>
      </c>
      <c r="J159" s="34" t="n">
        <v>0</v>
      </c>
      <c r="K159" s="34" t="n">
        <v>0</v>
      </c>
      <c r="L159" s="34" t="n">
        <v>0</v>
      </c>
      <c r="M159" s="33" t="n">
        <v>64954057168</v>
      </c>
      <c r="N159" s="17">
        <f>+M159+I159+J159</f>
        <v/>
      </c>
      <c r="O159" s="17">
        <f>+F159</f>
        <v/>
      </c>
      <c r="P159" s="17">
        <f>+K159+L159</f>
        <v/>
      </c>
      <c r="Q159" s="17">
        <f>+G159</f>
        <v/>
      </c>
      <c r="AH159" s="20" t="inlineStr">
        <is>
          <t xml:space="preserve">       (8) 기타대출금</t>
        </is>
      </c>
      <c r="AI159" s="847" t="n">
        <v>1065172060026</v>
      </c>
    </row>
    <row r="160">
      <c r="A160" s="696" t="n">
        <v>159</v>
      </c>
      <c r="B160" s="34" t="inlineStr">
        <is>
          <t xml:space="preserve">　　　　        (2) 위험조정</t>
        </is>
      </c>
      <c r="D160" s="33" t="n">
        <v>605651297</v>
      </c>
      <c r="E160" s="34" t="n">
        <v>0</v>
      </c>
      <c r="F160" s="34" t="n">
        <v>0</v>
      </c>
      <c r="G160" s="34" t="n">
        <v>0</v>
      </c>
      <c r="H160" s="147" t="n">
        <v>605651297</v>
      </c>
      <c r="I160" s="34" t="n">
        <v>0</v>
      </c>
      <c r="J160" s="34" t="n">
        <v>0</v>
      </c>
      <c r="K160" s="34" t="n">
        <v>0</v>
      </c>
      <c r="L160" s="34" t="n">
        <v>0</v>
      </c>
      <c r="M160" s="33" t="n">
        <v>605651297</v>
      </c>
      <c r="N160" s="17">
        <f>+M160+I160+J160</f>
        <v/>
      </c>
      <c r="O160" s="17">
        <f>+F160</f>
        <v/>
      </c>
      <c r="P160" s="17">
        <f>+K160+L160</f>
        <v/>
      </c>
      <c r="Q160" s="17">
        <f>+G160</f>
        <v/>
      </c>
      <c r="AH160" s="20" t="inlineStr">
        <is>
          <t xml:space="preserve">          1) 주택보험대출 </t>
        </is>
      </c>
      <c r="AI160" s="847" t="n">
        <v>0</v>
      </c>
    </row>
    <row r="161">
      <c r="A161" s="696" t="n">
        <v>160</v>
      </c>
      <c r="B161" s="34" t="inlineStr">
        <is>
          <t xml:space="preserve">　　     3.미 수 금</t>
        </is>
      </c>
      <c r="D161" s="33" t="n">
        <v>34663029633</v>
      </c>
      <c r="E161" s="34" t="n">
        <v>0</v>
      </c>
      <c r="F161" s="33" t="n">
        <v>15826138242</v>
      </c>
      <c r="G161" s="33" t="n">
        <v>1635416729</v>
      </c>
      <c r="H161" s="147" t="n">
        <v>17201474662</v>
      </c>
      <c r="I161" s="34" t="n">
        <v>0</v>
      </c>
      <c r="J161" s="34" t="n">
        <v>0</v>
      </c>
      <c r="K161" s="34" t="n">
        <v>0</v>
      </c>
      <c r="L161" s="33" t="n">
        <v>8735549693</v>
      </c>
      <c r="M161" s="33" t="n">
        <v>8465924969</v>
      </c>
      <c r="N161" s="17">
        <f>+M161+I161+J161</f>
        <v/>
      </c>
      <c r="O161" s="17">
        <f>+F161</f>
        <v/>
      </c>
      <c r="P161" s="17">
        <f>+K161+L161</f>
        <v/>
      </c>
      <c r="Q161" s="17">
        <f>+G161</f>
        <v/>
      </c>
      <c r="AH161" s="20" t="inlineStr">
        <is>
          <t xml:space="preserve">          2) 사모사채</t>
        </is>
      </c>
      <c r="AI161" s="847" t="n">
        <v>69312828572</v>
      </c>
    </row>
    <row r="162">
      <c r="A162" s="696" t="n">
        <v>161</v>
      </c>
      <c r="B162" s="34" t="inlineStr">
        <is>
          <t xml:space="preserve">　　　       (현재가치할인차금)</t>
        </is>
      </c>
      <c r="D162" s="34" t="n">
        <v>0</v>
      </c>
      <c r="E162" s="34" t="n">
        <v>0</v>
      </c>
      <c r="F162" s="34" t="n">
        <v>0</v>
      </c>
      <c r="G162" s="34" t="n">
        <v>0</v>
      </c>
      <c r="H162" s="148" t="n">
        <v>0</v>
      </c>
      <c r="I162" s="34" t="n">
        <v>0</v>
      </c>
      <c r="J162" s="34" t="n">
        <v>0</v>
      </c>
      <c r="K162" s="34" t="n">
        <v>0</v>
      </c>
      <c r="L162" s="34" t="n">
        <v>0</v>
      </c>
      <c r="M162" s="34" t="n">
        <v>0</v>
      </c>
      <c r="N162" s="17">
        <f>+M162+I162+J162</f>
        <v/>
      </c>
      <c r="O162" s="17">
        <f>+F162</f>
        <v/>
      </c>
      <c r="P162" s="17">
        <f>+K162+L162</f>
        <v/>
      </c>
      <c r="Q162" s="17">
        <f>+G162</f>
        <v/>
      </c>
      <c r="AH162" s="20" t="inlineStr">
        <is>
          <t xml:space="preserve">          3) CP</t>
        </is>
      </c>
      <c r="AI162" s="847" t="n">
        <v>0</v>
      </c>
    </row>
    <row r="163">
      <c r="A163" s="696" t="n">
        <v>162</v>
      </c>
      <c r="B163" s="34" t="inlineStr">
        <is>
          <t xml:space="preserve">　　　       (대손충당금)</t>
        </is>
      </c>
      <c r="D163" s="33" t="n">
        <v>-337731640</v>
      </c>
      <c r="E163" s="34" t="n">
        <v>0</v>
      </c>
      <c r="F163" s="34" t="n">
        <v>0</v>
      </c>
      <c r="G163" s="34" t="n">
        <v>0</v>
      </c>
      <c r="H163" s="147" t="n">
        <v>-337731640</v>
      </c>
      <c r="I163" s="34" t="n">
        <v>0</v>
      </c>
      <c r="J163" s="34" t="n">
        <v>0</v>
      </c>
      <c r="K163" s="34" t="n">
        <v>0</v>
      </c>
      <c r="L163" s="34" t="n">
        <v>0</v>
      </c>
      <c r="M163" s="33" t="n">
        <v>-337731640</v>
      </c>
      <c r="N163" s="17">
        <f>+M163+I163+J163</f>
        <v/>
      </c>
      <c r="O163" s="17">
        <f>+F163</f>
        <v/>
      </c>
      <c r="P163" s="17">
        <f>+K163+L163</f>
        <v/>
      </c>
      <c r="Q163" s="17">
        <f>+G163</f>
        <v/>
      </c>
      <c r="AH163" s="20" t="inlineStr">
        <is>
          <t xml:space="preserve">          4) 기타</t>
        </is>
      </c>
      <c r="AI163" s="847" t="n">
        <v>995859231454</v>
      </c>
    </row>
    <row r="164">
      <c r="A164" s="696" t="n">
        <v>163</v>
      </c>
      <c r="B164" s="34" t="inlineStr">
        <is>
          <t xml:space="preserve">　　     4.보 증 금</t>
        </is>
      </c>
      <c r="D164" s="33" t="n">
        <v>13857146551</v>
      </c>
      <c r="E164" s="34" t="n">
        <v>0</v>
      </c>
      <c r="F164" s="34" t="n">
        <v>0</v>
      </c>
      <c r="G164" s="34" t="n">
        <v>0</v>
      </c>
      <c r="H164" s="147" t="n">
        <v>13857146551</v>
      </c>
      <c r="I164" s="34" t="n">
        <v>0</v>
      </c>
      <c r="J164" s="34" t="n">
        <v>0</v>
      </c>
      <c r="K164" s="34" t="n">
        <v>0</v>
      </c>
      <c r="L164" s="34" t="n">
        <v>0</v>
      </c>
      <c r="M164" s="33" t="n">
        <v>13857146551</v>
      </c>
      <c r="N164" s="17">
        <f>+M164+I164+J164</f>
        <v/>
      </c>
      <c r="O164" s="17">
        <f>+F164</f>
        <v/>
      </c>
      <c r="P164" s="17">
        <f>+K164+L164</f>
        <v/>
      </c>
      <c r="Q164" s="17">
        <f>+G164</f>
        <v/>
      </c>
      <c r="AH164" s="20" t="inlineStr">
        <is>
          <t xml:space="preserve">     2.기타 수취채권</t>
        </is>
      </c>
      <c r="AI164" s="846" t="n">
        <v>708984632803</v>
      </c>
    </row>
    <row r="165">
      <c r="A165" s="696" t="n">
        <v>164</v>
      </c>
      <c r="B165" s="34" t="inlineStr">
        <is>
          <t xml:space="preserve">　　　       (현재가치할인차금)</t>
        </is>
      </c>
      <c r="D165" s="33" t="n">
        <v>-395334757</v>
      </c>
      <c r="E165" s="34" t="n">
        <v>0</v>
      </c>
      <c r="F165" s="34" t="n">
        <v>0</v>
      </c>
      <c r="G165" s="34" t="n">
        <v>0</v>
      </c>
      <c r="H165" s="147" t="n">
        <v>-395334757</v>
      </c>
      <c r="I165" s="34" t="n">
        <v>0</v>
      </c>
      <c r="J165" s="34" t="n">
        <v>0</v>
      </c>
      <c r="K165" s="34" t="n">
        <v>0</v>
      </c>
      <c r="L165" s="34" t="n">
        <v>0</v>
      </c>
      <c r="M165" s="33" t="n">
        <v>-395334757</v>
      </c>
      <c r="N165" s="17">
        <f>+M165+I165+J165</f>
        <v/>
      </c>
      <c r="O165" s="17">
        <f>+F165</f>
        <v/>
      </c>
      <c r="P165" s="17">
        <f>+K165+L165</f>
        <v/>
      </c>
      <c r="Q165" s="17">
        <f>+G165</f>
        <v/>
      </c>
      <c r="AH165" s="20" t="inlineStr">
        <is>
          <t xml:space="preserve">       (1) 예 치 금 </t>
        </is>
      </c>
      <c r="AI165" s="846" t="n">
        <v>87839945256</v>
      </c>
    </row>
    <row r="166">
      <c r="A166" s="696" t="n">
        <v>165</v>
      </c>
      <c r="B166" s="34" t="inlineStr">
        <is>
          <t xml:space="preserve">　　　       (대손충당금)</t>
        </is>
      </c>
      <c r="D166" s="34" t="n">
        <v>0</v>
      </c>
      <c r="E166" s="34" t="n">
        <v>0</v>
      </c>
      <c r="F166" s="34" t="n">
        <v>0</v>
      </c>
      <c r="G166" s="34" t="n">
        <v>0</v>
      </c>
      <c r="H166" s="148" t="n">
        <v>0</v>
      </c>
      <c r="I166" s="34" t="n">
        <v>0</v>
      </c>
      <c r="J166" s="34" t="n">
        <v>0</v>
      </c>
      <c r="K166" s="34" t="n">
        <v>0</v>
      </c>
      <c r="L166" s="34" t="n">
        <v>0</v>
      </c>
      <c r="M166" s="34" t="n">
        <v>0</v>
      </c>
      <c r="N166" s="17">
        <f>+M166+I166+J166</f>
        <v/>
      </c>
      <c r="O166" s="17">
        <f>+F166</f>
        <v/>
      </c>
      <c r="P166" s="17">
        <f>+K166+L166</f>
        <v/>
      </c>
      <c r="Q166" s="17">
        <f>+G166</f>
        <v/>
      </c>
      <c r="AH166" s="20" t="inlineStr">
        <is>
          <t xml:space="preserve">           1) 선물거래예치금 </t>
        </is>
      </c>
      <c r="AI166" s="847" t="n">
        <v>0</v>
      </c>
    </row>
    <row r="167">
      <c r="A167" s="696" t="n">
        <v>166</v>
      </c>
      <c r="B167" s="34" t="inlineStr">
        <is>
          <t xml:space="preserve">　　　        가.공탁금</t>
        </is>
      </c>
      <c r="D167" s="33" t="n">
        <v>100000000</v>
      </c>
      <c r="E167" s="34" t="n">
        <v>0</v>
      </c>
      <c r="F167" s="34" t="n">
        <v>0</v>
      </c>
      <c r="G167" s="34" t="n">
        <v>0</v>
      </c>
      <c r="H167" s="147" t="n">
        <v>100000000</v>
      </c>
      <c r="I167" s="34" t="n">
        <v>0</v>
      </c>
      <c r="J167" s="34" t="n">
        <v>0</v>
      </c>
      <c r="K167" s="34" t="n">
        <v>0</v>
      </c>
      <c r="L167" s="34" t="n">
        <v>0</v>
      </c>
      <c r="M167" s="33" t="n">
        <v>100000000</v>
      </c>
      <c r="N167" s="17">
        <f>+M167+I167+J167</f>
        <v/>
      </c>
      <c r="O167" s="17">
        <f>+F167</f>
        <v/>
      </c>
      <c r="P167" s="17">
        <f>+K167+L167</f>
        <v/>
      </c>
      <c r="Q167" s="17">
        <f>+G167</f>
        <v/>
      </c>
      <c r="AH167" s="20" t="inlineStr">
        <is>
          <t xml:space="preserve">           2) 기타예치금 </t>
        </is>
      </c>
      <c r="AI167" s="846" t="n">
        <v>87839945256</v>
      </c>
    </row>
    <row r="168">
      <c r="A168" s="696" t="n">
        <v>167</v>
      </c>
      <c r="B168" s="34" t="inlineStr">
        <is>
          <t xml:space="preserve">　　　        나.예탁보증금</t>
        </is>
      </c>
      <c r="D168" s="33" t="n">
        <v>92955206</v>
      </c>
      <c r="E168" s="34" t="n">
        <v>0</v>
      </c>
      <c r="F168" s="34" t="n">
        <v>0</v>
      </c>
      <c r="G168" s="34" t="n">
        <v>0</v>
      </c>
      <c r="H168" s="147" t="n">
        <v>92955206</v>
      </c>
      <c r="I168" s="34" t="n">
        <v>0</v>
      </c>
      <c r="J168" s="34" t="n">
        <v>0</v>
      </c>
      <c r="K168" s="34" t="n">
        <v>0</v>
      </c>
      <c r="L168" s="34" t="n">
        <v>0</v>
      </c>
      <c r="M168" s="33" t="n">
        <v>92955206</v>
      </c>
      <c r="N168" s="17">
        <f>+M168+I168+J168</f>
        <v/>
      </c>
      <c r="O168" s="17">
        <f>+F168</f>
        <v/>
      </c>
      <c r="P168" s="17">
        <f>+K168+L168</f>
        <v/>
      </c>
      <c r="Q168" s="17">
        <f>+G168</f>
        <v/>
      </c>
      <c r="AH168" s="20" t="inlineStr">
        <is>
          <t xml:space="preserve">           3) 기    타</t>
        </is>
      </c>
      <c r="AI168" s="847" t="n">
        <v>0</v>
      </c>
    </row>
    <row r="169">
      <c r="A169" s="696" t="n">
        <v>168</v>
      </c>
      <c r="B169" s="34" t="inlineStr">
        <is>
          <t xml:space="preserve">　　　        다.임차보증금</t>
        </is>
      </c>
      <c r="D169" s="33" t="n">
        <v>14059526102</v>
      </c>
      <c r="E169" s="34" t="n">
        <v>0</v>
      </c>
      <c r="F169" s="34" t="n">
        <v>0</v>
      </c>
      <c r="G169" s="34" t="n">
        <v>0</v>
      </c>
      <c r="H169" s="147" t="n">
        <v>14059526102</v>
      </c>
      <c r="I169" s="34" t="n">
        <v>0</v>
      </c>
      <c r="J169" s="34" t="n">
        <v>0</v>
      </c>
      <c r="K169" s="34" t="n">
        <v>0</v>
      </c>
      <c r="L169" s="34" t="n">
        <v>0</v>
      </c>
      <c r="M169" s="33" t="n">
        <v>14059526102</v>
      </c>
      <c r="N169" s="17">
        <f>+M169+I169+J169</f>
        <v/>
      </c>
      <c r="O169" s="17">
        <f>+F169</f>
        <v/>
      </c>
      <c r="P169" s="17">
        <f>+K169+L169</f>
        <v/>
      </c>
      <c r="Q169" s="17">
        <f>+G169</f>
        <v/>
      </c>
      <c r="AH169" s="20" t="inlineStr">
        <is>
          <t xml:space="preserve">       (2) 미 수 금 </t>
        </is>
      </c>
      <c r="AI169" s="847" t="n">
        <v>25696595829</v>
      </c>
    </row>
    <row r="170">
      <c r="A170" s="696" t="n">
        <v>169</v>
      </c>
      <c r="B170" s="34" t="inlineStr">
        <is>
          <t xml:space="preserve">　　　        라.기타보증금</t>
        </is>
      </c>
      <c r="D170" s="34" t="n">
        <v>0</v>
      </c>
      <c r="E170" s="34" t="n">
        <v>0</v>
      </c>
      <c r="F170" s="34" t="n">
        <v>0</v>
      </c>
      <c r="G170" s="34" t="n">
        <v>0</v>
      </c>
      <c r="H170" s="148" t="n">
        <v>0</v>
      </c>
      <c r="I170" s="34" t="n">
        <v>0</v>
      </c>
      <c r="J170" s="34" t="n">
        <v>0</v>
      </c>
      <c r="K170" s="34" t="n">
        <v>0</v>
      </c>
      <c r="L170" s="34" t="n">
        <v>0</v>
      </c>
      <c r="M170" s="34" t="n">
        <v>0</v>
      </c>
      <c r="N170" s="17">
        <f>+M170+I170+J170</f>
        <v/>
      </c>
      <c r="O170" s="17">
        <f>+F170</f>
        <v/>
      </c>
      <c r="P170" s="17">
        <f>+K170+L170</f>
        <v/>
      </c>
      <c r="Q170" s="17">
        <f>+G170</f>
        <v/>
      </c>
      <c r="AH170" s="20" t="inlineStr">
        <is>
          <t xml:space="preserve">          (현재가치할인차금)</t>
        </is>
      </c>
      <c r="AI170" s="847" t="n">
        <v>0</v>
      </c>
    </row>
    <row r="171">
      <c r="A171" s="696" t="n">
        <v>170</v>
      </c>
      <c r="B171" s="34" t="inlineStr">
        <is>
          <t xml:space="preserve">　　      5.미 수 수 익</t>
        </is>
      </c>
      <c r="D171" s="33" t="n">
        <v>546043181845</v>
      </c>
      <c r="E171" s="34" t="n">
        <v>0</v>
      </c>
      <c r="F171" s="33" t="n">
        <v>10772279256</v>
      </c>
      <c r="G171" s="33" t="n">
        <v>181792839</v>
      </c>
      <c r="H171" s="147" t="n">
        <v>535089109750</v>
      </c>
      <c r="I171" s="33" t="n">
        <v>28397778903</v>
      </c>
      <c r="J171" s="33" t="n">
        <v>200949583</v>
      </c>
      <c r="K171" s="33" t="n">
        <v>3901933</v>
      </c>
      <c r="L171" s="33" t="n">
        <v>6176524203</v>
      </c>
      <c r="M171" s="33" t="n">
        <v>500309955128</v>
      </c>
      <c r="N171" s="17">
        <f>+M171+I171+J171</f>
        <v/>
      </c>
      <c r="O171" s="17">
        <f>+F171</f>
        <v/>
      </c>
      <c r="P171" s="17">
        <f>+K171+L171</f>
        <v/>
      </c>
      <c r="Q171" s="17">
        <f>+G171</f>
        <v/>
      </c>
      <c r="AH171" s="20" t="inlineStr">
        <is>
          <t xml:space="preserve">          (대 손 충 당 금)</t>
        </is>
      </c>
      <c r="AI171" s="847" t="n">
        <v>-756084019</v>
      </c>
    </row>
    <row r="172">
      <c r="A172" s="696" t="n">
        <v>171</v>
      </c>
      <c r="B172" s="34" t="inlineStr">
        <is>
          <t xml:space="preserve">　　　        (대손충당금)</t>
        </is>
      </c>
      <c r="D172" s="33" t="n">
        <v>-234271127</v>
      </c>
      <c r="E172" s="34" t="n">
        <v>0</v>
      </c>
      <c r="F172" s="34" t="n">
        <v>0</v>
      </c>
      <c r="G172" s="34" t="n">
        <v>0</v>
      </c>
      <c r="H172" s="147" t="n">
        <v>-234271127</v>
      </c>
      <c r="I172" s="33" t="n">
        <v>-224343</v>
      </c>
      <c r="J172" s="34" t="n">
        <v>0</v>
      </c>
      <c r="K172" s="34" t="n">
        <v>0</v>
      </c>
      <c r="L172" s="33" t="n">
        <v>-735029</v>
      </c>
      <c r="M172" s="33" t="n">
        <v>-233311755</v>
      </c>
      <c r="N172" s="17">
        <f>+M172+I172+J172</f>
        <v/>
      </c>
      <c r="O172" s="17">
        <f>+F172</f>
        <v/>
      </c>
      <c r="P172" s="17">
        <f>+K172+L172</f>
        <v/>
      </c>
      <c r="Q172" s="17">
        <f>+G172</f>
        <v/>
      </c>
      <c r="AH172" s="20" t="inlineStr">
        <is>
          <t xml:space="preserve">           1) 미 수 금 </t>
        </is>
      </c>
      <c r="AI172" s="847" t="n">
        <v>26452679848</v>
      </c>
    </row>
    <row r="173">
      <c r="A173" s="696" t="n">
        <v>172</v>
      </c>
      <c r="B173" s="34" t="inlineStr">
        <is>
          <t xml:space="preserve">　　      6.선 급 비 용</t>
        </is>
      </c>
      <c r="D173" s="33" t="n">
        <v>70347835365</v>
      </c>
      <c r="E173" s="34" t="n">
        <v>0</v>
      </c>
      <c r="F173" s="34" t="n">
        <v>0</v>
      </c>
      <c r="G173" s="34" t="n">
        <v>0</v>
      </c>
      <c r="H173" s="147" t="n">
        <v>70347835365</v>
      </c>
      <c r="I173" s="34" t="n">
        <v>0</v>
      </c>
      <c r="J173" s="34" t="n">
        <v>0</v>
      </c>
      <c r="K173" s="34" t="n">
        <v>0</v>
      </c>
      <c r="L173" s="34" t="n">
        <v>0</v>
      </c>
      <c r="M173" s="33" t="n">
        <v>70347835365</v>
      </c>
      <c r="N173" s="17">
        <f>+M173+I173+J173</f>
        <v/>
      </c>
      <c r="O173" s="17">
        <f>+F173</f>
        <v/>
      </c>
      <c r="P173" s="17">
        <f>+K173+L173</f>
        <v/>
      </c>
      <c r="Q173" s="17">
        <f>+G173</f>
        <v/>
      </c>
      <c r="AH173" s="20" t="inlineStr">
        <is>
          <t xml:space="preserve">       (3) 보 증 금 </t>
        </is>
      </c>
      <c r="AI173" s="847" t="n">
        <v>5881300095</v>
      </c>
    </row>
    <row r="174">
      <c r="A174" s="696" t="n">
        <v>173</v>
      </c>
      <c r="B174" s="34" t="inlineStr">
        <is>
          <t xml:space="preserve">　　      7.선 급 법 인 세</t>
        </is>
      </c>
      <c r="D174" s="33" t="n">
        <v>81381520037</v>
      </c>
      <c r="E174" s="34" t="n">
        <v>0</v>
      </c>
      <c r="F174" s="34" t="n">
        <v>0</v>
      </c>
      <c r="G174" s="34" t="n">
        <v>0</v>
      </c>
      <c r="H174" s="147" t="n">
        <v>81381520037</v>
      </c>
      <c r="I174" s="34" t="n">
        <v>0</v>
      </c>
      <c r="J174" s="34" t="n">
        <v>0</v>
      </c>
      <c r="K174" s="34" t="n">
        <v>0</v>
      </c>
      <c r="L174" s="34" t="n">
        <v>0</v>
      </c>
      <c r="M174" s="33" t="n">
        <v>81381520037</v>
      </c>
      <c r="N174" s="17">
        <f>+M174+I174+J174</f>
        <v/>
      </c>
      <c r="O174" s="17">
        <f>+F174</f>
        <v/>
      </c>
      <c r="P174" s="17">
        <f>+K174+L174</f>
        <v/>
      </c>
      <c r="Q174" s="17">
        <f>+G174</f>
        <v/>
      </c>
      <c r="AH174" s="20" t="inlineStr">
        <is>
          <t xml:space="preserve">          (현재가치할인차금)</t>
        </is>
      </c>
      <c r="AI174" s="847" t="n">
        <v>-453750727</v>
      </c>
    </row>
    <row r="175">
      <c r="A175" s="696" t="n">
        <v>174</v>
      </c>
      <c r="B175" s="34" t="inlineStr">
        <is>
          <t xml:space="preserve">　　      8.선 급 부 가 세</t>
        </is>
      </c>
      <c r="D175" s="34" t="n">
        <v>0</v>
      </c>
      <c r="E175" s="34" t="n">
        <v>0</v>
      </c>
      <c r="F175" s="34" t="n">
        <v>0</v>
      </c>
      <c r="G175" s="34" t="n">
        <v>0</v>
      </c>
      <c r="H175" s="148" t="n">
        <v>0</v>
      </c>
      <c r="I175" s="34" t="n">
        <v>0</v>
      </c>
      <c r="J175" s="34" t="n">
        <v>0</v>
      </c>
      <c r="K175" s="34" t="n">
        <v>0</v>
      </c>
      <c r="L175" s="34" t="n">
        <v>0</v>
      </c>
      <c r="M175" s="34" t="n">
        <v>0</v>
      </c>
      <c r="N175" s="17">
        <f>+M175+I175+J175</f>
        <v/>
      </c>
      <c r="O175" s="17">
        <f>+F175</f>
        <v/>
      </c>
      <c r="P175" s="17">
        <f>+K175+L175</f>
        <v/>
      </c>
      <c r="Q175" s="17">
        <f>+G175</f>
        <v/>
      </c>
      <c r="AH175" s="20" t="inlineStr">
        <is>
          <t xml:space="preserve">          (대 손 충 당 금)</t>
        </is>
      </c>
      <c r="AI175" s="847" t="n">
        <v>0</v>
      </c>
    </row>
    <row r="176">
      <c r="A176" s="696" t="n">
        <v>175</v>
      </c>
      <c r="B176" s="34" t="inlineStr">
        <is>
          <t xml:space="preserve">　　      9.선 급 금</t>
        </is>
      </c>
      <c r="D176" s="34" t="n">
        <v>0</v>
      </c>
      <c r="E176" s="34" t="n">
        <v>0</v>
      </c>
      <c r="F176" s="34" t="n">
        <v>0</v>
      </c>
      <c r="G176" s="34" t="n">
        <v>0</v>
      </c>
      <c r="H176" s="148" t="n">
        <v>0</v>
      </c>
      <c r="I176" s="34" t="n">
        <v>0</v>
      </c>
      <c r="J176" s="34" t="n">
        <v>0</v>
      </c>
      <c r="K176" s="34" t="n">
        <v>0</v>
      </c>
      <c r="L176" s="34" t="n">
        <v>0</v>
      </c>
      <c r="M176" s="34" t="n">
        <v>0</v>
      </c>
      <c r="N176" s="17">
        <f>+M176+I176+J176</f>
        <v/>
      </c>
      <c r="O176" s="17">
        <f>+F176</f>
        <v/>
      </c>
      <c r="P176" s="17">
        <f>+K176+L176</f>
        <v/>
      </c>
      <c r="Q176" s="17">
        <f>+G176</f>
        <v/>
      </c>
      <c r="AH176" s="20" t="inlineStr">
        <is>
          <t xml:space="preserve">           1) 공 탁 금 </t>
        </is>
      </c>
      <c r="AI176" s="847" t="n">
        <v>100000000</v>
      </c>
    </row>
    <row r="177">
      <c r="A177" s="696" t="n">
        <v>176</v>
      </c>
      <c r="B177" s="34" t="inlineStr">
        <is>
          <t xml:space="preserve">　　　        가.일반선급금</t>
        </is>
      </c>
      <c r="D177" s="34" t="n">
        <v>0</v>
      </c>
      <c r="E177" s="34" t="n">
        <v>0</v>
      </c>
      <c r="F177" s="34" t="n">
        <v>0</v>
      </c>
      <c r="G177" s="34" t="n">
        <v>0</v>
      </c>
      <c r="H177" s="148" t="n">
        <v>0</v>
      </c>
      <c r="I177" s="34" t="n">
        <v>0</v>
      </c>
      <c r="J177" s="34" t="n">
        <v>0</v>
      </c>
      <c r="K177" s="34" t="n">
        <v>0</v>
      </c>
      <c r="L177" s="34" t="n">
        <v>0</v>
      </c>
      <c r="M177" s="34" t="n">
        <v>0</v>
      </c>
      <c r="N177" s="17">
        <f>+M177+I177+J177</f>
        <v/>
      </c>
      <c r="O177" s="17">
        <f>+F177</f>
        <v/>
      </c>
      <c r="P177" s="17">
        <f>+K177+L177</f>
        <v/>
      </c>
      <c r="Q177" s="17">
        <f>+G177</f>
        <v/>
      </c>
      <c r="AH177" s="20" t="inlineStr">
        <is>
          <t xml:space="preserve">           2) 예탁보증금 </t>
        </is>
      </c>
      <c r="AI177" s="847" t="n">
        <v>92955206</v>
      </c>
    </row>
    <row r="178">
      <c r="A178" s="696" t="n">
        <v>177</v>
      </c>
      <c r="B178" s="34" t="inlineStr">
        <is>
          <t xml:space="preserve">　　　        나.부동산매입선급금</t>
        </is>
      </c>
      <c r="D178" s="34" t="n">
        <v>0</v>
      </c>
      <c r="E178" s="34" t="n">
        <v>0</v>
      </c>
      <c r="F178" s="34" t="n">
        <v>0</v>
      </c>
      <c r="G178" s="34" t="n">
        <v>0</v>
      </c>
      <c r="H178" s="148" t="n">
        <v>0</v>
      </c>
      <c r="I178" s="34" t="n">
        <v>0</v>
      </c>
      <c r="J178" s="34" t="n">
        <v>0</v>
      </c>
      <c r="K178" s="34" t="n">
        <v>0</v>
      </c>
      <c r="L178" s="34" t="n">
        <v>0</v>
      </c>
      <c r="M178" s="34" t="n">
        <v>0</v>
      </c>
      <c r="N178" s="17">
        <f>+M178+I178+J178</f>
        <v/>
      </c>
      <c r="O178" s="17">
        <f>+F178</f>
        <v/>
      </c>
      <c r="P178" s="17">
        <f>+K178+L178</f>
        <v/>
      </c>
      <c r="Q178" s="17">
        <f>+G178</f>
        <v/>
      </c>
      <c r="AH178" s="20" t="inlineStr">
        <is>
          <t xml:space="preserve">           3) 임차보증금 </t>
        </is>
      </c>
      <c r="AI178" s="847" t="n">
        <v>6142095616</v>
      </c>
    </row>
    <row r="179">
      <c r="A179" s="696" t="n">
        <v>178</v>
      </c>
      <c r="B179" s="34" t="inlineStr">
        <is>
          <t xml:space="preserve">　　      10.가 지 급 금</t>
        </is>
      </c>
      <c r="D179" s="33" t="n">
        <v>7739144</v>
      </c>
      <c r="E179" s="34" t="n">
        <v>0</v>
      </c>
      <c r="F179" s="34" t="n">
        <v>0</v>
      </c>
      <c r="G179" s="34" t="n">
        <v>0</v>
      </c>
      <c r="H179" s="147" t="n">
        <v>7739144</v>
      </c>
      <c r="I179" s="34" t="n">
        <v>0</v>
      </c>
      <c r="J179" s="34" t="n">
        <v>0</v>
      </c>
      <c r="K179" s="34" t="n">
        <v>0</v>
      </c>
      <c r="L179" s="34" t="n">
        <v>0</v>
      </c>
      <c r="M179" s="33" t="n">
        <v>7739144</v>
      </c>
      <c r="N179" s="17">
        <f>+M179+I179+J179</f>
        <v/>
      </c>
      <c r="O179" s="17">
        <f>+F179</f>
        <v/>
      </c>
      <c r="P179" s="17">
        <f>+K179+L179</f>
        <v/>
      </c>
      <c r="Q179" s="17">
        <f>+G179</f>
        <v/>
      </c>
      <c r="AH179" s="20" t="inlineStr">
        <is>
          <t xml:space="preserve">           4) 전신전화가입권</t>
        </is>
      </c>
      <c r="AI179" s="847" t="n">
        <v>0</v>
      </c>
    </row>
    <row r="180">
      <c r="A180" s="696" t="n">
        <v>179</v>
      </c>
      <c r="B180" s="34" t="inlineStr">
        <is>
          <t xml:space="preserve">　　　        (대손충당금)</t>
        </is>
      </c>
      <c r="D180" s="33" t="n">
        <v>-425645040</v>
      </c>
      <c r="E180" s="34" t="n">
        <v>0</v>
      </c>
      <c r="F180" s="34" t="n">
        <v>0</v>
      </c>
      <c r="G180" s="34" t="n">
        <v>0</v>
      </c>
      <c r="H180" s="147" t="n">
        <v>-425645040</v>
      </c>
      <c r="I180" s="34" t="n">
        <v>0</v>
      </c>
      <c r="J180" s="34" t="n">
        <v>0</v>
      </c>
      <c r="K180" s="34" t="n">
        <v>0</v>
      </c>
      <c r="L180" s="34" t="n">
        <v>0</v>
      </c>
      <c r="M180" s="33" t="n">
        <v>-425645040</v>
      </c>
      <c r="N180" s="17">
        <f>+M180+I180+J180</f>
        <v/>
      </c>
      <c r="O180" s="17">
        <f>+F180</f>
        <v/>
      </c>
      <c r="P180" s="17">
        <f>+K180+L180</f>
        <v/>
      </c>
      <c r="Q180" s="17">
        <f>+G180</f>
        <v/>
      </c>
      <c r="AH180" s="20" t="inlineStr">
        <is>
          <t xml:space="preserve">       (4) 미 수 수 익 </t>
        </is>
      </c>
      <c r="AI180" s="847" t="n">
        <v>589566791623</v>
      </c>
    </row>
    <row r="181">
      <c r="A181" s="696" t="n">
        <v>180</v>
      </c>
      <c r="B181" s="34" t="inlineStr">
        <is>
          <t xml:space="preserve">　　　        가.일반가지급금</t>
        </is>
      </c>
      <c r="D181" s="33" t="n">
        <v>433384184</v>
      </c>
      <c r="E181" s="34" t="n">
        <v>0</v>
      </c>
      <c r="F181" s="34" t="n">
        <v>0</v>
      </c>
      <c r="G181" s="34" t="n">
        <v>0</v>
      </c>
      <c r="H181" s="147" t="n">
        <v>433384184</v>
      </c>
      <c r="I181" s="34" t="n">
        <v>0</v>
      </c>
      <c r="J181" s="34" t="n">
        <v>0</v>
      </c>
      <c r="K181" s="34" t="n">
        <v>0</v>
      </c>
      <c r="L181" s="34" t="n">
        <v>0</v>
      </c>
      <c r="M181" s="33" t="n">
        <v>433384184</v>
      </c>
      <c r="N181" s="17">
        <f>+M181+I181+J181</f>
        <v/>
      </c>
      <c r="O181" s="17">
        <f>+F181</f>
        <v/>
      </c>
      <c r="P181" s="17">
        <f>+K181+L181</f>
        <v/>
      </c>
      <c r="Q181" s="17">
        <f>+G181</f>
        <v/>
      </c>
      <c r="AH181" s="20" t="inlineStr">
        <is>
          <t xml:space="preserve">          (대 손 충 당 금)</t>
        </is>
      </c>
      <c r="AI181" s="847" t="n">
        <v>-306466279</v>
      </c>
    </row>
    <row r="182">
      <c r="A182" s="696" t="n">
        <v>181</v>
      </c>
      <c r="B182" s="34" t="inlineStr">
        <is>
          <t xml:space="preserve">　　　        나.부동산매입가지급금</t>
        </is>
      </c>
      <c r="D182" s="34" t="n">
        <v>0</v>
      </c>
      <c r="E182" s="34" t="n">
        <v>0</v>
      </c>
      <c r="F182" s="34" t="n">
        <v>0</v>
      </c>
      <c r="G182" s="34" t="n">
        <v>0</v>
      </c>
      <c r="H182" s="148" t="n">
        <v>0</v>
      </c>
      <c r="I182" s="34" t="n">
        <v>0</v>
      </c>
      <c r="J182" s="34" t="n">
        <v>0</v>
      </c>
      <c r="K182" s="34" t="n">
        <v>0</v>
      </c>
      <c r="L182" s="34" t="n">
        <v>0</v>
      </c>
      <c r="M182" s="34" t="n">
        <v>0</v>
      </c>
      <c r="N182" s="17">
        <f>+M182+I182+J182</f>
        <v/>
      </c>
      <c r="O182" s="17">
        <f>+F182</f>
        <v/>
      </c>
      <c r="P182" s="17">
        <f>+K182+L182</f>
        <v/>
      </c>
      <c r="Q182" s="17">
        <f>+G182</f>
        <v/>
      </c>
      <c r="AH182" s="20" t="inlineStr">
        <is>
          <t xml:space="preserve">           1) 미수수익</t>
        </is>
      </c>
      <c r="AI182" s="847" t="n">
        <v>589873257902</v>
      </c>
    </row>
    <row r="183">
      <c r="A183" s="696" t="n">
        <v>182</v>
      </c>
      <c r="B183" s="34" t="inlineStr">
        <is>
          <t xml:space="preserve">　　      11.가 지 급 보 험 금</t>
        </is>
      </c>
      <c r="D183" s="34" t="n">
        <v>0</v>
      </c>
      <c r="E183" s="34" t="n">
        <v>0</v>
      </c>
      <c r="F183" s="34" t="n">
        <v>0</v>
      </c>
      <c r="G183" s="34" t="n">
        <v>0</v>
      </c>
      <c r="H183" s="148" t="n">
        <v>0</v>
      </c>
      <c r="I183" s="34" t="n">
        <v>0</v>
      </c>
      <c r="J183" s="34" t="n">
        <v>0</v>
      </c>
      <c r="K183" s="34" t="n">
        <v>0</v>
      </c>
      <c r="L183" s="34" t="n">
        <v>0</v>
      </c>
      <c r="M183" s="34" t="n">
        <v>0</v>
      </c>
      <c r="N183" s="17">
        <f>+M183+I183+J183</f>
        <v/>
      </c>
      <c r="O183" s="17">
        <f>+F183</f>
        <v/>
      </c>
      <c r="P183" s="17">
        <f>+K183+L183</f>
        <v/>
      </c>
      <c r="Q183" s="17">
        <f>+G183</f>
        <v/>
      </c>
      <c r="AH183" s="20" t="inlineStr">
        <is>
          <t xml:space="preserve">  VI. 종속기업투자주식</t>
        </is>
      </c>
      <c r="AI183" s="847" t="n">
        <v>142042965503</v>
      </c>
    </row>
    <row r="184">
      <c r="A184" s="696" t="n">
        <v>183</v>
      </c>
      <c r="B184" s="34" t="inlineStr">
        <is>
          <t xml:space="preserve">　　      12.본 지 점 계 정 차</t>
        </is>
      </c>
      <c r="D184" s="34" t="n">
        <v>0</v>
      </c>
      <c r="E184" s="34" t="n">
        <v>0</v>
      </c>
      <c r="F184" s="34" t="n">
        <v>0</v>
      </c>
      <c r="G184" s="34" t="n">
        <v>0</v>
      </c>
      <c r="H184" s="148" t="n">
        <v>0</v>
      </c>
      <c r="I184" s="34" t="n">
        <v>0</v>
      </c>
      <c r="J184" s="34" t="n">
        <v>0</v>
      </c>
      <c r="K184" s="34" t="n">
        <v>0</v>
      </c>
      <c r="L184" s="34" t="n">
        <v>0</v>
      </c>
      <c r="M184" s="34" t="n">
        <v>0</v>
      </c>
      <c r="N184" s="17">
        <f>+M184+I184+J184</f>
        <v/>
      </c>
      <c r="O184" s="17">
        <f>+F184</f>
        <v/>
      </c>
      <c r="P184" s="17">
        <f>+K184+L184</f>
        <v/>
      </c>
      <c r="Q184" s="17">
        <f>+G184</f>
        <v/>
      </c>
      <c r="AH184" s="20" t="inlineStr">
        <is>
          <t xml:space="preserve">      1.주    식 </t>
        </is>
      </c>
      <c r="AI184" s="847" t="n">
        <v>142042965503</v>
      </c>
    </row>
    <row r="185">
      <c r="A185" s="696" t="n">
        <v>184</v>
      </c>
      <c r="B185" s="34" t="inlineStr">
        <is>
          <t xml:space="preserve">　　      13.차 량 운 반 구</t>
        </is>
      </c>
      <c r="D185" s="34" t="n">
        <v>0</v>
      </c>
      <c r="E185" s="34" t="n">
        <v>0</v>
      </c>
      <c r="F185" s="34" t="n">
        <v>0</v>
      </c>
      <c r="G185" s="34" t="n">
        <v>0</v>
      </c>
      <c r="H185" s="148" t="n">
        <v>0</v>
      </c>
      <c r="I185" s="34" t="n">
        <v>0</v>
      </c>
      <c r="J185" s="34" t="n">
        <v>0</v>
      </c>
      <c r="K185" s="34" t="n">
        <v>0</v>
      </c>
      <c r="L185" s="34" t="n">
        <v>0</v>
      </c>
      <c r="M185" s="34" t="n">
        <v>0</v>
      </c>
      <c r="N185" s="17">
        <f>+M185+I185+J185</f>
        <v/>
      </c>
      <c r="O185" s="17">
        <f>+F185</f>
        <v/>
      </c>
      <c r="P185" s="17">
        <f>+K185+L185</f>
        <v/>
      </c>
      <c r="Q185" s="17">
        <f>+G185</f>
        <v/>
      </c>
      <c r="AH185" s="20" t="inlineStr">
        <is>
          <t xml:space="preserve">      2.출 자 금 </t>
        </is>
      </c>
      <c r="AI185" s="847" t="n">
        <v>0</v>
      </c>
    </row>
    <row r="186">
      <c r="A186" s="696" t="n">
        <v>185</v>
      </c>
      <c r="B186" s="34" t="inlineStr">
        <is>
          <t xml:space="preserve">　　　        (감가상각누계액)</t>
        </is>
      </c>
      <c r="D186" s="34" t="n">
        <v>0</v>
      </c>
      <c r="E186" s="34" t="n">
        <v>0</v>
      </c>
      <c r="F186" s="34" t="n">
        <v>0</v>
      </c>
      <c r="G186" s="34" t="n">
        <v>0</v>
      </c>
      <c r="H186" s="148" t="n">
        <v>0</v>
      </c>
      <c r="I186" s="34" t="n">
        <v>0</v>
      </c>
      <c r="J186" s="34" t="n">
        <v>0</v>
      </c>
      <c r="K186" s="34" t="n">
        <v>0</v>
      </c>
      <c r="L186" s="34" t="n">
        <v>0</v>
      </c>
      <c r="M186" s="34" t="n">
        <v>0</v>
      </c>
      <c r="N186" s="17">
        <f>+M186+I186+J186</f>
        <v/>
      </c>
      <c r="O186" s="17">
        <f>+F186</f>
        <v/>
      </c>
      <c r="P186" s="17">
        <f>+K186+L186</f>
        <v/>
      </c>
      <c r="Q186" s="17">
        <f>+G186</f>
        <v/>
      </c>
      <c r="AH186" s="20" t="inlineStr">
        <is>
          <t xml:space="preserve">      3.기    타</t>
        </is>
      </c>
      <c r="AI186" s="847" t="n">
        <v>0</v>
      </c>
    </row>
    <row r="187">
      <c r="A187" s="696" t="n">
        <v>186</v>
      </c>
      <c r="B187" s="34" t="inlineStr">
        <is>
          <t xml:space="preserve">　　      14.비  품</t>
        </is>
      </c>
      <c r="D187" s="33" t="n">
        <v>6377938802</v>
      </c>
      <c r="E187" s="34" t="n">
        <v>0</v>
      </c>
      <c r="F187" s="34" t="n">
        <v>0</v>
      </c>
      <c r="G187" s="34" t="n">
        <v>0</v>
      </c>
      <c r="H187" s="147" t="n">
        <v>6377938802</v>
      </c>
      <c r="I187" s="34" t="n">
        <v>0</v>
      </c>
      <c r="J187" s="34" t="n">
        <v>0</v>
      </c>
      <c r="K187" s="34" t="n">
        <v>0</v>
      </c>
      <c r="L187" s="34" t="n">
        <v>0</v>
      </c>
      <c r="M187" s="33" t="n">
        <v>6377938802</v>
      </c>
      <c r="N187" s="17">
        <f>+M187+I187+J187</f>
        <v/>
      </c>
      <c r="O187" s="17">
        <f>+F187</f>
        <v/>
      </c>
      <c r="P187" s="17">
        <f>+K187+L187</f>
        <v/>
      </c>
      <c r="Q187" s="17">
        <f>+G187</f>
        <v/>
      </c>
      <c r="AH187" s="20" t="inlineStr">
        <is>
          <t xml:space="preserve">  VII. 보험계약자산</t>
        </is>
      </c>
      <c r="AI187" s="847" t="n">
        <v>0</v>
      </c>
    </row>
    <row r="188">
      <c r="A188" s="696" t="n">
        <v>187</v>
      </c>
      <c r="B188" s="34" t="inlineStr">
        <is>
          <t xml:space="preserve">　　　        (감가상각누계액)</t>
        </is>
      </c>
      <c r="D188" s="33" t="n">
        <v>-52109170494</v>
      </c>
      <c r="E188" s="34" t="n">
        <v>0</v>
      </c>
      <c r="F188" s="34" t="n">
        <v>0</v>
      </c>
      <c r="G188" s="34" t="n">
        <v>0</v>
      </c>
      <c r="H188" s="147" t="n">
        <v>-52109170494</v>
      </c>
      <c r="I188" s="34" t="n">
        <v>0</v>
      </c>
      <c r="J188" s="34" t="n">
        <v>0</v>
      </c>
      <c r="K188" s="34" t="n">
        <v>0</v>
      </c>
      <c r="L188" s="34" t="n">
        <v>0</v>
      </c>
      <c r="M188" s="33" t="n">
        <v>-52109170494</v>
      </c>
      <c r="N188" s="17">
        <f>+M188+I188+J188</f>
        <v/>
      </c>
      <c r="O188" s="17">
        <f>+F188</f>
        <v/>
      </c>
      <c r="P188" s="17">
        <f>+K188+L188</f>
        <v/>
      </c>
      <c r="Q188" s="17">
        <f>+G188</f>
        <v/>
      </c>
      <c r="AH188" s="20" t="inlineStr">
        <is>
          <t xml:space="preserve">      1.잔여보장자산</t>
        </is>
      </c>
      <c r="AI188" s="847" t="n">
        <v>0</v>
      </c>
    </row>
    <row r="189">
      <c r="A189" s="696" t="n">
        <v>188</v>
      </c>
      <c r="B189" s="34" t="inlineStr">
        <is>
          <t xml:space="preserve">　　      15.임차점포시설물</t>
        </is>
      </c>
      <c r="D189" s="34" t="n">
        <v>0</v>
      </c>
      <c r="E189" s="34" t="n">
        <v>0</v>
      </c>
      <c r="F189" s="34" t="n">
        <v>0</v>
      </c>
      <c r="G189" s="34" t="n">
        <v>0</v>
      </c>
      <c r="H189" s="148" t="n">
        <v>0</v>
      </c>
      <c r="I189" s="34" t="n">
        <v>0</v>
      </c>
      <c r="J189" s="34" t="n">
        <v>0</v>
      </c>
      <c r="K189" s="34" t="n">
        <v>0</v>
      </c>
      <c r="L189" s="34" t="n">
        <v>0</v>
      </c>
      <c r="M189" s="34" t="n">
        <v>0</v>
      </c>
      <c r="N189" s="17">
        <f>+M189+I189+J189</f>
        <v/>
      </c>
      <c r="O189" s="17">
        <f>+F189</f>
        <v/>
      </c>
      <c r="P189" s="17">
        <f>+K189+L189</f>
        <v/>
      </c>
      <c r="Q189" s="17">
        <f>+G189</f>
        <v/>
      </c>
      <c r="AH189" s="20" t="inlineStr">
        <is>
          <t xml:space="preserve">      2.발생사고자산</t>
        </is>
      </c>
      <c r="AI189" s="847" t="n">
        <v>0</v>
      </c>
    </row>
    <row r="190">
      <c r="A190" s="696" t="n">
        <v>189</v>
      </c>
      <c r="B190" s="34" t="inlineStr">
        <is>
          <t xml:space="preserve">　　　        (감가상각누계액)</t>
        </is>
      </c>
      <c r="D190" s="34" t="n">
        <v>0</v>
      </c>
      <c r="E190" s="34" t="n">
        <v>0</v>
      </c>
      <c r="F190" s="34" t="n">
        <v>0</v>
      </c>
      <c r="G190" s="34" t="n">
        <v>0</v>
      </c>
      <c r="H190" s="148" t="n">
        <v>0</v>
      </c>
      <c r="I190" s="34" t="n">
        <v>0</v>
      </c>
      <c r="J190" s="34" t="n">
        <v>0</v>
      </c>
      <c r="K190" s="34" t="n">
        <v>0</v>
      </c>
      <c r="L190" s="34" t="n">
        <v>0</v>
      </c>
      <c r="M190" s="34" t="n">
        <v>0</v>
      </c>
      <c r="N190" s="17">
        <f>+M190+I190+J190</f>
        <v/>
      </c>
      <c r="O190" s="17">
        <f>+F190</f>
        <v/>
      </c>
      <c r="P190" s="17">
        <f>+K190+L190</f>
        <v/>
      </c>
      <c r="Q190" s="17">
        <f>+G190</f>
        <v/>
      </c>
      <c r="AH190" s="20" t="inlineStr">
        <is>
          <t xml:space="preserve">        (1) 발생사고자산_O/S</t>
        </is>
      </c>
      <c r="AI190" s="847" t="n">
        <v>0</v>
      </c>
    </row>
    <row r="191">
      <c r="A191" s="696" t="n">
        <v>190</v>
      </c>
      <c r="B191" s="34" t="inlineStr">
        <is>
          <t xml:space="preserve">　　      16.기타의유형자산</t>
        </is>
      </c>
      <c r="D191" s="33" t="n">
        <v>13020330189</v>
      </c>
      <c r="E191" s="34" t="n">
        <v>0</v>
      </c>
      <c r="F191" s="34" t="n">
        <v>0</v>
      </c>
      <c r="G191" s="34" t="n">
        <v>0</v>
      </c>
      <c r="H191" s="147" t="n">
        <v>13020330189</v>
      </c>
      <c r="I191" s="34" t="n">
        <v>0</v>
      </c>
      <c r="J191" s="34" t="n">
        <v>0</v>
      </c>
      <c r="K191" s="34" t="n">
        <v>0</v>
      </c>
      <c r="L191" s="34" t="n">
        <v>0</v>
      </c>
      <c r="M191" s="33" t="n">
        <v>13020330189</v>
      </c>
      <c r="N191" s="17">
        <f>+M191+I191+J191</f>
        <v/>
      </c>
      <c r="O191" s="17">
        <f>+F191</f>
        <v/>
      </c>
      <c r="P191" s="17">
        <f>+K191+L191</f>
        <v/>
      </c>
      <c r="Q191" s="17">
        <f>+G191</f>
        <v/>
      </c>
      <c r="AH191" s="20" t="inlineStr">
        <is>
          <t xml:space="preserve">        (2) 발생사고자산_IBNR</t>
        </is>
      </c>
      <c r="AI191" s="847" t="n">
        <v>0</v>
      </c>
    </row>
    <row r="192">
      <c r="A192" s="696" t="n">
        <v>191</v>
      </c>
      <c r="B192" s="34" t="inlineStr">
        <is>
          <t xml:space="preserve">　　      17.이연법인세자산</t>
        </is>
      </c>
      <c r="D192" s="34" t="n">
        <v>0</v>
      </c>
      <c r="E192" s="34" t="n">
        <v>0</v>
      </c>
      <c r="F192" s="34" t="n">
        <v>0</v>
      </c>
      <c r="G192" s="34" t="n">
        <v>0</v>
      </c>
      <c r="H192" s="148" t="n">
        <v>0</v>
      </c>
      <c r="I192" s="34" t="n">
        <v>0</v>
      </c>
      <c r="J192" s="34" t="n">
        <v>0</v>
      </c>
      <c r="K192" s="34" t="n">
        <v>0</v>
      </c>
      <c r="L192" s="34" t="n">
        <v>0</v>
      </c>
      <c r="M192" s="34" t="n">
        <v>0</v>
      </c>
      <c r="N192" s="17">
        <f>+M192+I192+J192</f>
        <v/>
      </c>
      <c r="O192" s="17">
        <f>+F192</f>
        <v/>
      </c>
      <c r="P192" s="17">
        <f>+K192+L192</f>
        <v/>
      </c>
      <c r="Q192" s="17">
        <f>+G192</f>
        <v/>
      </c>
      <c r="AH192" s="20" t="inlineStr">
        <is>
          <t xml:space="preserve">      3.사전인식 보험취득현금흐름</t>
        </is>
      </c>
      <c r="AI192" s="847" t="n">
        <v>0</v>
      </c>
    </row>
    <row r="193">
      <c r="A193" s="696" t="n">
        <v>192</v>
      </c>
      <c r="B193" s="34" t="inlineStr">
        <is>
          <t xml:space="preserve">　　      18.파생상품자산</t>
        </is>
      </c>
      <c r="D193" s="33" t="n">
        <v>28506931125</v>
      </c>
      <c r="E193" s="34" t="n">
        <v>0</v>
      </c>
      <c r="F193" s="33" t="n">
        <v>4074288158</v>
      </c>
      <c r="G193" s="33" t="n">
        <v>69084957</v>
      </c>
      <c r="H193" s="147" t="n">
        <v>24363558010</v>
      </c>
      <c r="I193" s="34" t="n">
        <v>0</v>
      </c>
      <c r="J193" s="34" t="n">
        <v>0</v>
      </c>
      <c r="K193" s="34" t="n">
        <v>0</v>
      </c>
      <c r="L193" s="33" t="n">
        <v>92906468</v>
      </c>
      <c r="M193" s="33" t="n">
        <v>24270651542</v>
      </c>
      <c r="N193" s="17">
        <f>+M193+I193+J193</f>
        <v/>
      </c>
      <c r="O193" s="17">
        <f>+F193</f>
        <v/>
      </c>
      <c r="P193" s="17">
        <f>+K193+L193</f>
        <v/>
      </c>
      <c r="Q193" s="17">
        <f>+G193</f>
        <v/>
      </c>
      <c r="AH193" s="20" t="inlineStr">
        <is>
          <t xml:space="preserve">  VIII. 재보험계약자산 </t>
        </is>
      </c>
      <c r="AI193" s="847" t="n">
        <v>28884462926</v>
      </c>
    </row>
    <row r="194">
      <c r="A194" s="696" t="n">
        <v>193</v>
      </c>
      <c r="B194" s="34" t="inlineStr">
        <is>
          <t xml:space="preserve">　　　        [매매목적파생상품]</t>
        </is>
      </c>
      <c r="D194" s="34" t="n">
        <v>0</v>
      </c>
      <c r="E194" s="34" t="n">
        <v>0</v>
      </c>
      <c r="F194" s="34" t="n">
        <v>0</v>
      </c>
      <c r="G194" s="34" t="n">
        <v>0</v>
      </c>
      <c r="H194" s="148" t="n">
        <v>0</v>
      </c>
      <c r="I194" s="34" t="n">
        <v>0</v>
      </c>
      <c r="J194" s="34" t="n">
        <v>0</v>
      </c>
      <c r="K194" s="34" t="n">
        <v>0</v>
      </c>
      <c r="L194" s="34" t="n">
        <v>0</v>
      </c>
      <c r="M194" s="34" t="n">
        <v>0</v>
      </c>
      <c r="N194" s="17">
        <f>+M194+I194+J194</f>
        <v/>
      </c>
      <c r="O194" s="17">
        <f>+F194</f>
        <v/>
      </c>
      <c r="P194" s="17">
        <f>+K194+L194</f>
        <v/>
      </c>
      <c r="Q194" s="17">
        <f>+G194</f>
        <v/>
      </c>
      <c r="AH194" s="20" t="inlineStr">
        <is>
          <t xml:space="preserve">      1. 잔여보장자산</t>
        </is>
      </c>
      <c r="AI194" s="847" t="n">
        <v>-13324570024</v>
      </c>
    </row>
    <row r="195">
      <c r="A195" s="696" t="n">
        <v>194</v>
      </c>
      <c r="B195" s="34" t="inlineStr">
        <is>
          <t xml:space="preserve">　　　        [헤지목적파생상품]</t>
        </is>
      </c>
      <c r="D195" s="34" t="n">
        <v>0</v>
      </c>
      <c r="E195" s="34" t="n">
        <v>0</v>
      </c>
      <c r="F195" s="34" t="n">
        <v>0</v>
      </c>
      <c r="G195" s="34" t="n">
        <v>0</v>
      </c>
      <c r="H195" s="148" t="n">
        <v>0</v>
      </c>
      <c r="I195" s="34" t="n">
        <v>0</v>
      </c>
      <c r="J195" s="34" t="n">
        <v>0</v>
      </c>
      <c r="K195" s="34" t="n">
        <v>0</v>
      </c>
      <c r="L195" s="34" t="n">
        <v>0</v>
      </c>
      <c r="M195" s="34" t="n">
        <v>0</v>
      </c>
      <c r="N195" s="17">
        <f>+M195+I195+J195</f>
        <v/>
      </c>
      <c r="O195" s="17">
        <f>+F195</f>
        <v/>
      </c>
      <c r="P195" s="17">
        <f>+K195+L195</f>
        <v/>
      </c>
      <c r="Q195" s="17">
        <f>+G195</f>
        <v/>
      </c>
      <c r="AH195" s="20" t="inlineStr">
        <is>
          <t xml:space="preserve">      2. 발생사고자산</t>
        </is>
      </c>
      <c r="AI195" s="847" t="n">
        <v>42209032950</v>
      </c>
    </row>
    <row r="196">
      <c r="A196" s="696" t="n">
        <v>195</v>
      </c>
      <c r="B196" s="34" t="inlineStr">
        <is>
          <t xml:space="preserve">　　　        가.이자율관련</t>
        </is>
      </c>
      <c r="D196" s="33" t="n">
        <v>22562976803</v>
      </c>
      <c r="E196" s="34" t="n">
        <v>0</v>
      </c>
      <c r="F196" s="34" t="n">
        <v>0</v>
      </c>
      <c r="G196" s="34" t="n">
        <v>0</v>
      </c>
      <c r="H196" s="147" t="n">
        <v>22562976803</v>
      </c>
      <c r="I196" s="34" t="n">
        <v>0</v>
      </c>
      <c r="J196" s="34" t="n">
        <v>0</v>
      </c>
      <c r="K196" s="34" t="n">
        <v>0</v>
      </c>
      <c r="L196" s="34" t="n">
        <v>0</v>
      </c>
      <c r="M196" s="33" t="n">
        <v>22562976803</v>
      </c>
      <c r="N196" s="17">
        <f>+M196+I196+J196</f>
        <v/>
      </c>
      <c r="O196" s="17">
        <f>+F196</f>
        <v/>
      </c>
      <c r="P196" s="17">
        <f>+K196+L196</f>
        <v/>
      </c>
      <c r="Q196" s="17">
        <f>+G196</f>
        <v/>
      </c>
      <c r="AH196" s="20" t="inlineStr">
        <is>
          <t xml:space="preserve">         (1) 발생사고자산_O/S</t>
        </is>
      </c>
      <c r="AI196" s="847" t="n">
        <v>23122735424</v>
      </c>
    </row>
    <row r="197">
      <c r="A197" s="696" t="n">
        <v>196</v>
      </c>
      <c r="B197" s="34" t="inlineStr">
        <is>
          <t xml:space="preserve">　　　        나.통화관련</t>
        </is>
      </c>
      <c r="D197" s="33" t="n">
        <v>1800581207</v>
      </c>
      <c r="E197" s="34" t="n">
        <v>0</v>
      </c>
      <c r="F197" s="34" t="n">
        <v>0</v>
      </c>
      <c r="G197" s="34" t="n">
        <v>0</v>
      </c>
      <c r="H197" s="147" t="n">
        <v>1800581207</v>
      </c>
      <c r="I197" s="34" t="n">
        <v>0</v>
      </c>
      <c r="J197" s="34" t="n">
        <v>0</v>
      </c>
      <c r="K197" s="34" t="n">
        <v>0</v>
      </c>
      <c r="L197" s="33" t="n">
        <v>92906468</v>
      </c>
      <c r="M197" s="33" t="n">
        <v>1707674739</v>
      </c>
      <c r="N197" s="17">
        <f>+M197+I197+J197</f>
        <v/>
      </c>
      <c r="O197" s="17">
        <f>+F197</f>
        <v/>
      </c>
      <c r="P197" s="17">
        <f>+K197+L197</f>
        <v/>
      </c>
      <c r="Q197" s="17">
        <f>+G197</f>
        <v/>
      </c>
      <c r="AH197" s="20" t="inlineStr">
        <is>
          <t xml:space="preserve">         (2) 발생사고자산_IBNR</t>
        </is>
      </c>
      <c r="AI197" s="847" t="n">
        <v>19086297526</v>
      </c>
    </row>
    <row r="198">
      <c r="A198" s="696" t="n">
        <v>197</v>
      </c>
      <c r="B198" s="34" t="inlineStr">
        <is>
          <t xml:space="preserve">　　　        다.주식관련</t>
        </is>
      </c>
      <c r="D198" s="34" t="n">
        <v>0</v>
      </c>
      <c r="E198" s="34" t="n">
        <v>0</v>
      </c>
      <c r="F198" s="34" t="n">
        <v>0</v>
      </c>
      <c r="G198" s="34" t="n">
        <v>0</v>
      </c>
      <c r="H198" s="148" t="n">
        <v>0</v>
      </c>
      <c r="I198" s="34" t="n">
        <v>0</v>
      </c>
      <c r="J198" s="34" t="n">
        <v>0</v>
      </c>
      <c r="K198" s="34" t="n">
        <v>0</v>
      </c>
      <c r="L198" s="34" t="n">
        <v>0</v>
      </c>
      <c r="M198" s="34" t="n">
        <v>0</v>
      </c>
      <c r="N198" s="17">
        <f>+M198+I198+J198</f>
        <v/>
      </c>
      <c r="O198" s="17">
        <f>+F198</f>
        <v/>
      </c>
      <c r="P198" s="17">
        <f>+K198+L198</f>
        <v/>
      </c>
      <c r="Q198" s="17">
        <f>+G198</f>
        <v/>
      </c>
      <c r="AH198" s="20" t="inlineStr">
        <is>
          <t xml:space="preserve">  IX. 유형자산</t>
        </is>
      </c>
      <c r="AI198" s="847" t="n">
        <v>90089672720</v>
      </c>
    </row>
    <row r="199">
      <c r="A199" s="696" t="n">
        <v>198</v>
      </c>
      <c r="B199" s="34" t="inlineStr">
        <is>
          <t xml:space="preserve">　　　        라.신용관련</t>
        </is>
      </c>
      <c r="D199" s="34" t="n">
        <v>0</v>
      </c>
      <c r="E199" s="34" t="n">
        <v>0</v>
      </c>
      <c r="F199" s="34" t="n">
        <v>0</v>
      </c>
      <c r="G199" s="34" t="n">
        <v>0</v>
      </c>
      <c r="H199" s="148" t="n">
        <v>0</v>
      </c>
      <c r="I199" s="34" t="n">
        <v>0</v>
      </c>
      <c r="J199" s="34" t="n">
        <v>0</v>
      </c>
      <c r="K199" s="34" t="n">
        <v>0</v>
      </c>
      <c r="L199" s="34" t="n">
        <v>0</v>
      </c>
      <c r="M199" s="34" t="n">
        <v>0</v>
      </c>
      <c r="N199" s="17">
        <f>+M199+I199+J199</f>
        <v/>
      </c>
      <c r="O199" s="17">
        <f>+F199</f>
        <v/>
      </c>
      <c r="P199" s="17">
        <f>+K199+L199</f>
        <v/>
      </c>
      <c r="Q199" s="17">
        <f>+G199</f>
        <v/>
      </c>
      <c r="AH199" s="20" t="inlineStr">
        <is>
          <t xml:space="preserve">      1.토  지</t>
        </is>
      </c>
      <c r="AI199" s="847" t="n">
        <v>6787826704</v>
      </c>
    </row>
    <row r="200">
      <c r="A200" s="696" t="n">
        <v>199</v>
      </c>
      <c r="B200" s="34" t="inlineStr">
        <is>
          <t xml:space="preserve">　　　        마.기타</t>
        </is>
      </c>
      <c r="D200" s="33" t="n">
        <v>4143373115</v>
      </c>
      <c r="E200" s="34" t="n">
        <v>0</v>
      </c>
      <c r="F200" s="33" t="n">
        <v>4074288158</v>
      </c>
      <c r="G200" s="33" t="n">
        <v>69084957</v>
      </c>
      <c r="H200" s="148" t="n">
        <v>0</v>
      </c>
      <c r="I200" s="34" t="n">
        <v>0</v>
      </c>
      <c r="J200" s="34" t="n">
        <v>0</v>
      </c>
      <c r="K200" s="34" t="n">
        <v>0</v>
      </c>
      <c r="L200" s="34" t="n">
        <v>0</v>
      </c>
      <c r="M200" s="34" t="n">
        <v>0</v>
      </c>
      <c r="N200" s="17">
        <f>+M200+I200+J200</f>
        <v/>
      </c>
      <c r="O200" s="17">
        <f>+F200</f>
        <v/>
      </c>
      <c r="P200" s="17">
        <f>+K200+L200</f>
        <v/>
      </c>
      <c r="Q200" s="17">
        <f>+G200</f>
        <v/>
      </c>
      <c r="AH200" s="20" t="inlineStr">
        <is>
          <t xml:space="preserve">        (손상차손누계액)</t>
        </is>
      </c>
      <c r="AI200" s="847" t="n">
        <v>0</v>
      </c>
    </row>
    <row r="201">
      <c r="A201" s="696" t="n">
        <v>200</v>
      </c>
      <c r="B201" s="34" t="inlineStr">
        <is>
          <t xml:space="preserve">　　      19.무 형 자 산</t>
        </is>
      </c>
      <c r="D201" s="33" t="n">
        <v>27860664825</v>
      </c>
      <c r="E201" s="34" t="n">
        <v>0</v>
      </c>
      <c r="F201" s="34" t="n">
        <v>0</v>
      </c>
      <c r="G201" s="34" t="n">
        <v>0</v>
      </c>
      <c r="H201" s="147" t="n">
        <v>27860664825</v>
      </c>
      <c r="I201" s="34" t="n">
        <v>0</v>
      </c>
      <c r="J201" s="34" t="n">
        <v>0</v>
      </c>
      <c r="K201" s="34" t="n">
        <v>0</v>
      </c>
      <c r="L201" s="34" t="n">
        <v>0</v>
      </c>
      <c r="M201" s="33" t="n">
        <v>27860664825</v>
      </c>
      <c r="N201" s="17">
        <f>+M201+I201+J201</f>
        <v/>
      </c>
      <c r="O201" s="17">
        <f>+F201</f>
        <v/>
      </c>
      <c r="P201" s="17">
        <f>+K201+L201</f>
        <v/>
      </c>
      <c r="Q201" s="17">
        <f>+G201</f>
        <v/>
      </c>
      <c r="AH201" s="20" t="inlineStr">
        <is>
          <t xml:space="preserve">        (1) 토지</t>
        </is>
      </c>
      <c r="AI201" s="847" t="n">
        <v>6787826704</v>
      </c>
    </row>
    <row r="202">
      <c r="A202" s="696" t="n">
        <v>201</v>
      </c>
      <c r="B202" s="34" t="inlineStr">
        <is>
          <t xml:space="preserve">　　　        (손상차손누계액)</t>
        </is>
      </c>
      <c r="D202" s="33" t="n">
        <v>-97943900</v>
      </c>
      <c r="E202" s="34" t="n">
        <v>0</v>
      </c>
      <c r="F202" s="34" t="n">
        <v>0</v>
      </c>
      <c r="G202" s="34" t="n">
        <v>0</v>
      </c>
      <c r="H202" s="147" t="n">
        <v>-97943900</v>
      </c>
      <c r="I202" s="34" t="n">
        <v>0</v>
      </c>
      <c r="J202" s="34" t="n">
        <v>0</v>
      </c>
      <c r="K202" s="34" t="n">
        <v>0</v>
      </c>
      <c r="L202" s="34" t="n">
        <v>0</v>
      </c>
      <c r="M202" s="33" t="n">
        <v>-97943900</v>
      </c>
      <c r="N202" s="17">
        <f>+M202+I202+J202</f>
        <v/>
      </c>
      <c r="O202" s="17">
        <f>+F202</f>
        <v/>
      </c>
      <c r="P202" s="17">
        <f>+K202+L202</f>
        <v/>
      </c>
      <c r="Q202" s="17">
        <f>+G202</f>
        <v/>
      </c>
      <c r="AH202" s="20" t="inlineStr">
        <is>
          <t xml:space="preserve">      2.건  물 </t>
        </is>
      </c>
      <c r="AI202" s="847" t="n">
        <v>64221188972</v>
      </c>
    </row>
    <row r="203">
      <c r="A203" s="696" t="n">
        <v>202</v>
      </c>
      <c r="B203" s="34" t="inlineStr">
        <is>
          <t xml:space="preserve">　　　        가.영업권</t>
        </is>
      </c>
      <c r="D203" s="34" t="n">
        <v>0</v>
      </c>
      <c r="E203" s="34" t="n">
        <v>0</v>
      </c>
      <c r="F203" s="34" t="n">
        <v>0</v>
      </c>
      <c r="G203" s="34" t="n">
        <v>0</v>
      </c>
      <c r="H203" s="148" t="n">
        <v>0</v>
      </c>
      <c r="I203" s="34" t="n">
        <v>0</v>
      </c>
      <c r="J203" s="34" t="n">
        <v>0</v>
      </c>
      <c r="K203" s="34" t="n">
        <v>0</v>
      </c>
      <c r="L203" s="34" t="n">
        <v>0</v>
      </c>
      <c r="M203" s="34" t="n">
        <v>0</v>
      </c>
      <c r="N203" s="17">
        <f>+M203+I203+J203</f>
        <v/>
      </c>
      <c r="O203" s="17">
        <f>+F203</f>
        <v/>
      </c>
      <c r="P203" s="17">
        <f>+K203+L203</f>
        <v/>
      </c>
      <c r="Q203" s="17">
        <f>+G203</f>
        <v/>
      </c>
      <c r="AH203" s="20" t="inlineStr">
        <is>
          <t xml:space="preserve">        (손상차손누계액)</t>
        </is>
      </c>
      <c r="AI203" s="847" t="n">
        <v>0</v>
      </c>
    </row>
    <row r="204">
      <c r="A204" s="696" t="n">
        <v>203</v>
      </c>
      <c r="B204" s="34" t="inlineStr">
        <is>
          <t xml:space="preserve">　　　        나.소프트웨어</t>
        </is>
      </c>
      <c r="D204" s="33" t="n">
        <v>5186171243</v>
      </c>
      <c r="E204" s="34" t="n">
        <v>0</v>
      </c>
      <c r="F204" s="34" t="n">
        <v>0</v>
      </c>
      <c r="G204" s="34" t="n">
        <v>0</v>
      </c>
      <c r="H204" s="147" t="n">
        <v>5186171243</v>
      </c>
      <c r="I204" s="34" t="n">
        <v>0</v>
      </c>
      <c r="J204" s="34" t="n">
        <v>0</v>
      </c>
      <c r="K204" s="34" t="n">
        <v>0</v>
      </c>
      <c r="L204" s="34" t="n">
        <v>0</v>
      </c>
      <c r="M204" s="33" t="n">
        <v>5186171243</v>
      </c>
      <c r="N204" s="17">
        <f>+M204+I204+J204</f>
        <v/>
      </c>
      <c r="O204" s="17">
        <f>+F204</f>
        <v/>
      </c>
      <c r="P204" s="17">
        <f>+K204+L204</f>
        <v/>
      </c>
      <c r="Q204" s="17">
        <f>+G204</f>
        <v/>
      </c>
      <c r="AH204" s="20" t="inlineStr">
        <is>
          <t xml:space="preserve">        (감가상각누계액)</t>
        </is>
      </c>
      <c r="AI204" s="847" t="n">
        <v>-7535682738</v>
      </c>
    </row>
    <row r="205">
      <c r="A205" s="696" t="n">
        <v>204</v>
      </c>
      <c r="B205" s="34" t="inlineStr">
        <is>
          <t xml:space="preserve">　　　        다.개발비</t>
        </is>
      </c>
      <c r="D205" s="34" t="n">
        <v>0</v>
      </c>
      <c r="E205" s="34" t="n">
        <v>0</v>
      </c>
      <c r="F205" s="34" t="n">
        <v>0</v>
      </c>
      <c r="G205" s="34" t="n">
        <v>0</v>
      </c>
      <c r="H205" s="148" t="n">
        <v>0</v>
      </c>
      <c r="I205" s="34" t="n">
        <v>0</v>
      </c>
      <c r="J205" s="34" t="n">
        <v>0</v>
      </c>
      <c r="K205" s="34" t="n">
        <v>0</v>
      </c>
      <c r="L205" s="34" t="n">
        <v>0</v>
      </c>
      <c r="M205" s="34" t="n">
        <v>0</v>
      </c>
      <c r="N205" s="17">
        <f>+M205+I205+J205</f>
        <v/>
      </c>
      <c r="O205" s="17">
        <f>+F205</f>
        <v/>
      </c>
      <c r="P205" s="17">
        <f>+K205+L205</f>
        <v/>
      </c>
      <c r="Q205" s="17">
        <f>+G205</f>
        <v/>
      </c>
      <c r="AH205" s="20" t="inlineStr">
        <is>
          <t xml:space="preserve">        (1) 건물</t>
        </is>
      </c>
      <c r="AI205" s="847" t="n">
        <v>71756871710</v>
      </c>
    </row>
    <row r="206">
      <c r="A206" s="696" t="n">
        <v>205</v>
      </c>
      <c r="B206" s="34" t="inlineStr">
        <is>
          <t xml:space="preserve">　　　        라.기타의무형자산</t>
        </is>
      </c>
      <c r="D206" s="33" t="n">
        <v>22772437482</v>
      </c>
      <c r="E206" s="34" t="n">
        <v>0</v>
      </c>
      <c r="F206" s="34" t="n">
        <v>0</v>
      </c>
      <c r="G206" s="34" t="n">
        <v>0</v>
      </c>
      <c r="H206" s="147" t="n">
        <v>22772437482</v>
      </c>
      <c r="I206" s="34" t="n">
        <v>0</v>
      </c>
      <c r="J206" s="34" t="n">
        <v>0</v>
      </c>
      <c r="K206" s="34" t="n">
        <v>0</v>
      </c>
      <c r="L206" s="34" t="n">
        <v>0</v>
      </c>
      <c r="M206" s="33" t="n">
        <v>22772437482</v>
      </c>
      <c r="N206" s="17">
        <f>+M206+I206+J206</f>
        <v/>
      </c>
      <c r="O206" s="17">
        <f>+F206</f>
        <v/>
      </c>
      <c r="P206" s="17">
        <f>+K206+L206</f>
        <v/>
      </c>
      <c r="Q206" s="17">
        <f>+G206</f>
        <v/>
      </c>
      <c r="AH206" s="20" t="inlineStr">
        <is>
          <t xml:space="preserve">      3.구 축 물 </t>
        </is>
      </c>
      <c r="AI206" s="847" t="n">
        <v>0</v>
      </c>
    </row>
    <row r="207">
      <c r="A207" s="696" t="n">
        <v>206</v>
      </c>
      <c r="B207" s="34" t="inlineStr">
        <is>
          <t xml:space="preserve">　　      20.어 음</t>
        </is>
      </c>
      <c r="D207" s="34" t="n">
        <v>0</v>
      </c>
      <c r="E207" s="34" t="n">
        <v>0</v>
      </c>
      <c r="F207" s="34" t="n">
        <v>0</v>
      </c>
      <c r="G207" s="34" t="n">
        <v>0</v>
      </c>
      <c r="H207" s="148" t="n">
        <v>0</v>
      </c>
      <c r="I207" s="34" t="n">
        <v>0</v>
      </c>
      <c r="J207" s="34" t="n">
        <v>0</v>
      </c>
      <c r="K207" s="34" t="n">
        <v>0</v>
      </c>
      <c r="L207" s="34" t="n">
        <v>0</v>
      </c>
      <c r="M207" s="34" t="n">
        <v>0</v>
      </c>
      <c r="N207" s="17">
        <f>+M207+I207+J207</f>
        <v/>
      </c>
      <c r="O207" s="17">
        <f>+F207</f>
        <v/>
      </c>
      <c r="P207" s="17">
        <f>+K207+L207</f>
        <v/>
      </c>
      <c r="Q207" s="17">
        <f>+G207</f>
        <v/>
      </c>
      <c r="AH207" s="20" t="inlineStr">
        <is>
          <t xml:space="preserve">        (손상차손누계액)</t>
        </is>
      </c>
      <c r="AI207" s="847" t="n">
        <v>0</v>
      </c>
    </row>
    <row r="208">
      <c r="A208" s="696" t="n">
        <v>207</v>
      </c>
      <c r="B208" s="34" t="inlineStr">
        <is>
          <t xml:space="preserve">　　　        (대손충당금)</t>
        </is>
      </c>
      <c r="D208" s="34" t="n">
        <v>0</v>
      </c>
      <c r="E208" s="34" t="n">
        <v>0</v>
      </c>
      <c r="F208" s="34" t="n">
        <v>0</v>
      </c>
      <c r="G208" s="34" t="n">
        <v>0</v>
      </c>
      <c r="H208" s="148" t="n">
        <v>0</v>
      </c>
      <c r="I208" s="34" t="n">
        <v>0</v>
      </c>
      <c r="J208" s="34" t="n">
        <v>0</v>
      </c>
      <c r="K208" s="34" t="n">
        <v>0</v>
      </c>
      <c r="L208" s="34" t="n">
        <v>0</v>
      </c>
      <c r="M208" s="34" t="n">
        <v>0</v>
      </c>
      <c r="N208" s="17">
        <f>+M208+I208+J208</f>
        <v/>
      </c>
      <c r="O208" s="17">
        <f>+F208</f>
        <v/>
      </c>
      <c r="P208" s="17">
        <f>+K208+L208</f>
        <v/>
      </c>
      <c r="Q208" s="17">
        <f>+G208</f>
        <v/>
      </c>
      <c r="AH208" s="20" t="inlineStr">
        <is>
          <t xml:space="preserve">        (감가상각누계액)</t>
        </is>
      </c>
      <c r="AI208" s="847" t="n">
        <v>0</v>
      </c>
    </row>
    <row r="209">
      <c r="A209" s="696" t="n">
        <v>208</v>
      </c>
      <c r="B209" s="34" t="inlineStr">
        <is>
          <t xml:space="preserve">　　　        가.받을어음</t>
        </is>
      </c>
      <c r="D209" s="34" t="n">
        <v>0</v>
      </c>
      <c r="E209" s="34" t="n">
        <v>0</v>
      </c>
      <c r="F209" s="34" t="n">
        <v>0</v>
      </c>
      <c r="G209" s="34" t="n">
        <v>0</v>
      </c>
      <c r="H209" s="148" t="n">
        <v>0</v>
      </c>
      <c r="I209" s="34" t="n">
        <v>0</v>
      </c>
      <c r="J209" s="34" t="n">
        <v>0</v>
      </c>
      <c r="K209" s="34" t="n">
        <v>0</v>
      </c>
      <c r="L209" s="34" t="n">
        <v>0</v>
      </c>
      <c r="M209" s="34" t="n">
        <v>0</v>
      </c>
      <c r="N209" s="17">
        <f>+M209+I209+J209</f>
        <v/>
      </c>
      <c r="O209" s="17">
        <f>+F209</f>
        <v/>
      </c>
      <c r="P209" s="17">
        <f>+K209+L209</f>
        <v/>
      </c>
      <c r="Q209" s="17">
        <f>+G209</f>
        <v/>
      </c>
      <c r="AH209" s="20" t="inlineStr">
        <is>
          <t xml:space="preserve">        (1) 구축물 </t>
        </is>
      </c>
      <c r="AI209" s="847" t="n">
        <v>0</v>
      </c>
    </row>
    <row r="210">
      <c r="A210" s="696" t="n">
        <v>209</v>
      </c>
      <c r="B210" s="34" t="inlineStr">
        <is>
          <t xml:space="preserve">　　　        나.부도어음</t>
        </is>
      </c>
      <c r="D210" s="34" t="n">
        <v>0</v>
      </c>
      <c r="E210" s="34" t="n">
        <v>0</v>
      </c>
      <c r="F210" s="34" t="n">
        <v>0</v>
      </c>
      <c r="G210" s="34" t="n">
        <v>0</v>
      </c>
      <c r="H210" s="148" t="n">
        <v>0</v>
      </c>
      <c r="I210" s="34" t="n">
        <v>0</v>
      </c>
      <c r="J210" s="34" t="n">
        <v>0</v>
      </c>
      <c r="K210" s="34" t="n">
        <v>0</v>
      </c>
      <c r="L210" s="34" t="n">
        <v>0</v>
      </c>
      <c r="M210" s="34" t="n">
        <v>0</v>
      </c>
      <c r="N210" s="17">
        <f>+M210+I210+J210</f>
        <v/>
      </c>
      <c r="O210" s="17">
        <f>+F210</f>
        <v/>
      </c>
      <c r="P210" s="17">
        <f>+K210+L210</f>
        <v/>
      </c>
      <c r="Q210" s="17">
        <f>+G210</f>
        <v/>
      </c>
      <c r="AH210" s="20" t="inlineStr">
        <is>
          <t xml:space="preserve">      4.건 설 중 인 자 산 </t>
        </is>
      </c>
      <c r="AI210" s="847" t="n">
        <v>0</v>
      </c>
    </row>
    <row r="211">
      <c r="A211" s="696" t="n">
        <v>210</v>
      </c>
      <c r="B211" s="34" t="inlineStr">
        <is>
          <t xml:space="preserve">　　      21.순확정급여자산</t>
        </is>
      </c>
      <c r="D211" s="34" t="n">
        <v>0</v>
      </c>
      <c r="E211" s="34" t="n">
        <v>0</v>
      </c>
      <c r="F211" s="34" t="n">
        <v>0</v>
      </c>
      <c r="G211" s="34" t="n">
        <v>0</v>
      </c>
      <c r="H211" s="148" t="n">
        <v>0</v>
      </c>
      <c r="I211" s="34" t="n">
        <v>0</v>
      </c>
      <c r="J211" s="34" t="n">
        <v>0</v>
      </c>
      <c r="K211" s="34" t="n">
        <v>0</v>
      </c>
      <c r="L211" s="34" t="n">
        <v>0</v>
      </c>
      <c r="M211" s="34" t="n">
        <v>0</v>
      </c>
      <c r="N211" s="17">
        <f>+M211+I211+J211</f>
        <v/>
      </c>
      <c r="O211" s="17">
        <f>+F211</f>
        <v/>
      </c>
      <c r="P211" s="17">
        <f>+K211+L211</f>
        <v/>
      </c>
      <c r="Q211" s="17">
        <f>+G211</f>
        <v/>
      </c>
      <c r="AH211" s="20" t="inlineStr">
        <is>
          <t xml:space="preserve">      5.차 량 운 반 구 </t>
        </is>
      </c>
      <c r="AI211" s="847" t="n">
        <v>0</v>
      </c>
    </row>
    <row r="212">
      <c r="A212" s="696" t="n">
        <v>211</v>
      </c>
      <c r="B212" s="34" t="inlineStr">
        <is>
          <t xml:space="preserve">　　      22.기타의비운용자산</t>
        </is>
      </c>
      <c r="D212" s="34" t="n">
        <v>0</v>
      </c>
      <c r="E212" s="33" t="n">
        <v>192544754825</v>
      </c>
      <c r="F212" s="33" t="n">
        <v>186060845497</v>
      </c>
      <c r="G212" s="33" t="n">
        <v>6483909328</v>
      </c>
      <c r="H212" s="148" t="n">
        <v>0</v>
      </c>
      <c r="I212" s="33" t="n">
        <v>8609558660</v>
      </c>
      <c r="J212" s="33" t="n">
        <v>1109343807</v>
      </c>
      <c r="K212" s="33" t="n">
        <v>9582690</v>
      </c>
      <c r="L212" s="33" t="n">
        <v>59567413689</v>
      </c>
      <c r="M212" s="33" t="n">
        <v>-69295898846</v>
      </c>
      <c r="N212" s="17">
        <f>+M212+I212+J212</f>
        <v/>
      </c>
      <c r="O212" s="17">
        <f>+F212</f>
        <v/>
      </c>
      <c r="P212" s="17">
        <f>+K212+L212</f>
        <v/>
      </c>
      <c r="Q212" s="17">
        <f>+G212</f>
        <v/>
      </c>
      <c r="AH212" s="20" t="inlineStr">
        <is>
          <t xml:space="preserve">        (감가상각누계액)</t>
        </is>
      </c>
      <c r="AI212" s="847" t="n">
        <v>0</v>
      </c>
    </row>
    <row r="213">
      <c r="A213" s="696" t="n">
        <v>212</v>
      </c>
      <c r="B213" s="34" t="inlineStr">
        <is>
          <t xml:space="preserve">　　　        가.기타의비운용자산</t>
        </is>
      </c>
      <c r="D213" s="34" t="n">
        <v>0</v>
      </c>
      <c r="E213" s="34" t="n">
        <v>0</v>
      </c>
      <c r="F213" s="34" t="n">
        <v>0</v>
      </c>
      <c r="G213" s="34" t="n">
        <v>0</v>
      </c>
      <c r="H213" s="148" t="n">
        <v>0</v>
      </c>
      <c r="I213" s="34" t="n">
        <v>0</v>
      </c>
      <c r="J213" s="34" t="n">
        <v>0</v>
      </c>
      <c r="K213" s="34" t="n">
        <v>0</v>
      </c>
      <c r="L213" s="34" t="n">
        <v>0</v>
      </c>
      <c r="M213" s="34" t="n">
        <v>0</v>
      </c>
      <c r="N213" s="17">
        <f>+M213+I213+J213</f>
        <v/>
      </c>
      <c r="O213" s="17">
        <f>+F213</f>
        <v/>
      </c>
      <c r="P213" s="17">
        <f>+K213+L213</f>
        <v/>
      </c>
      <c r="Q213" s="17">
        <f>+G213</f>
        <v/>
      </c>
      <c r="AH213" s="20" t="inlineStr">
        <is>
          <t xml:space="preserve">        (1) 차량운반구 </t>
        </is>
      </c>
      <c r="AI213" s="847" t="n">
        <v>0</v>
      </c>
    </row>
    <row r="214">
      <c r="A214" s="696" t="n">
        <v>213</v>
      </c>
      <c r="B214" s="34" t="inlineStr">
        <is>
          <t xml:space="preserve">　　　        나.일반계정미수금</t>
        </is>
      </c>
      <c r="D214" s="34" t="n">
        <v>0</v>
      </c>
      <c r="E214" s="33" t="n">
        <v>192544754825</v>
      </c>
      <c r="F214" s="33" t="n">
        <v>186060845497</v>
      </c>
      <c r="G214" s="33" t="n">
        <v>6483909328</v>
      </c>
      <c r="H214" s="148" t="n">
        <v>0</v>
      </c>
      <c r="I214" s="33" t="n">
        <v>8609558660</v>
      </c>
      <c r="J214" s="33" t="n">
        <v>1109343807</v>
      </c>
      <c r="K214" s="33" t="n">
        <v>9582690</v>
      </c>
      <c r="L214" s="33" t="n">
        <v>59567413689</v>
      </c>
      <c r="M214" s="33" t="n">
        <v>-69295898846</v>
      </c>
      <c r="N214" s="17">
        <f>+M214+I214+J214</f>
        <v/>
      </c>
      <c r="O214" s="17">
        <f>+F214</f>
        <v/>
      </c>
      <c r="P214" s="17">
        <f>+K214+L214</f>
        <v/>
      </c>
      <c r="Q214" s="17">
        <f>+G214</f>
        <v/>
      </c>
      <c r="AH214" s="20" t="inlineStr">
        <is>
          <t xml:space="preserve">      6.비  품 </t>
        </is>
      </c>
      <c r="AI214" s="847" t="n">
        <v>6819481941</v>
      </c>
    </row>
    <row r="215">
      <c r="A215" s="696" t="n">
        <v>214</v>
      </c>
      <c r="B215" s="34" t="inlineStr">
        <is>
          <t xml:space="preserve">　   Ⅲ.특별계정자산</t>
        </is>
      </c>
      <c r="D215" s="34" t="n">
        <v>0</v>
      </c>
      <c r="E215" s="33" t="n">
        <v>13487230093769</v>
      </c>
      <c r="F215" s="34" t="n">
        <v>0</v>
      </c>
      <c r="G215" s="34" t="n">
        <v>0</v>
      </c>
      <c r="H215" s="147" t="n">
        <v>13487230093769</v>
      </c>
      <c r="I215" s="34" t="n">
        <v>0</v>
      </c>
      <c r="J215" s="34" t="n">
        <v>0</v>
      </c>
      <c r="K215" s="34" t="n">
        <v>0</v>
      </c>
      <c r="L215" s="34" t="n">
        <v>0</v>
      </c>
      <c r="M215" s="33" t="n">
        <v>13487230093769</v>
      </c>
      <c r="N215" s="17">
        <f>+M215+I215+J215</f>
        <v/>
      </c>
      <c r="O215" s="17">
        <f>+F215</f>
        <v/>
      </c>
      <c r="P215" s="17">
        <f>+K215+L215</f>
        <v/>
      </c>
      <c r="Q215" s="17">
        <f>+G215</f>
        <v/>
      </c>
      <c r="AH215" s="20" t="inlineStr">
        <is>
          <t xml:space="preserve">        (감가상각누계액)</t>
        </is>
      </c>
      <c r="AI215" s="847" t="n">
        <v>-49609131340</v>
      </c>
    </row>
    <row r="216">
      <c r="A216" s="696" t="n">
        <v>215</v>
      </c>
      <c r="B216" s="34" t="inlineStr">
        <is>
          <t xml:space="preserve">　　     (특별계정미지급금-실적배당형퇴직연금)</t>
        </is>
      </c>
      <c r="D216" s="34" t="n">
        <v>0</v>
      </c>
      <c r="E216" s="33" t="n">
        <v>-6483909328</v>
      </c>
      <c r="F216" s="34" t="n">
        <v>0</v>
      </c>
      <c r="G216" s="34" t="n">
        <v>0</v>
      </c>
      <c r="H216" s="147" t="n">
        <v>-6483909328</v>
      </c>
      <c r="I216" s="34" t="n">
        <v>0</v>
      </c>
      <c r="J216" s="34" t="n">
        <v>0</v>
      </c>
      <c r="K216" s="34" t="n">
        <v>0</v>
      </c>
      <c r="L216" s="34" t="n">
        <v>0</v>
      </c>
      <c r="M216" s="33" t="n">
        <v>-6483909328</v>
      </c>
      <c r="N216" s="17">
        <f>+M216+I216+J216</f>
        <v/>
      </c>
      <c r="O216" s="17">
        <f>+F216</f>
        <v/>
      </c>
      <c r="P216" s="17">
        <f>+K216+L216</f>
        <v/>
      </c>
      <c r="Q216" s="17">
        <f>+G216</f>
        <v/>
      </c>
      <c r="R216" s="14" t="inlineStr">
        <is>
          <t>퇴직실적</t>
        </is>
      </c>
      <c r="AH216" s="20" t="inlineStr">
        <is>
          <t xml:space="preserve">        (1) 비품</t>
        </is>
      </c>
      <c r="AI216" s="847" t="n">
        <v>56428613281</v>
      </c>
    </row>
    <row r="217">
      <c r="A217" s="696" t="n">
        <v>216</v>
      </c>
      <c r="B217" s="34" t="inlineStr">
        <is>
          <t xml:space="preserve">　　     (특별계정미지급금-변액보험)</t>
        </is>
      </c>
      <c r="D217" s="34" t="n">
        <v>0</v>
      </c>
      <c r="E217" s="33" t="n">
        <v>-186060845497</v>
      </c>
      <c r="F217" s="34" t="n">
        <v>0</v>
      </c>
      <c r="G217" s="34" t="n">
        <v>0</v>
      </c>
      <c r="H217" s="147" t="n">
        <v>-186060845497</v>
      </c>
      <c r="I217" s="34" t="n">
        <v>0</v>
      </c>
      <c r="J217" s="34" t="n">
        <v>0</v>
      </c>
      <c r="K217" s="34" t="n">
        <v>0</v>
      </c>
      <c r="L217" s="34" t="n">
        <v>0</v>
      </c>
      <c r="M217" s="33" t="n">
        <v>-186060845497</v>
      </c>
      <c r="N217" s="17">
        <f>+M217+I217+J217</f>
        <v/>
      </c>
      <c r="O217" s="17">
        <f>+F217</f>
        <v/>
      </c>
      <c r="P217" s="17">
        <f>+K217+L217</f>
        <v/>
      </c>
      <c r="Q217" s="17">
        <f>+G217</f>
        <v/>
      </c>
      <c r="R217" s="14" t="inlineStr">
        <is>
          <t>변액보험</t>
        </is>
      </c>
      <c r="AH217" s="20" t="inlineStr">
        <is>
          <t xml:space="preserve">      7.임 차 점 포 시 설 물 </t>
        </is>
      </c>
      <c r="AI217" s="847" t="n">
        <v>0</v>
      </c>
    </row>
    <row r="218">
      <c r="A218" s="696" t="n">
        <v>217</v>
      </c>
      <c r="B218" s="34" t="inlineStr">
        <is>
          <t xml:space="preserve">　　     1.실적배당형퇴직연금</t>
        </is>
      </c>
      <c r="D218" s="34" t="n">
        <v>0</v>
      </c>
      <c r="E218" s="33" t="n">
        <v>356626729672</v>
      </c>
      <c r="F218" s="34" t="n">
        <v>0</v>
      </c>
      <c r="G218" s="34" t="n">
        <v>0</v>
      </c>
      <c r="H218" s="147" t="n">
        <v>356626729672</v>
      </c>
      <c r="I218" s="34" t="n">
        <v>0</v>
      </c>
      <c r="J218" s="34" t="n">
        <v>0</v>
      </c>
      <c r="K218" s="34" t="n">
        <v>0</v>
      </c>
      <c r="L218" s="34" t="n">
        <v>0</v>
      </c>
      <c r="M218" s="33" t="n">
        <v>356626729672</v>
      </c>
      <c r="N218" s="17">
        <f>+M218+I218+J218</f>
        <v/>
      </c>
      <c r="O218" s="17">
        <f>+F218</f>
        <v/>
      </c>
      <c r="P218" s="17">
        <f>+K218+L218</f>
        <v/>
      </c>
      <c r="Q218" s="17">
        <f>+G218</f>
        <v/>
      </c>
      <c r="R218" s="14" t="inlineStr">
        <is>
          <t>퇴직실적</t>
        </is>
      </c>
      <c r="AH218" s="20" t="inlineStr">
        <is>
          <t xml:space="preserve">        (감가상각누계액)</t>
        </is>
      </c>
      <c r="AI218" s="847" t="n">
        <v>0</v>
      </c>
    </row>
    <row r="219">
      <c r="A219" s="696" t="n">
        <v>218</v>
      </c>
      <c r="B219" s="34" t="inlineStr">
        <is>
          <t xml:space="preserve">　　     2.변액보험</t>
        </is>
      </c>
      <c r="D219" s="34" t="n">
        <v>0</v>
      </c>
      <c r="E219" s="33" t="n">
        <v>13323148118922</v>
      </c>
      <c r="F219" s="34" t="n">
        <v>0</v>
      </c>
      <c r="G219" s="34" t="n">
        <v>0</v>
      </c>
      <c r="H219" s="147" t="n">
        <v>13323148118922</v>
      </c>
      <c r="I219" s="34" t="n">
        <v>0</v>
      </c>
      <c r="J219" s="34" t="n">
        <v>0</v>
      </c>
      <c r="K219" s="34" t="n">
        <v>0</v>
      </c>
      <c r="L219" s="34" t="n">
        <v>0</v>
      </c>
      <c r="M219" s="33" t="n">
        <v>13323148118922</v>
      </c>
      <c r="N219" s="17">
        <f>+M219+I219+J219</f>
        <v/>
      </c>
      <c r="O219" s="17">
        <f>+F219</f>
        <v/>
      </c>
      <c r="P219" s="17">
        <f>+K219+L219</f>
        <v/>
      </c>
      <c r="Q219" s="17">
        <f>+G219</f>
        <v/>
      </c>
      <c r="R219" s="14" t="inlineStr">
        <is>
          <t>변액보험</t>
        </is>
      </c>
      <c r="AH219" s="20" t="inlineStr">
        <is>
          <t xml:space="preserve">        (1) 임차점포시설물 </t>
        </is>
      </c>
      <c r="AI219" s="847" t="n">
        <v>0</v>
      </c>
    </row>
    <row r="220">
      <c r="A220" s="696" t="n">
        <v>219</v>
      </c>
      <c r="B220" s="34" t="inlineStr">
        <is>
          <t xml:space="preserve">  [부 채 총 계]</t>
        </is>
      </c>
      <c r="D220" s="33" t="n">
        <v>-30418680379437</v>
      </c>
      <c r="E220" s="33" t="n">
        <v>-13679774907797</v>
      </c>
      <c r="F220" s="33" t="n">
        <v>-13323148118922</v>
      </c>
      <c r="G220" s="33" t="n">
        <v>-356626729672</v>
      </c>
      <c r="H220" s="147" t="n">
        <v>-30418680438640</v>
      </c>
      <c r="I220" s="33" t="n">
        <v>-1634729294400</v>
      </c>
      <c r="J220" s="33" t="n">
        <v>-34862287173</v>
      </c>
      <c r="K220" s="33" t="n">
        <v>-17246396780</v>
      </c>
      <c r="L220" s="33" t="n">
        <v>-1879942208891</v>
      </c>
      <c r="M220" s="33" t="n">
        <v>-26851900251396</v>
      </c>
      <c r="N220" s="17">
        <f>+M220+I220+J220</f>
        <v/>
      </c>
      <c r="O220" s="17">
        <f>+F220</f>
        <v/>
      </c>
      <c r="P220" s="17">
        <f>+K220+L220</f>
        <v/>
      </c>
      <c r="Q220" s="17">
        <f>+G220</f>
        <v/>
      </c>
      <c r="AH220" s="20" t="inlineStr">
        <is>
          <t xml:space="preserve">      8.기타의 유형자산</t>
        </is>
      </c>
      <c r="AI220" s="847" t="n">
        <v>12261175103</v>
      </c>
    </row>
    <row r="221">
      <c r="A221" s="696" t="n">
        <v>220</v>
      </c>
      <c r="B221" s="34" t="inlineStr">
        <is>
          <t xml:space="preserve">　  [보험계약부채]</t>
        </is>
      </c>
      <c r="D221" s="34" t="n">
        <v>0</v>
      </c>
      <c r="E221" s="34" t="n">
        <v>0</v>
      </c>
      <c r="F221" s="34" t="n">
        <v>0</v>
      </c>
      <c r="G221" s="34" t="n">
        <v>0</v>
      </c>
      <c r="H221" s="148" t="n">
        <v>0</v>
      </c>
      <c r="I221" s="34" t="n">
        <v>0</v>
      </c>
      <c r="J221" s="34" t="n">
        <v>0</v>
      </c>
      <c r="K221" s="34" t="n">
        <v>0</v>
      </c>
      <c r="L221" s="34" t="n">
        <v>0</v>
      </c>
      <c r="M221" s="34" t="n">
        <v>0</v>
      </c>
      <c r="N221" s="17">
        <f>+M221+I221+J221</f>
        <v/>
      </c>
      <c r="O221" s="17">
        <f>+F221</f>
        <v/>
      </c>
      <c r="P221" s="17">
        <f>+K221+L221</f>
        <v/>
      </c>
      <c r="Q221" s="17">
        <f>+G221</f>
        <v/>
      </c>
      <c r="AH221" s="20" t="inlineStr">
        <is>
          <t xml:space="preserve">        (손상차손누계액)</t>
        </is>
      </c>
      <c r="AI221" s="847" t="n">
        <v>0</v>
      </c>
    </row>
    <row r="222">
      <c r="A222" s="696" t="n">
        <v>221</v>
      </c>
      <c r="B222" s="34" t="inlineStr">
        <is>
          <t xml:space="preserve">　  [재보험계약부채]</t>
        </is>
      </c>
      <c r="D222" s="34" t="n">
        <v>0</v>
      </c>
      <c r="E222" s="34" t="n">
        <v>0</v>
      </c>
      <c r="F222" s="34" t="n">
        <v>0</v>
      </c>
      <c r="G222" s="34" t="n">
        <v>0</v>
      </c>
      <c r="H222" s="148" t="n">
        <v>0</v>
      </c>
      <c r="I222" s="34" t="n">
        <v>0</v>
      </c>
      <c r="J222" s="34" t="n">
        <v>0</v>
      </c>
      <c r="K222" s="34" t="n">
        <v>0</v>
      </c>
      <c r="L222" s="34" t="n">
        <v>0</v>
      </c>
      <c r="M222" s="34" t="n">
        <v>0</v>
      </c>
      <c r="N222" s="17">
        <f>+M222+I222+J222</f>
        <v/>
      </c>
      <c r="O222" s="17">
        <f>+F222</f>
        <v/>
      </c>
      <c r="P222" s="17">
        <f>+K222+L222</f>
        <v/>
      </c>
      <c r="Q222" s="17">
        <f>+G222</f>
        <v/>
      </c>
      <c r="AH222" s="20" t="inlineStr">
        <is>
          <t xml:space="preserve">        (감가상각누계액)</t>
        </is>
      </c>
      <c r="AI222" s="847" t="n">
        <v>-8843613077</v>
      </c>
    </row>
    <row r="223">
      <c r="A223" s="696" t="n">
        <v>222</v>
      </c>
      <c r="B223" s="34" t="inlineStr">
        <is>
          <t xml:space="preserve">　  [투자계약부채]</t>
        </is>
      </c>
      <c r="D223" s="34" t="n">
        <v>0</v>
      </c>
      <c r="E223" s="34" t="n">
        <v>0</v>
      </c>
      <c r="F223" s="34" t="n">
        <v>0</v>
      </c>
      <c r="G223" s="34" t="n">
        <v>0</v>
      </c>
      <c r="H223" s="148" t="n">
        <v>0</v>
      </c>
      <c r="I223" s="34" t="n">
        <v>0</v>
      </c>
      <c r="J223" s="34" t="n">
        <v>0</v>
      </c>
      <c r="K223" s="34" t="n">
        <v>0</v>
      </c>
      <c r="L223" s="34" t="n">
        <v>0</v>
      </c>
      <c r="M223" s="34" t="n">
        <v>0</v>
      </c>
      <c r="N223" s="17">
        <f>+M223+I223+J223</f>
        <v/>
      </c>
      <c r="O223" s="17">
        <f>+F223</f>
        <v/>
      </c>
      <c r="P223" s="17">
        <f>+K223+L223</f>
        <v/>
      </c>
      <c r="Q223" s="17">
        <f>+G223</f>
        <v/>
      </c>
      <c r="AH223" s="20" t="inlineStr">
        <is>
          <t xml:space="preserve">        (1) 기타의 유형자산</t>
        </is>
      </c>
      <c r="AI223" s="847" t="n">
        <v>72000000</v>
      </c>
    </row>
    <row r="224">
      <c r="A224" s="696" t="n">
        <v>223</v>
      </c>
      <c r="B224" s="34" t="inlineStr">
        <is>
          <t xml:space="preserve">　  [당기손익-공정가치측정금융부채]</t>
        </is>
      </c>
      <c r="D224" s="34" t="n">
        <v>0</v>
      </c>
      <c r="E224" s="34" t="n">
        <v>0</v>
      </c>
      <c r="F224" s="34" t="n">
        <v>0</v>
      </c>
      <c r="G224" s="34" t="n">
        <v>0</v>
      </c>
      <c r="H224" s="148" t="n">
        <v>0</v>
      </c>
      <c r="I224" s="34" t="n">
        <v>0</v>
      </c>
      <c r="J224" s="34" t="n">
        <v>0</v>
      </c>
      <c r="K224" s="34" t="n">
        <v>0</v>
      </c>
      <c r="L224" s="34" t="n">
        <v>0</v>
      </c>
      <c r="M224" s="34" t="n">
        <v>0</v>
      </c>
      <c r="N224" s="17">
        <f>+M224+I224+J224</f>
        <v/>
      </c>
      <c r="O224" s="17">
        <f>+F224</f>
        <v/>
      </c>
      <c r="P224" s="17">
        <f>+K224+L224</f>
        <v/>
      </c>
      <c r="Q224" s="17">
        <f>+G224</f>
        <v/>
      </c>
      <c r="AH224" s="20" t="inlineStr">
        <is>
          <t xml:space="preserve">        (2) 사 용 권 자 산 </t>
        </is>
      </c>
      <c r="AI224" s="847" t="n">
        <v>21032788180</v>
      </c>
    </row>
    <row r="225">
      <c r="A225" s="696" t="n">
        <v>224</v>
      </c>
      <c r="B225" s="34" t="inlineStr">
        <is>
          <t xml:space="preserve">　  [당기손익-공정가치측정지정금융부채]</t>
        </is>
      </c>
      <c r="D225" s="34" t="n">
        <v>0</v>
      </c>
      <c r="E225" s="34" t="n">
        <v>0</v>
      </c>
      <c r="F225" s="34" t="n">
        <v>0</v>
      </c>
      <c r="G225" s="34" t="n">
        <v>0</v>
      </c>
      <c r="H225" s="148" t="n">
        <v>0</v>
      </c>
      <c r="I225" s="34" t="n">
        <v>0</v>
      </c>
      <c r="J225" s="34" t="n">
        <v>0</v>
      </c>
      <c r="K225" s="34" t="n">
        <v>0</v>
      </c>
      <c r="L225" s="34" t="n">
        <v>0</v>
      </c>
      <c r="M225" s="34" t="n">
        <v>0</v>
      </c>
      <c r="N225" s="17">
        <f>+M225+I225+J225</f>
        <v/>
      </c>
      <c r="O225" s="17">
        <f>+F225</f>
        <v/>
      </c>
      <c r="P225" s="17">
        <f>+K225+L225</f>
        <v/>
      </c>
      <c r="Q225" s="17">
        <f>+G225</f>
        <v/>
      </c>
      <c r="AH225" s="20" t="inlineStr">
        <is>
          <t xml:space="preserve">      9.기 타 부 동 산 </t>
        </is>
      </c>
      <c r="AI225" s="847" t="n">
        <v>0</v>
      </c>
    </row>
    <row r="226">
      <c r="A226" s="696" t="n">
        <v>225</v>
      </c>
      <c r="B226" s="34" t="inlineStr">
        <is>
          <t xml:space="preserve">　  [상각후원가측정금융부채]</t>
        </is>
      </c>
      <c r="D226" s="34" t="n">
        <v>0</v>
      </c>
      <c r="E226" s="34" t="n">
        <v>0</v>
      </c>
      <c r="F226" s="34" t="n">
        <v>0</v>
      </c>
      <c r="G226" s="34" t="n">
        <v>0</v>
      </c>
      <c r="H226" s="148" t="n">
        <v>0</v>
      </c>
      <c r="I226" s="34" t="n">
        <v>0</v>
      </c>
      <c r="J226" s="34" t="n">
        <v>0</v>
      </c>
      <c r="K226" s="34" t="n">
        <v>0</v>
      </c>
      <c r="L226" s="34" t="n">
        <v>0</v>
      </c>
      <c r="M226" s="34" t="n">
        <v>0</v>
      </c>
      <c r="N226" s="17">
        <f>+M226+I226+J226</f>
        <v/>
      </c>
      <c r="O226" s="17">
        <f>+F226</f>
        <v/>
      </c>
      <c r="P226" s="17">
        <f>+K226+L226</f>
        <v/>
      </c>
      <c r="Q226" s="17">
        <f>+G226</f>
        <v/>
      </c>
      <c r="AH226" s="20" t="inlineStr">
        <is>
          <t xml:space="preserve">        (감가상각누계액)</t>
        </is>
      </c>
      <c r="AI226" s="847" t="n">
        <v>0</v>
      </c>
    </row>
    <row r="227">
      <c r="A227" s="696" t="n">
        <v>226</v>
      </c>
      <c r="B227" s="34" t="inlineStr">
        <is>
          <t xml:space="preserve">　  [위험회피회계적용파생상품부채]</t>
        </is>
      </c>
      <c r="D227" s="34" t="n">
        <v>0</v>
      </c>
      <c r="E227" s="34" t="n">
        <v>0</v>
      </c>
      <c r="F227" s="34" t="n">
        <v>0</v>
      </c>
      <c r="G227" s="34" t="n">
        <v>0</v>
      </c>
      <c r="H227" s="148" t="n">
        <v>0</v>
      </c>
      <c r="I227" s="34" t="n">
        <v>0</v>
      </c>
      <c r="J227" s="34" t="n">
        <v>0</v>
      </c>
      <c r="K227" s="34" t="n">
        <v>0</v>
      </c>
      <c r="L227" s="34" t="n">
        <v>0</v>
      </c>
      <c r="M227" s="34" t="n">
        <v>0</v>
      </c>
      <c r="N227" s="17">
        <f>+M227+I227+J227</f>
        <v/>
      </c>
      <c r="O227" s="17">
        <f>+F227</f>
        <v/>
      </c>
      <c r="P227" s="17">
        <f>+K227+L227</f>
        <v/>
      </c>
      <c r="Q227" s="17">
        <f>+G227</f>
        <v/>
      </c>
      <c r="AH227" s="20" t="inlineStr">
        <is>
          <t xml:space="preserve">        (1) 기타부동산</t>
        </is>
      </c>
      <c r="AI227" s="847" t="n">
        <v>0</v>
      </c>
    </row>
    <row r="228">
      <c r="A228" s="696" t="n">
        <v>227</v>
      </c>
      <c r="B228" s="34" t="inlineStr">
        <is>
          <t xml:space="preserve">　  [비금융부채]</t>
        </is>
      </c>
      <c r="D228" s="34" t="n">
        <v>0</v>
      </c>
      <c r="E228" s="34" t="n">
        <v>0</v>
      </c>
      <c r="F228" s="34" t="n">
        <v>0</v>
      </c>
      <c r="G228" s="34" t="n">
        <v>0</v>
      </c>
      <c r="H228" s="148" t="n">
        <v>0</v>
      </c>
      <c r="I228" s="34" t="n">
        <v>0</v>
      </c>
      <c r="J228" s="34" t="n">
        <v>0</v>
      </c>
      <c r="K228" s="34" t="n">
        <v>0</v>
      </c>
      <c r="L228" s="34" t="n">
        <v>0</v>
      </c>
      <c r="M228" s="34" t="n">
        <v>0</v>
      </c>
      <c r="N228" s="17">
        <f>+M228+I228+J228</f>
        <v/>
      </c>
      <c r="O228" s="17">
        <f>+F228</f>
        <v/>
      </c>
      <c r="P228" s="17">
        <f>+K228+L228</f>
        <v/>
      </c>
      <c r="Q228" s="17">
        <f>+G228</f>
        <v/>
      </c>
      <c r="AH228" s="20" t="inlineStr">
        <is>
          <t xml:space="preserve">      10.해 외 부 동 산 </t>
        </is>
      </c>
      <c r="AI228" s="847" t="n">
        <v>0</v>
      </c>
    </row>
    <row r="229">
      <c r="A229" s="696" t="n">
        <v>228</v>
      </c>
      <c r="B229" s="34" t="inlineStr">
        <is>
          <t xml:space="preserve">　  [매각예정처분자산집단에포함된부채]</t>
        </is>
      </c>
      <c r="D229" s="34" t="n">
        <v>0</v>
      </c>
      <c r="E229" s="34" t="n">
        <v>0</v>
      </c>
      <c r="F229" s="34" t="n">
        <v>0</v>
      </c>
      <c r="G229" s="34" t="n">
        <v>0</v>
      </c>
      <c r="H229" s="148" t="n">
        <v>0</v>
      </c>
      <c r="I229" s="34" t="n">
        <v>0</v>
      </c>
      <c r="J229" s="34" t="n">
        <v>0</v>
      </c>
      <c r="K229" s="34" t="n">
        <v>0</v>
      </c>
      <c r="L229" s="34" t="n">
        <v>0</v>
      </c>
      <c r="M229" s="34" t="n">
        <v>0</v>
      </c>
      <c r="N229" s="17">
        <f>+M229+I229+J229</f>
        <v/>
      </c>
      <c r="O229" s="17">
        <f>+F229</f>
        <v/>
      </c>
      <c r="P229" s="17">
        <f>+K229+L229</f>
        <v/>
      </c>
      <c r="Q229" s="17">
        <f>+G229</f>
        <v/>
      </c>
      <c r="AH229" s="20" t="inlineStr">
        <is>
          <t xml:space="preserve">        (손상차손누계액)</t>
        </is>
      </c>
      <c r="AI229" s="847" t="n">
        <v>0</v>
      </c>
    </row>
    <row r="230">
      <c r="A230" s="696" t="n">
        <v>229</v>
      </c>
      <c r="B230" s="34" t="inlineStr">
        <is>
          <t xml:space="preserve">　  [특별계정부채]</t>
        </is>
      </c>
      <c r="D230" s="34" t="n">
        <v>0</v>
      </c>
      <c r="E230" s="34" t="n">
        <v>0</v>
      </c>
      <c r="F230" s="34" t="n">
        <v>0</v>
      </c>
      <c r="G230" s="34" t="n">
        <v>0</v>
      </c>
      <c r="H230" s="148" t="n">
        <v>0</v>
      </c>
      <c r="I230" s="34" t="n">
        <v>0</v>
      </c>
      <c r="J230" s="34" t="n">
        <v>0</v>
      </c>
      <c r="K230" s="34" t="n">
        <v>0</v>
      </c>
      <c r="L230" s="34" t="n">
        <v>0</v>
      </c>
      <c r="M230" s="34" t="n">
        <v>0</v>
      </c>
      <c r="N230" s="17">
        <f>+M230+I230+J230</f>
        <v/>
      </c>
      <c r="O230" s="17">
        <f>+F230</f>
        <v/>
      </c>
      <c r="P230" s="17">
        <f>+K230+L230</f>
        <v/>
      </c>
      <c r="Q230" s="17">
        <f>+G230</f>
        <v/>
      </c>
      <c r="AH230" s="20" t="inlineStr">
        <is>
          <t xml:space="preserve">        (감가상각누계액)</t>
        </is>
      </c>
      <c r="AI230" s="847" t="n">
        <v>0</v>
      </c>
    </row>
    <row r="231">
      <c r="A231" s="696" t="n">
        <v>230</v>
      </c>
      <c r="B231" s="34" t="inlineStr">
        <is>
          <t xml:space="preserve">　  Ⅰ.책 임 준 비 금</t>
        </is>
      </c>
      <c r="D231" s="33" t="n">
        <v>-29176448156574</v>
      </c>
      <c r="E231" s="34" t="n">
        <v>0</v>
      </c>
      <c r="F231" s="33" t="n">
        <v>-13271261101982</v>
      </c>
      <c r="G231" s="33" t="n">
        <v>-354308229714</v>
      </c>
      <c r="H231" s="147" t="n">
        <v>-15550878824878</v>
      </c>
      <c r="I231" s="33" t="n">
        <v>-1628450172084</v>
      </c>
      <c r="J231" s="33" t="n">
        <v>-33745499406</v>
      </c>
      <c r="K231" s="33" t="n">
        <v>-15789160022</v>
      </c>
      <c r="L231" s="33" t="n">
        <v>-1857078392897</v>
      </c>
      <c r="M231" s="33" t="n">
        <v>-12015815600469</v>
      </c>
      <c r="N231" s="17">
        <f>+M231+I231+J231</f>
        <v/>
      </c>
      <c r="O231" s="17">
        <f>+F231</f>
        <v/>
      </c>
      <c r="P231" s="17">
        <f>+K231+L231</f>
        <v/>
      </c>
      <c r="Q231" s="17">
        <f>+G231</f>
        <v/>
      </c>
      <c r="AH231" s="20" t="inlineStr">
        <is>
          <t xml:space="preserve">        (1) 해외부동산</t>
        </is>
      </c>
      <c r="AI231" s="847" t="n">
        <v>0</v>
      </c>
    </row>
    <row r="232">
      <c r="A232" s="696" t="n">
        <v>231</v>
      </c>
      <c r="B232" s="34" t="inlineStr">
        <is>
          <t xml:space="preserve">　　     1.보험계약부채</t>
        </is>
      </c>
      <c r="D232" s="33" t="n">
        <v>-26996698255523</v>
      </c>
      <c r="E232" s="34" t="n">
        <v>0</v>
      </c>
      <c r="F232" s="34" t="n">
        <v>0</v>
      </c>
      <c r="G232" s="34" t="n">
        <v>0</v>
      </c>
      <c r="H232" s="147" t="n">
        <v>-26996698255523</v>
      </c>
      <c r="I232" s="34" t="n">
        <v>0</v>
      </c>
      <c r="J232" s="34" t="n">
        <v>0</v>
      </c>
      <c r="K232" s="34" t="n">
        <v>0</v>
      </c>
      <c r="L232" s="34" t="n">
        <v>0</v>
      </c>
      <c r="M232" s="33" t="n">
        <v>-26996698255523</v>
      </c>
      <c r="N232" s="17">
        <f>+M232+I232+J232</f>
        <v/>
      </c>
      <c r="O232" s="17">
        <f>+F232</f>
        <v/>
      </c>
      <c r="P232" s="17">
        <f>+K232+L232</f>
        <v/>
      </c>
      <c r="Q232" s="17">
        <f>+G232</f>
        <v/>
      </c>
      <c r="AH232" s="20" t="inlineStr">
        <is>
          <t xml:space="preserve">  X. 투 자 부 동 산 </t>
        </is>
      </c>
      <c r="AI232" s="847" t="n">
        <v>0</v>
      </c>
    </row>
    <row r="233">
      <c r="A233" s="696" t="n">
        <v>232</v>
      </c>
      <c r="B233" s="34" t="inlineStr">
        <is>
          <t xml:space="preserve">　　　      [보험계약대출]</t>
        </is>
      </c>
      <c r="D233" s="34" t="n">
        <v>0</v>
      </c>
      <c r="E233" s="34" t="n">
        <v>0</v>
      </c>
      <c r="F233" s="34" t="n">
        <v>0</v>
      </c>
      <c r="G233" s="34" t="n">
        <v>0</v>
      </c>
      <c r="H233" s="148" t="n">
        <v>0</v>
      </c>
      <c r="I233" s="34" t="n">
        <v>0</v>
      </c>
      <c r="J233" s="34" t="n">
        <v>0</v>
      </c>
      <c r="K233" s="34" t="n">
        <v>0</v>
      </c>
      <c r="L233" s="34" t="n">
        <v>0</v>
      </c>
      <c r="M233" s="34" t="n">
        <v>0</v>
      </c>
      <c r="N233" s="17">
        <f>+M233+I233+J233</f>
        <v/>
      </c>
      <c r="O233" s="17">
        <f>+F233</f>
        <v/>
      </c>
      <c r="P233" s="17">
        <f>+K233+L233</f>
        <v/>
      </c>
      <c r="Q233" s="17">
        <f>+G233</f>
        <v/>
      </c>
      <c r="AH233" s="20" t="inlineStr">
        <is>
          <t xml:space="preserve">      1.토   지</t>
        </is>
      </c>
      <c r="AI233" s="847" t="n">
        <v>0</v>
      </c>
    </row>
    <row r="234">
      <c r="A234" s="696" t="n">
        <v>233</v>
      </c>
      <c r="B234" s="34" t="inlineStr">
        <is>
          <t xml:space="preserve">　　　      [계약자배당부채]</t>
        </is>
      </c>
      <c r="D234" s="34" t="n">
        <v>0</v>
      </c>
      <c r="E234" s="34" t="n">
        <v>0</v>
      </c>
      <c r="F234" s="34" t="n">
        <v>0</v>
      </c>
      <c r="G234" s="34" t="n">
        <v>0</v>
      </c>
      <c r="H234" s="148" t="n">
        <v>0</v>
      </c>
      <c r="I234" s="34" t="n">
        <v>0</v>
      </c>
      <c r="J234" s="34" t="n">
        <v>0</v>
      </c>
      <c r="K234" s="34" t="n">
        <v>0</v>
      </c>
      <c r="L234" s="34" t="n">
        <v>0</v>
      </c>
      <c r="M234" s="34" t="n">
        <v>0</v>
      </c>
      <c r="N234" s="17">
        <f>+M234+I234+J234</f>
        <v/>
      </c>
      <c r="O234" s="17">
        <f>+F234</f>
        <v/>
      </c>
      <c r="P234" s="17">
        <f>+K234+L234</f>
        <v/>
      </c>
      <c r="Q234" s="17">
        <f>+G234</f>
        <v/>
      </c>
      <c r="AH234" s="20" t="inlineStr">
        <is>
          <t xml:space="preserve">        (손상차손누계액)</t>
        </is>
      </c>
      <c r="AI234" s="847" t="n">
        <v>0</v>
      </c>
    </row>
    <row r="235">
      <c r="A235" s="696" t="n">
        <v>234</v>
      </c>
      <c r="B235" s="34" t="inlineStr">
        <is>
          <t xml:space="preserve">　　　　       - 계약자배당준비금</t>
        </is>
      </c>
      <c r="D235" s="34" t="n">
        <v>0</v>
      </c>
      <c r="E235" s="34" t="n">
        <v>0</v>
      </c>
      <c r="F235" s="34" t="n">
        <v>0</v>
      </c>
      <c r="G235" s="34" t="n">
        <v>0</v>
      </c>
      <c r="H235" s="148" t="n">
        <v>0</v>
      </c>
      <c r="I235" s="34" t="n">
        <v>0</v>
      </c>
      <c r="J235" s="34" t="n">
        <v>0</v>
      </c>
      <c r="K235" s="34" t="n">
        <v>0</v>
      </c>
      <c r="L235" s="34" t="n">
        <v>0</v>
      </c>
      <c r="M235" s="34" t="n">
        <v>0</v>
      </c>
      <c r="N235" s="17">
        <f>+M235+I235+J235</f>
        <v/>
      </c>
      <c r="O235" s="17">
        <f>+F235</f>
        <v/>
      </c>
      <c r="P235" s="17">
        <f>+K235+L235</f>
        <v/>
      </c>
      <c r="Q235" s="17">
        <f>+G235</f>
        <v/>
      </c>
      <c r="AH235" s="20" t="inlineStr">
        <is>
          <t xml:space="preserve">        (1) 토지</t>
        </is>
      </c>
      <c r="AI235" s="847" t="n">
        <v>0</v>
      </c>
    </row>
    <row r="236">
      <c r="A236" s="696" t="n">
        <v>235</v>
      </c>
      <c r="B236" s="34" t="inlineStr">
        <is>
          <t xml:space="preserve">　　　　       - 계약자이익배당준비금</t>
        </is>
      </c>
      <c r="D236" s="34" t="n">
        <v>0</v>
      </c>
      <c r="E236" s="34" t="n">
        <v>0</v>
      </c>
      <c r="F236" s="34" t="n">
        <v>0</v>
      </c>
      <c r="G236" s="34" t="n">
        <v>0</v>
      </c>
      <c r="H236" s="148" t="n">
        <v>0</v>
      </c>
      <c r="I236" s="34" t="n">
        <v>0</v>
      </c>
      <c r="J236" s="34" t="n">
        <v>0</v>
      </c>
      <c r="K236" s="34" t="n">
        <v>0</v>
      </c>
      <c r="L236" s="34" t="n">
        <v>0</v>
      </c>
      <c r="M236" s="34" t="n">
        <v>0</v>
      </c>
      <c r="N236" s="17">
        <f>+M236+I236+J236</f>
        <v/>
      </c>
      <c r="O236" s="17">
        <f>+F236</f>
        <v/>
      </c>
      <c r="P236" s="17">
        <f>+K236+L236</f>
        <v/>
      </c>
      <c r="Q236" s="17">
        <f>+G236</f>
        <v/>
      </c>
      <c r="AH236" s="20" t="inlineStr">
        <is>
          <t xml:space="preserve">      2.건   물 </t>
        </is>
      </c>
      <c r="AI236" s="847" t="n">
        <v>0</v>
      </c>
    </row>
    <row r="237">
      <c r="A237" s="696" t="n">
        <v>236</v>
      </c>
      <c r="B237" s="34" t="inlineStr">
        <is>
          <t xml:space="preserve">　　　　       - 배당보험손실보전준비금</t>
        </is>
      </c>
      <c r="D237" s="34" t="n">
        <v>0</v>
      </c>
      <c r="E237" s="34" t="n">
        <v>0</v>
      </c>
      <c r="F237" s="34" t="n">
        <v>0</v>
      </c>
      <c r="G237" s="34" t="n">
        <v>0</v>
      </c>
      <c r="H237" s="148" t="n">
        <v>0</v>
      </c>
      <c r="I237" s="34" t="n">
        <v>0</v>
      </c>
      <c r="J237" s="34" t="n">
        <v>0</v>
      </c>
      <c r="K237" s="34" t="n">
        <v>0</v>
      </c>
      <c r="L237" s="34" t="n">
        <v>0</v>
      </c>
      <c r="M237" s="34" t="n">
        <v>0</v>
      </c>
      <c r="N237" s="17">
        <f>+M237+I237+J237</f>
        <v/>
      </c>
      <c r="O237" s="17">
        <f>+F237</f>
        <v/>
      </c>
      <c r="P237" s="17">
        <f>+K237+L237</f>
        <v/>
      </c>
      <c r="Q237" s="17">
        <f>+G237</f>
        <v/>
      </c>
      <c r="AH237" s="20" t="inlineStr">
        <is>
          <t xml:space="preserve">        (감가상각누계액)</t>
        </is>
      </c>
      <c r="AI237" s="847" t="n">
        <v>0</v>
      </c>
    </row>
    <row r="238">
      <c r="A238" s="696" t="n">
        <v>237</v>
      </c>
      <c r="B238" s="34" t="inlineStr">
        <is>
          <t xml:space="preserve">　　　　       - 계약자배당안정화준비금</t>
        </is>
      </c>
      <c r="D238" s="34" t="n">
        <v>0</v>
      </c>
      <c r="E238" s="34" t="n">
        <v>0</v>
      </c>
      <c r="F238" s="34" t="n">
        <v>0</v>
      </c>
      <c r="G238" s="34" t="n">
        <v>0</v>
      </c>
      <c r="H238" s="148" t="n">
        <v>0</v>
      </c>
      <c r="I238" s="34" t="n">
        <v>0</v>
      </c>
      <c r="J238" s="34" t="n">
        <v>0</v>
      </c>
      <c r="K238" s="34" t="n">
        <v>0</v>
      </c>
      <c r="L238" s="34" t="n">
        <v>0</v>
      </c>
      <c r="M238" s="34" t="n">
        <v>0</v>
      </c>
      <c r="N238" s="17">
        <f>+M238+I238+J238</f>
        <v/>
      </c>
      <c r="O238" s="17">
        <f>+F238</f>
        <v/>
      </c>
      <c r="P238" s="17">
        <f>+K238+L238</f>
        <v/>
      </c>
      <c r="Q238" s="17">
        <f>+G238</f>
        <v/>
      </c>
      <c r="AH238" s="20" t="inlineStr">
        <is>
          <t xml:space="preserve">        (손상차손누계액)</t>
        </is>
      </c>
      <c r="AI238" s="847" t="n">
        <v>0</v>
      </c>
    </row>
    <row r="239">
      <c r="A239" s="696" t="n">
        <v>238</v>
      </c>
      <c r="B239" s="34" t="inlineStr">
        <is>
          <t xml:space="preserve">　　　      [보증준비금]</t>
        </is>
      </c>
      <c r="D239" s="34" t="n">
        <v>0</v>
      </c>
      <c r="E239" s="34" t="n">
        <v>0</v>
      </c>
      <c r="F239" s="34" t="n">
        <v>0</v>
      </c>
      <c r="G239" s="34" t="n">
        <v>0</v>
      </c>
      <c r="H239" s="148" t="n">
        <v>0</v>
      </c>
      <c r="I239" s="34" t="n">
        <v>0</v>
      </c>
      <c r="J239" s="34" t="n">
        <v>0</v>
      </c>
      <c r="K239" s="34" t="n">
        <v>0</v>
      </c>
      <c r="L239" s="34" t="n">
        <v>0</v>
      </c>
      <c r="M239" s="34" t="n">
        <v>0</v>
      </c>
      <c r="N239" s="17">
        <f>+M239+I239+J239</f>
        <v/>
      </c>
      <c r="O239" s="17">
        <f>+F239</f>
        <v/>
      </c>
      <c r="P239" s="17">
        <f>+K239+L239</f>
        <v/>
      </c>
      <c r="Q239" s="17">
        <f>+G239</f>
        <v/>
      </c>
      <c r="AH239" s="20" t="inlineStr">
        <is>
          <t xml:space="preserve">        (1) 건물</t>
        </is>
      </c>
      <c r="AI239" s="847" t="n">
        <v>0</v>
      </c>
    </row>
    <row r="240">
      <c r="A240" s="696" t="n">
        <v>239</v>
      </c>
      <c r="B240" s="34" t="inlineStr">
        <is>
          <t xml:space="preserve">　　　      가.잔여보장요소</t>
        </is>
      </c>
      <c r="D240" s="33" t="n">
        <v>-26584497012657</v>
      </c>
      <c r="E240" s="34" t="n">
        <v>0</v>
      </c>
      <c r="F240" s="34" t="n">
        <v>0</v>
      </c>
      <c r="G240" s="34" t="n">
        <v>0</v>
      </c>
      <c r="H240" s="147" t="n">
        <v>-26584497012657</v>
      </c>
      <c r="I240" s="34" t="n">
        <v>0</v>
      </c>
      <c r="J240" s="34" t="n">
        <v>0</v>
      </c>
      <c r="K240" s="34" t="n">
        <v>0</v>
      </c>
      <c r="L240" s="34" t="n">
        <v>0</v>
      </c>
      <c r="M240" s="33" t="n">
        <v>-26584497012657</v>
      </c>
      <c r="N240" s="17">
        <f>+M240+I240+J240</f>
        <v/>
      </c>
      <c r="O240" s="17">
        <f>+F240</f>
        <v/>
      </c>
      <c r="P240" s="17">
        <f>+K240+L240</f>
        <v/>
      </c>
      <c r="Q240" s="17">
        <f>+G240</f>
        <v/>
      </c>
      <c r="AH240" s="20" t="inlineStr">
        <is>
          <t xml:space="preserve">      3.구 축 물 </t>
        </is>
      </c>
      <c r="AI240" s="847" t="n">
        <v>0</v>
      </c>
    </row>
    <row r="241">
      <c r="A241" s="696" t="n">
        <v>240</v>
      </c>
      <c r="B241" s="34" t="inlineStr">
        <is>
          <t xml:space="preserve">　　　　       (1) 최선추정</t>
        </is>
      </c>
      <c r="D241" s="33" t="n">
        <v>-24123277596189</v>
      </c>
      <c r="E241" s="34" t="n">
        <v>0</v>
      </c>
      <c r="F241" s="34" t="n">
        <v>0</v>
      </c>
      <c r="G241" s="34" t="n">
        <v>0</v>
      </c>
      <c r="H241" s="147" t="n">
        <v>-24123277596189</v>
      </c>
      <c r="I241" s="34" t="n">
        <v>0</v>
      </c>
      <c r="J241" s="34" t="n">
        <v>0</v>
      </c>
      <c r="K241" s="34" t="n">
        <v>0</v>
      </c>
      <c r="L241" s="34" t="n">
        <v>0</v>
      </c>
      <c r="M241" s="33" t="n">
        <v>-24123277596189</v>
      </c>
      <c r="N241" s="17">
        <f>+M241+I241+J241</f>
        <v/>
      </c>
      <c r="O241" s="17">
        <f>+F241</f>
        <v/>
      </c>
      <c r="P241" s="17">
        <f>+K241+L241</f>
        <v/>
      </c>
      <c r="Q241" s="17">
        <f>+G241</f>
        <v/>
      </c>
      <c r="AH241" s="20" t="inlineStr">
        <is>
          <t xml:space="preserve">        (감가상각누계액)</t>
        </is>
      </c>
      <c r="AI241" s="847" t="n">
        <v>0</v>
      </c>
    </row>
    <row r="242">
      <c r="A242" s="696" t="n">
        <v>241</v>
      </c>
      <c r="B242" s="34" t="inlineStr">
        <is>
          <t xml:space="preserve">　　　　       (2) 위험조정</t>
        </is>
      </c>
      <c r="D242" s="33" t="n">
        <v>-402796296421</v>
      </c>
      <c r="E242" s="34" t="n">
        <v>0</v>
      </c>
      <c r="F242" s="34" t="n">
        <v>0</v>
      </c>
      <c r="G242" s="34" t="n">
        <v>0</v>
      </c>
      <c r="H242" s="147" t="n">
        <v>-402796296421</v>
      </c>
      <c r="I242" s="34" t="n">
        <v>0</v>
      </c>
      <c r="J242" s="34" t="n">
        <v>0</v>
      </c>
      <c r="K242" s="34" t="n">
        <v>0</v>
      </c>
      <c r="L242" s="34" t="n">
        <v>0</v>
      </c>
      <c r="M242" s="33" t="n">
        <v>-402796296421</v>
      </c>
      <c r="N242" s="17">
        <f>+M242+I242+J242</f>
        <v/>
      </c>
      <c r="O242" s="17">
        <f>+F242</f>
        <v/>
      </c>
      <c r="P242" s="17">
        <f>+K242+L242</f>
        <v/>
      </c>
      <c r="Q242" s="17">
        <f>+G242</f>
        <v/>
      </c>
      <c r="AH242" s="20" t="inlineStr">
        <is>
          <t xml:space="preserve">        (손상차손누계액)</t>
        </is>
      </c>
      <c r="AI242" s="847" t="n">
        <v>0</v>
      </c>
    </row>
    <row r="243">
      <c r="A243" s="696" t="n">
        <v>242</v>
      </c>
      <c r="B243" s="34" t="inlineStr">
        <is>
          <t xml:space="preserve">　　　　       (3) 보험계약마진</t>
        </is>
      </c>
      <c r="D243" s="33" t="n">
        <v>-2058423120047</v>
      </c>
      <c r="E243" s="34" t="n">
        <v>0</v>
      </c>
      <c r="F243" s="34" t="n">
        <v>0</v>
      </c>
      <c r="G243" s="34" t="n">
        <v>0</v>
      </c>
      <c r="H243" s="147" t="n">
        <v>-2058423120047</v>
      </c>
      <c r="I243" s="34" t="n">
        <v>0</v>
      </c>
      <c r="J243" s="34" t="n">
        <v>0</v>
      </c>
      <c r="K243" s="34" t="n">
        <v>0</v>
      </c>
      <c r="L243" s="34" t="n">
        <v>0</v>
      </c>
      <c r="M243" s="33" t="n">
        <v>-2058423120047</v>
      </c>
      <c r="N243" s="17">
        <f>+M243+I243+J243</f>
        <v/>
      </c>
      <c r="O243" s="17">
        <f>+F243</f>
        <v/>
      </c>
      <c r="P243" s="17">
        <f>+K243+L243</f>
        <v/>
      </c>
      <c r="Q243" s="17">
        <f>+G243</f>
        <v/>
      </c>
      <c r="AH243" s="20" t="inlineStr">
        <is>
          <t xml:space="preserve">        (1) 구축물 </t>
        </is>
      </c>
      <c r="AI243" s="847" t="n">
        <v>0</v>
      </c>
    </row>
    <row r="244">
      <c r="A244" s="696" t="n">
        <v>243</v>
      </c>
      <c r="B244" s="34" t="inlineStr">
        <is>
          <t xml:space="preserve">　　　　       (4) 보험료배분접근법적용</t>
        </is>
      </c>
      <c r="D244" s="34" t="n">
        <v>0</v>
      </c>
      <c r="E244" s="34" t="n">
        <v>0</v>
      </c>
      <c r="F244" s="34" t="n">
        <v>0</v>
      </c>
      <c r="G244" s="34" t="n">
        <v>0</v>
      </c>
      <c r="H244" s="148" t="n">
        <v>0</v>
      </c>
      <c r="I244" s="34" t="n">
        <v>0</v>
      </c>
      <c r="J244" s="34" t="n">
        <v>0</v>
      </c>
      <c r="K244" s="34" t="n">
        <v>0</v>
      </c>
      <c r="L244" s="34" t="n">
        <v>0</v>
      </c>
      <c r="M244" s="34" t="n">
        <v>0</v>
      </c>
      <c r="N244" s="17">
        <f>+M244+I244+J244</f>
        <v/>
      </c>
      <c r="O244" s="17">
        <f>+F244</f>
        <v/>
      </c>
      <c r="P244" s="17">
        <f>+K244+L244</f>
        <v/>
      </c>
      <c r="Q244" s="17">
        <f>+G244</f>
        <v/>
      </c>
      <c r="AH244" s="20" t="inlineStr">
        <is>
          <t xml:space="preserve">      4.기타 부동산</t>
        </is>
      </c>
      <c r="AI244" s="847" t="n">
        <v>0</v>
      </c>
    </row>
    <row r="245">
      <c r="A245" s="696" t="n">
        <v>244</v>
      </c>
      <c r="B245" s="34" t="inlineStr">
        <is>
          <t xml:space="preserve">　　　      나.발생사고요소</t>
        </is>
      </c>
      <c r="D245" s="33" t="n">
        <v>-412201242866</v>
      </c>
      <c r="E245" s="34" t="n">
        <v>0</v>
      </c>
      <c r="F245" s="34" t="n">
        <v>0</v>
      </c>
      <c r="G245" s="34" t="n">
        <v>0</v>
      </c>
      <c r="H245" s="147" t="n">
        <v>-412201242866</v>
      </c>
      <c r="I245" s="34" t="n">
        <v>0</v>
      </c>
      <c r="J245" s="34" t="n">
        <v>0</v>
      </c>
      <c r="K245" s="34" t="n">
        <v>0</v>
      </c>
      <c r="L245" s="34" t="n">
        <v>0</v>
      </c>
      <c r="M245" s="33" t="n">
        <v>-412201242866</v>
      </c>
      <c r="N245" s="17">
        <f>+M245+I245+J245</f>
        <v/>
      </c>
      <c r="O245" s="17">
        <f>+F245</f>
        <v/>
      </c>
      <c r="P245" s="17">
        <f>+K245+L245</f>
        <v/>
      </c>
      <c r="Q245" s="17">
        <f>+G245</f>
        <v/>
      </c>
      <c r="AH245" s="20" t="inlineStr">
        <is>
          <t xml:space="preserve">        (감가상각누계액)</t>
        </is>
      </c>
      <c r="AI245" s="847" t="n">
        <v>0</v>
      </c>
    </row>
    <row r="246">
      <c r="A246" s="696" t="n">
        <v>245</v>
      </c>
      <c r="B246" s="34" t="inlineStr">
        <is>
          <t xml:space="preserve">　　　　       (1) 최선추정</t>
        </is>
      </c>
      <c r="D246" s="33" t="n">
        <v>-408951038243</v>
      </c>
      <c r="E246" s="34" t="n">
        <v>0</v>
      </c>
      <c r="F246" s="34" t="n">
        <v>0</v>
      </c>
      <c r="G246" s="34" t="n">
        <v>0</v>
      </c>
      <c r="H246" s="147" t="n">
        <v>-408951038243</v>
      </c>
      <c r="I246" s="34" t="n">
        <v>0</v>
      </c>
      <c r="J246" s="34" t="n">
        <v>0</v>
      </c>
      <c r="K246" s="34" t="n">
        <v>0</v>
      </c>
      <c r="L246" s="34" t="n">
        <v>0</v>
      </c>
      <c r="M246" s="33" t="n">
        <v>-408951038243</v>
      </c>
      <c r="N246" s="17">
        <f>+M246+I246+J246</f>
        <v/>
      </c>
      <c r="O246" s="17">
        <f>+F246</f>
        <v/>
      </c>
      <c r="P246" s="17">
        <f>+K246+L246</f>
        <v/>
      </c>
      <c r="Q246" s="17">
        <f>+G246</f>
        <v/>
      </c>
      <c r="AH246" s="20" t="inlineStr">
        <is>
          <t xml:space="preserve">        (1) 기타부동산</t>
        </is>
      </c>
      <c r="AI246" s="847" t="n">
        <v>0</v>
      </c>
    </row>
    <row r="247">
      <c r="A247" s="696" t="n">
        <v>246</v>
      </c>
      <c r="B247" s="34" t="inlineStr">
        <is>
          <t xml:space="preserve">　　　　       (2) 위험조정</t>
        </is>
      </c>
      <c r="D247" s="33" t="n">
        <v>-3250204623</v>
      </c>
      <c r="E247" s="34" t="n">
        <v>0</v>
      </c>
      <c r="F247" s="34" t="n">
        <v>0</v>
      </c>
      <c r="G247" s="34" t="n">
        <v>0</v>
      </c>
      <c r="H247" s="147" t="n">
        <v>-3250204623</v>
      </c>
      <c r="I247" s="34" t="n">
        <v>0</v>
      </c>
      <c r="J247" s="34" t="n">
        <v>0</v>
      </c>
      <c r="K247" s="34" t="n">
        <v>0</v>
      </c>
      <c r="L247" s="34" t="n">
        <v>0</v>
      </c>
      <c r="M247" s="33" t="n">
        <v>-3250204623</v>
      </c>
      <c r="N247" s="17">
        <f>+M247+I247+J247</f>
        <v/>
      </c>
      <c r="O247" s="17">
        <f>+F247</f>
        <v/>
      </c>
      <c r="P247" s="17">
        <f>+K247+L247</f>
        <v/>
      </c>
      <c r="Q247" s="17">
        <f>+G247</f>
        <v/>
      </c>
      <c r="AH247" s="20" t="inlineStr">
        <is>
          <t xml:space="preserve">      5.해외 부동산</t>
        </is>
      </c>
      <c r="AI247" s="847" t="n">
        <v>0</v>
      </c>
    </row>
    <row r="248">
      <c r="A248" s="696" t="n">
        <v>247</v>
      </c>
      <c r="B248" s="34" t="inlineStr">
        <is>
          <t xml:space="preserve">　　     2.재보험계약부채</t>
        </is>
      </c>
      <c r="D248" s="34" t="n">
        <v>0</v>
      </c>
      <c r="E248" s="34" t="n">
        <v>0</v>
      </c>
      <c r="F248" s="34" t="n">
        <v>0</v>
      </c>
      <c r="G248" s="34" t="n">
        <v>0</v>
      </c>
      <c r="H248" s="148" t="n">
        <v>0</v>
      </c>
      <c r="I248" s="34" t="n">
        <v>0</v>
      </c>
      <c r="J248" s="34" t="n">
        <v>0</v>
      </c>
      <c r="K248" s="34" t="n">
        <v>0</v>
      </c>
      <c r="L248" s="34" t="n">
        <v>0</v>
      </c>
      <c r="M248" s="34" t="n">
        <v>0</v>
      </c>
      <c r="N248" s="17">
        <f>+M248+I248+J248</f>
        <v/>
      </c>
      <c r="O248" s="17">
        <f>+F248</f>
        <v/>
      </c>
      <c r="P248" s="17">
        <f>+K248+L248</f>
        <v/>
      </c>
      <c r="Q248" s="17">
        <f>+G248</f>
        <v/>
      </c>
      <c r="AH248" s="20" t="inlineStr">
        <is>
          <t xml:space="preserve">        (감가상각누계액)</t>
        </is>
      </c>
      <c r="AI248" s="847" t="n">
        <v>0</v>
      </c>
    </row>
    <row r="249">
      <c r="A249" s="696" t="n">
        <v>248</v>
      </c>
      <c r="B249" s="34" t="inlineStr">
        <is>
          <t xml:space="preserve">　　　      가.잔여보장요소</t>
        </is>
      </c>
      <c r="D249" s="34" t="n">
        <v>0</v>
      </c>
      <c r="E249" s="34" t="n">
        <v>0</v>
      </c>
      <c r="F249" s="34" t="n">
        <v>0</v>
      </c>
      <c r="G249" s="34" t="n">
        <v>0</v>
      </c>
      <c r="H249" s="148" t="n">
        <v>0</v>
      </c>
      <c r="I249" s="34" t="n">
        <v>0</v>
      </c>
      <c r="J249" s="34" t="n">
        <v>0</v>
      </c>
      <c r="K249" s="34" t="n">
        <v>0</v>
      </c>
      <c r="L249" s="34" t="n">
        <v>0</v>
      </c>
      <c r="M249" s="34" t="n">
        <v>0</v>
      </c>
      <c r="N249" s="17">
        <f>+M249+I249+J249</f>
        <v/>
      </c>
      <c r="O249" s="17">
        <f>+F249</f>
        <v/>
      </c>
      <c r="P249" s="17">
        <f>+K249+L249</f>
        <v/>
      </c>
      <c r="Q249" s="17">
        <f>+G249</f>
        <v/>
      </c>
      <c r="AH249" s="20" t="inlineStr">
        <is>
          <t xml:space="preserve">        (손상차손누계액)</t>
        </is>
      </c>
      <c r="AI249" s="847" t="n">
        <v>0</v>
      </c>
    </row>
    <row r="250">
      <c r="A250" s="696" t="n">
        <v>249</v>
      </c>
      <c r="B250" s="34" t="inlineStr">
        <is>
          <t xml:space="preserve">　　　　       (1) 최선추정</t>
        </is>
      </c>
      <c r="D250" s="34" t="n">
        <v>0</v>
      </c>
      <c r="E250" s="34" t="n">
        <v>0</v>
      </c>
      <c r="F250" s="34" t="n">
        <v>0</v>
      </c>
      <c r="G250" s="34" t="n">
        <v>0</v>
      </c>
      <c r="H250" s="148" t="n">
        <v>0</v>
      </c>
      <c r="I250" s="34" t="n">
        <v>0</v>
      </c>
      <c r="J250" s="34" t="n">
        <v>0</v>
      </c>
      <c r="K250" s="34" t="n">
        <v>0</v>
      </c>
      <c r="L250" s="34" t="n">
        <v>0</v>
      </c>
      <c r="M250" s="34" t="n">
        <v>0</v>
      </c>
      <c r="N250" s="17">
        <f>+M250+I250+J250</f>
        <v/>
      </c>
      <c r="O250" s="17">
        <f>+F250</f>
        <v/>
      </c>
      <c r="P250" s="17">
        <f>+K250+L250</f>
        <v/>
      </c>
      <c r="Q250" s="17">
        <f>+G250</f>
        <v/>
      </c>
      <c r="AH250" s="20" t="inlineStr">
        <is>
          <t xml:space="preserve">        (1) 토지</t>
        </is>
      </c>
      <c r="AI250" s="847" t="n">
        <v>0</v>
      </c>
    </row>
    <row r="251">
      <c r="A251" s="696" t="n">
        <v>250</v>
      </c>
      <c r="B251" s="34" t="inlineStr">
        <is>
          <t xml:space="preserve">　　　　       (2) 위험조정</t>
        </is>
      </c>
      <c r="D251" s="34" t="n">
        <v>0</v>
      </c>
      <c r="E251" s="34" t="n">
        <v>0</v>
      </c>
      <c r="F251" s="34" t="n">
        <v>0</v>
      </c>
      <c r="G251" s="34" t="n">
        <v>0</v>
      </c>
      <c r="H251" s="148" t="n">
        <v>0</v>
      </c>
      <c r="I251" s="34" t="n">
        <v>0</v>
      </c>
      <c r="J251" s="34" t="n">
        <v>0</v>
      </c>
      <c r="K251" s="34" t="n">
        <v>0</v>
      </c>
      <c r="L251" s="34" t="n">
        <v>0</v>
      </c>
      <c r="M251" s="34" t="n">
        <v>0</v>
      </c>
      <c r="N251" s="17">
        <f>+M251+I251+J251</f>
        <v/>
      </c>
      <c r="O251" s="17">
        <f>+F251</f>
        <v/>
      </c>
      <c r="P251" s="17">
        <f>+K251+L251</f>
        <v/>
      </c>
      <c r="Q251" s="17">
        <f>+G251</f>
        <v/>
      </c>
      <c r="AH251" s="20" t="inlineStr">
        <is>
          <t xml:space="preserve">        (2) 건물</t>
        </is>
      </c>
      <c r="AI251" s="847" t="n">
        <v>0</v>
      </c>
    </row>
    <row r="252">
      <c r="A252" s="696" t="n">
        <v>251</v>
      </c>
      <c r="B252" s="34" t="inlineStr">
        <is>
          <t xml:space="preserve">　　　　       (3) 보험계약마진</t>
        </is>
      </c>
      <c r="D252" s="34" t="n">
        <v>0</v>
      </c>
      <c r="E252" s="34" t="n">
        <v>0</v>
      </c>
      <c r="F252" s="34" t="n">
        <v>0</v>
      </c>
      <c r="G252" s="34" t="n">
        <v>0</v>
      </c>
      <c r="H252" s="148" t="n">
        <v>0</v>
      </c>
      <c r="I252" s="34" t="n">
        <v>0</v>
      </c>
      <c r="J252" s="34" t="n">
        <v>0</v>
      </c>
      <c r="K252" s="34" t="n">
        <v>0</v>
      </c>
      <c r="L252" s="34" t="n">
        <v>0</v>
      </c>
      <c r="M252" s="34" t="n">
        <v>0</v>
      </c>
      <c r="N252" s="17">
        <f>+M252+I252+J252</f>
        <v/>
      </c>
      <c r="O252" s="17">
        <f>+F252</f>
        <v/>
      </c>
      <c r="P252" s="17">
        <f>+K252+L252</f>
        <v/>
      </c>
      <c r="Q252" s="17">
        <f>+G252</f>
        <v/>
      </c>
      <c r="AH252" s="20" t="inlineStr">
        <is>
          <t xml:space="preserve">        (3) 구축물 </t>
        </is>
      </c>
      <c r="AI252" s="847" t="n">
        <v>0</v>
      </c>
    </row>
    <row r="253">
      <c r="A253" s="696" t="n">
        <v>252</v>
      </c>
      <c r="B253" s="34" t="inlineStr">
        <is>
          <t xml:space="preserve">　　　　       (4) 보험료배분접근법적용</t>
        </is>
      </c>
      <c r="D253" s="34" t="n">
        <v>0</v>
      </c>
      <c r="E253" s="34" t="n">
        <v>0</v>
      </c>
      <c r="F253" s="34" t="n">
        <v>0</v>
      </c>
      <c r="G253" s="34" t="n">
        <v>0</v>
      </c>
      <c r="H253" s="148" t="n">
        <v>0</v>
      </c>
      <c r="I253" s="34" t="n">
        <v>0</v>
      </c>
      <c r="J253" s="34" t="n">
        <v>0</v>
      </c>
      <c r="K253" s="34" t="n">
        <v>0</v>
      </c>
      <c r="L253" s="34" t="n">
        <v>0</v>
      </c>
      <c r="M253" s="34" t="n">
        <v>0</v>
      </c>
      <c r="N253" s="17">
        <f>+M253+I253+J253</f>
        <v/>
      </c>
      <c r="O253" s="17">
        <f>+F253</f>
        <v/>
      </c>
      <c r="P253" s="17">
        <f>+K253+L253</f>
        <v/>
      </c>
      <c r="Q253" s="17">
        <f>+G253</f>
        <v/>
      </c>
      <c r="AH253" s="20" t="inlineStr">
        <is>
          <t xml:space="preserve">        (4) 건설중인자산</t>
        </is>
      </c>
      <c r="AI253" s="847" t="n">
        <v>0</v>
      </c>
    </row>
    <row r="254">
      <c r="A254" s="696" t="n">
        <v>253</v>
      </c>
      <c r="B254" s="34" t="inlineStr">
        <is>
          <t xml:space="preserve">　　　      나.발생사고요소</t>
        </is>
      </c>
      <c r="D254" s="34" t="n">
        <v>0</v>
      </c>
      <c r="E254" s="34" t="n">
        <v>0</v>
      </c>
      <c r="F254" s="34" t="n">
        <v>0</v>
      </c>
      <c r="G254" s="34" t="n">
        <v>0</v>
      </c>
      <c r="H254" s="148" t="n">
        <v>0</v>
      </c>
      <c r="I254" s="34" t="n">
        <v>0</v>
      </c>
      <c r="J254" s="34" t="n">
        <v>0</v>
      </c>
      <c r="K254" s="34" t="n">
        <v>0</v>
      </c>
      <c r="L254" s="34" t="n">
        <v>0</v>
      </c>
      <c r="M254" s="34" t="n">
        <v>0</v>
      </c>
      <c r="N254" s="17">
        <f>+M254+I254+J254</f>
        <v/>
      </c>
      <c r="O254" s="17">
        <f>+F254</f>
        <v/>
      </c>
      <c r="P254" s="17">
        <f>+K254+L254</f>
        <v/>
      </c>
      <c r="Q254" s="17">
        <f>+G254</f>
        <v/>
      </c>
      <c r="AH254" s="20" t="inlineStr">
        <is>
          <t xml:space="preserve">  XI. 무 형 자 산 </t>
        </is>
      </c>
      <c r="AI254" s="847" t="n">
        <v>30860278334</v>
      </c>
    </row>
    <row r="255">
      <c r="A255" s="696" t="n">
        <v>254</v>
      </c>
      <c r="B255" s="34" t="inlineStr">
        <is>
          <t xml:space="preserve">　　　　       (1) 최선추정</t>
        </is>
      </c>
      <c r="D255" s="34" t="n">
        <v>0</v>
      </c>
      <c r="E255" s="34" t="n">
        <v>0</v>
      </c>
      <c r="F255" s="34" t="n">
        <v>0</v>
      </c>
      <c r="G255" s="34" t="n">
        <v>0</v>
      </c>
      <c r="H255" s="148" t="n">
        <v>0</v>
      </c>
      <c r="I255" s="34" t="n">
        <v>0</v>
      </c>
      <c r="J255" s="34" t="n">
        <v>0</v>
      </c>
      <c r="K255" s="34" t="n">
        <v>0</v>
      </c>
      <c r="L255" s="34" t="n">
        <v>0</v>
      </c>
      <c r="M255" s="34" t="n">
        <v>0</v>
      </c>
      <c r="N255" s="17">
        <f>+M255+I255+J255</f>
        <v/>
      </c>
      <c r="O255" s="17">
        <f>+F255</f>
        <v/>
      </c>
      <c r="P255" s="17">
        <f>+K255+L255</f>
        <v/>
      </c>
      <c r="Q255" s="17">
        <f>+G255</f>
        <v/>
      </c>
      <c r="AH255" s="20" t="inlineStr">
        <is>
          <t xml:space="preserve">      (손상차손누계액)</t>
        </is>
      </c>
      <c r="AI255" s="847" t="n">
        <v>-97943900</v>
      </c>
    </row>
    <row r="256">
      <c r="A256" s="696" t="n">
        <v>255</v>
      </c>
      <c r="B256" s="34" t="inlineStr">
        <is>
          <t xml:space="preserve">　　　　       (2) 위험조정</t>
        </is>
      </c>
      <c r="D256" s="34" t="n">
        <v>0</v>
      </c>
      <c r="E256" s="34" t="n">
        <v>0</v>
      </c>
      <c r="F256" s="34" t="n">
        <v>0</v>
      </c>
      <c r="G256" s="34" t="n">
        <v>0</v>
      </c>
      <c r="H256" s="148" t="n">
        <v>0</v>
      </c>
      <c r="I256" s="34" t="n">
        <v>0</v>
      </c>
      <c r="J256" s="34" t="n">
        <v>0</v>
      </c>
      <c r="K256" s="34" t="n">
        <v>0</v>
      </c>
      <c r="L256" s="34" t="n">
        <v>0</v>
      </c>
      <c r="M256" s="34" t="n">
        <v>0</v>
      </c>
      <c r="N256" s="17">
        <f>+M256+I256+J256</f>
        <v/>
      </c>
      <c r="O256" s="17">
        <f>+F256</f>
        <v/>
      </c>
      <c r="P256" s="17">
        <f>+K256+L256</f>
        <v/>
      </c>
      <c r="Q256" s="17">
        <f>+G256</f>
        <v/>
      </c>
      <c r="AH256" s="20" t="inlineStr">
        <is>
          <t xml:space="preserve">       1.영 업 권 </t>
        </is>
      </c>
      <c r="AI256" s="847" t="n">
        <v>0</v>
      </c>
    </row>
    <row r="257">
      <c r="A257" s="696" t="n">
        <v>256</v>
      </c>
      <c r="B257" s="34" t="inlineStr">
        <is>
          <t xml:space="preserve">　　     3.투자계약부채</t>
        </is>
      </c>
      <c r="D257" s="33" t="n">
        <v>-2179749901051</v>
      </c>
      <c r="E257" s="34" t="n">
        <v>0</v>
      </c>
      <c r="F257" s="34" t="n">
        <v>0</v>
      </c>
      <c r="G257" s="34" t="n">
        <v>0</v>
      </c>
      <c r="H257" s="147" t="n">
        <v>-2179749901051</v>
      </c>
      <c r="I257" s="34" t="n">
        <v>0</v>
      </c>
      <c r="J257" s="34" t="n">
        <v>0</v>
      </c>
      <c r="K257" s="34" t="n">
        <v>0</v>
      </c>
      <c r="L257" s="34" t="n">
        <v>0</v>
      </c>
      <c r="M257" s="33" t="n">
        <v>-2179749901051</v>
      </c>
      <c r="N257" s="17">
        <f>+M257+I257+J257</f>
        <v/>
      </c>
      <c r="O257" s="17">
        <f>+F257</f>
        <v/>
      </c>
      <c r="P257" s="17">
        <f>+K257+L257</f>
        <v/>
      </c>
      <c r="Q257" s="17">
        <f>+G257</f>
        <v/>
      </c>
      <c r="AH257" s="20" t="inlineStr">
        <is>
          <t xml:space="preserve">       2.소프트웨어 </t>
        </is>
      </c>
      <c r="AI257" s="847" t="n">
        <v>6147713837</v>
      </c>
    </row>
    <row r="258">
      <c r="A258" s="696" t="n">
        <v>257</v>
      </c>
      <c r="B258" s="34" t="inlineStr">
        <is>
          <t xml:space="preserve">　   II.기 타 부 채</t>
        </is>
      </c>
      <c r="D258" s="34" t="n">
        <v>0</v>
      </c>
      <c r="E258" s="33" t="n">
        <v>-59203</v>
      </c>
      <c r="F258" s="34" t="n">
        <v>0</v>
      </c>
      <c r="G258" s="34" t="n">
        <v>0</v>
      </c>
      <c r="H258" s="147" t="n">
        <v>-59203</v>
      </c>
      <c r="I258" s="34" t="n">
        <v>0</v>
      </c>
      <c r="J258" s="34" t="n">
        <v>0</v>
      </c>
      <c r="K258" s="34" t="n">
        <v>0</v>
      </c>
      <c r="L258" s="34" t="n">
        <v>0</v>
      </c>
      <c r="M258" s="33" t="n">
        <v>-59203</v>
      </c>
      <c r="N258" s="17">
        <f>+M258+I258+J258</f>
        <v/>
      </c>
      <c r="O258" s="17">
        <f>+F258</f>
        <v/>
      </c>
      <c r="P258" s="17">
        <f>+K258+L258</f>
        <v/>
      </c>
      <c r="Q258" s="17">
        <f>+G258</f>
        <v/>
      </c>
      <c r="AH258" s="20" t="inlineStr">
        <is>
          <t xml:space="preserve">       3.개 발 비 </t>
        </is>
      </c>
      <c r="AI258" s="847" t="n">
        <v>0</v>
      </c>
    </row>
    <row r="259">
      <c r="A259" s="696" t="n">
        <v>258</v>
      </c>
      <c r="B259" s="34" t="inlineStr">
        <is>
          <t xml:space="preserve">　　     [당기손익-공정가치측정지정 금융부채]</t>
        </is>
      </c>
      <c r="D259" s="34" t="n">
        <v>0</v>
      </c>
      <c r="E259" s="34" t="n">
        <v>0</v>
      </c>
      <c r="F259" s="34" t="n">
        <v>0</v>
      </c>
      <c r="G259" s="34" t="n">
        <v>0</v>
      </c>
      <c r="H259" s="148" t="n">
        <v>0</v>
      </c>
      <c r="I259" s="34" t="n">
        <v>0</v>
      </c>
      <c r="J259" s="34" t="n">
        <v>0</v>
      </c>
      <c r="K259" s="34" t="n">
        <v>0</v>
      </c>
      <c r="L259" s="34" t="n">
        <v>0</v>
      </c>
      <c r="M259" s="34" t="n">
        <v>0</v>
      </c>
      <c r="N259" s="17">
        <f>+M259+I259+J259</f>
        <v/>
      </c>
      <c r="O259" s="17">
        <f>+F259</f>
        <v/>
      </c>
      <c r="P259" s="17">
        <f>+K259+L259</f>
        <v/>
      </c>
      <c r="Q259" s="17">
        <f>+G259</f>
        <v/>
      </c>
      <c r="AH259" s="20" t="inlineStr">
        <is>
          <t xml:space="preserve">       4.기타의무형자산 </t>
        </is>
      </c>
      <c r="AI259" s="847" t="n">
        <v>24810508397</v>
      </c>
    </row>
    <row r="260">
      <c r="A260" s="696" t="n">
        <v>259</v>
      </c>
      <c r="B260" s="34" t="inlineStr">
        <is>
          <t xml:space="preserve">　　      1.미지급금</t>
        </is>
      </c>
      <c r="D260" s="34" t="n">
        <v>0</v>
      </c>
      <c r="E260" s="34" t="n">
        <v>0</v>
      </c>
      <c r="F260" s="34" t="n">
        <v>0</v>
      </c>
      <c r="G260" s="34" t="n">
        <v>0</v>
      </c>
      <c r="H260" s="148" t="n">
        <v>0</v>
      </c>
      <c r="I260" s="34" t="n">
        <v>0</v>
      </c>
      <c r="J260" s="34" t="n">
        <v>0</v>
      </c>
      <c r="K260" s="34" t="n">
        <v>0</v>
      </c>
      <c r="L260" s="34" t="n">
        <v>0</v>
      </c>
      <c r="M260" s="34" t="n">
        <v>0</v>
      </c>
      <c r="N260" s="17">
        <f>+M260+I260+J260</f>
        <v/>
      </c>
      <c r="O260" s="17">
        <f>+F260</f>
        <v/>
      </c>
      <c r="P260" s="17">
        <f>+K260+L260</f>
        <v/>
      </c>
      <c r="Q260" s="17">
        <f>+G260</f>
        <v/>
      </c>
      <c r="AH260" s="20" t="inlineStr">
        <is>
          <t xml:space="preserve">       5.기    타</t>
        </is>
      </c>
      <c r="AI260" s="847" t="n">
        <v>0</v>
      </c>
    </row>
    <row r="261">
      <c r="A261" s="696" t="n">
        <v>260</v>
      </c>
      <c r="B261" s="34" t="inlineStr">
        <is>
          <t xml:space="preserve">　　      2.미지급비용</t>
        </is>
      </c>
      <c r="D261" s="34" t="n">
        <v>0</v>
      </c>
      <c r="E261" s="33" t="n">
        <v>-59203</v>
      </c>
      <c r="F261" s="34" t="n">
        <v>0</v>
      </c>
      <c r="G261" s="34" t="n">
        <v>0</v>
      </c>
      <c r="H261" s="147" t="n">
        <v>-59203</v>
      </c>
      <c r="I261" s="34" t="n">
        <v>0</v>
      </c>
      <c r="J261" s="34" t="n">
        <v>0</v>
      </c>
      <c r="K261" s="34" t="n">
        <v>0</v>
      </c>
      <c r="L261" s="34" t="n">
        <v>0</v>
      </c>
      <c r="M261" s="33" t="n">
        <v>-59203</v>
      </c>
      <c r="N261" s="17">
        <f>+M261+I261+J261</f>
        <v/>
      </c>
      <c r="O261" s="17">
        <f>+F261</f>
        <v/>
      </c>
      <c r="P261" s="17">
        <f>+K261+L261</f>
        <v/>
      </c>
      <c r="Q261" s="17">
        <f>+G261</f>
        <v/>
      </c>
      <c r="AH261" s="20" t="inlineStr">
        <is>
          <t xml:space="preserve">         (1) 관리운영권</t>
        </is>
      </c>
      <c r="AI261" s="847" t="n">
        <v>0</v>
      </c>
    </row>
    <row r="262">
      <c r="A262" s="696" t="n">
        <v>261</v>
      </c>
      <c r="B262" s="34" t="inlineStr">
        <is>
          <t xml:space="preserve">　　      3.미지급법인세</t>
        </is>
      </c>
      <c r="D262" s="33" t="n">
        <v>-1242232222863</v>
      </c>
      <c r="E262" s="33" t="n">
        <v>-29281993757</v>
      </c>
      <c r="F262" s="33" t="n">
        <v>-51887016940</v>
      </c>
      <c r="G262" s="33" t="n">
        <v>-2318499958</v>
      </c>
      <c r="H262" s="147" t="n">
        <v>-1217308699722</v>
      </c>
      <c r="I262" s="33" t="n">
        <v>-6279122316</v>
      </c>
      <c r="J262" s="33" t="n">
        <v>-1116787767</v>
      </c>
      <c r="K262" s="33" t="n">
        <v>-1457236758</v>
      </c>
      <c r="L262" s="33" t="n">
        <v>-22863815994</v>
      </c>
      <c r="M262" s="33" t="n">
        <v>-1185591736887</v>
      </c>
      <c r="N262" s="17">
        <f>+M262+I262+J262</f>
        <v/>
      </c>
      <c r="O262" s="17">
        <f>+F262</f>
        <v/>
      </c>
      <c r="P262" s="17">
        <f>+K262+L262</f>
        <v/>
      </c>
      <c r="Q262" s="17">
        <f>+G262</f>
        <v/>
      </c>
      <c r="AH262" s="20" t="inlineStr">
        <is>
          <t xml:space="preserve">         (2) 국고보조금 </t>
        </is>
      </c>
      <c r="AI262" s="847" t="n">
        <v>0</v>
      </c>
    </row>
    <row r="263">
      <c r="A263" s="696" t="n">
        <v>262</v>
      </c>
      <c r="B263" s="34" t="inlineStr">
        <is>
          <t xml:space="preserve">　　      4.당좌차월</t>
        </is>
      </c>
      <c r="D263" s="34" t="n">
        <v>0</v>
      </c>
      <c r="E263" s="34" t="n">
        <v>0</v>
      </c>
      <c r="F263" s="34" t="n">
        <v>0</v>
      </c>
      <c r="G263" s="34" t="n">
        <v>0</v>
      </c>
      <c r="H263" s="148" t="n">
        <v>0</v>
      </c>
      <c r="I263" s="34" t="n">
        <v>0</v>
      </c>
      <c r="J263" s="34" t="n">
        <v>0</v>
      </c>
      <c r="K263" s="34" t="n">
        <v>0</v>
      </c>
      <c r="L263" s="34" t="n">
        <v>0</v>
      </c>
      <c r="M263" s="34" t="n">
        <v>0</v>
      </c>
      <c r="N263" s="17">
        <f>+M263+I263+J263</f>
        <v/>
      </c>
      <c r="O263" s="17">
        <f>+F263</f>
        <v/>
      </c>
      <c r="P263" s="17">
        <f>+K263+L263</f>
        <v/>
      </c>
      <c r="Q263" s="17">
        <f>+G263</f>
        <v/>
      </c>
      <c r="AH263" s="20" t="inlineStr">
        <is>
          <t xml:space="preserve">  XII. 당 기 법 인 세 자 산 </t>
        </is>
      </c>
      <c r="AI263" s="847" t="n">
        <v>65780203593</v>
      </c>
    </row>
    <row r="264">
      <c r="A264" s="696" t="n">
        <v>263</v>
      </c>
      <c r="B264" s="34" t="inlineStr">
        <is>
          <t xml:space="preserve">　　      5.차입금</t>
        </is>
      </c>
      <c r="D264" s="33" t="n">
        <v>-10695930262</v>
      </c>
      <c r="E264" s="34" t="n">
        <v>0</v>
      </c>
      <c r="F264" s="33" t="n">
        <v>-8594128125</v>
      </c>
      <c r="G264" s="33" t="n">
        <v>-330796166</v>
      </c>
      <c r="H264" s="147" t="n">
        <v>-1771005971</v>
      </c>
      <c r="I264" s="34" t="n">
        <v>0</v>
      </c>
      <c r="J264" s="34" t="n">
        <v>0</v>
      </c>
      <c r="K264" s="34" t="n">
        <v>0</v>
      </c>
      <c r="L264" s="33" t="n">
        <v>-2689501</v>
      </c>
      <c r="M264" s="33" t="n">
        <v>-1768316470</v>
      </c>
      <c r="N264" s="17">
        <f>+M264+I264+J264</f>
        <v/>
      </c>
      <c r="O264" s="17">
        <f>+F264</f>
        <v/>
      </c>
      <c r="P264" s="17">
        <f>+K264+L264</f>
        <v/>
      </c>
      <c r="Q264" s="17">
        <f>+G264</f>
        <v/>
      </c>
      <c r="AH264" s="20" t="inlineStr">
        <is>
          <t xml:space="preserve">  XIII. 이 연 법 인 세 자 산 </t>
        </is>
      </c>
      <c r="AI264" s="847" t="n">
        <v>0</v>
      </c>
    </row>
    <row r="265">
      <c r="A265" s="696" t="n">
        <v>264</v>
      </c>
      <c r="B265" s="34" t="inlineStr">
        <is>
          <t xml:space="preserve">　　　        가.콜머니</t>
        </is>
      </c>
      <c r="D265" s="33" t="n">
        <v>-106206760963</v>
      </c>
      <c r="E265" s="34" t="n">
        <v>0</v>
      </c>
      <c r="F265" s="33" t="n">
        <v>-6529328860</v>
      </c>
      <c r="G265" s="33" t="n">
        <v>-87201842</v>
      </c>
      <c r="H265" s="147" t="n">
        <v>-99590230261</v>
      </c>
      <c r="I265" s="34" t="n">
        <v>0</v>
      </c>
      <c r="J265" s="33" t="n">
        <v>-864554</v>
      </c>
      <c r="K265" s="33" t="n">
        <v>-234035499</v>
      </c>
      <c r="L265" s="33" t="n">
        <v>-6130287315</v>
      </c>
      <c r="M265" s="33" t="n">
        <v>-93225042893</v>
      </c>
      <c r="N265" s="17">
        <f>+M265+I265+J265</f>
        <v/>
      </c>
      <c r="O265" s="17">
        <f>+F265</f>
        <v/>
      </c>
      <c r="P265" s="17">
        <f>+K265+L265</f>
        <v/>
      </c>
      <c r="Q265" s="17">
        <f>+G265</f>
        <v/>
      </c>
      <c r="AH265" s="20" t="inlineStr">
        <is>
          <t xml:space="preserve">  XIV.  기 타 자 산 </t>
        </is>
      </c>
      <c r="AI265" s="847" t="n">
        <v>8104441693</v>
      </c>
    </row>
    <row r="266">
      <c r="A266" s="696" t="n">
        <v>265</v>
      </c>
      <c r="B266" s="34" t="inlineStr">
        <is>
          <t xml:space="preserve">　　　        나.RP매도</t>
        </is>
      </c>
      <c r="D266" s="34" t="n">
        <v>0</v>
      </c>
      <c r="E266" s="34" t="n">
        <v>0</v>
      </c>
      <c r="F266" s="34" t="n">
        <v>0</v>
      </c>
      <c r="G266" s="34" t="n">
        <v>0</v>
      </c>
      <c r="H266" s="148" t="n">
        <v>0</v>
      </c>
      <c r="I266" s="34" t="n">
        <v>0</v>
      </c>
      <c r="J266" s="34" t="n">
        <v>0</v>
      </c>
      <c r="K266" s="34" t="n">
        <v>0</v>
      </c>
      <c r="L266" s="34" t="n">
        <v>0</v>
      </c>
      <c r="M266" s="34" t="n">
        <v>0</v>
      </c>
      <c r="N266" s="17">
        <f>+M266+I266+J266</f>
        <v/>
      </c>
      <c r="O266" s="17">
        <f>+F266</f>
        <v/>
      </c>
      <c r="P266" s="17">
        <f>+K266+L266</f>
        <v/>
      </c>
      <c r="Q266" s="17">
        <f>+G266</f>
        <v/>
      </c>
      <c r="AH266" s="20" t="inlineStr">
        <is>
          <t xml:space="preserve">       1.선 급 비 용 </t>
        </is>
      </c>
      <c r="AI266" s="847" t="n">
        <v>8104441693</v>
      </c>
    </row>
    <row r="267">
      <c r="A267" s="696" t="n">
        <v>266</v>
      </c>
      <c r="B267" s="34" t="inlineStr">
        <is>
          <t xml:space="preserve">　　　        다.후순위차입</t>
        </is>
      </c>
      <c r="D267" s="34" t="n">
        <v>0</v>
      </c>
      <c r="E267" s="34" t="n">
        <v>0</v>
      </c>
      <c r="F267" s="34" t="n">
        <v>0</v>
      </c>
      <c r="G267" s="34" t="n">
        <v>0</v>
      </c>
      <c r="H267" s="148" t="n">
        <v>0</v>
      </c>
      <c r="I267" s="34" t="n">
        <v>0</v>
      </c>
      <c r="J267" s="34" t="n">
        <v>0</v>
      </c>
      <c r="K267" s="34" t="n">
        <v>0</v>
      </c>
      <c r="L267" s="34" t="n">
        <v>0</v>
      </c>
      <c r="M267" s="34" t="n">
        <v>0</v>
      </c>
      <c r="N267" s="17">
        <f>+M267+I267+J267</f>
        <v/>
      </c>
      <c r="O267" s="17">
        <f>+F267</f>
        <v/>
      </c>
      <c r="P267" s="17">
        <f>+K267+L267</f>
        <v/>
      </c>
      <c r="Q267" s="17">
        <f>+G267</f>
        <v/>
      </c>
      <c r="AH267" s="20" t="inlineStr">
        <is>
          <t xml:space="preserve">       2.선 급 부 가 세 </t>
        </is>
      </c>
      <c r="AI267" s="847" t="n">
        <v>0</v>
      </c>
    </row>
    <row r="268">
      <c r="A268" s="696" t="n">
        <v>267</v>
      </c>
      <c r="B268" s="34" t="inlineStr">
        <is>
          <t xml:space="preserve">　　　        라.기업어음의발행</t>
        </is>
      </c>
      <c r="D268" s="34" t="n">
        <v>0</v>
      </c>
      <c r="E268" s="34" t="n">
        <v>0</v>
      </c>
      <c r="F268" s="34" t="n">
        <v>0</v>
      </c>
      <c r="G268" s="34" t="n">
        <v>0</v>
      </c>
      <c r="H268" s="148" t="n">
        <v>0</v>
      </c>
      <c r="I268" s="34" t="n">
        <v>0</v>
      </c>
      <c r="J268" s="34" t="n">
        <v>0</v>
      </c>
      <c r="K268" s="34" t="n">
        <v>0</v>
      </c>
      <c r="L268" s="34" t="n">
        <v>0</v>
      </c>
      <c r="M268" s="34" t="n">
        <v>0</v>
      </c>
      <c r="N268" s="17">
        <f>+M268+I268+J268</f>
        <v/>
      </c>
      <c r="O268" s="17">
        <f>+F268</f>
        <v/>
      </c>
      <c r="P268" s="17">
        <f>+K268+L268</f>
        <v/>
      </c>
      <c r="Q268" s="17">
        <f>+G268</f>
        <v/>
      </c>
      <c r="AH268" s="20" t="inlineStr">
        <is>
          <t xml:space="preserve">       3.선 급 금 </t>
        </is>
      </c>
      <c r="AI268" s="847" t="n">
        <v>0</v>
      </c>
    </row>
    <row r="269">
      <c r="A269" s="696" t="n">
        <v>268</v>
      </c>
      <c r="B269" s="34" t="inlineStr">
        <is>
          <t xml:space="preserve">　　　        마.기타</t>
        </is>
      </c>
      <c r="D269" s="34" t="n">
        <v>0</v>
      </c>
      <c r="E269" s="34" t="n">
        <v>0</v>
      </c>
      <c r="F269" s="34" t="n">
        <v>0</v>
      </c>
      <c r="G269" s="34" t="n">
        <v>0</v>
      </c>
      <c r="H269" s="148" t="n">
        <v>0</v>
      </c>
      <c r="I269" s="34" t="n">
        <v>0</v>
      </c>
      <c r="J269" s="34" t="n">
        <v>0</v>
      </c>
      <c r="K269" s="34" t="n">
        <v>0</v>
      </c>
      <c r="L269" s="34" t="n">
        <v>0</v>
      </c>
      <c r="M269" s="34" t="n">
        <v>0</v>
      </c>
      <c r="N269" s="17">
        <f>+M269+I269+J269</f>
        <v/>
      </c>
      <c r="O269" s="17">
        <f>+F269</f>
        <v/>
      </c>
      <c r="P269" s="17">
        <f>+K269+L269</f>
        <v/>
      </c>
      <c r="Q269" s="17">
        <f>+G269</f>
        <v/>
      </c>
      <c r="AH269" s="20" t="inlineStr">
        <is>
          <t xml:space="preserve">       4.가 지 급 금 </t>
        </is>
      </c>
      <c r="AI269" s="847" t="n">
        <v>0</v>
      </c>
    </row>
    <row r="270">
      <c r="A270" s="696" t="n">
        <v>269</v>
      </c>
      <c r="B270" s="34" t="inlineStr">
        <is>
          <t xml:space="preserve">　　      6.사  채</t>
        </is>
      </c>
      <c r="D270" s="34" t="n">
        <v>0</v>
      </c>
      <c r="E270" s="34" t="n">
        <v>0</v>
      </c>
      <c r="F270" s="34" t="n">
        <v>0</v>
      </c>
      <c r="G270" s="34" t="n">
        <v>0</v>
      </c>
      <c r="H270" s="148" t="n">
        <v>0</v>
      </c>
      <c r="I270" s="34" t="n">
        <v>0</v>
      </c>
      <c r="J270" s="34" t="n">
        <v>0</v>
      </c>
      <c r="K270" s="34" t="n">
        <v>0</v>
      </c>
      <c r="L270" s="34" t="n">
        <v>0</v>
      </c>
      <c r="M270" s="34" t="n">
        <v>0</v>
      </c>
      <c r="N270" s="17">
        <f>+M270+I270+J270</f>
        <v/>
      </c>
      <c r="O270" s="17">
        <f>+F270</f>
        <v/>
      </c>
      <c r="P270" s="17">
        <f>+K270+L270</f>
        <v/>
      </c>
      <c r="Q270" s="17">
        <f>+G270</f>
        <v/>
      </c>
      <c r="AH270" s="20" t="inlineStr">
        <is>
          <t xml:space="preserve">       5.기    타</t>
        </is>
      </c>
      <c r="AI270" s="847" t="n">
        <v>0</v>
      </c>
    </row>
    <row r="271">
      <c r="A271" s="696" t="n">
        <v>270</v>
      </c>
      <c r="B271" s="34" t="inlineStr">
        <is>
          <t xml:space="preserve">　　　        가.후순위채권</t>
        </is>
      </c>
      <c r="D271" s="34" t="n">
        <v>0</v>
      </c>
      <c r="E271" s="34" t="n">
        <v>0</v>
      </c>
      <c r="F271" s="34" t="n">
        <v>0</v>
      </c>
      <c r="G271" s="34" t="n">
        <v>0</v>
      </c>
      <c r="H271" s="148" t="n">
        <v>0</v>
      </c>
      <c r="I271" s="34" t="n">
        <v>0</v>
      </c>
      <c r="J271" s="34" t="n">
        <v>0</v>
      </c>
      <c r="K271" s="34" t="n">
        <v>0</v>
      </c>
      <c r="L271" s="34" t="n">
        <v>0</v>
      </c>
      <c r="M271" s="34" t="n">
        <v>0</v>
      </c>
      <c r="N271" s="17">
        <f>+M271+I271+J271</f>
        <v/>
      </c>
      <c r="O271" s="17">
        <f>+F271</f>
        <v/>
      </c>
      <c r="P271" s="17">
        <f>+K271+L271</f>
        <v/>
      </c>
      <c r="Q271" s="17">
        <f>+G271</f>
        <v/>
      </c>
      <c r="AH271" s="20" t="inlineStr">
        <is>
          <t xml:space="preserve">        (1) 금융리스채권</t>
        </is>
      </c>
      <c r="AI271" s="847" t="n">
        <v>0</v>
      </c>
    </row>
    <row r="272">
      <c r="A272" s="696" t="n">
        <v>271</v>
      </c>
      <c r="B272" s="34" t="inlineStr">
        <is>
          <t xml:space="preserve">　　　        나.일반채권</t>
        </is>
      </c>
      <c r="D272" s="34" t="n">
        <v>0</v>
      </c>
      <c r="E272" s="34" t="n">
        <v>0</v>
      </c>
      <c r="F272" s="34" t="n">
        <v>0</v>
      </c>
      <c r="G272" s="34" t="n">
        <v>0</v>
      </c>
      <c r="H272" s="148" t="n">
        <v>0</v>
      </c>
      <c r="I272" s="34" t="n">
        <v>0</v>
      </c>
      <c r="J272" s="34" t="n">
        <v>0</v>
      </c>
      <c r="K272" s="34" t="n">
        <v>0</v>
      </c>
      <c r="L272" s="34" t="n">
        <v>0</v>
      </c>
      <c r="M272" s="34" t="n">
        <v>0</v>
      </c>
      <c r="N272" s="17">
        <f>+M272+I272+J272</f>
        <v/>
      </c>
      <c r="O272" s="17">
        <f>+F272</f>
        <v/>
      </c>
      <c r="P272" s="17">
        <f>+K272+L272</f>
        <v/>
      </c>
      <c r="Q272" s="17">
        <f>+G272</f>
        <v/>
      </c>
      <c r="AH272" s="20" t="inlineStr">
        <is>
          <t xml:space="preserve">       6.가지급보험금</t>
        </is>
      </c>
      <c r="AI272" s="847" t="n">
        <v>0</v>
      </c>
    </row>
    <row r="273">
      <c r="A273" s="696" t="n">
        <v>272</v>
      </c>
      <c r="B273" s="34" t="inlineStr">
        <is>
          <t xml:space="preserve">　　      7.선 수 금</t>
        </is>
      </c>
      <c r="D273" s="34" t="n">
        <v>0</v>
      </c>
      <c r="E273" s="34" t="n">
        <v>0</v>
      </c>
      <c r="F273" s="34" t="n">
        <v>0</v>
      </c>
      <c r="G273" s="34" t="n">
        <v>0</v>
      </c>
      <c r="H273" s="148" t="n">
        <v>0</v>
      </c>
      <c r="I273" s="34" t="n">
        <v>0</v>
      </c>
      <c r="J273" s="34" t="n">
        <v>0</v>
      </c>
      <c r="K273" s="34" t="n">
        <v>0</v>
      </c>
      <c r="L273" s="34" t="n">
        <v>0</v>
      </c>
      <c r="M273" s="34" t="n">
        <v>0</v>
      </c>
      <c r="N273" s="17">
        <f>+M273+I273+J273</f>
        <v/>
      </c>
      <c r="O273" s="17">
        <f>+F273</f>
        <v/>
      </c>
      <c r="P273" s="17">
        <f>+K273+L273</f>
        <v/>
      </c>
      <c r="Q273" s="17">
        <f>+G273</f>
        <v/>
      </c>
      <c r="AH273" s="20" t="inlineStr">
        <is>
          <t xml:space="preserve">       7.기타의 비운용자산 </t>
        </is>
      </c>
      <c r="AI273" s="847" t="n">
        <v>0</v>
      </c>
    </row>
    <row r="274">
      <c r="A274" s="696" t="n">
        <v>273</v>
      </c>
      <c r="B274" s="34" t="inlineStr">
        <is>
          <t xml:space="preserve">　　      8.선수수익</t>
        </is>
      </c>
      <c r="D274" s="33" t="n">
        <v>-598648785162</v>
      </c>
      <c r="E274" s="34" t="n">
        <v>0</v>
      </c>
      <c r="F274" s="34" t="n">
        <v>0</v>
      </c>
      <c r="G274" s="34" t="n">
        <v>0</v>
      </c>
      <c r="H274" s="147" t="n">
        <v>-598648785162</v>
      </c>
      <c r="I274" s="34" t="n">
        <v>0</v>
      </c>
      <c r="J274" s="34" t="n">
        <v>0</v>
      </c>
      <c r="K274" s="34" t="n">
        <v>0</v>
      </c>
      <c r="L274" s="34" t="n">
        <v>0</v>
      </c>
      <c r="M274" s="33" t="n">
        <v>-598648785162</v>
      </c>
      <c r="N274" s="17">
        <f>+M274+I274+J274</f>
        <v/>
      </c>
      <c r="O274" s="17">
        <f>+F274</f>
        <v/>
      </c>
      <c r="P274" s="17">
        <f>+K274+L274</f>
        <v/>
      </c>
      <c r="Q274" s="17">
        <f>+G274</f>
        <v/>
      </c>
      <c r="AH274" s="20" t="inlineStr">
        <is>
          <t xml:space="preserve">       8.본지점 계정차 </t>
        </is>
      </c>
      <c r="AI274" s="847" t="n">
        <v>0</v>
      </c>
    </row>
    <row r="275">
      <c r="A275" s="696" t="n">
        <v>274</v>
      </c>
      <c r="B275" s="34" t="inlineStr">
        <is>
          <t xml:space="preserve">　　      9.예 수 금</t>
        </is>
      </c>
      <c r="D275" s="33" t="n">
        <v>-598648785162</v>
      </c>
      <c r="E275" s="34" t="n">
        <v>0</v>
      </c>
      <c r="F275" s="34" t="n">
        <v>0</v>
      </c>
      <c r="G275" s="34" t="n">
        <v>0</v>
      </c>
      <c r="H275" s="147" t="n">
        <v>-598648785162</v>
      </c>
      <c r="I275" s="34" t="n">
        <v>0</v>
      </c>
      <c r="J275" s="34" t="n">
        <v>0</v>
      </c>
      <c r="K275" s="34" t="n">
        <v>0</v>
      </c>
      <c r="L275" s="34" t="n">
        <v>0</v>
      </c>
      <c r="M275" s="33" t="n">
        <v>-598648785162</v>
      </c>
      <c r="N275" s="17">
        <f>+M275+I275+J275</f>
        <v/>
      </c>
      <c r="O275" s="17">
        <f>+F275</f>
        <v/>
      </c>
      <c r="P275" s="17">
        <f>+K275+L275</f>
        <v/>
      </c>
      <c r="Q275" s="17">
        <f>+G275</f>
        <v/>
      </c>
      <c r="AH275" s="31" t="inlineStr">
        <is>
          <t xml:space="preserve">  [자 산 총 계]</t>
        </is>
      </c>
      <c r="AI275" s="864" t="n">
        <v>32232652833785</v>
      </c>
    </row>
    <row r="276">
      <c r="A276" s="696" t="n">
        <v>275</v>
      </c>
      <c r="B276" s="34" t="inlineStr">
        <is>
          <t xml:space="preserve">　　      10.미지급부가세</t>
        </is>
      </c>
      <c r="D276" s="34" t="n">
        <v>0</v>
      </c>
      <c r="E276" s="34" t="n">
        <v>0</v>
      </c>
      <c r="F276" s="34" t="n">
        <v>0</v>
      </c>
      <c r="G276" s="34" t="n">
        <v>0</v>
      </c>
      <c r="H276" s="148" t="n">
        <v>0</v>
      </c>
      <c r="I276" s="34" t="n">
        <v>0</v>
      </c>
      <c r="J276" s="34" t="n">
        <v>0</v>
      </c>
      <c r="K276" s="34" t="n">
        <v>0</v>
      </c>
      <c r="L276" s="34" t="n">
        <v>0</v>
      </c>
      <c r="M276" s="34" t="n">
        <v>0</v>
      </c>
      <c r="N276" s="17">
        <f>+M276+I276+J276</f>
        <v/>
      </c>
      <c r="O276" s="17">
        <f>+F276</f>
        <v/>
      </c>
      <c r="P276" s="17">
        <f>+K276+L276</f>
        <v/>
      </c>
      <c r="Q276" s="17">
        <f>+G276</f>
        <v/>
      </c>
      <c r="AH276" s="20" t="inlineStr">
        <is>
          <t xml:space="preserve">  I. 보 험 계 약 부 채 </t>
        </is>
      </c>
      <c r="AI276" s="847" t="n">
        <v>-26342312823386</v>
      </c>
    </row>
    <row r="277">
      <c r="A277" s="696" t="n">
        <v>276</v>
      </c>
      <c r="B277" s="34" t="inlineStr">
        <is>
          <t xml:space="preserve">　　      11.가 수 금</t>
        </is>
      </c>
      <c r="D277" s="34" t="n">
        <v>0</v>
      </c>
      <c r="E277" s="34" t="n">
        <v>0</v>
      </c>
      <c r="F277" s="34" t="n">
        <v>0</v>
      </c>
      <c r="G277" s="34" t="n">
        <v>0</v>
      </c>
      <c r="H277" s="148" t="n">
        <v>0</v>
      </c>
      <c r="I277" s="34" t="n">
        <v>0</v>
      </c>
      <c r="J277" s="34" t="n">
        <v>0</v>
      </c>
      <c r="K277" s="34" t="n">
        <v>0</v>
      </c>
      <c r="L277" s="34" t="n">
        <v>0</v>
      </c>
      <c r="M277" s="34" t="n">
        <v>0</v>
      </c>
      <c r="N277" s="17">
        <f>+M277+I277+J277</f>
        <v/>
      </c>
      <c r="O277" s="17">
        <f>+F277</f>
        <v/>
      </c>
      <c r="P277" s="17">
        <f>+K277+L277</f>
        <v/>
      </c>
      <c r="Q277" s="17">
        <f>+G277</f>
        <v/>
      </c>
      <c r="AH277" s="20" t="inlineStr">
        <is>
          <t xml:space="preserve">      1.잔여보장부채 </t>
        </is>
      </c>
      <c r="AI277" s="847" t="n">
        <v>-25936756300515</v>
      </c>
    </row>
    <row r="278">
      <c r="A278" s="696" t="n">
        <v>277</v>
      </c>
      <c r="B278" s="34" t="inlineStr">
        <is>
          <t xml:space="preserve">　　      12.가수보험료</t>
        </is>
      </c>
      <c r="D278" s="33" t="n">
        <v>-1972624</v>
      </c>
      <c r="E278" s="34" t="n">
        <v>0</v>
      </c>
      <c r="F278" s="34" t="n">
        <v>0</v>
      </c>
      <c r="G278" s="34" t="n">
        <v>0</v>
      </c>
      <c r="H278" s="147" t="n">
        <v>-1972624</v>
      </c>
      <c r="I278" s="34" t="n">
        <v>0</v>
      </c>
      <c r="J278" s="34" t="n">
        <v>0</v>
      </c>
      <c r="K278" s="34" t="n">
        <v>0</v>
      </c>
      <c r="L278" s="34" t="n">
        <v>0</v>
      </c>
      <c r="M278" s="33" t="n">
        <v>-1972624</v>
      </c>
      <c r="N278" s="17">
        <f>+M278+I278+J278</f>
        <v/>
      </c>
      <c r="O278" s="17">
        <f>+F278</f>
        <v/>
      </c>
      <c r="P278" s="17">
        <f>+K278+L278</f>
        <v/>
      </c>
      <c r="Q278" s="17">
        <f>+G278</f>
        <v/>
      </c>
      <c r="AH278" s="20" t="inlineStr">
        <is>
          <t xml:space="preserve">      2.발생사고부채 </t>
        </is>
      </c>
      <c r="AI278" s="847" t="n">
        <v>-405556522871</v>
      </c>
    </row>
    <row r="279">
      <c r="A279" s="696" t="n">
        <v>278</v>
      </c>
      <c r="B279" s="34" t="inlineStr">
        <is>
          <t xml:space="preserve">　　      13.본지점계정대</t>
        </is>
      </c>
      <c r="D279" s="33" t="n">
        <v>-40987529839</v>
      </c>
      <c r="E279" s="34" t="n">
        <v>0</v>
      </c>
      <c r="F279" s="34" t="n">
        <v>0</v>
      </c>
      <c r="G279" s="34" t="n">
        <v>0</v>
      </c>
      <c r="H279" s="147" t="n">
        <v>-40987529839</v>
      </c>
      <c r="I279" s="33" t="n">
        <v>-32943000</v>
      </c>
      <c r="J279" s="34" t="n">
        <v>0</v>
      </c>
      <c r="K279" s="34" t="n">
        <v>0</v>
      </c>
      <c r="L279" s="33" t="n">
        <v>-95116502</v>
      </c>
      <c r="M279" s="33" t="n">
        <v>-40859470337</v>
      </c>
      <c r="N279" s="17">
        <f>+M279+I279+J279</f>
        <v/>
      </c>
      <c r="O279" s="17">
        <f>+F279</f>
        <v/>
      </c>
      <c r="P279" s="17">
        <f>+K279+L279</f>
        <v/>
      </c>
      <c r="Q279" s="17">
        <f>+G279</f>
        <v/>
      </c>
      <c r="AH279" s="20" t="inlineStr">
        <is>
          <t xml:space="preserve">         (1) 발생사고부채_O/S</t>
        </is>
      </c>
      <c r="AI279" s="847" t="n">
        <v>-284432901250</v>
      </c>
    </row>
    <row r="280">
      <c r="A280" s="696" t="n">
        <v>279</v>
      </c>
      <c r="B280" s="34" t="inlineStr">
        <is>
          <t xml:space="preserve">　　      14.이연법인세부채</t>
        </is>
      </c>
      <c r="D280" s="34" t="n">
        <v>0</v>
      </c>
      <c r="E280" s="34" t="n">
        <v>0</v>
      </c>
      <c r="F280" s="34" t="n">
        <v>0</v>
      </c>
      <c r="G280" s="34" t="n">
        <v>0</v>
      </c>
      <c r="H280" s="148" t="n">
        <v>0</v>
      </c>
      <c r="I280" s="34" t="n">
        <v>0</v>
      </c>
      <c r="J280" s="34" t="n">
        <v>0</v>
      </c>
      <c r="K280" s="34" t="n">
        <v>0</v>
      </c>
      <c r="L280" s="34" t="n">
        <v>0</v>
      </c>
      <c r="M280" s="34" t="n">
        <v>0</v>
      </c>
      <c r="N280" s="17">
        <f>+M280+I280+J280</f>
        <v/>
      </c>
      <c r="O280" s="17">
        <f>+F280</f>
        <v/>
      </c>
      <c r="P280" s="17">
        <f>+K280+L280</f>
        <v/>
      </c>
      <c r="Q280" s="17">
        <f>+G280</f>
        <v/>
      </c>
      <c r="AH280" s="20" t="inlineStr">
        <is>
          <t xml:space="preserve">         (2) 발생사고부채_IBNR</t>
        </is>
      </c>
      <c r="AI280" s="847" t="n">
        <v>-121123621621</v>
      </c>
    </row>
    <row r="281">
      <c r="A281" s="696" t="n">
        <v>280</v>
      </c>
      <c r="B281" s="34" t="inlineStr">
        <is>
          <t xml:space="preserve">　　      15.임 대 보 증 금</t>
        </is>
      </c>
      <c r="D281" s="34" t="n">
        <v>0</v>
      </c>
      <c r="E281" s="34" t="n">
        <v>0</v>
      </c>
      <c r="F281" s="34" t="n">
        <v>0</v>
      </c>
      <c r="G281" s="34" t="n">
        <v>0</v>
      </c>
      <c r="H281" s="148" t="n">
        <v>0</v>
      </c>
      <c r="I281" s="34" t="n">
        <v>0</v>
      </c>
      <c r="J281" s="34" t="n">
        <v>0</v>
      </c>
      <c r="K281" s="34" t="n">
        <v>0</v>
      </c>
      <c r="L281" s="34" t="n">
        <v>0</v>
      </c>
      <c r="M281" s="34" t="n">
        <v>0</v>
      </c>
      <c r="N281" s="17">
        <f>+M281+I281+J281</f>
        <v/>
      </c>
      <c r="O281" s="17">
        <f>+F281</f>
        <v/>
      </c>
      <c r="P281" s="17">
        <f>+K281+L281</f>
        <v/>
      </c>
      <c r="Q281" s="17">
        <f>+G281</f>
        <v/>
      </c>
      <c r="AH281" s="20" t="inlineStr">
        <is>
          <t xml:space="preserve">  II. 재 보 험 계 약 부 채 </t>
        </is>
      </c>
      <c r="AI281" s="847" t="n">
        <v>-3543138142</v>
      </c>
    </row>
    <row r="282">
      <c r="A282" s="696" t="n">
        <v>281</v>
      </c>
      <c r="B282" s="34" t="inlineStr">
        <is>
          <t xml:space="preserve">　　　         (현재가치할인차금)</t>
        </is>
      </c>
      <c r="D282" s="34" t="n">
        <v>0</v>
      </c>
      <c r="E282" s="34" t="n">
        <v>0</v>
      </c>
      <c r="F282" s="34" t="n">
        <v>0</v>
      </c>
      <c r="G282" s="34" t="n">
        <v>0</v>
      </c>
      <c r="H282" s="148" t="n">
        <v>0</v>
      </c>
      <c r="I282" s="34" t="n">
        <v>0</v>
      </c>
      <c r="J282" s="34" t="n">
        <v>0</v>
      </c>
      <c r="K282" s="34" t="n">
        <v>0</v>
      </c>
      <c r="L282" s="34" t="n">
        <v>0</v>
      </c>
      <c r="M282" s="34" t="n">
        <v>0</v>
      </c>
      <c r="N282" s="17">
        <f>+M282+I282+J282</f>
        <v/>
      </c>
      <c r="O282" s="17">
        <f>+F282</f>
        <v/>
      </c>
      <c r="P282" s="17">
        <f>+K282+L282</f>
        <v/>
      </c>
      <c r="Q282" s="17">
        <f>+G282</f>
        <v/>
      </c>
      <c r="AH282" s="20" t="inlineStr">
        <is>
          <t xml:space="preserve">       1. 잔여보장부채 </t>
        </is>
      </c>
      <c r="AI282" s="847" t="n">
        <v>-10997574740</v>
      </c>
    </row>
    <row r="283">
      <c r="A283" s="696" t="n">
        <v>282</v>
      </c>
      <c r="B283" s="34" t="inlineStr">
        <is>
          <t xml:space="preserve">　　      16.순확정급여채무</t>
        </is>
      </c>
      <c r="D283" s="34" t="n">
        <v>0</v>
      </c>
      <c r="E283" s="34" t="n">
        <v>0</v>
      </c>
      <c r="F283" s="34" t="n">
        <v>0</v>
      </c>
      <c r="G283" s="34" t="n">
        <v>0</v>
      </c>
      <c r="H283" s="148" t="n">
        <v>0</v>
      </c>
      <c r="I283" s="34" t="n">
        <v>0</v>
      </c>
      <c r="J283" s="34" t="n">
        <v>0</v>
      </c>
      <c r="K283" s="34" t="n">
        <v>0</v>
      </c>
      <c r="L283" s="34" t="n">
        <v>0</v>
      </c>
      <c r="M283" s="34" t="n">
        <v>0</v>
      </c>
      <c r="N283" s="17">
        <f>+M283+I283+J283</f>
        <v/>
      </c>
      <c r="O283" s="17">
        <f>+F283</f>
        <v/>
      </c>
      <c r="P283" s="17">
        <f>+K283+L283</f>
        <v/>
      </c>
      <c r="Q283" s="17">
        <f>+G283</f>
        <v/>
      </c>
      <c r="AH283" s="20" t="inlineStr">
        <is>
          <t xml:space="preserve">       2. 발생사고부채 </t>
        </is>
      </c>
      <c r="AI283" s="847" t="n">
        <v>7454436598</v>
      </c>
    </row>
    <row r="284">
      <c r="A284" s="696" t="n">
        <v>283</v>
      </c>
      <c r="B284" s="34" t="inlineStr">
        <is>
          <t xml:space="preserve">　　　         가.확정급여채무</t>
        </is>
      </c>
      <c r="D284" s="33" t="n">
        <v>-195366140677</v>
      </c>
      <c r="E284" s="34" t="n">
        <v>0</v>
      </c>
      <c r="F284" s="34" t="n">
        <v>0</v>
      </c>
      <c r="G284" s="34" t="n">
        <v>0</v>
      </c>
      <c r="H284" s="147" t="n">
        <v>-195366140677</v>
      </c>
      <c r="I284" s="34" t="n">
        <v>0</v>
      </c>
      <c r="J284" s="34" t="n">
        <v>0</v>
      </c>
      <c r="K284" s="34" t="n">
        <v>0</v>
      </c>
      <c r="L284" s="34" t="n">
        <v>0</v>
      </c>
      <c r="M284" s="33" t="n">
        <v>-195366140677</v>
      </c>
      <c r="N284" s="17">
        <f>+M284+I284+J284</f>
        <v/>
      </c>
      <c r="O284" s="17">
        <f>+F284</f>
        <v/>
      </c>
      <c r="P284" s="17">
        <f>+K284+L284</f>
        <v/>
      </c>
      <c r="Q284" s="17">
        <f>+G284</f>
        <v/>
      </c>
      <c r="AH284" s="20" t="inlineStr">
        <is>
          <t xml:space="preserve">         (1) 발생사고부채_O/S</t>
        </is>
      </c>
      <c r="AI284" s="847" t="n">
        <v>4454858246</v>
      </c>
    </row>
    <row r="285">
      <c r="A285" s="696" t="n">
        <v>284</v>
      </c>
      <c r="B285" s="34" t="inlineStr">
        <is>
          <t xml:space="preserve">　　　         나.미인식보험수리적손익</t>
        </is>
      </c>
      <c r="D285" s="33" t="n">
        <v>-118487000</v>
      </c>
      <c r="E285" s="34" t="n">
        <v>0</v>
      </c>
      <c r="F285" s="34" t="n">
        <v>0</v>
      </c>
      <c r="G285" s="34" t="n">
        <v>0</v>
      </c>
      <c r="H285" s="147" t="n">
        <v>-118487000</v>
      </c>
      <c r="I285" s="34" t="n">
        <v>0</v>
      </c>
      <c r="J285" s="34" t="n">
        <v>0</v>
      </c>
      <c r="K285" s="34" t="n">
        <v>0</v>
      </c>
      <c r="L285" s="34" t="n">
        <v>0</v>
      </c>
      <c r="M285" s="33" t="n">
        <v>-118487000</v>
      </c>
      <c r="N285" s="17">
        <f>+M285+I285+J285</f>
        <v/>
      </c>
      <c r="O285" s="17">
        <f>+F285</f>
        <v/>
      </c>
      <c r="P285" s="17">
        <f>+K285+L285</f>
        <v/>
      </c>
      <c r="Q285" s="17">
        <f>+G285</f>
        <v/>
      </c>
      <c r="AH285" s="20" t="inlineStr">
        <is>
          <t xml:space="preserve">         (2) 발생사고부채_IBNR</t>
        </is>
      </c>
      <c r="AI285" s="847" t="n">
        <v>2999578352</v>
      </c>
    </row>
    <row r="286">
      <c r="A286" s="696" t="n">
        <v>285</v>
      </c>
      <c r="B286" s="34" t="inlineStr">
        <is>
          <t xml:space="preserve">　　　         다.미인식과거근무원가</t>
        </is>
      </c>
      <c r="D286" s="34" t="n">
        <v>0</v>
      </c>
      <c r="E286" s="34" t="n">
        <v>0</v>
      </c>
      <c r="F286" s="34" t="n">
        <v>0</v>
      </c>
      <c r="G286" s="34" t="n">
        <v>0</v>
      </c>
      <c r="H286" s="148" t="n">
        <v>0</v>
      </c>
      <c r="I286" s="34" t="n">
        <v>0</v>
      </c>
      <c r="J286" s="34" t="n">
        <v>0</v>
      </c>
      <c r="K286" s="34" t="n">
        <v>0</v>
      </c>
      <c r="L286" s="34" t="n">
        <v>0</v>
      </c>
      <c r="M286" s="34" t="n">
        <v>0</v>
      </c>
      <c r="N286" s="17">
        <f>+M286+I286+J286</f>
        <v/>
      </c>
      <c r="O286" s="17">
        <f>+F286</f>
        <v/>
      </c>
      <c r="P286" s="17">
        <f>+K286+L286</f>
        <v/>
      </c>
      <c r="Q286" s="17">
        <f>+G286</f>
        <v/>
      </c>
      <c r="AH286" s="20" t="inlineStr">
        <is>
          <t xml:space="preserve">  III.투 자 계 약 부 채 </t>
        </is>
      </c>
      <c r="AI286" s="847" t="n">
        <v>-2827468038211</v>
      </c>
    </row>
    <row r="287">
      <c r="A287" s="696" t="n">
        <v>286</v>
      </c>
      <c r="B287" s="34" t="inlineStr">
        <is>
          <t xml:space="preserve">　　　         라.사외적립자산</t>
        </is>
      </c>
      <c r="D287" s="33" t="n">
        <v>-7087052828</v>
      </c>
      <c r="E287" s="34" t="n">
        <v>0</v>
      </c>
      <c r="F287" s="34" t="n">
        <v>0</v>
      </c>
      <c r="G287" s="34" t="n">
        <v>0</v>
      </c>
      <c r="H287" s="147" t="n">
        <v>-7087052828</v>
      </c>
      <c r="I287" s="34" t="n">
        <v>0</v>
      </c>
      <c r="J287" s="34" t="n">
        <v>0</v>
      </c>
      <c r="K287" s="34" t="n">
        <v>0</v>
      </c>
      <c r="L287" s="34" t="n">
        <v>0</v>
      </c>
      <c r="M287" s="33" t="n">
        <v>-7087052828</v>
      </c>
      <c r="N287" s="17">
        <f>+M287+I287+J287</f>
        <v/>
      </c>
      <c r="O287" s="17">
        <f>+F287</f>
        <v/>
      </c>
      <c r="P287" s="17">
        <f>+K287+L287</f>
        <v/>
      </c>
      <c r="Q287" s="17">
        <f>+G287</f>
        <v/>
      </c>
      <c r="AH287" s="20" t="inlineStr">
        <is>
          <t xml:space="preserve">       1. 퇴직보험</t>
        </is>
      </c>
      <c r="AI287" s="847" t="n">
        <v>-35918768</v>
      </c>
    </row>
    <row r="288">
      <c r="A288" s="696" t="n">
        <v>287</v>
      </c>
      <c r="B288" s="34" t="inlineStr">
        <is>
          <t xml:space="preserve">　　　　          (1) 퇴직연금운용자산</t>
        </is>
      </c>
      <c r="D288" s="33" t="n">
        <v>-18692268586</v>
      </c>
      <c r="E288" s="34" t="n">
        <v>0</v>
      </c>
      <c r="F288" s="34" t="n">
        <v>0</v>
      </c>
      <c r="G288" s="34" t="n">
        <v>0</v>
      </c>
      <c r="H288" s="147" t="n">
        <v>-18692268586</v>
      </c>
      <c r="I288" s="34" t="n">
        <v>0</v>
      </c>
      <c r="J288" s="34" t="n">
        <v>0</v>
      </c>
      <c r="K288" s="34" t="n">
        <v>0</v>
      </c>
      <c r="L288" s="34" t="n">
        <v>0</v>
      </c>
      <c r="M288" s="33" t="n">
        <v>-18692268586</v>
      </c>
      <c r="N288" s="17">
        <f>+M288+I288+J288</f>
        <v/>
      </c>
      <c r="O288" s="17">
        <f>+F288</f>
        <v/>
      </c>
      <c r="P288" s="17">
        <f>+K288+L288</f>
        <v/>
      </c>
      <c r="Q288" s="17">
        <f>+G288</f>
        <v/>
      </c>
      <c r="AH288" s="20" t="inlineStr">
        <is>
          <t xml:space="preserve">       2. 퇴직연금</t>
        </is>
      </c>
      <c r="AI288" s="847" t="n">
        <v>-2827432119443</v>
      </c>
    </row>
    <row r="289">
      <c r="A289" s="696" t="n">
        <v>288</v>
      </c>
      <c r="B289" s="34" t="inlineStr">
        <is>
          <t xml:space="preserve">　　　　          (2) 기타사외적립자산</t>
        </is>
      </c>
      <c r="D289" s="34" t="n">
        <v>0</v>
      </c>
      <c r="E289" s="34" t="n">
        <v>0</v>
      </c>
      <c r="F289" s="34" t="n">
        <v>0</v>
      </c>
      <c r="G289" s="34" t="n">
        <v>0</v>
      </c>
      <c r="H289" s="148" t="n">
        <v>0</v>
      </c>
      <c r="I289" s="34" t="n">
        <v>0</v>
      </c>
      <c r="J289" s="34" t="n">
        <v>0</v>
      </c>
      <c r="K289" s="34" t="n">
        <v>0</v>
      </c>
      <c r="L289" s="34" t="n">
        <v>0</v>
      </c>
      <c r="M289" s="34" t="n">
        <v>0</v>
      </c>
      <c r="N289" s="17">
        <f>+M289+I289+J289</f>
        <v/>
      </c>
      <c r="O289" s="17">
        <f>+F289</f>
        <v/>
      </c>
      <c r="P289" s="17">
        <f>+K289+L289</f>
        <v/>
      </c>
      <c r="Q289" s="17">
        <f>+G289</f>
        <v/>
      </c>
      <c r="AH289" s="20" t="inlineStr">
        <is>
          <t xml:space="preserve">  III. 계 약 자 지 분 조 정 </t>
        </is>
      </c>
      <c r="AI289" s="847" t="n">
        <v>2903456311</v>
      </c>
    </row>
    <row r="290">
      <c r="A290" s="696" t="n">
        <v>289</v>
      </c>
      <c r="B290" s="34" t="inlineStr">
        <is>
          <t xml:space="preserve">　　      17.파생상품부채</t>
        </is>
      </c>
      <c r="D290" s="34" t="n">
        <v>0</v>
      </c>
      <c r="E290" s="34" t="n">
        <v>0</v>
      </c>
      <c r="F290" s="34" t="n">
        <v>0</v>
      </c>
      <c r="G290" s="34" t="n">
        <v>0</v>
      </c>
      <c r="H290" s="148" t="n">
        <v>0</v>
      </c>
      <c r="I290" s="34" t="n">
        <v>0</v>
      </c>
      <c r="J290" s="34" t="n">
        <v>0</v>
      </c>
      <c r="K290" s="34" t="n">
        <v>0</v>
      </c>
      <c r="L290" s="34" t="n">
        <v>0</v>
      </c>
      <c r="M290" s="34" t="n">
        <v>0</v>
      </c>
      <c r="N290" s="17">
        <f>+M290+I290+J290</f>
        <v/>
      </c>
      <c r="O290" s="17">
        <f>+F290</f>
        <v/>
      </c>
      <c r="P290" s="17">
        <f>+K290+L290</f>
        <v/>
      </c>
      <c r="Q290" s="17">
        <f>+G290</f>
        <v/>
      </c>
      <c r="AH290" s="20" t="inlineStr">
        <is>
          <t xml:space="preserve">     1.기타포괄손익-공정가치측정금융자산평가손익</t>
        </is>
      </c>
      <c r="AI290" s="847" t="n">
        <v>2903517501</v>
      </c>
    </row>
    <row r="291">
      <c r="A291" s="696" t="n">
        <v>290</v>
      </c>
      <c r="B291" s="34" t="inlineStr">
        <is>
          <t xml:space="preserve">　　　         [매매목적파생상품]</t>
        </is>
      </c>
      <c r="D291" s="33" t="n">
        <v>11605215758</v>
      </c>
      <c r="E291" s="34" t="n">
        <v>0</v>
      </c>
      <c r="F291" s="34" t="n">
        <v>0</v>
      </c>
      <c r="G291" s="34" t="n">
        <v>0</v>
      </c>
      <c r="H291" s="147" t="n">
        <v>11605215758</v>
      </c>
      <c r="I291" s="34" t="n">
        <v>0</v>
      </c>
      <c r="J291" s="34" t="n">
        <v>0</v>
      </c>
      <c r="K291" s="34" t="n">
        <v>0</v>
      </c>
      <c r="L291" s="34" t="n">
        <v>0</v>
      </c>
      <c r="M291" s="33" t="n">
        <v>11605215758</v>
      </c>
      <c r="N291" s="17">
        <f>+M291+I291+J291</f>
        <v/>
      </c>
      <c r="O291" s="17">
        <f>+F291</f>
        <v/>
      </c>
      <c r="P291" s="17">
        <f>+K291+L291</f>
        <v/>
      </c>
      <c r="Q291" s="17">
        <f>+G291</f>
        <v/>
      </c>
      <c r="AH291" s="20" t="inlineStr">
        <is>
          <t xml:space="preserve">     2.관계·종속기업투자주식평가손익</t>
        </is>
      </c>
      <c r="AI291" s="847" t="n">
        <v>0</v>
      </c>
    </row>
    <row r="292">
      <c r="A292" s="696" t="n">
        <v>291</v>
      </c>
      <c r="B292" s="34" t="inlineStr">
        <is>
          <t xml:space="preserve">　　　         [헤지목적파생상품]</t>
        </is>
      </c>
      <c r="D292" s="33" t="n">
        <v>11605215758</v>
      </c>
      <c r="E292" s="34" t="n">
        <v>0</v>
      </c>
      <c r="F292" s="34" t="n">
        <v>0</v>
      </c>
      <c r="G292" s="34" t="n">
        <v>0</v>
      </c>
      <c r="H292" s="147" t="n">
        <v>11605215758</v>
      </c>
      <c r="I292" s="34" t="n">
        <v>0</v>
      </c>
      <c r="J292" s="34" t="n">
        <v>0</v>
      </c>
      <c r="K292" s="34" t="n">
        <v>0</v>
      </c>
      <c r="L292" s="34" t="n">
        <v>0</v>
      </c>
      <c r="M292" s="33" t="n">
        <v>11605215758</v>
      </c>
      <c r="N292" s="17">
        <f>+M292+I292+J292</f>
        <v/>
      </c>
      <c r="O292" s="17">
        <f>+F292</f>
        <v/>
      </c>
      <c r="P292" s="17">
        <f>+K292+L292</f>
        <v/>
      </c>
      <c r="Q292" s="17">
        <f>+G292</f>
        <v/>
      </c>
      <c r="AH292" s="20" t="inlineStr">
        <is>
          <t xml:space="preserve">     3.재 평 가 잉 여 금 </t>
        </is>
      </c>
      <c r="AI292" s="847" t="n">
        <v>-61190</v>
      </c>
    </row>
    <row r="293">
      <c r="A293" s="696" t="n">
        <v>292</v>
      </c>
      <c r="B293" s="34" t="inlineStr">
        <is>
          <t xml:space="preserve">　　　          가.이자율관련</t>
        </is>
      </c>
      <c r="D293" s="34" t="n">
        <v>0</v>
      </c>
      <c r="E293" s="34" t="n">
        <v>0</v>
      </c>
      <c r="F293" s="34" t="n">
        <v>0</v>
      </c>
      <c r="G293" s="34" t="n">
        <v>0</v>
      </c>
      <c r="H293" s="148" t="n">
        <v>0</v>
      </c>
      <c r="I293" s="34" t="n">
        <v>0</v>
      </c>
      <c r="J293" s="34" t="n">
        <v>0</v>
      </c>
      <c r="K293" s="34" t="n">
        <v>0</v>
      </c>
      <c r="L293" s="34" t="n">
        <v>0</v>
      </c>
      <c r="M293" s="34" t="n">
        <v>0</v>
      </c>
      <c r="N293" s="17">
        <f>+M293+I293+J293</f>
        <v/>
      </c>
      <c r="O293" s="17">
        <f>+F293</f>
        <v/>
      </c>
      <c r="P293" s="17">
        <f>+K293+L293</f>
        <v/>
      </c>
      <c r="Q293" s="17">
        <f>+G293</f>
        <v/>
      </c>
      <c r="AH293" s="20" t="inlineStr">
        <is>
          <t xml:space="preserve">  IV. 당 기 손 익 인 식 금 융 부 채 </t>
        </is>
      </c>
      <c r="AI293" s="847" t="n">
        <v>-18741528857</v>
      </c>
    </row>
    <row r="294">
      <c r="A294" s="696" t="n">
        <v>293</v>
      </c>
      <c r="B294" s="34" t="inlineStr">
        <is>
          <t xml:space="preserve">　　　          나.통화관련</t>
        </is>
      </c>
      <c r="D294" s="33" t="n">
        <v>-254694875410</v>
      </c>
      <c r="E294" s="34" t="n">
        <v>0</v>
      </c>
      <c r="F294" s="33" t="n">
        <v>-7479273758</v>
      </c>
      <c r="G294" s="33" t="n">
        <v>-286431950</v>
      </c>
      <c r="H294" s="147" t="n">
        <v>-246929169702</v>
      </c>
      <c r="I294" s="33" t="n">
        <v>-3254313371</v>
      </c>
      <c r="J294" s="34" t="n">
        <v>0</v>
      </c>
      <c r="K294" s="34" t="n">
        <v>0</v>
      </c>
      <c r="L294" s="33" t="n">
        <v>-7123588667</v>
      </c>
      <c r="M294" s="33" t="n">
        <v>-236551267664</v>
      </c>
      <c r="N294" s="17">
        <f>+M294+I294+J294</f>
        <v/>
      </c>
      <c r="O294" s="17">
        <f>+F294</f>
        <v/>
      </c>
      <c r="P294" s="17">
        <f>+K294+L294</f>
        <v/>
      </c>
      <c r="Q294" s="17">
        <f>+G294</f>
        <v/>
      </c>
      <c r="AH294" s="20" t="inlineStr">
        <is>
          <t xml:space="preserve">      1.매매목적파생상품부채 </t>
        </is>
      </c>
      <c r="AI294" s="847" t="n">
        <v>-18741528857</v>
      </c>
    </row>
    <row r="295">
      <c r="A295" s="696" t="n">
        <v>294</v>
      </c>
      <c r="B295" s="34" t="inlineStr">
        <is>
          <t xml:space="preserve">　　　          다.주식관련</t>
        </is>
      </c>
      <c r="D295" s="34" t="n">
        <v>0</v>
      </c>
      <c r="E295" s="34" t="n">
        <v>0</v>
      </c>
      <c r="F295" s="34" t="n">
        <v>0</v>
      </c>
      <c r="G295" s="34" t="n">
        <v>0</v>
      </c>
      <c r="H295" s="148" t="n">
        <v>0</v>
      </c>
      <c r="I295" s="34" t="n">
        <v>0</v>
      </c>
      <c r="J295" s="34" t="n">
        <v>0</v>
      </c>
      <c r="K295" s="34" t="n">
        <v>0</v>
      </c>
      <c r="L295" s="34" t="n">
        <v>0</v>
      </c>
      <c r="M295" s="34" t="n">
        <v>0</v>
      </c>
      <c r="N295" s="17">
        <f>+M295+I295+J295</f>
        <v/>
      </c>
      <c r="O295" s="17">
        <f>+F295</f>
        <v/>
      </c>
      <c r="P295" s="17">
        <f>+K295+L295</f>
        <v/>
      </c>
      <c r="Q295" s="17">
        <f>+G295</f>
        <v/>
      </c>
      <c r="AH295" s="20" t="inlineStr">
        <is>
          <t xml:space="preserve">        (1) 이자율관련 </t>
        </is>
      </c>
      <c r="AI295" s="847" t="n">
        <v>-701404094</v>
      </c>
    </row>
    <row r="296">
      <c r="A296" s="696" t="n">
        <v>295</v>
      </c>
      <c r="B296" s="34" t="inlineStr">
        <is>
          <t xml:space="preserve">　　　          라.신용관련</t>
        </is>
      </c>
      <c r="D296" s="34" t="n">
        <v>0</v>
      </c>
      <c r="E296" s="34" t="n">
        <v>0</v>
      </c>
      <c r="F296" s="34" t="n">
        <v>0</v>
      </c>
      <c r="G296" s="34" t="n">
        <v>0</v>
      </c>
      <c r="H296" s="148" t="n">
        <v>0</v>
      </c>
      <c r="I296" s="34" t="n">
        <v>0</v>
      </c>
      <c r="J296" s="34" t="n">
        <v>0</v>
      </c>
      <c r="K296" s="34" t="n">
        <v>0</v>
      </c>
      <c r="L296" s="34" t="n">
        <v>0</v>
      </c>
      <c r="M296" s="34" t="n">
        <v>0</v>
      </c>
      <c r="N296" s="17">
        <f>+M296+I296+J296</f>
        <v/>
      </c>
      <c r="O296" s="17">
        <f>+F296</f>
        <v/>
      </c>
      <c r="P296" s="17">
        <f>+K296+L296</f>
        <v/>
      </c>
      <c r="Q296" s="17">
        <f>+G296</f>
        <v/>
      </c>
      <c r="AH296" s="20" t="inlineStr">
        <is>
          <t xml:space="preserve">        (2) 통화관련 </t>
        </is>
      </c>
      <c r="AI296" s="847" t="n">
        <v>-18032803590</v>
      </c>
    </row>
    <row r="297">
      <c r="A297" s="696" t="n">
        <v>296</v>
      </c>
      <c r="B297" s="34" t="inlineStr">
        <is>
          <t xml:space="preserve">　　　          마.기타</t>
        </is>
      </c>
      <c r="D297" s="33" t="n">
        <v>-79365718858</v>
      </c>
      <c r="E297" s="34" t="n">
        <v>0</v>
      </c>
      <c r="F297" s="34" t="n">
        <v>0</v>
      </c>
      <c r="G297" s="34" t="n">
        <v>0</v>
      </c>
      <c r="H297" s="147" t="n">
        <v>-79365718858</v>
      </c>
      <c r="I297" s="34" t="n">
        <v>0</v>
      </c>
      <c r="J297" s="34" t="n">
        <v>0</v>
      </c>
      <c r="K297" s="34" t="n">
        <v>0</v>
      </c>
      <c r="L297" s="34" t="n">
        <v>0</v>
      </c>
      <c r="M297" s="33" t="n">
        <v>-79365718858</v>
      </c>
      <c r="N297" s="17">
        <f>+M297+I297+J297</f>
        <v/>
      </c>
      <c r="O297" s="17">
        <f>+F297</f>
        <v/>
      </c>
      <c r="P297" s="17">
        <f>+K297+L297</f>
        <v/>
      </c>
      <c r="Q297" s="17">
        <f>+G297</f>
        <v/>
      </c>
      <c r="AH297" s="20" t="inlineStr">
        <is>
          <t xml:space="preserve">        (3) 주식관련 </t>
        </is>
      </c>
      <c r="AI297" s="847" t="n">
        <v>0</v>
      </c>
    </row>
    <row r="298">
      <c r="A298" s="696" t="n">
        <v>297</v>
      </c>
      <c r="B298" s="34" t="inlineStr">
        <is>
          <t xml:space="preserve">　　      18.신 탁 계 정 차</t>
        </is>
      </c>
      <c r="D298" s="33" t="n">
        <v>-167563450844</v>
      </c>
      <c r="E298" s="34" t="n">
        <v>0</v>
      </c>
      <c r="F298" s="34" t="n">
        <v>0</v>
      </c>
      <c r="G298" s="34" t="n">
        <v>0</v>
      </c>
      <c r="H298" s="147" t="n">
        <v>-167563450844</v>
      </c>
      <c r="I298" s="33" t="n">
        <v>-3254313371</v>
      </c>
      <c r="J298" s="34" t="n">
        <v>0</v>
      </c>
      <c r="K298" s="34" t="n">
        <v>0</v>
      </c>
      <c r="L298" s="33" t="n">
        <v>-7123588667</v>
      </c>
      <c r="M298" s="33" t="n">
        <v>-157185548806</v>
      </c>
      <c r="N298" s="17">
        <f>+M298+I298+J298</f>
        <v/>
      </c>
      <c r="O298" s="17">
        <f>+F298</f>
        <v/>
      </c>
      <c r="P298" s="17">
        <f>+K298+L298</f>
        <v/>
      </c>
      <c r="Q298" s="17">
        <f>+G298</f>
        <v/>
      </c>
      <c r="AH298" s="20" t="inlineStr">
        <is>
          <t xml:space="preserve">        (4) 신용관련 </t>
        </is>
      </c>
      <c r="AI298" s="847" t="n">
        <v>0</v>
      </c>
    </row>
    <row r="299">
      <c r="A299" s="696" t="n">
        <v>298</v>
      </c>
      <c r="B299" s="34" t="inlineStr">
        <is>
          <t xml:space="preserve">　　      19.복구충당부채</t>
        </is>
      </c>
      <c r="D299" s="34" t="n">
        <v>0</v>
      </c>
      <c r="E299" s="34" t="n">
        <v>0</v>
      </c>
      <c r="F299" s="34" t="n">
        <v>0</v>
      </c>
      <c r="G299" s="34" t="n">
        <v>0</v>
      </c>
      <c r="H299" s="148" t="n">
        <v>0</v>
      </c>
      <c r="I299" s="34" t="n">
        <v>0</v>
      </c>
      <c r="J299" s="34" t="n">
        <v>0</v>
      </c>
      <c r="K299" s="34" t="n">
        <v>0</v>
      </c>
      <c r="L299" s="34" t="n">
        <v>0</v>
      </c>
      <c r="M299" s="34" t="n">
        <v>0</v>
      </c>
      <c r="N299" s="17">
        <f>+M299+I299+J299</f>
        <v/>
      </c>
      <c r="O299" s="17">
        <f>+F299</f>
        <v/>
      </c>
      <c r="P299" s="17">
        <f>+K299+L299</f>
        <v/>
      </c>
      <c r="Q299" s="17">
        <f>+G299</f>
        <v/>
      </c>
      <c r="AH299" s="20" t="inlineStr">
        <is>
          <t xml:space="preserve">        (5) 기    타</t>
        </is>
      </c>
      <c r="AI299" s="847" t="n">
        <v>0</v>
      </c>
    </row>
    <row r="300">
      <c r="A300" s="696" t="n">
        <v>299</v>
      </c>
      <c r="B300" s="34" t="inlineStr">
        <is>
          <t xml:space="preserve">　　      20.채무보증충당부채</t>
        </is>
      </c>
      <c r="D300" s="34" t="n">
        <v>0</v>
      </c>
      <c r="E300" s="34" t="n">
        <v>0</v>
      </c>
      <c r="F300" s="34" t="n">
        <v>0</v>
      </c>
      <c r="G300" s="34" t="n">
        <v>0</v>
      </c>
      <c r="H300" s="148" t="n">
        <v>0</v>
      </c>
      <c r="I300" s="34" t="n">
        <v>0</v>
      </c>
      <c r="J300" s="34" t="n">
        <v>0</v>
      </c>
      <c r="K300" s="34" t="n">
        <v>0</v>
      </c>
      <c r="L300" s="34" t="n">
        <v>0</v>
      </c>
      <c r="M300" s="34" t="n">
        <v>0</v>
      </c>
      <c r="N300" s="17">
        <f>+M300+I300+J300</f>
        <v/>
      </c>
      <c r="O300" s="17">
        <f>+F300</f>
        <v/>
      </c>
      <c r="P300" s="17">
        <f>+K300+L300</f>
        <v/>
      </c>
      <c r="Q300" s="17">
        <f>+G300</f>
        <v/>
      </c>
      <c r="AH300" s="20" t="inlineStr">
        <is>
          <t xml:space="preserve">        (6) 평가손실지정 </t>
        </is>
      </c>
      <c r="AI300" s="847" t="n">
        <v>-7321173</v>
      </c>
    </row>
    <row r="301">
      <c r="A301" s="696" t="n">
        <v>300</v>
      </c>
      <c r="B301" s="34" t="inlineStr">
        <is>
          <t xml:space="preserve">　　      21.요구불상환지분</t>
        </is>
      </c>
      <c r="D301" s="33" t="n">
        <v>-7765705708</v>
      </c>
      <c r="E301" s="34" t="n">
        <v>0</v>
      </c>
      <c r="F301" s="33" t="n">
        <v>-7479273758</v>
      </c>
      <c r="G301" s="33" t="n">
        <v>-286431950</v>
      </c>
      <c r="H301" s="148" t="n">
        <v>0</v>
      </c>
      <c r="I301" s="34" t="n">
        <v>0</v>
      </c>
      <c r="J301" s="34" t="n">
        <v>0</v>
      </c>
      <c r="K301" s="34" t="n">
        <v>0</v>
      </c>
      <c r="L301" s="34" t="n">
        <v>0</v>
      </c>
      <c r="M301" s="34" t="n">
        <v>0</v>
      </c>
      <c r="N301" s="17">
        <f>+M301+I301+J301</f>
        <v/>
      </c>
      <c r="O301" s="17">
        <f>+F301</f>
        <v/>
      </c>
      <c r="P301" s="17">
        <f>+K301+L301</f>
        <v/>
      </c>
      <c r="Q301" s="17">
        <f>+G301</f>
        <v/>
      </c>
      <c r="AH301" s="20" t="inlineStr">
        <is>
          <t xml:space="preserve">      2.헤지목적파생상품부채 </t>
        </is>
      </c>
      <c r="AI301" s="847" t="n">
        <v>0</v>
      </c>
    </row>
    <row r="302">
      <c r="A302" s="696" t="n">
        <v>301</v>
      </c>
      <c r="B302" s="34" t="inlineStr">
        <is>
          <t xml:space="preserve">　　　         가.상환우선주</t>
        </is>
      </c>
      <c r="D302" s="34" t="n">
        <v>0</v>
      </c>
      <c r="E302" s="34" t="n">
        <v>0</v>
      </c>
      <c r="F302" s="34" t="n">
        <v>0</v>
      </c>
      <c r="G302" s="34" t="n">
        <v>0</v>
      </c>
      <c r="H302" s="148" t="n">
        <v>0</v>
      </c>
      <c r="I302" s="34" t="n">
        <v>0</v>
      </c>
      <c r="J302" s="34" t="n">
        <v>0</v>
      </c>
      <c r="K302" s="34" t="n">
        <v>0</v>
      </c>
      <c r="L302" s="34" t="n">
        <v>0</v>
      </c>
      <c r="M302" s="34" t="n">
        <v>0</v>
      </c>
      <c r="N302" s="17">
        <f>+M302+I302+J302</f>
        <v/>
      </c>
      <c r="O302" s="17">
        <f>+F302</f>
        <v/>
      </c>
      <c r="P302" s="17">
        <f>+K302+L302</f>
        <v/>
      </c>
      <c r="Q302" s="17">
        <f>+G302</f>
        <v/>
      </c>
      <c r="AH302" s="20" t="inlineStr">
        <is>
          <t xml:space="preserve">        (1) 이자율관련 </t>
        </is>
      </c>
      <c r="AI302" s="847" t="n">
        <v>0</v>
      </c>
    </row>
    <row r="303">
      <c r="A303" s="696" t="n">
        <v>302</v>
      </c>
      <c r="B303" s="34" t="inlineStr">
        <is>
          <t xml:space="preserve">　　　         나.기타</t>
        </is>
      </c>
      <c r="D303" s="33" t="n">
        <v>-2108722998</v>
      </c>
      <c r="E303" s="34" t="n">
        <v>0</v>
      </c>
      <c r="F303" s="34" t="n">
        <v>0</v>
      </c>
      <c r="G303" s="34" t="n">
        <v>0</v>
      </c>
      <c r="H303" s="147" t="n">
        <v>-2108722998</v>
      </c>
      <c r="I303" s="34" t="n">
        <v>0</v>
      </c>
      <c r="J303" s="34" t="n">
        <v>0</v>
      </c>
      <c r="K303" s="34" t="n">
        <v>0</v>
      </c>
      <c r="L303" s="34" t="n">
        <v>0</v>
      </c>
      <c r="M303" s="33" t="n">
        <v>-2108722998</v>
      </c>
      <c r="N303" s="17">
        <f>+M303+I303+J303</f>
        <v/>
      </c>
      <c r="O303" s="17">
        <f>+F303</f>
        <v/>
      </c>
      <c r="P303" s="17">
        <f>+K303+L303</f>
        <v/>
      </c>
      <c r="Q303" s="17">
        <f>+G303</f>
        <v/>
      </c>
      <c r="AH303" s="20" t="inlineStr">
        <is>
          <t xml:space="preserve">        (2) 통화관련 </t>
        </is>
      </c>
      <c r="AI303" s="847" t="n">
        <v>0</v>
      </c>
    </row>
    <row r="304">
      <c r="A304" s="696" t="n">
        <v>303</v>
      </c>
      <c r="B304" s="34" t="inlineStr">
        <is>
          <t xml:space="preserve">　　      22.지 급 어 음</t>
        </is>
      </c>
      <c r="D304" s="34" t="n">
        <v>0</v>
      </c>
      <c r="E304" s="34" t="n">
        <v>0</v>
      </c>
      <c r="F304" s="34" t="n">
        <v>0</v>
      </c>
      <c r="G304" s="34" t="n">
        <v>0</v>
      </c>
      <c r="H304" s="148" t="n">
        <v>0</v>
      </c>
      <c r="I304" s="34" t="n">
        <v>0</v>
      </c>
      <c r="J304" s="34" t="n">
        <v>0</v>
      </c>
      <c r="K304" s="34" t="n">
        <v>0</v>
      </c>
      <c r="L304" s="34" t="n">
        <v>0</v>
      </c>
      <c r="M304" s="34" t="n">
        <v>0</v>
      </c>
      <c r="N304" s="17">
        <f>+M304+I304+J304</f>
        <v/>
      </c>
      <c r="O304" s="17">
        <f>+F304</f>
        <v/>
      </c>
      <c r="P304" s="17">
        <f>+K304+L304</f>
        <v/>
      </c>
      <c r="Q304" s="17">
        <f>+G304</f>
        <v/>
      </c>
      <c r="AH304" s="20" t="inlineStr">
        <is>
          <t xml:space="preserve">        (3) 주식관련 </t>
        </is>
      </c>
      <c r="AI304" s="847" t="n">
        <v>0</v>
      </c>
    </row>
    <row r="305">
      <c r="A305" s="696" t="n">
        <v>304</v>
      </c>
      <c r="B305" s="34" t="inlineStr">
        <is>
          <t xml:space="preserve">　　      23.자산재평가계약자지분</t>
        </is>
      </c>
      <c r="D305" s="34" t="n">
        <v>0</v>
      </c>
      <c r="E305" s="34" t="n">
        <v>0</v>
      </c>
      <c r="F305" s="34" t="n">
        <v>0</v>
      </c>
      <c r="G305" s="34" t="n">
        <v>0</v>
      </c>
      <c r="H305" s="148" t="n">
        <v>0</v>
      </c>
      <c r="I305" s="34" t="n">
        <v>0</v>
      </c>
      <c r="J305" s="34" t="n">
        <v>0</v>
      </c>
      <c r="K305" s="34" t="n">
        <v>0</v>
      </c>
      <c r="L305" s="34" t="n">
        <v>0</v>
      </c>
      <c r="M305" s="34" t="n">
        <v>0</v>
      </c>
      <c r="N305" s="17">
        <f>+M305+I305+J305</f>
        <v/>
      </c>
      <c r="O305" s="17">
        <f>+F305</f>
        <v/>
      </c>
      <c r="P305" s="17">
        <f>+K305+L305</f>
        <v/>
      </c>
      <c r="Q305" s="17">
        <f>+G305</f>
        <v/>
      </c>
      <c r="AH305" s="20" t="inlineStr">
        <is>
          <t xml:space="preserve">        (4) 신용관련 </t>
        </is>
      </c>
      <c r="AI305" s="847" t="n">
        <v>0</v>
      </c>
    </row>
    <row r="306">
      <c r="A306" s="696" t="n">
        <v>305</v>
      </c>
      <c r="B306" s="34" t="inlineStr">
        <is>
          <t xml:space="preserve">　　　         가.공익사업출연기금</t>
        </is>
      </c>
      <c r="D306" s="34" t="n">
        <v>0</v>
      </c>
      <c r="E306" s="34" t="n">
        <v>0</v>
      </c>
      <c r="F306" s="34" t="n">
        <v>0</v>
      </c>
      <c r="G306" s="34" t="n">
        <v>0</v>
      </c>
      <c r="H306" s="148" t="n">
        <v>0</v>
      </c>
      <c r="I306" s="34" t="n">
        <v>0</v>
      </c>
      <c r="J306" s="34" t="n">
        <v>0</v>
      </c>
      <c r="K306" s="34" t="n">
        <v>0</v>
      </c>
      <c r="L306" s="34" t="n">
        <v>0</v>
      </c>
      <c r="M306" s="34" t="n">
        <v>0</v>
      </c>
      <c r="N306" s="17">
        <f>+M306+I306+J306</f>
        <v/>
      </c>
      <c r="O306" s="17">
        <f>+F306</f>
        <v/>
      </c>
      <c r="P306" s="17">
        <f>+K306+L306</f>
        <v/>
      </c>
      <c r="Q306" s="17">
        <f>+G306</f>
        <v/>
      </c>
      <c r="AH306" s="20" t="inlineStr">
        <is>
          <t xml:space="preserve">        (5) 기    타</t>
        </is>
      </c>
      <c r="AI306" s="847" t="n">
        <v>0</v>
      </c>
    </row>
    <row r="307">
      <c r="A307" s="696" t="n">
        <v>306</v>
      </c>
      <c r="B307" s="34" t="inlineStr">
        <is>
          <t xml:space="preserve">　　　         나.재평가적립금</t>
        </is>
      </c>
      <c r="D307" s="34" t="n">
        <v>0</v>
      </c>
      <c r="E307" s="34" t="n">
        <v>0</v>
      </c>
      <c r="F307" s="34" t="n">
        <v>0</v>
      </c>
      <c r="G307" s="34" t="n">
        <v>0</v>
      </c>
      <c r="H307" s="148" t="n">
        <v>0</v>
      </c>
      <c r="I307" s="34" t="n">
        <v>0</v>
      </c>
      <c r="J307" s="34" t="n">
        <v>0</v>
      </c>
      <c r="K307" s="34" t="n">
        <v>0</v>
      </c>
      <c r="L307" s="34" t="n">
        <v>0</v>
      </c>
      <c r="M307" s="34" t="n">
        <v>0</v>
      </c>
      <c r="N307" s="17">
        <f>+M307+I307+J307</f>
        <v/>
      </c>
      <c r="O307" s="17">
        <f>+F307</f>
        <v/>
      </c>
      <c r="P307" s="17">
        <f>+K307+L307</f>
        <v/>
      </c>
      <c r="Q307" s="17">
        <f>+G307</f>
        <v/>
      </c>
      <c r="AH307" s="20" t="inlineStr">
        <is>
          <t xml:space="preserve">  V. 차 입 부 채 </t>
        </is>
      </c>
      <c r="AI307" s="847" t="n">
        <v>-299402579359</v>
      </c>
    </row>
    <row r="308">
      <c r="A308" s="696" t="n">
        <v>307</v>
      </c>
      <c r="B308" s="34" t="inlineStr">
        <is>
          <t xml:space="preserve">　　      24.그밖의 기타부채</t>
        </is>
      </c>
      <c r="D308" s="34" t="n">
        <v>0</v>
      </c>
      <c r="E308" s="34" t="n">
        <v>0</v>
      </c>
      <c r="F308" s="34" t="n">
        <v>0</v>
      </c>
      <c r="G308" s="34" t="n">
        <v>0</v>
      </c>
      <c r="H308" s="148" t="n">
        <v>0</v>
      </c>
      <c r="I308" s="34" t="n">
        <v>0</v>
      </c>
      <c r="J308" s="34" t="n">
        <v>0</v>
      </c>
      <c r="K308" s="34" t="n">
        <v>0</v>
      </c>
      <c r="L308" s="34" t="n">
        <v>0</v>
      </c>
      <c r="M308" s="34" t="n">
        <v>0</v>
      </c>
      <c r="N308" s="17">
        <f>+M308+I308+J308</f>
        <v/>
      </c>
      <c r="O308" s="17">
        <f>+F308</f>
        <v/>
      </c>
      <c r="P308" s="17">
        <f>+K308+L308</f>
        <v/>
      </c>
      <c r="Q308" s="17">
        <f>+G308</f>
        <v/>
      </c>
      <c r="AH308" s="20" t="inlineStr">
        <is>
          <t xml:space="preserve">     1.차 입 금 </t>
        </is>
      </c>
      <c r="AI308" s="847" t="n">
        <v>0</v>
      </c>
    </row>
    <row r="309">
      <c r="A309" s="696" t="n">
        <v>308</v>
      </c>
      <c r="B309" s="34" t="inlineStr">
        <is>
          <t xml:space="preserve">　　　         가.그밖의 기타부채</t>
        </is>
      </c>
      <c r="D309" s="34" t="n">
        <v>0</v>
      </c>
      <c r="E309" s="34" t="n">
        <v>0</v>
      </c>
      <c r="F309" s="34" t="n">
        <v>0</v>
      </c>
      <c r="G309" s="34" t="n">
        <v>0</v>
      </c>
      <c r="H309" s="148" t="n">
        <v>0</v>
      </c>
      <c r="I309" s="34" t="n">
        <v>0</v>
      </c>
      <c r="J309" s="34" t="n">
        <v>0</v>
      </c>
      <c r="K309" s="34" t="n">
        <v>0</v>
      </c>
      <c r="L309" s="34" t="n">
        <v>0</v>
      </c>
      <c r="M309" s="34" t="n">
        <v>0</v>
      </c>
      <c r="N309" s="17">
        <f>+M309+I309+J309</f>
        <v/>
      </c>
      <c r="O309" s="17">
        <f>+F309</f>
        <v/>
      </c>
      <c r="P309" s="17">
        <f>+K309+L309</f>
        <v/>
      </c>
      <c r="Q309" s="17">
        <f>+G309</f>
        <v/>
      </c>
      <c r="AH309" s="20" t="inlineStr">
        <is>
          <t xml:space="preserve">       (1) 콜머니 </t>
        </is>
      </c>
      <c r="AI309" s="847" t="n">
        <v>0</v>
      </c>
    </row>
    <row r="310">
      <c r="A310" s="696" t="n">
        <v>309</v>
      </c>
      <c r="B310" s="34" t="inlineStr">
        <is>
          <t xml:space="preserve">　　　         나.일반계정미지급금</t>
        </is>
      </c>
      <c r="D310" s="34" t="n">
        <v>0</v>
      </c>
      <c r="E310" s="34" t="n">
        <v>0</v>
      </c>
      <c r="F310" s="34" t="n">
        <v>0</v>
      </c>
      <c r="G310" s="34" t="n">
        <v>0</v>
      </c>
      <c r="H310" s="148" t="n">
        <v>0</v>
      </c>
      <c r="I310" s="34" t="n">
        <v>0</v>
      </c>
      <c r="J310" s="34" t="n">
        <v>0</v>
      </c>
      <c r="K310" s="34" t="n">
        <v>0</v>
      </c>
      <c r="L310" s="34" t="n">
        <v>0</v>
      </c>
      <c r="M310" s="34" t="n">
        <v>0</v>
      </c>
      <c r="N310" s="17">
        <f>+M310+I310+J310</f>
        <v/>
      </c>
      <c r="O310" s="17">
        <f>+F310</f>
        <v/>
      </c>
      <c r="P310" s="17">
        <f>+K310+L310</f>
        <v/>
      </c>
      <c r="Q310" s="17">
        <f>+G310</f>
        <v/>
      </c>
      <c r="AH310" s="20" t="inlineStr">
        <is>
          <t xml:space="preserve">       (2) RP매도</t>
        </is>
      </c>
      <c r="AI310" s="847" t="n">
        <v>0</v>
      </c>
    </row>
    <row r="311">
      <c r="A311" s="696" t="n">
        <v>310</v>
      </c>
      <c r="B311" s="34" t="inlineStr">
        <is>
          <t xml:space="preserve">　   III.특 별 계 정 부 채</t>
        </is>
      </c>
      <c r="D311" s="34" t="n">
        <v>0</v>
      </c>
      <c r="E311" s="34" t="n">
        <v>0</v>
      </c>
      <c r="F311" s="34" t="n">
        <v>0</v>
      </c>
      <c r="G311" s="34" t="n">
        <v>0</v>
      </c>
      <c r="H311" s="148" t="n">
        <v>0</v>
      </c>
      <c r="I311" s="34" t="n">
        <v>0</v>
      </c>
      <c r="J311" s="34" t="n">
        <v>0</v>
      </c>
      <c r="K311" s="34" t="n">
        <v>0</v>
      </c>
      <c r="L311" s="34" t="n">
        <v>0</v>
      </c>
      <c r="M311" s="34" t="n">
        <v>0</v>
      </c>
      <c r="N311" s="17">
        <f>+M311+I311+J311</f>
        <v/>
      </c>
      <c r="O311" s="17">
        <f>+F311</f>
        <v/>
      </c>
      <c r="P311" s="17">
        <f>+K311+L311</f>
        <v/>
      </c>
      <c r="Q311" s="17">
        <f>+G311</f>
        <v/>
      </c>
      <c r="AH311" s="20" t="inlineStr">
        <is>
          <t xml:space="preserve">       (3) 후순위차입 </t>
        </is>
      </c>
      <c r="AI311" s="847" t="n">
        <v>0</v>
      </c>
    </row>
    <row r="312">
      <c r="A312" s="696" t="n">
        <v>311</v>
      </c>
      <c r="B312" s="34" t="inlineStr">
        <is>
          <t xml:space="preserve">　　      (특별계정미수금-실적배당형퇴직연금)</t>
        </is>
      </c>
      <c r="D312" s="33" t="n">
        <v>-26315965100</v>
      </c>
      <c r="E312" s="33" t="n">
        <v>-29281993757</v>
      </c>
      <c r="F312" s="33" t="n">
        <v>-29284286197</v>
      </c>
      <c r="G312" s="33" t="n">
        <v>-1614070000</v>
      </c>
      <c r="H312" s="147" t="n">
        <v>-24699602660</v>
      </c>
      <c r="I312" s="33" t="n">
        <v>-2991865945</v>
      </c>
      <c r="J312" s="33" t="n">
        <v>-1115923213</v>
      </c>
      <c r="K312" s="33" t="n">
        <v>-1223201259</v>
      </c>
      <c r="L312" s="33" t="n">
        <v>-9512134009</v>
      </c>
      <c r="M312" s="33" t="n">
        <v>-9856478234</v>
      </c>
      <c r="N312" s="17">
        <f>+M312+I312+J312</f>
        <v/>
      </c>
      <c r="O312" s="17">
        <f>+F312</f>
        <v/>
      </c>
      <c r="P312" s="17">
        <f>+K312+L312</f>
        <v/>
      </c>
      <c r="Q312" s="17">
        <f>+G312</f>
        <v/>
      </c>
      <c r="AH312" s="20" t="inlineStr">
        <is>
          <t xml:space="preserve">       (4) 기업어음의발행 </t>
        </is>
      </c>
      <c r="AI312" s="847" t="n">
        <v>0</v>
      </c>
    </row>
    <row r="313">
      <c r="A313" s="696" t="n">
        <v>312</v>
      </c>
      <c r="B313" s="34" t="inlineStr">
        <is>
          <t xml:space="preserve">　　      (특별계정미수금-변액보험)</t>
        </is>
      </c>
      <c r="D313" s="33" t="n">
        <v>-26315965100</v>
      </c>
      <c r="E313" s="34" t="n">
        <v>0</v>
      </c>
      <c r="F313" s="33" t="n">
        <v>-2292440</v>
      </c>
      <c r="G313" s="33" t="n">
        <v>-1614070000</v>
      </c>
      <c r="H313" s="147" t="n">
        <v>-24699602660</v>
      </c>
      <c r="I313" s="34" t="n">
        <v>0</v>
      </c>
      <c r="J313" s="34" t="n">
        <v>0</v>
      </c>
      <c r="K313" s="34" t="n">
        <v>0</v>
      </c>
      <c r="L313" s="33" t="n">
        <v>-6795367</v>
      </c>
      <c r="M313" s="33" t="n">
        <v>-24692807293</v>
      </c>
      <c r="N313" s="17">
        <f>+M313+I313+J313</f>
        <v/>
      </c>
      <c r="O313" s="17">
        <f>+F313</f>
        <v/>
      </c>
      <c r="P313" s="17">
        <f>+K313+L313</f>
        <v/>
      </c>
      <c r="Q313" s="17">
        <f>+G313</f>
        <v/>
      </c>
      <c r="AH313" s="20" t="inlineStr">
        <is>
          <t xml:space="preserve">       (5) 기  타</t>
        </is>
      </c>
      <c r="AI313" s="847" t="n">
        <v>0</v>
      </c>
    </row>
    <row r="314">
      <c r="A314" s="696" t="n">
        <v>313</v>
      </c>
      <c r="B314" s="34" t="inlineStr">
        <is>
          <t xml:space="preserve">　　      1.실적배당형퇴직연금</t>
        </is>
      </c>
      <c r="D314" s="34" t="n">
        <v>0</v>
      </c>
      <c r="E314" s="33" t="n">
        <v>-29281993757</v>
      </c>
      <c r="F314" s="33" t="n">
        <v>-29281993757</v>
      </c>
      <c r="G314" s="34" t="n">
        <v>0</v>
      </c>
      <c r="H314" s="148" t="n">
        <v>0</v>
      </c>
      <c r="I314" s="33" t="n">
        <v>-2991865945</v>
      </c>
      <c r="J314" s="33" t="n">
        <v>-1115923213</v>
      </c>
      <c r="K314" s="33" t="n">
        <v>-1223201259</v>
      </c>
      <c r="L314" s="33" t="n">
        <v>-9505338642</v>
      </c>
      <c r="M314" s="33" t="n">
        <v>14836329059</v>
      </c>
      <c r="N314" s="17">
        <f>+M314+I314+J314</f>
        <v/>
      </c>
      <c r="O314" s="17">
        <f>+F314</f>
        <v/>
      </c>
      <c r="P314" s="17">
        <f>+K314+L314</f>
        <v/>
      </c>
      <c r="Q314" s="17">
        <f>+G314</f>
        <v/>
      </c>
      <c r="AH314" s="20" t="inlineStr">
        <is>
          <t xml:space="preserve">     2.사    채 </t>
        </is>
      </c>
      <c r="AI314" s="847" t="n">
        <v>-299402579359</v>
      </c>
    </row>
    <row r="315">
      <c r="A315" s="696" t="n">
        <v>314</v>
      </c>
      <c r="B315" s="34" t="inlineStr">
        <is>
          <t xml:space="preserve">　　      2.변액보험</t>
        </is>
      </c>
      <c r="D315" s="34" t="n">
        <v>0</v>
      </c>
      <c r="E315" s="33" t="n">
        <v>-13650492854837</v>
      </c>
      <c r="F315" s="34" t="n">
        <v>0</v>
      </c>
      <c r="G315" s="34" t="n">
        <v>0</v>
      </c>
      <c r="H315" s="147" t="n">
        <v>-13650492854837</v>
      </c>
      <c r="I315" s="34" t="n">
        <v>0</v>
      </c>
      <c r="J315" s="34" t="n">
        <v>0</v>
      </c>
      <c r="K315" s="34" t="n">
        <v>0</v>
      </c>
      <c r="L315" s="34" t="n">
        <v>0</v>
      </c>
      <c r="M315" s="33" t="n">
        <v>-13650492854837</v>
      </c>
      <c r="N315" s="17">
        <f>+M315+I315+J315</f>
        <v/>
      </c>
      <c r="O315" s="17">
        <f>+F315</f>
        <v/>
      </c>
      <c r="P315" s="17">
        <f>+K315+L315</f>
        <v/>
      </c>
      <c r="Q315" s="17">
        <f>+G315</f>
        <v/>
      </c>
      <c r="AH315" s="20" t="inlineStr">
        <is>
          <t xml:space="preserve">       (1) 후순위채권 </t>
        </is>
      </c>
      <c r="AI315" s="847" t="n">
        <v>-299402579359</v>
      </c>
    </row>
    <row r="316">
      <c r="A316" s="696" t="n">
        <v>315</v>
      </c>
      <c r="B316" s="34" t="inlineStr">
        <is>
          <t xml:space="preserve">  [자 본 총 계]</t>
        </is>
      </c>
      <c r="D316" s="34" t="n">
        <v>0</v>
      </c>
      <c r="E316" s="34" t="n">
        <v>0</v>
      </c>
      <c r="F316" s="34" t="n">
        <v>0</v>
      </c>
      <c r="G316" s="34" t="n">
        <v>0</v>
      </c>
      <c r="H316" s="148" t="n">
        <v>0</v>
      </c>
      <c r="I316" s="34" t="n">
        <v>0</v>
      </c>
      <c r="J316" s="34" t="n">
        <v>0</v>
      </c>
      <c r="K316" s="34" t="n">
        <v>0</v>
      </c>
      <c r="L316" s="34" t="n">
        <v>0</v>
      </c>
      <c r="M316" s="34" t="n">
        <v>0</v>
      </c>
      <c r="N316" s="17">
        <f>+M316+I316+J316</f>
        <v/>
      </c>
      <c r="O316" s="17">
        <f>+F316</f>
        <v/>
      </c>
      <c r="P316" s="17">
        <f>+K316+L316</f>
        <v/>
      </c>
      <c r="Q316" s="17">
        <f>+G316</f>
        <v/>
      </c>
      <c r="AH316" s="20" t="inlineStr">
        <is>
          <t xml:space="preserve">       (2) 일반채권</t>
        </is>
      </c>
      <c r="AI316" s="847" t="n">
        <v>0</v>
      </c>
    </row>
    <row r="317">
      <c r="A317" s="696" t="n">
        <v>316</v>
      </c>
      <c r="B317" s="34" t="inlineStr">
        <is>
          <t xml:space="preserve">　   Ⅰ.자 본 금</t>
        </is>
      </c>
      <c r="D317" s="34" t="n">
        <v>0</v>
      </c>
      <c r="E317" s="33" t="n">
        <v>29281993757</v>
      </c>
      <c r="F317" s="34" t="n">
        <v>0</v>
      </c>
      <c r="G317" s="34" t="n">
        <v>0</v>
      </c>
      <c r="H317" s="147" t="n">
        <v>29281993757</v>
      </c>
      <c r="I317" s="34" t="n">
        <v>0</v>
      </c>
      <c r="J317" s="34" t="n">
        <v>0</v>
      </c>
      <c r="K317" s="34" t="n">
        <v>0</v>
      </c>
      <c r="L317" s="34" t="n">
        <v>0</v>
      </c>
      <c r="M317" s="33" t="n">
        <v>29281993757</v>
      </c>
      <c r="N317" s="17">
        <f>+M317+I317+J317</f>
        <v/>
      </c>
      <c r="O317" s="17">
        <f>+F317</f>
        <v/>
      </c>
      <c r="P317" s="17">
        <f>+K317+L317</f>
        <v/>
      </c>
      <c r="Q317" s="17">
        <f>+G317</f>
        <v/>
      </c>
      <c r="AH317" s="20" t="inlineStr">
        <is>
          <t xml:space="preserve">  VI. 확 정 급 여 채 무 </t>
        </is>
      </c>
      <c r="AI317" s="847" t="n">
        <v>-11811167490</v>
      </c>
    </row>
    <row r="318">
      <c r="A318" s="696" t="n">
        <v>317</v>
      </c>
      <c r="B318" s="34" t="inlineStr">
        <is>
          <t xml:space="preserve">　　      [수권주식수]</t>
        </is>
      </c>
      <c r="D318" s="34" t="n">
        <v>0</v>
      </c>
      <c r="E318" s="33" t="n">
        <v>-356626729672</v>
      </c>
      <c r="F318" s="34" t="n">
        <v>0</v>
      </c>
      <c r="G318" s="34" t="n">
        <v>0</v>
      </c>
      <c r="H318" s="147" t="n">
        <v>-356626729672</v>
      </c>
      <c r="I318" s="34" t="n">
        <v>0</v>
      </c>
      <c r="J318" s="34" t="n">
        <v>0</v>
      </c>
      <c r="K318" s="34" t="n">
        <v>0</v>
      </c>
      <c r="L318" s="34" t="n">
        <v>0</v>
      </c>
      <c r="M318" s="33" t="n">
        <v>-356626729672</v>
      </c>
      <c r="N318" s="17">
        <f>+M318+I318+J318</f>
        <v/>
      </c>
      <c r="O318" s="17">
        <f>+F318</f>
        <v/>
      </c>
      <c r="P318" s="17">
        <f>+K318+L318</f>
        <v/>
      </c>
      <c r="Q318" s="17">
        <f>+G318</f>
        <v/>
      </c>
      <c r="AH318" s="20" t="inlineStr">
        <is>
          <t xml:space="preserve">     1.확정급여채무</t>
        </is>
      </c>
      <c r="AI318" s="847" t="n">
        <v>-23607210605</v>
      </c>
    </row>
    <row r="319">
      <c r="A319" s="696" t="n">
        <v>318</v>
      </c>
      <c r="B319" s="34" t="inlineStr">
        <is>
          <t xml:space="preserve">　　      [발행주식수]</t>
        </is>
      </c>
      <c r="D319" s="34" t="n">
        <v>0</v>
      </c>
      <c r="E319" s="33" t="n">
        <v>-13323148118922</v>
      </c>
      <c r="F319" s="34" t="n">
        <v>0</v>
      </c>
      <c r="G319" s="34" t="n">
        <v>0</v>
      </c>
      <c r="H319" s="147" t="n">
        <v>-13323148118922</v>
      </c>
      <c r="I319" s="34" t="n">
        <v>0</v>
      </c>
      <c r="J319" s="34" t="n">
        <v>0</v>
      </c>
      <c r="K319" s="34" t="n">
        <v>0</v>
      </c>
      <c r="L319" s="34" t="n">
        <v>0</v>
      </c>
      <c r="M319" s="33" t="n">
        <v>-13323148118922</v>
      </c>
      <c r="N319" s="17">
        <f>+M319+I319+J319</f>
        <v/>
      </c>
      <c r="O319" s="17">
        <f>+F319</f>
        <v/>
      </c>
      <c r="P319" s="17">
        <f>+K319+L319</f>
        <v/>
      </c>
      <c r="Q319" s="17">
        <f>+G319</f>
        <v/>
      </c>
      <c r="AH319" s="20" t="inlineStr">
        <is>
          <t xml:space="preserve">     2.국민연금전환금 </t>
        </is>
      </c>
      <c r="AI319" s="847" t="n">
        <v>0</v>
      </c>
    </row>
    <row r="320">
      <c r="A320" s="696" t="n">
        <v>319</v>
      </c>
      <c r="B320" s="34" t="inlineStr">
        <is>
          <t xml:space="preserve">　　       1.보통주자본금</t>
        </is>
      </c>
      <c r="D320" s="33" t="n">
        <v>-2436501555669</v>
      </c>
      <c r="E320" s="33" t="n">
        <v>59203</v>
      </c>
      <c r="F320" s="34" t="n">
        <v>0</v>
      </c>
      <c r="G320" s="34" t="n">
        <v>0</v>
      </c>
      <c r="H320" s="147" t="n">
        <v>-2436501496466</v>
      </c>
      <c r="I320" s="33" t="n">
        <v>128957332230</v>
      </c>
      <c r="J320" s="34" t="n">
        <v>0</v>
      </c>
      <c r="K320" s="34" t="n">
        <v>0</v>
      </c>
      <c r="L320" s="33" t="n">
        <v>21221748164</v>
      </c>
      <c r="M320" s="33" t="n">
        <v>-2586680576860</v>
      </c>
      <c r="N320" s="17">
        <f>+M320+I320+J320</f>
        <v/>
      </c>
      <c r="O320" s="17">
        <f>+F320</f>
        <v/>
      </c>
      <c r="P320" s="17">
        <f>+K320+L320</f>
        <v/>
      </c>
      <c r="Q320" s="17">
        <f>+G320</f>
        <v/>
      </c>
      <c r="AH320" s="20" t="inlineStr">
        <is>
          <t xml:space="preserve">     3.퇴직보험예치금 </t>
        </is>
      </c>
      <c r="AI320" s="847" t="n">
        <v>0</v>
      </c>
    </row>
    <row r="321">
      <c r="A321" s="696" t="n">
        <v>320</v>
      </c>
      <c r="B321" s="34" t="inlineStr">
        <is>
          <t xml:space="preserve">　　        [발행보통주식수]</t>
        </is>
      </c>
      <c r="D321" s="33" t="n">
        <v>-990714745000</v>
      </c>
      <c r="E321" s="34" t="n">
        <v>0</v>
      </c>
      <c r="F321" s="34" t="n">
        <v>0</v>
      </c>
      <c r="G321" s="34" t="n">
        <v>0</v>
      </c>
      <c r="H321" s="147" t="n">
        <v>-990714745000</v>
      </c>
      <c r="I321" s="34" t="n">
        <v>0</v>
      </c>
      <c r="J321" s="34" t="n">
        <v>0</v>
      </c>
      <c r="K321" s="34" t="n">
        <v>0</v>
      </c>
      <c r="L321" s="34" t="n">
        <v>0</v>
      </c>
      <c r="M321" s="33" t="n">
        <v>-990714745000</v>
      </c>
      <c r="N321" s="17">
        <f>+M321+I321+J321</f>
        <v/>
      </c>
      <c r="O321" s="17">
        <f>+F321</f>
        <v/>
      </c>
      <c r="P321" s="17">
        <f>+K321+L321</f>
        <v/>
      </c>
      <c r="Q321" s="17">
        <f>+G321</f>
        <v/>
      </c>
      <c r="AH321" s="20" t="inlineStr">
        <is>
          <t xml:space="preserve">     4.단체퇴직급여충당금 </t>
        </is>
      </c>
      <c r="AI321" s="847" t="n">
        <v>0</v>
      </c>
    </row>
    <row r="322">
      <c r="A322" s="696" t="n">
        <v>321</v>
      </c>
      <c r="B322" s="34" t="inlineStr">
        <is>
          <t xml:space="preserve">　　       2.우선주자본금</t>
        </is>
      </c>
      <c r="D322" s="34" t="n">
        <v>0</v>
      </c>
      <c r="E322" s="34" t="n">
        <v>0</v>
      </c>
      <c r="F322" s="34" t="n">
        <v>0</v>
      </c>
      <c r="G322" s="34" t="n">
        <v>0</v>
      </c>
      <c r="H322" s="148" t="n">
        <v>0</v>
      </c>
      <c r="I322" s="34" t="n">
        <v>0</v>
      </c>
      <c r="J322" s="34" t="n">
        <v>0</v>
      </c>
      <c r="K322" s="34" t="n">
        <v>0</v>
      </c>
      <c r="L322" s="34" t="n">
        <v>0</v>
      </c>
      <c r="M322" s="34" t="n">
        <v>0</v>
      </c>
      <c r="N322" s="17">
        <f>+M322+I322+J322</f>
        <v/>
      </c>
      <c r="O322" s="17">
        <f>+F322</f>
        <v/>
      </c>
      <c r="P322" s="17">
        <f>+K322+L322</f>
        <v/>
      </c>
      <c r="Q322" s="17">
        <f>+G322</f>
        <v/>
      </c>
      <c r="AH322" s="20" t="inlineStr">
        <is>
          <t xml:space="preserve">     5.미인식보험수리적손익</t>
        </is>
      </c>
      <c r="AI322" s="847" t="n">
        <v>0</v>
      </c>
    </row>
    <row r="323">
      <c r="A323" s="696" t="n">
        <v>322</v>
      </c>
      <c r="B323" s="34" t="inlineStr">
        <is>
          <t xml:space="preserve">　　        [발행우선주식수]</t>
        </is>
      </c>
      <c r="D323" s="34" t="n">
        <v>0</v>
      </c>
      <c r="E323" s="34" t="n">
        <v>0</v>
      </c>
      <c r="F323" s="34" t="n">
        <v>0</v>
      </c>
      <c r="G323" s="34" t="n">
        <v>0</v>
      </c>
      <c r="H323" s="148" t="n">
        <v>0</v>
      </c>
      <c r="I323" s="34" t="n">
        <v>0</v>
      </c>
      <c r="J323" s="34" t="n">
        <v>0</v>
      </c>
      <c r="K323" s="34" t="n">
        <v>0</v>
      </c>
      <c r="L323" s="34" t="n">
        <v>0</v>
      </c>
      <c r="M323" s="34" t="n">
        <v>0</v>
      </c>
      <c r="N323" s="17">
        <f>+M323+I323+J323</f>
        <v/>
      </c>
      <c r="O323" s="17">
        <f>+F323</f>
        <v/>
      </c>
      <c r="P323" s="17">
        <f>+K323+L323</f>
        <v/>
      </c>
      <c r="Q323" s="17">
        <f>+G323</f>
        <v/>
      </c>
      <c r="AH323" s="20" t="inlineStr">
        <is>
          <t xml:space="preserve">     6.미인식과거근무원가</t>
        </is>
      </c>
      <c r="AI323" s="847" t="n">
        <v>0</v>
      </c>
    </row>
    <row r="324">
      <c r="A324" s="696" t="n">
        <v>323</v>
      </c>
      <c r="B324" s="34" t="inlineStr">
        <is>
          <t xml:space="preserve">　    Ⅱ.자 본 잉 여 금</t>
        </is>
      </c>
      <c r="D324" s="33" t="n">
        <v>-885080945000</v>
      </c>
      <c r="E324" s="34" t="n">
        <v>0</v>
      </c>
      <c r="F324" s="34" t="n">
        <v>0</v>
      </c>
      <c r="G324" s="34" t="n">
        <v>0</v>
      </c>
      <c r="H324" s="147" t="n">
        <v>-885080945000</v>
      </c>
      <c r="I324" s="34" t="n">
        <v>0</v>
      </c>
      <c r="J324" s="34" t="n">
        <v>0</v>
      </c>
      <c r="K324" s="34" t="n">
        <v>0</v>
      </c>
      <c r="L324" s="34" t="n">
        <v>0</v>
      </c>
      <c r="M324" s="33" t="n">
        <v>-885080945000</v>
      </c>
      <c r="N324" s="17">
        <f>+M324+I324+J324</f>
        <v/>
      </c>
      <c r="O324" s="17">
        <f>+F324</f>
        <v/>
      </c>
      <c r="P324" s="17">
        <f>+K324+L324</f>
        <v/>
      </c>
      <c r="Q324" s="17">
        <f>+G324</f>
        <v/>
      </c>
      <c r="AH324" s="20" t="inlineStr">
        <is>
          <t xml:space="preserve">     7.사외적립자산</t>
        </is>
      </c>
      <c r="AI324" s="847" t="n">
        <v>11796043115</v>
      </c>
    </row>
    <row r="325">
      <c r="A325" s="696" t="n">
        <v>324</v>
      </c>
      <c r="B325" s="34" t="inlineStr">
        <is>
          <t xml:space="preserve">　　       1.주식발행초과금</t>
        </is>
      </c>
      <c r="D325" s="34" t="n">
        <v>0</v>
      </c>
      <c r="E325" s="34" t="n">
        <v>0</v>
      </c>
      <c r="F325" s="34" t="n">
        <v>0</v>
      </c>
      <c r="G325" s="34" t="n">
        <v>0</v>
      </c>
      <c r="H325" s="148" t="n">
        <v>0</v>
      </c>
      <c r="I325" s="34" t="n">
        <v>0</v>
      </c>
      <c r="J325" s="34" t="n">
        <v>0</v>
      </c>
      <c r="K325" s="34" t="n">
        <v>0</v>
      </c>
      <c r="L325" s="34" t="n">
        <v>0</v>
      </c>
      <c r="M325" s="34" t="n">
        <v>0</v>
      </c>
      <c r="N325" s="17">
        <f>+M325+I325+J325</f>
        <v/>
      </c>
      <c r="O325" s="17">
        <f>+F325</f>
        <v/>
      </c>
      <c r="P325" s="17">
        <f>+K325+L325</f>
        <v/>
      </c>
      <c r="Q325" s="17">
        <f>+G325</f>
        <v/>
      </c>
      <c r="AH325" s="20" t="inlineStr">
        <is>
          <t xml:space="preserve">       (1) 퇴직연금운용자산</t>
        </is>
      </c>
      <c r="AI325" s="847" t="n">
        <v>11796043115</v>
      </c>
    </row>
    <row r="326">
      <c r="A326" s="696" t="n">
        <v>325</v>
      </c>
      <c r="B326" s="34" t="inlineStr">
        <is>
          <t xml:space="preserve">　　       2.감 자 차 익</t>
        </is>
      </c>
      <c r="D326" s="33" t="n">
        <v>-105633800000</v>
      </c>
      <c r="E326" s="34" t="n">
        <v>0</v>
      </c>
      <c r="F326" s="34" t="n">
        <v>0</v>
      </c>
      <c r="G326" s="34" t="n">
        <v>0</v>
      </c>
      <c r="H326" s="147" t="n">
        <v>-105633800000</v>
      </c>
      <c r="I326" s="34" t="n">
        <v>0</v>
      </c>
      <c r="J326" s="34" t="n">
        <v>0</v>
      </c>
      <c r="K326" s="34" t="n">
        <v>0</v>
      </c>
      <c r="L326" s="34" t="n">
        <v>0</v>
      </c>
      <c r="M326" s="33" t="n">
        <v>-105633800000</v>
      </c>
      <c r="N326" s="17">
        <f>+M326+I326+J326</f>
        <v/>
      </c>
      <c r="O326" s="17">
        <f>+F326</f>
        <v/>
      </c>
      <c r="P326" s="17">
        <f>+K326+L326</f>
        <v/>
      </c>
      <c r="Q326" s="17">
        <f>+G326</f>
        <v/>
      </c>
      <c r="AH326" s="20" t="inlineStr">
        <is>
          <t xml:space="preserve">       (2) 기타사외적립자산</t>
        </is>
      </c>
      <c r="AI326" s="847" t="n">
        <v>0</v>
      </c>
    </row>
    <row r="327">
      <c r="A327" s="696" t="n">
        <v>326</v>
      </c>
      <c r="B327" s="34" t="inlineStr">
        <is>
          <t xml:space="preserve">　　       3.재평가적립금</t>
        </is>
      </c>
      <c r="D327" s="34" t="n">
        <v>0</v>
      </c>
      <c r="E327" s="34" t="n">
        <v>0</v>
      </c>
      <c r="F327" s="34" t="n">
        <v>0</v>
      </c>
      <c r="G327" s="34" t="n">
        <v>0</v>
      </c>
      <c r="H327" s="148" t="n">
        <v>0</v>
      </c>
      <c r="I327" s="34" t="n">
        <v>0</v>
      </c>
      <c r="J327" s="34" t="n">
        <v>0</v>
      </c>
      <c r="K327" s="34" t="n">
        <v>0</v>
      </c>
      <c r="L327" s="34" t="n">
        <v>0</v>
      </c>
      <c r="M327" s="34" t="n">
        <v>0</v>
      </c>
      <c r="N327" s="17">
        <f>+M327+I327+J327</f>
        <v/>
      </c>
      <c r="O327" s="17">
        <f>+F327</f>
        <v/>
      </c>
      <c r="P327" s="17">
        <f>+K327+L327</f>
        <v/>
      </c>
      <c r="Q327" s="17">
        <f>+G327</f>
        <v/>
      </c>
      <c r="AH327" s="20" t="inlineStr">
        <is>
          <t xml:space="preserve">  VII. 충 당 부 채 </t>
        </is>
      </c>
      <c r="AI327" s="847" t="n">
        <v>-2079621929</v>
      </c>
    </row>
    <row r="328">
      <c r="A328" s="696" t="n">
        <v>327</v>
      </c>
      <c r="B328" s="34" t="inlineStr">
        <is>
          <t xml:space="preserve">　　       4.기타자본잉여금</t>
        </is>
      </c>
      <c r="D328" s="33" t="n">
        <v>-181384483840</v>
      </c>
      <c r="E328" s="34" t="n">
        <v>0</v>
      </c>
      <c r="F328" s="34" t="n">
        <v>0</v>
      </c>
      <c r="G328" s="34" t="n">
        <v>0</v>
      </c>
      <c r="H328" s="147" t="n">
        <v>-181384483840</v>
      </c>
      <c r="I328" s="34" t="n">
        <v>0</v>
      </c>
      <c r="J328" s="34" t="n">
        <v>0</v>
      </c>
      <c r="K328" s="34" t="n">
        <v>0</v>
      </c>
      <c r="L328" s="34" t="n">
        <v>0</v>
      </c>
      <c r="M328" s="33" t="n">
        <v>-181384483840</v>
      </c>
      <c r="N328" s="17">
        <f>+M328+I328+J328</f>
        <v/>
      </c>
      <c r="O328" s="17">
        <f>+F328</f>
        <v/>
      </c>
      <c r="P328" s="17">
        <f>+K328+L328</f>
        <v/>
      </c>
      <c r="Q328" s="17">
        <f>+G328</f>
        <v/>
      </c>
      <c r="AH328" s="20" t="inlineStr">
        <is>
          <t xml:space="preserve">     1.복구충당부채 </t>
        </is>
      </c>
      <c r="AI328" s="847" t="n">
        <v>-1793957866</v>
      </c>
    </row>
    <row r="329">
      <c r="A329" s="696" t="n">
        <v>328</v>
      </c>
      <c r="B329" s="34" t="inlineStr">
        <is>
          <t xml:space="preserve">　    III.신 종 자 본 증 권</t>
        </is>
      </c>
      <c r="D329" s="33" t="n">
        <v>-181361275262</v>
      </c>
      <c r="E329" s="34" t="n">
        <v>0</v>
      </c>
      <c r="F329" s="34" t="n">
        <v>0</v>
      </c>
      <c r="G329" s="34" t="n">
        <v>0</v>
      </c>
      <c r="H329" s="147" t="n">
        <v>-181361275262</v>
      </c>
      <c r="I329" s="34" t="n">
        <v>0</v>
      </c>
      <c r="J329" s="34" t="n">
        <v>0</v>
      </c>
      <c r="K329" s="34" t="n">
        <v>0</v>
      </c>
      <c r="L329" s="34" t="n">
        <v>0</v>
      </c>
      <c r="M329" s="33" t="n">
        <v>-181361275262</v>
      </c>
      <c r="N329" s="17">
        <f>+M329+I329+J329</f>
        <v/>
      </c>
      <c r="O329" s="17">
        <f>+F329</f>
        <v/>
      </c>
      <c r="P329" s="17">
        <f>+K329+L329</f>
        <v/>
      </c>
      <c r="Q329" s="17">
        <f>+G329</f>
        <v/>
      </c>
      <c r="AH329" s="20" t="inlineStr">
        <is>
          <t xml:space="preserve">     2.채무보증충당부채 </t>
        </is>
      </c>
      <c r="AI329" s="847" t="n">
        <v>0</v>
      </c>
    </row>
    <row r="330">
      <c r="A330" s="696" t="n">
        <v>329</v>
      </c>
      <c r="B330" s="34" t="inlineStr">
        <is>
          <t xml:space="preserve">　　       (할인발행차금)(-)</t>
        </is>
      </c>
      <c r="D330" s="34" t="n">
        <v>0</v>
      </c>
      <c r="E330" s="34" t="n">
        <v>0</v>
      </c>
      <c r="F330" s="34" t="n">
        <v>0</v>
      </c>
      <c r="G330" s="34" t="n">
        <v>0</v>
      </c>
      <c r="H330" s="148" t="n">
        <v>0</v>
      </c>
      <c r="I330" s="34" t="n">
        <v>0</v>
      </c>
      <c r="J330" s="34" t="n">
        <v>0</v>
      </c>
      <c r="K330" s="34" t="n">
        <v>0</v>
      </c>
      <c r="L330" s="34" t="n">
        <v>0</v>
      </c>
      <c r="M330" s="34" t="n">
        <v>0</v>
      </c>
      <c r="N330" s="17">
        <f>+M330+I330+J330</f>
        <v/>
      </c>
      <c r="O330" s="17">
        <f>+F330</f>
        <v/>
      </c>
      <c r="P330" s="17">
        <f>+K330+L330</f>
        <v/>
      </c>
      <c r="Q330" s="17">
        <f>+G330</f>
        <v/>
      </c>
      <c r="AH330" s="20" t="inlineStr">
        <is>
          <t xml:space="preserve">     3.기타충당부채 </t>
        </is>
      </c>
      <c r="AI330" s="847" t="n">
        <v>-285664063</v>
      </c>
    </row>
    <row r="331">
      <c r="A331" s="696" t="n">
        <v>330</v>
      </c>
      <c r="B331" s="34" t="inlineStr">
        <is>
          <t xml:space="preserve">　　       (할증발행차금)(+)</t>
        </is>
      </c>
      <c r="D331" s="34" t="n">
        <v>0</v>
      </c>
      <c r="E331" s="34" t="n">
        <v>0</v>
      </c>
      <c r="F331" s="34" t="n">
        <v>0</v>
      </c>
      <c r="G331" s="34" t="n">
        <v>0</v>
      </c>
      <c r="H331" s="148" t="n">
        <v>0</v>
      </c>
      <c r="I331" s="34" t="n">
        <v>0</v>
      </c>
      <c r="J331" s="34" t="n">
        <v>0</v>
      </c>
      <c r="K331" s="34" t="n">
        <v>0</v>
      </c>
      <c r="L331" s="34" t="n">
        <v>0</v>
      </c>
      <c r="M331" s="34" t="n">
        <v>0</v>
      </c>
      <c r="N331" s="17">
        <f>+M331+I331+J331</f>
        <v/>
      </c>
      <c r="O331" s="17">
        <f>+F331</f>
        <v/>
      </c>
      <c r="P331" s="17">
        <f>+K331+L331</f>
        <v/>
      </c>
      <c r="Q331" s="17">
        <f>+G331</f>
        <v/>
      </c>
      <c r="AH331" s="20" t="inlineStr">
        <is>
          <t xml:space="preserve">       (1) 미사용약정충당금</t>
        </is>
      </c>
      <c r="AI331" s="847" t="n">
        <v>-285664063</v>
      </c>
    </row>
    <row r="332">
      <c r="A332" s="696" t="n">
        <v>331</v>
      </c>
      <c r="B332" s="34" t="inlineStr">
        <is>
          <t xml:space="preserve">    IV.계 약 자 지 분 조 정</t>
        </is>
      </c>
      <c r="D332" s="33" t="n">
        <v>-23208578</v>
      </c>
      <c r="E332" s="34" t="n">
        <v>0</v>
      </c>
      <c r="F332" s="34" t="n">
        <v>0</v>
      </c>
      <c r="G332" s="34" t="n">
        <v>0</v>
      </c>
      <c r="H332" s="147" t="n">
        <v>-23208578</v>
      </c>
      <c r="I332" s="34" t="n">
        <v>0</v>
      </c>
      <c r="J332" s="34" t="n">
        <v>0</v>
      </c>
      <c r="K332" s="34" t="n">
        <v>0</v>
      </c>
      <c r="L332" s="34" t="n">
        <v>0</v>
      </c>
      <c r="M332" s="33" t="n">
        <v>-23208578</v>
      </c>
      <c r="N332" s="17">
        <f>+M332+I332+J332</f>
        <v/>
      </c>
      <c r="O332" s="17">
        <f>+F332</f>
        <v/>
      </c>
      <c r="P332" s="17">
        <f>+K332+L332</f>
        <v/>
      </c>
      <c r="Q332" s="17">
        <f>+G332</f>
        <v/>
      </c>
      <c r="AH332" s="20" t="inlineStr">
        <is>
          <t xml:space="preserve">       (2) 기      타</t>
        </is>
      </c>
      <c r="AI332" s="847" t="n">
        <v>0</v>
      </c>
    </row>
    <row r="333">
      <c r="A333" s="696" t="n">
        <v>332</v>
      </c>
      <c r="B333" s="34" t="inlineStr">
        <is>
          <t xml:space="preserve">　       1.기타포괄손익-공정가치측정금융상품평가손익</t>
        </is>
      </c>
      <c r="D333" s="34" t="n">
        <v>0</v>
      </c>
      <c r="E333" s="34" t="n">
        <v>0</v>
      </c>
      <c r="F333" s="34" t="n">
        <v>0</v>
      </c>
      <c r="G333" s="34" t="n">
        <v>0</v>
      </c>
      <c r="H333" s="148" t="n">
        <v>0</v>
      </c>
      <c r="I333" s="34" t="n">
        <v>0</v>
      </c>
      <c r="J333" s="34" t="n">
        <v>0</v>
      </c>
      <c r="K333" s="34" t="n">
        <v>0</v>
      </c>
      <c r="L333" s="34" t="n">
        <v>0</v>
      </c>
      <c r="M333" s="34" t="n">
        <v>0</v>
      </c>
      <c r="N333" s="17">
        <f>+M333+I333+J333</f>
        <v/>
      </c>
      <c r="O333" s="17">
        <f>+F333</f>
        <v/>
      </c>
      <c r="P333" s="17">
        <f>+K333+L333</f>
        <v/>
      </c>
      <c r="Q333" s="17">
        <f>+G333</f>
        <v/>
      </c>
      <c r="AH333" s="20" t="inlineStr">
        <is>
          <t xml:space="preserve">  VIII. 이 연 법 인 세 부 채 </t>
        </is>
      </c>
      <c r="AI333" s="847" t="n">
        <v>-196703880689</v>
      </c>
    </row>
    <row r="334">
      <c r="A334" s="696" t="n">
        <v>333</v>
      </c>
      <c r="B334" s="34" t="inlineStr">
        <is>
          <t xml:space="preserve">　       2.관계·종속기업투자주식평가손익</t>
        </is>
      </c>
      <c r="D334" s="34" t="n">
        <v>0</v>
      </c>
      <c r="E334" s="34" t="n">
        <v>0</v>
      </c>
      <c r="F334" s="34" t="n">
        <v>0</v>
      </c>
      <c r="G334" s="34" t="n">
        <v>0</v>
      </c>
      <c r="H334" s="148" t="n">
        <v>0</v>
      </c>
      <c r="I334" s="34" t="n">
        <v>0</v>
      </c>
      <c r="J334" s="34" t="n">
        <v>0</v>
      </c>
      <c r="K334" s="34" t="n">
        <v>0</v>
      </c>
      <c r="L334" s="34" t="n">
        <v>0</v>
      </c>
      <c r="M334" s="34" t="n">
        <v>0</v>
      </c>
      <c r="N334" s="17">
        <f>+M334+I334+J334</f>
        <v/>
      </c>
      <c r="O334" s="17">
        <f>+F334</f>
        <v/>
      </c>
      <c r="P334" s="17">
        <f>+K334+L334</f>
        <v/>
      </c>
      <c r="Q334" s="17">
        <f>+G334</f>
        <v/>
      </c>
      <c r="AH334" s="20" t="inlineStr">
        <is>
          <t xml:space="preserve">  IX.  기 타 부 채 </t>
        </is>
      </c>
      <c r="AI334" s="847" t="n">
        <v>-128692618754</v>
      </c>
    </row>
    <row r="335">
      <c r="A335" s="696" t="n">
        <v>334</v>
      </c>
      <c r="B335" s="34" t="inlineStr">
        <is>
          <t xml:space="preserve">　       3.재평가잉여금</t>
        </is>
      </c>
      <c r="D335" s="34" t="n">
        <v>0</v>
      </c>
      <c r="E335" s="34" t="n">
        <v>0</v>
      </c>
      <c r="F335" s="34" t="n">
        <v>0</v>
      </c>
      <c r="G335" s="34" t="n">
        <v>0</v>
      </c>
      <c r="H335" s="148" t="n">
        <v>0</v>
      </c>
      <c r="I335" s="34" t="n">
        <v>0</v>
      </c>
      <c r="J335" s="34" t="n">
        <v>0</v>
      </c>
      <c r="K335" s="34" t="n">
        <v>0</v>
      </c>
      <c r="L335" s="34" t="n">
        <v>0</v>
      </c>
      <c r="M335" s="34" t="n">
        <v>0</v>
      </c>
      <c r="N335" s="17">
        <f>+M335+I335+J335</f>
        <v/>
      </c>
      <c r="O335" s="17">
        <f>+F335</f>
        <v/>
      </c>
      <c r="P335" s="17">
        <f>+K335+L335</f>
        <v/>
      </c>
      <c r="Q335" s="17">
        <f>+G335</f>
        <v/>
      </c>
      <c r="AH335" s="20" t="inlineStr">
        <is>
          <t xml:space="preserve">      1.미 지 급 금 </t>
        </is>
      </c>
      <c r="AI335" s="847" t="n">
        <v>-15978690584</v>
      </c>
    </row>
    <row r="336">
      <c r="A336" s="696" t="n">
        <v>335</v>
      </c>
      <c r="B336" s="34" t="inlineStr">
        <is>
          <t xml:space="preserve">　    V.이 익 잉 여 금</t>
        </is>
      </c>
      <c r="D336" s="33" t="n">
        <v>-2067824468220</v>
      </c>
      <c r="E336" s="34" t="n">
        <v>0</v>
      </c>
      <c r="F336" s="34" t="n">
        <v>0</v>
      </c>
      <c r="G336" s="34" t="n">
        <v>0</v>
      </c>
      <c r="H336" s="147" t="n">
        <v>-2067824468220</v>
      </c>
      <c r="I336" s="34" t="n">
        <v>0</v>
      </c>
      <c r="J336" s="34" t="n">
        <v>0</v>
      </c>
      <c r="K336" s="34" t="n">
        <v>0</v>
      </c>
      <c r="L336" s="34" t="n">
        <v>0</v>
      </c>
      <c r="M336" s="33" t="n">
        <v>-2067824468220</v>
      </c>
      <c r="N336" s="17">
        <f>+M336+I336+J336</f>
        <v/>
      </c>
      <c r="O336" s="17">
        <f>+F336</f>
        <v/>
      </c>
      <c r="P336" s="17">
        <f>+K336+L336</f>
        <v/>
      </c>
      <c r="Q336" s="17">
        <f>+G336</f>
        <v/>
      </c>
      <c r="AH336" s="20" t="inlineStr">
        <is>
          <t xml:space="preserve">      2.미 지 급 비 용 </t>
        </is>
      </c>
      <c r="AI336" s="847" t="n">
        <v>-59854245966</v>
      </c>
    </row>
    <row r="337">
      <c r="A337" s="696" t="n">
        <v>336</v>
      </c>
      <c r="B337" s="34" t="inlineStr">
        <is>
          <t xml:space="preserve">　　       1.이익준비금</t>
        </is>
      </c>
      <c r="D337" s="33" t="n">
        <v>-29423725175</v>
      </c>
      <c r="E337" s="34" t="n">
        <v>0</v>
      </c>
      <c r="F337" s="34" t="n">
        <v>0</v>
      </c>
      <c r="G337" s="34" t="n">
        <v>0</v>
      </c>
      <c r="H337" s="147" t="n">
        <v>-29423725175</v>
      </c>
      <c r="I337" s="34" t="n">
        <v>0</v>
      </c>
      <c r="J337" s="34" t="n">
        <v>0</v>
      </c>
      <c r="K337" s="34" t="n">
        <v>0</v>
      </c>
      <c r="L337" s="34" t="n">
        <v>0</v>
      </c>
      <c r="M337" s="33" t="n">
        <v>-29423725175</v>
      </c>
      <c r="N337" s="17">
        <f>+M337+I337+J337</f>
        <v/>
      </c>
      <c r="O337" s="17">
        <f>+F337</f>
        <v/>
      </c>
      <c r="P337" s="17">
        <f>+K337+L337</f>
        <v/>
      </c>
      <c r="Q337" s="17">
        <f>+G337</f>
        <v/>
      </c>
      <c r="AH337" s="20" t="inlineStr">
        <is>
          <t xml:space="preserve">      3.선 수 금 </t>
        </is>
      </c>
      <c r="AI337" s="847" t="n">
        <v>0</v>
      </c>
    </row>
    <row r="338">
      <c r="A338" s="696" t="n">
        <v>337</v>
      </c>
      <c r="B338" s="34" t="inlineStr">
        <is>
          <t xml:space="preserve">　　       2.기타법정적립금</t>
        </is>
      </c>
      <c r="D338" s="34" t="n">
        <v>0</v>
      </c>
      <c r="E338" s="34" t="n">
        <v>0</v>
      </c>
      <c r="F338" s="34" t="n">
        <v>0</v>
      </c>
      <c r="G338" s="34" t="n">
        <v>0</v>
      </c>
      <c r="H338" s="148" t="n">
        <v>0</v>
      </c>
      <c r="I338" s="34" t="n">
        <v>0</v>
      </c>
      <c r="J338" s="34" t="n">
        <v>0</v>
      </c>
      <c r="K338" s="34" t="n">
        <v>0</v>
      </c>
      <c r="L338" s="34" t="n">
        <v>0</v>
      </c>
      <c r="M338" s="34" t="n">
        <v>0</v>
      </c>
      <c r="N338" s="17">
        <f>+M338+I338+J338</f>
        <v/>
      </c>
      <c r="O338" s="17">
        <f>+F338</f>
        <v/>
      </c>
      <c r="P338" s="17">
        <f>+K338+L338</f>
        <v/>
      </c>
      <c r="Q338" s="17">
        <f>+G338</f>
        <v/>
      </c>
      <c r="AH338" s="20" t="inlineStr">
        <is>
          <t xml:space="preserve">      4.선 수 수 익 </t>
        </is>
      </c>
      <c r="AI338" s="847" t="n">
        <v>-106188370</v>
      </c>
    </row>
    <row r="339">
      <c r="A339" s="696" t="n">
        <v>338</v>
      </c>
      <c r="B339" s="34" t="inlineStr">
        <is>
          <t xml:space="preserve">　　　         가.기업합리화적립금</t>
        </is>
      </c>
      <c r="D339" s="34" t="n">
        <v>0</v>
      </c>
      <c r="E339" s="34" t="n">
        <v>0</v>
      </c>
      <c r="F339" s="34" t="n">
        <v>0</v>
      </c>
      <c r="G339" s="34" t="n">
        <v>0</v>
      </c>
      <c r="H339" s="148" t="n">
        <v>0</v>
      </c>
      <c r="I339" s="34" t="n">
        <v>0</v>
      </c>
      <c r="J339" s="34" t="n">
        <v>0</v>
      </c>
      <c r="K339" s="34" t="n">
        <v>0</v>
      </c>
      <c r="L339" s="34" t="n">
        <v>0</v>
      </c>
      <c r="M339" s="34" t="n">
        <v>0</v>
      </c>
      <c r="N339" s="17">
        <f>+M339+I339+J339</f>
        <v/>
      </c>
      <c r="O339" s="17">
        <f>+F339</f>
        <v/>
      </c>
      <c r="P339" s="17">
        <f>+K339+L339</f>
        <v/>
      </c>
      <c r="Q339" s="17">
        <f>+G339</f>
        <v/>
      </c>
      <c r="AH339" s="20" t="inlineStr">
        <is>
          <t xml:space="preserve">      5.예 수 금 </t>
        </is>
      </c>
      <c r="AI339" s="847" t="n">
        <v>-9441661977</v>
      </c>
    </row>
    <row r="340">
      <c r="A340" s="696" t="n">
        <v>339</v>
      </c>
      <c r="B340" s="34" t="inlineStr">
        <is>
          <t xml:space="preserve">　　       3.대손준비금</t>
        </is>
      </c>
      <c r="D340" s="33" t="n">
        <v>-8123039400</v>
      </c>
      <c r="E340" s="34" t="n">
        <v>0</v>
      </c>
      <c r="F340" s="34" t="n">
        <v>0</v>
      </c>
      <c r="G340" s="34" t="n">
        <v>0</v>
      </c>
      <c r="H340" s="147" t="n">
        <v>-8123039400</v>
      </c>
      <c r="I340" s="34" t="n">
        <v>0</v>
      </c>
      <c r="J340" s="34" t="n">
        <v>0</v>
      </c>
      <c r="K340" s="34" t="n">
        <v>0</v>
      </c>
      <c r="L340" s="34" t="n">
        <v>0</v>
      </c>
      <c r="M340" s="33" t="n">
        <v>-8123039400</v>
      </c>
      <c r="N340" s="17">
        <f>+M340+I340+J340</f>
        <v/>
      </c>
      <c r="O340" s="17">
        <f>+F340</f>
        <v/>
      </c>
      <c r="P340" s="17">
        <f>+K340+L340</f>
        <v/>
      </c>
      <c r="Q340" s="17">
        <f>+G340</f>
        <v/>
      </c>
      <c r="AH340" s="20" t="inlineStr">
        <is>
          <t xml:space="preserve">      6.미 지 급 부 가 세 </t>
        </is>
      </c>
      <c r="AI340" s="847" t="n">
        <v>0</v>
      </c>
    </row>
    <row r="341">
      <c r="A341" s="696" t="n">
        <v>340</v>
      </c>
      <c r="B341" s="34" t="inlineStr">
        <is>
          <t xml:space="preserve">　　       4.임의적립금</t>
        </is>
      </c>
      <c r="D341" s="34" t="n">
        <v>0</v>
      </c>
      <c r="E341" s="34" t="n">
        <v>0</v>
      </c>
      <c r="F341" s="34" t="n">
        <v>0</v>
      </c>
      <c r="G341" s="34" t="n">
        <v>0</v>
      </c>
      <c r="H341" s="148" t="n">
        <v>0</v>
      </c>
      <c r="I341" s="34" t="n">
        <v>0</v>
      </c>
      <c r="J341" s="34" t="n">
        <v>0</v>
      </c>
      <c r="K341" s="34" t="n">
        <v>0</v>
      </c>
      <c r="L341" s="34" t="n">
        <v>0</v>
      </c>
      <c r="M341" s="34" t="n">
        <v>0</v>
      </c>
      <c r="N341" s="17">
        <f>+M341+I341+J341</f>
        <v/>
      </c>
      <c r="O341" s="17">
        <f>+F341</f>
        <v/>
      </c>
      <c r="P341" s="17">
        <f>+K341+L341</f>
        <v/>
      </c>
      <c r="Q341" s="17">
        <f>+G341</f>
        <v/>
      </c>
      <c r="AH341" s="20" t="inlineStr">
        <is>
          <t xml:space="preserve">      7.미 지 급 법 인 세 </t>
        </is>
      </c>
      <c r="AI341" s="847" t="n">
        <v>0</v>
      </c>
    </row>
    <row r="342">
      <c r="A342" s="696" t="n">
        <v>341</v>
      </c>
      <c r="B342" s="34" t="inlineStr">
        <is>
          <t xml:space="preserve">　　       5.처분전이익잉여금(처리전결손금)</t>
        </is>
      </c>
      <c r="D342" s="33" t="n">
        <v>-609270014817</v>
      </c>
      <c r="E342" s="34" t="n">
        <v>0</v>
      </c>
      <c r="F342" s="34" t="n">
        <v>0</v>
      </c>
      <c r="G342" s="34" t="n">
        <v>0</v>
      </c>
      <c r="H342" s="147" t="n">
        <v>-609270014817</v>
      </c>
      <c r="I342" s="34" t="n">
        <v>0</v>
      </c>
      <c r="J342" s="34" t="n">
        <v>0</v>
      </c>
      <c r="K342" s="34" t="n">
        <v>0</v>
      </c>
      <c r="L342" s="34" t="n">
        <v>0</v>
      </c>
      <c r="M342" s="33" t="n">
        <v>-609270014817</v>
      </c>
      <c r="N342" s="17">
        <f>+M342+I342+J342</f>
        <v/>
      </c>
      <c r="O342" s="17">
        <f>+F342</f>
        <v/>
      </c>
      <c r="P342" s="17">
        <f>+K342+L342</f>
        <v/>
      </c>
      <c r="Q342" s="17">
        <f>+G342</f>
        <v/>
      </c>
      <c r="AH342" s="20" t="inlineStr">
        <is>
          <t xml:space="preserve">      8.가 수 보 험 료 </t>
        </is>
      </c>
      <c r="AI342" s="847" t="n">
        <v>0</v>
      </c>
    </row>
    <row r="343">
      <c r="A343" s="696" t="n">
        <v>342</v>
      </c>
      <c r="B343" s="34" t="inlineStr">
        <is>
          <t xml:space="preserve">　　　          (당기순이익또는당기순손실)</t>
        </is>
      </c>
      <c r="D343" s="33" t="n">
        <v>-124900389221</v>
      </c>
      <c r="E343" s="34" t="n">
        <v>0</v>
      </c>
      <c r="F343" s="34" t="n">
        <v>0</v>
      </c>
      <c r="G343" s="34" t="n">
        <v>0</v>
      </c>
      <c r="H343" s="147" t="n">
        <v>-124900389221</v>
      </c>
      <c r="I343" s="34" t="n">
        <v>0</v>
      </c>
      <c r="J343" s="34" t="n">
        <v>0</v>
      </c>
      <c r="K343" s="34" t="n">
        <v>0</v>
      </c>
      <c r="L343" s="34" t="n">
        <v>0</v>
      </c>
      <c r="M343" s="33" t="n">
        <v>-124900389221</v>
      </c>
      <c r="N343" s="17">
        <f>+M343+I343+J343</f>
        <v/>
      </c>
      <c r="O343" s="17">
        <f>+F343</f>
        <v/>
      </c>
      <c r="P343" s="17">
        <f>+K343+L343</f>
        <v/>
      </c>
      <c r="Q343" s="17">
        <f>+G343</f>
        <v/>
      </c>
      <c r="AH343" s="20" t="inlineStr">
        <is>
          <t xml:space="preserve">      9.임 대 보 증 금 </t>
        </is>
      </c>
      <c r="AI343" s="847" t="n">
        <v>-114138534</v>
      </c>
    </row>
    <row r="344">
      <c r="A344" s="696" t="n">
        <v>343</v>
      </c>
      <c r="B344" s="34" t="inlineStr">
        <is>
          <t xml:space="preserve">　　       6.비상위험준비금</t>
        </is>
      </c>
      <c r="D344" s="34" t="n">
        <v>0</v>
      </c>
      <c r="E344" s="34" t="n">
        <v>0</v>
      </c>
      <c r="F344" s="34" t="n">
        <v>0</v>
      </c>
      <c r="G344" s="34" t="n">
        <v>0</v>
      </c>
      <c r="H344" s="148" t="n">
        <v>0</v>
      </c>
      <c r="I344" s="34" t="n">
        <v>0</v>
      </c>
      <c r="J344" s="34" t="n">
        <v>0</v>
      </c>
      <c r="K344" s="34" t="n">
        <v>0</v>
      </c>
      <c r="L344" s="34" t="n">
        <v>0</v>
      </c>
      <c r="M344" s="34" t="n">
        <v>0</v>
      </c>
      <c r="N344" s="17">
        <f>+M344+I344+J344</f>
        <v/>
      </c>
      <c r="O344" s="17">
        <f>+F344</f>
        <v/>
      </c>
      <c r="P344" s="17">
        <f>+K344+L344</f>
        <v/>
      </c>
      <c r="Q344" s="17">
        <f>+G344</f>
        <v/>
      </c>
      <c r="AH344" s="20" t="inlineStr">
        <is>
          <t xml:space="preserve">        (1) (현재가치할인차금)</t>
        </is>
      </c>
      <c r="AI344" s="847" t="n">
        <v>4348466</v>
      </c>
    </row>
    <row r="345">
      <c r="A345" s="696" t="n">
        <v>344</v>
      </c>
      <c r="B345" s="34" t="inlineStr">
        <is>
          <t xml:space="preserve">　　       7.해약환급금준비금</t>
        </is>
      </c>
      <c r="D345" s="33" t="n">
        <v>-1219968190692</v>
      </c>
      <c r="E345" s="34" t="n">
        <v>0</v>
      </c>
      <c r="F345" s="34" t="n">
        <v>0</v>
      </c>
      <c r="G345" s="34" t="n">
        <v>0</v>
      </c>
      <c r="H345" s="147" t="n">
        <v>-1219968190692</v>
      </c>
      <c r="I345" s="34" t="n">
        <v>0</v>
      </c>
      <c r="J345" s="34" t="n">
        <v>0</v>
      </c>
      <c r="K345" s="34" t="n">
        <v>0</v>
      </c>
      <c r="L345" s="34" t="n">
        <v>0</v>
      </c>
      <c r="M345" s="33" t="n">
        <v>-1219968190692</v>
      </c>
      <c r="N345" s="17">
        <f>+M345+I345+J345</f>
        <v/>
      </c>
      <c r="O345" s="17">
        <f>+F345</f>
        <v/>
      </c>
      <c r="P345" s="17">
        <f>+K345+L345</f>
        <v/>
      </c>
      <c r="Q345" s="17">
        <f>+G345</f>
        <v/>
      </c>
      <c r="AH345" s="20" t="inlineStr">
        <is>
          <t xml:space="preserve">        (2) 임대보증금 </t>
        </is>
      </c>
      <c r="AI345" s="847" t="n">
        <v>-118487000</v>
      </c>
    </row>
    <row r="346">
      <c r="A346" s="696" t="n">
        <v>345</v>
      </c>
      <c r="B346" s="34" t="inlineStr">
        <is>
          <t xml:space="preserve">　　       8.보증준비금</t>
        </is>
      </c>
      <c r="D346" s="33" t="n">
        <v>-201039498136</v>
      </c>
      <c r="E346" s="34" t="n">
        <v>0</v>
      </c>
      <c r="F346" s="34" t="n">
        <v>0</v>
      </c>
      <c r="G346" s="34" t="n">
        <v>0</v>
      </c>
      <c r="H346" s="147" t="n">
        <v>-201039498136</v>
      </c>
      <c r="I346" s="34" t="n">
        <v>0</v>
      </c>
      <c r="J346" s="34" t="n">
        <v>0</v>
      </c>
      <c r="K346" s="34" t="n">
        <v>0</v>
      </c>
      <c r="L346" s="34" t="n">
        <v>0</v>
      </c>
      <c r="M346" s="33" t="n">
        <v>-201039498136</v>
      </c>
      <c r="N346" s="17">
        <f>+M346+I346+J346</f>
        <v/>
      </c>
      <c r="O346" s="17">
        <f>+F346</f>
        <v/>
      </c>
      <c r="P346" s="17">
        <f>+K346+L346</f>
        <v/>
      </c>
      <c r="Q346" s="17">
        <f>+G346</f>
        <v/>
      </c>
      <c r="AH346" s="20" t="inlineStr">
        <is>
          <t xml:space="preserve">     10.신 탁 계 정 차 </t>
        </is>
      </c>
      <c r="AI346" s="847" t="n">
        <v>0</v>
      </c>
    </row>
    <row r="347">
      <c r="A347" s="696" t="n">
        <v>346</v>
      </c>
      <c r="B347" s="34" t="inlineStr">
        <is>
          <t xml:space="preserve">　    VI.자 본 조 정</t>
        </is>
      </c>
      <c r="D347" s="33" t="n">
        <v>371175448895</v>
      </c>
      <c r="E347" s="34" t="n">
        <v>0</v>
      </c>
      <c r="F347" s="34" t="n">
        <v>0</v>
      </c>
      <c r="G347" s="34" t="n">
        <v>0</v>
      </c>
      <c r="H347" s="147" t="n">
        <v>371175448895</v>
      </c>
      <c r="I347" s="34" t="n">
        <v>0</v>
      </c>
      <c r="J347" s="34" t="n">
        <v>0</v>
      </c>
      <c r="K347" s="34" t="n">
        <v>0</v>
      </c>
      <c r="L347" s="34" t="n">
        <v>0</v>
      </c>
      <c r="M347" s="33" t="n">
        <v>371175448895</v>
      </c>
      <c r="N347" s="17">
        <f>+M347+I347+J347</f>
        <v/>
      </c>
      <c r="O347" s="17">
        <f>+F347</f>
        <v/>
      </c>
      <c r="P347" s="17">
        <f>+K347+L347</f>
        <v/>
      </c>
      <c r="Q347" s="17">
        <f>+G347</f>
        <v/>
      </c>
      <c r="AH347" s="20" t="inlineStr">
        <is>
          <t xml:space="preserve">     11.요 구 불 상 환 지 분 </t>
        </is>
      </c>
      <c r="AI347" s="847" t="n">
        <v>0</v>
      </c>
    </row>
    <row r="348">
      <c r="A348" s="696" t="n">
        <v>347</v>
      </c>
      <c r="B348" s="34" t="inlineStr">
        <is>
          <t xml:space="preserve">　　       1.주식할인발행차금</t>
        </is>
      </c>
      <c r="D348" s="34" t="n">
        <v>0</v>
      </c>
      <c r="E348" s="34" t="n">
        <v>0</v>
      </c>
      <c r="F348" s="34" t="n">
        <v>0</v>
      </c>
      <c r="G348" s="34" t="n">
        <v>0</v>
      </c>
      <c r="H348" s="148" t="n">
        <v>0</v>
      </c>
      <c r="I348" s="34" t="n">
        <v>0</v>
      </c>
      <c r="J348" s="34" t="n">
        <v>0</v>
      </c>
      <c r="K348" s="34" t="n">
        <v>0</v>
      </c>
      <c r="L348" s="34" t="n">
        <v>0</v>
      </c>
      <c r="M348" s="34" t="n">
        <v>0</v>
      </c>
      <c r="N348" s="17">
        <f>+M348+I348+J348</f>
        <v/>
      </c>
      <c r="O348" s="17">
        <f>+F348</f>
        <v/>
      </c>
      <c r="P348" s="17">
        <f>+K348+L348</f>
        <v/>
      </c>
      <c r="Q348" s="17">
        <f>+G348</f>
        <v/>
      </c>
      <c r="AH348" s="20" t="inlineStr">
        <is>
          <t xml:space="preserve">        (1) 상환우선주 </t>
        </is>
      </c>
      <c r="AI348" s="847" t="n">
        <v>0</v>
      </c>
    </row>
    <row r="349">
      <c r="A349" s="696" t="n">
        <v>348</v>
      </c>
      <c r="B349" s="34" t="inlineStr">
        <is>
          <t xml:space="preserve">　　       2.자 기 주 식</t>
        </is>
      </c>
      <c r="D349" s="33" t="n">
        <v>371164575305</v>
      </c>
      <c r="E349" s="34" t="n">
        <v>0</v>
      </c>
      <c r="F349" s="34" t="n">
        <v>0</v>
      </c>
      <c r="G349" s="34" t="n">
        <v>0</v>
      </c>
      <c r="H349" s="147" t="n">
        <v>371164575305</v>
      </c>
      <c r="I349" s="34" t="n">
        <v>0</v>
      </c>
      <c r="J349" s="34" t="n">
        <v>0</v>
      </c>
      <c r="K349" s="34" t="n">
        <v>0</v>
      </c>
      <c r="L349" s="34" t="n">
        <v>0</v>
      </c>
      <c r="M349" s="33" t="n">
        <v>371164575305</v>
      </c>
      <c r="N349" s="17">
        <f>+M349+I349+J349</f>
        <v/>
      </c>
      <c r="O349" s="17">
        <f>+F349</f>
        <v/>
      </c>
      <c r="P349" s="17">
        <f>+K349+L349</f>
        <v/>
      </c>
      <c r="Q349" s="17">
        <f>+G349</f>
        <v/>
      </c>
      <c r="AH349" s="20" t="inlineStr">
        <is>
          <t xml:space="preserve">        (2) 기타</t>
        </is>
      </c>
      <c r="AI349" s="847" t="n">
        <v>0</v>
      </c>
    </row>
    <row r="350">
      <c r="A350" s="696" t="n">
        <v>349</v>
      </c>
      <c r="B350" s="34" t="inlineStr">
        <is>
          <t xml:space="preserve">　　       3.기 타 자 본 조 정</t>
        </is>
      </c>
      <c r="D350" s="33" t="n">
        <v>10873590</v>
      </c>
      <c r="E350" s="34" t="n">
        <v>0</v>
      </c>
      <c r="F350" s="34" t="n">
        <v>0</v>
      </c>
      <c r="G350" s="34" t="n">
        <v>0</v>
      </c>
      <c r="H350" s="147" t="n">
        <v>10873590</v>
      </c>
      <c r="I350" s="34" t="n">
        <v>0</v>
      </c>
      <c r="J350" s="34" t="n">
        <v>0</v>
      </c>
      <c r="K350" s="34" t="n">
        <v>0</v>
      </c>
      <c r="L350" s="34" t="n">
        <v>0</v>
      </c>
      <c r="M350" s="33" t="n">
        <v>10873590</v>
      </c>
      <c r="N350" s="17">
        <f>+M350+I350+J350</f>
        <v/>
      </c>
      <c r="O350" s="17">
        <f>+F350</f>
        <v/>
      </c>
      <c r="P350" s="17">
        <f>+K350+L350</f>
        <v/>
      </c>
      <c r="Q350" s="17">
        <f>+G350</f>
        <v/>
      </c>
      <c r="AH350" s="20" t="inlineStr">
        <is>
          <t xml:space="preserve">     12.그밖의 기타부채 </t>
        </is>
      </c>
      <c r="AI350" s="847" t="n">
        <v>-43197693323</v>
      </c>
    </row>
    <row r="351">
      <c r="A351" s="696" t="n">
        <v>350</v>
      </c>
      <c r="B351" s="34" t="inlineStr">
        <is>
          <t xml:space="preserve">　    VII.기타포괄손익누계액</t>
        </is>
      </c>
      <c r="D351" s="33" t="n">
        <v>432246692496</v>
      </c>
      <c r="E351" s="33" t="n">
        <v>59203</v>
      </c>
      <c r="F351" s="34" t="n">
        <v>0</v>
      </c>
      <c r="G351" s="34" t="n">
        <v>0</v>
      </c>
      <c r="H351" s="147" t="n">
        <v>432246751699</v>
      </c>
      <c r="I351" s="33" t="n">
        <v>128957332230</v>
      </c>
      <c r="J351" s="34" t="n">
        <v>0</v>
      </c>
      <c r="K351" s="34" t="n">
        <v>0</v>
      </c>
      <c r="L351" s="33" t="n">
        <v>21221748164</v>
      </c>
      <c r="M351" s="33" t="n">
        <v>282067671305</v>
      </c>
      <c r="N351" s="17">
        <f>+M351+I351+J351</f>
        <v/>
      </c>
      <c r="O351" s="17">
        <f>+F351</f>
        <v/>
      </c>
      <c r="P351" s="17">
        <f>+K351+L351</f>
        <v/>
      </c>
      <c r="Q351" s="17">
        <f>+G351</f>
        <v/>
      </c>
      <c r="AH351" s="20" t="inlineStr">
        <is>
          <t xml:space="preserve">        (1) 현재가치할인차금 </t>
        </is>
      </c>
      <c r="AI351" s="847" t="n">
        <v>567075927</v>
      </c>
    </row>
    <row r="352">
      <c r="A352" s="696" t="n">
        <v>351</v>
      </c>
      <c r="B352" s="34" t="inlineStr">
        <is>
          <t xml:space="preserve">　　       1.기타포괄손익-공정가치측정금융상품평가손익</t>
        </is>
      </c>
      <c r="D352" s="33" t="n">
        <v>1046921695128</v>
      </c>
      <c r="E352" s="34" t="n">
        <v>0</v>
      </c>
      <c r="F352" s="34" t="n">
        <v>0</v>
      </c>
      <c r="G352" s="34" t="n">
        <v>0</v>
      </c>
      <c r="H352" s="147" t="n">
        <v>1046921695128</v>
      </c>
      <c r="I352" s="33" t="n">
        <v>128650670683</v>
      </c>
      <c r="J352" s="34" t="n">
        <v>0</v>
      </c>
      <c r="K352" s="34" t="n">
        <v>0</v>
      </c>
      <c r="L352" s="33" t="n">
        <v>19633654608</v>
      </c>
      <c r="M352" s="33" t="n">
        <v>898637369837</v>
      </c>
      <c r="N352" s="17">
        <f>+M352+I352+J352</f>
        <v/>
      </c>
      <c r="O352" s="17">
        <f>+F352</f>
        <v/>
      </c>
      <c r="P352" s="17">
        <f>+K352+L352</f>
        <v/>
      </c>
      <c r="Q352" s="17">
        <f>+G352</f>
        <v/>
      </c>
      <c r="AH352" s="20" t="inlineStr">
        <is>
          <t xml:space="preserve">        (2) 그밖의기타부채 </t>
        </is>
      </c>
      <c r="AI352" s="847" t="n">
        <v>-43764769250</v>
      </c>
    </row>
    <row r="353">
      <c r="A353" s="696" t="n">
        <v>352</v>
      </c>
      <c r="B353" s="34" t="inlineStr">
        <is>
          <t xml:space="preserve">　　          [지분상품평가손익]</t>
        </is>
      </c>
      <c r="D353" s="34" t="n">
        <v>0</v>
      </c>
      <c r="E353" s="34" t="n">
        <v>0</v>
      </c>
      <c r="F353" s="34" t="n">
        <v>0</v>
      </c>
      <c r="G353" s="34" t="n">
        <v>0</v>
      </c>
      <c r="H353" s="148" t="n">
        <v>0</v>
      </c>
      <c r="I353" s="34" t="n">
        <v>0</v>
      </c>
      <c r="J353" s="34" t="n">
        <v>0</v>
      </c>
      <c r="K353" s="34" t="n">
        <v>0</v>
      </c>
      <c r="L353" s="34" t="n">
        <v>0</v>
      </c>
      <c r="M353" s="34" t="n">
        <v>0</v>
      </c>
      <c r="N353" s="17">
        <f>+M353+I353+J353</f>
        <v/>
      </c>
      <c r="O353" s="17">
        <f>+F353</f>
        <v/>
      </c>
      <c r="P353" s="17">
        <f>+K353+L353</f>
        <v/>
      </c>
      <c r="Q353" s="17">
        <f>+G353</f>
        <v/>
      </c>
      <c r="AH353" s="20" t="inlineStr">
        <is>
          <t xml:space="preserve">     13.당  좌  차  월 </t>
        </is>
      </c>
      <c r="AI353" s="847" t="n">
        <v>0</v>
      </c>
    </row>
    <row r="354">
      <c r="A354" s="696" t="n">
        <v>353</v>
      </c>
      <c r="B354" s="34" t="inlineStr">
        <is>
          <t xml:space="preserve">　　       2.기타포괄손익-공정가치측정채무상품손실충당금</t>
        </is>
      </c>
      <c r="D354" s="33" t="n">
        <v>-673804825</v>
      </c>
      <c r="E354" s="34" t="n">
        <v>0</v>
      </c>
      <c r="F354" s="34" t="n">
        <v>0</v>
      </c>
      <c r="G354" s="34" t="n">
        <v>0</v>
      </c>
      <c r="H354" s="147" t="n">
        <v>-673804825</v>
      </c>
      <c r="I354" s="33" t="n">
        <v>-54090637</v>
      </c>
      <c r="J354" s="34" t="n">
        <v>0</v>
      </c>
      <c r="K354" s="34" t="n">
        <v>0</v>
      </c>
      <c r="L354" s="33" t="n">
        <v>-90764094</v>
      </c>
      <c r="M354" s="33" t="n">
        <v>-528950094</v>
      </c>
      <c r="N354" s="17">
        <f>+M354+I354+J354</f>
        <v/>
      </c>
      <c r="O354" s="17">
        <f>+F354</f>
        <v/>
      </c>
      <c r="P354" s="17">
        <f>+K354+L354</f>
        <v/>
      </c>
      <c r="Q354" s="17">
        <f>+G354</f>
        <v/>
      </c>
      <c r="AH354" s="20" t="inlineStr">
        <is>
          <t xml:space="preserve">     14.본 지 점 계 정 대</t>
        </is>
      </c>
      <c r="AI354" s="847" t="n">
        <v>0</v>
      </c>
    </row>
    <row r="355">
      <c r="A355" s="696" t="n">
        <v>354</v>
      </c>
      <c r="B355" s="34" t="inlineStr">
        <is>
          <t xml:space="preserve">　　       3.관계·종속기업투자주식평가손익</t>
        </is>
      </c>
      <c r="D355" s="34" t="n">
        <v>0</v>
      </c>
      <c r="E355" s="34" t="n">
        <v>0</v>
      </c>
      <c r="F355" s="34" t="n">
        <v>0</v>
      </c>
      <c r="G355" s="34" t="n">
        <v>0</v>
      </c>
      <c r="H355" s="148" t="n">
        <v>0</v>
      </c>
      <c r="I355" s="34" t="n">
        <v>0</v>
      </c>
      <c r="J355" s="34" t="n">
        <v>0</v>
      </c>
      <c r="K355" s="34" t="n">
        <v>0</v>
      </c>
      <c r="L355" s="34" t="n">
        <v>0</v>
      </c>
      <c r="M355" s="34" t="n">
        <v>0</v>
      </c>
      <c r="N355" s="17">
        <f>+M355+I355+J355</f>
        <v/>
      </c>
      <c r="O355" s="17">
        <f>+F355</f>
        <v/>
      </c>
      <c r="P355" s="17">
        <f>+K355+L355</f>
        <v/>
      </c>
      <c r="Q355" s="17">
        <f>+G355</f>
        <v/>
      </c>
      <c r="AH355" s="20" t="inlineStr">
        <is>
          <t xml:space="preserve">     15.자산재평가계약자지분 </t>
        </is>
      </c>
      <c r="AI355" s="847" t="n">
        <v>0</v>
      </c>
    </row>
    <row r="356">
      <c r="A356" s="696" t="n">
        <v>355</v>
      </c>
      <c r="B356" s="34" t="inlineStr">
        <is>
          <t xml:space="preserve">　　       4.보험계약자산(부채)순금융손익</t>
        </is>
      </c>
      <c r="D356" s="33" t="n">
        <v>-632811513596</v>
      </c>
      <c r="E356" s="34" t="n">
        <v>0</v>
      </c>
      <c r="F356" s="34" t="n">
        <v>0</v>
      </c>
      <c r="G356" s="34" t="n">
        <v>0</v>
      </c>
      <c r="H356" s="147" t="n">
        <v>-632811513596</v>
      </c>
      <c r="I356" s="34" t="n">
        <v>0</v>
      </c>
      <c r="J356" s="34" t="n">
        <v>0</v>
      </c>
      <c r="K356" s="34" t="n">
        <v>0</v>
      </c>
      <c r="L356" s="34" t="n">
        <v>0</v>
      </c>
      <c r="M356" s="33" t="n">
        <v>-632811513596</v>
      </c>
      <c r="N356" s="17">
        <f>+M356+I356+J356</f>
        <v/>
      </c>
      <c r="O356" s="17">
        <f>+F356</f>
        <v/>
      </c>
      <c r="P356" s="17">
        <f>+K356+L356</f>
        <v/>
      </c>
      <c r="Q356" s="17">
        <f>+G356</f>
        <v/>
      </c>
      <c r="AH356" s="20" t="inlineStr">
        <is>
          <t xml:space="preserve">        (1) 공익사업출연기금</t>
        </is>
      </c>
      <c r="AI356" s="847" t="n">
        <v>0</v>
      </c>
    </row>
    <row r="357">
      <c r="A357" s="696" t="n">
        <v>356</v>
      </c>
      <c r="B357" s="34" t="inlineStr">
        <is>
          <t xml:space="preserve">　　       5.재보험계약자산(부채)순금융손익</t>
        </is>
      </c>
      <c r="D357" s="33" t="n">
        <v>2748773194</v>
      </c>
      <c r="E357" s="34" t="n">
        <v>0</v>
      </c>
      <c r="F357" s="34" t="n">
        <v>0</v>
      </c>
      <c r="G357" s="34" t="n">
        <v>0</v>
      </c>
      <c r="H357" s="147" t="n">
        <v>2748773194</v>
      </c>
      <c r="I357" s="34" t="n">
        <v>0</v>
      </c>
      <c r="J357" s="34" t="n">
        <v>0</v>
      </c>
      <c r="K357" s="34" t="n">
        <v>0</v>
      </c>
      <c r="L357" s="34" t="n">
        <v>0</v>
      </c>
      <c r="M357" s="33" t="n">
        <v>2748773194</v>
      </c>
      <c r="N357" s="17">
        <f>+M357+I357+J357</f>
        <v/>
      </c>
      <c r="O357" s="17">
        <f>+F357</f>
        <v/>
      </c>
      <c r="P357" s="17">
        <f>+K357+L357</f>
        <v/>
      </c>
      <c r="Q357" s="17">
        <f>+G357</f>
        <v/>
      </c>
      <c r="AH357" s="20" t="inlineStr">
        <is>
          <t xml:space="preserve">        (2) 재평가적립금 </t>
        </is>
      </c>
      <c r="AI357" s="847" t="n">
        <v>0</v>
      </c>
    </row>
    <row r="358">
      <c r="A358" s="696" t="n">
        <v>357</v>
      </c>
      <c r="B358" s="34" t="inlineStr">
        <is>
          <t xml:space="preserve">　　       6.해외사업환산손익</t>
        </is>
      </c>
      <c r="D358" s="34" t="n">
        <v>0</v>
      </c>
      <c r="E358" s="34" t="n">
        <v>0</v>
      </c>
      <c r="F358" s="34" t="n">
        <v>0</v>
      </c>
      <c r="G358" s="34" t="n">
        <v>0</v>
      </c>
      <c r="H358" s="148" t="n">
        <v>0</v>
      </c>
      <c r="I358" s="34" t="n">
        <v>0</v>
      </c>
      <c r="J358" s="34" t="n">
        <v>0</v>
      </c>
      <c r="K358" s="34" t="n">
        <v>0</v>
      </c>
      <c r="L358" s="34" t="n">
        <v>0</v>
      </c>
      <c r="M358" s="34" t="n">
        <v>0</v>
      </c>
      <c r="N358" s="17">
        <f>+M358+I358+J358</f>
        <v/>
      </c>
      <c r="O358" s="17">
        <f>+F358</f>
        <v/>
      </c>
      <c r="P358" s="17">
        <f>+K358+L358</f>
        <v/>
      </c>
      <c r="Q358" s="17">
        <f>+G358</f>
        <v/>
      </c>
      <c r="AH358" s="20" t="inlineStr">
        <is>
          <t xml:space="preserve">  [부 채 총 계]</t>
        </is>
      </c>
      <c r="AI358" s="865" t="n">
        <v>-29827851940506</v>
      </c>
    </row>
    <row r="359">
      <c r="A359" s="696" t="n">
        <v>358</v>
      </c>
      <c r="B359" s="34" t="inlineStr">
        <is>
          <t xml:space="preserve">　　       7.위험회피파생상품평가손익</t>
        </is>
      </c>
      <c r="D359" s="33" t="n">
        <v>20537736696</v>
      </c>
      <c r="E359" s="34" t="n">
        <v>0</v>
      </c>
      <c r="F359" s="34" t="n">
        <v>0</v>
      </c>
      <c r="G359" s="34" t="n">
        <v>0</v>
      </c>
      <c r="H359" s="147" t="n">
        <v>20537736696</v>
      </c>
      <c r="I359" s="33" t="n">
        <v>360752184</v>
      </c>
      <c r="J359" s="34" t="n">
        <v>0</v>
      </c>
      <c r="K359" s="34" t="n">
        <v>0</v>
      </c>
      <c r="L359" s="33" t="n">
        <v>1678857650</v>
      </c>
      <c r="M359" s="33" t="n">
        <v>18498126862</v>
      </c>
      <c r="N359" s="17">
        <f>+M359+I359+J359</f>
        <v/>
      </c>
      <c r="O359" s="17">
        <f>+F359</f>
        <v/>
      </c>
      <c r="P359" s="17">
        <f>+K359+L359</f>
        <v/>
      </c>
      <c r="Q359" s="17">
        <f>+G359</f>
        <v/>
      </c>
      <c r="AH359" s="20" t="inlineStr">
        <is>
          <t xml:space="preserve">  I. 자 본 금 </t>
        </is>
      </c>
      <c r="AI359" s="847" t="n">
        <v>-990714745000</v>
      </c>
    </row>
    <row r="360">
      <c r="A360" s="696" t="n">
        <v>359</v>
      </c>
      <c r="B360" s="34" t="inlineStr">
        <is>
          <t xml:space="preserve">　　　         가.현금흐름위험회피평가이익</t>
        </is>
      </c>
      <c r="D360" s="33" t="n">
        <v>-23815962952</v>
      </c>
      <c r="E360" s="34" t="n">
        <v>0</v>
      </c>
      <c r="F360" s="34" t="n">
        <v>0</v>
      </c>
      <c r="G360" s="34" t="n">
        <v>0</v>
      </c>
      <c r="H360" s="147" t="n">
        <v>-23815962952</v>
      </c>
      <c r="I360" s="33" t="n">
        <v>-2677810</v>
      </c>
      <c r="J360" s="34" t="n">
        <v>0</v>
      </c>
      <c r="K360" s="34" t="n">
        <v>0</v>
      </c>
      <c r="L360" s="34" t="n">
        <v>0</v>
      </c>
      <c r="M360" s="33" t="n">
        <v>-23813285142</v>
      </c>
      <c r="N360" s="17">
        <f>+M360+I360+J360</f>
        <v/>
      </c>
      <c r="O360" s="17">
        <f>+F360</f>
        <v/>
      </c>
      <c r="P360" s="17">
        <f>+K360+L360</f>
        <v/>
      </c>
      <c r="Q360" s="17">
        <f>+G360</f>
        <v/>
      </c>
      <c r="AH360" s="20" t="inlineStr">
        <is>
          <t xml:space="preserve">     1.보통주 </t>
        </is>
      </c>
      <c r="AI360" s="847" t="n">
        <v>-885080945000</v>
      </c>
    </row>
    <row r="361">
      <c r="A361" s="696" t="n">
        <v>360</v>
      </c>
      <c r="B361" s="34" t="inlineStr">
        <is>
          <t xml:space="preserve">　　　         나.현금흐름위험회피평가손실</t>
        </is>
      </c>
      <c r="D361" s="33" t="n">
        <v>50062271829</v>
      </c>
      <c r="E361" s="34" t="n">
        <v>0</v>
      </c>
      <c r="F361" s="34" t="n">
        <v>0</v>
      </c>
      <c r="G361" s="34" t="n">
        <v>0</v>
      </c>
      <c r="H361" s="147" t="n">
        <v>50062271829</v>
      </c>
      <c r="I361" s="33" t="n">
        <v>363429994</v>
      </c>
      <c r="J361" s="34" t="n">
        <v>0</v>
      </c>
      <c r="K361" s="34" t="n">
        <v>0</v>
      </c>
      <c r="L361" s="33" t="n">
        <v>1678857650</v>
      </c>
      <c r="M361" s="33" t="n">
        <v>48019984185</v>
      </c>
      <c r="N361" s="17">
        <f>+M361+I361+J361</f>
        <v/>
      </c>
      <c r="O361" s="17">
        <f>+F361</f>
        <v/>
      </c>
      <c r="P361" s="17">
        <f>+K361+L361</f>
        <v/>
      </c>
      <c r="Q361" s="17">
        <f>+G361</f>
        <v/>
      </c>
      <c r="AH361" s="20" t="inlineStr">
        <is>
          <t xml:space="preserve">     2.우선주 </t>
        </is>
      </c>
      <c r="AI361" s="847" t="n">
        <v>-105633800000</v>
      </c>
    </row>
    <row r="362">
      <c r="A362" s="696" t="n">
        <v>361</v>
      </c>
      <c r="B362" s="34" t="inlineStr">
        <is>
          <t xml:space="preserve">　　　         다.공정가치위험회피평가이익</t>
        </is>
      </c>
      <c r="D362" s="34" t="n">
        <v>0</v>
      </c>
      <c r="E362" s="34" t="n">
        <v>0</v>
      </c>
      <c r="F362" s="34" t="n">
        <v>0</v>
      </c>
      <c r="G362" s="34" t="n">
        <v>0</v>
      </c>
      <c r="H362" s="148" t="n">
        <v>0</v>
      </c>
      <c r="I362" s="34" t="n">
        <v>0</v>
      </c>
      <c r="J362" s="34" t="n">
        <v>0</v>
      </c>
      <c r="K362" s="34" t="n">
        <v>0</v>
      </c>
      <c r="L362" s="34" t="n">
        <v>0</v>
      </c>
      <c r="M362" s="34" t="n">
        <v>0</v>
      </c>
      <c r="N362" s="17">
        <f>+M362+I362+J362</f>
        <v/>
      </c>
      <c r="O362" s="17">
        <f>+F362</f>
        <v/>
      </c>
      <c r="P362" s="17">
        <f>+K362+L362</f>
        <v/>
      </c>
      <c r="Q362" s="17">
        <f>+G362</f>
        <v/>
      </c>
      <c r="AH362" s="20" t="inlineStr">
        <is>
          <t xml:space="preserve">  II. 자 본 잉 여 금 </t>
        </is>
      </c>
      <c r="AI362" s="847" t="n">
        <v>-181384483840</v>
      </c>
    </row>
    <row r="363">
      <c r="A363" s="696" t="n">
        <v>362</v>
      </c>
      <c r="B363" s="34" t="inlineStr">
        <is>
          <t xml:space="preserve">　　　         라.공정가치위험회피평가손실</t>
        </is>
      </c>
      <c r="D363" s="34" t="n">
        <v>0</v>
      </c>
      <c r="E363" s="34" t="n">
        <v>0</v>
      </c>
      <c r="F363" s="34" t="n">
        <v>0</v>
      </c>
      <c r="G363" s="34" t="n">
        <v>0</v>
      </c>
      <c r="H363" s="148" t="n">
        <v>0</v>
      </c>
      <c r="I363" s="34" t="n">
        <v>0</v>
      </c>
      <c r="J363" s="34" t="n">
        <v>0</v>
      </c>
      <c r="K363" s="34" t="n">
        <v>0</v>
      </c>
      <c r="L363" s="34" t="n">
        <v>0</v>
      </c>
      <c r="M363" s="34" t="n">
        <v>0</v>
      </c>
      <c r="N363" s="17">
        <f>+M363+I363+J363</f>
        <v/>
      </c>
      <c r="O363" s="17">
        <f>+F363</f>
        <v/>
      </c>
      <c r="P363" s="17">
        <f>+K363+L363</f>
        <v/>
      </c>
      <c r="Q363" s="17">
        <f>+G363</f>
        <v/>
      </c>
      <c r="AH363" s="20" t="inlineStr">
        <is>
          <t xml:space="preserve">     1.주식발행초과금 </t>
        </is>
      </c>
      <c r="AI363" s="847" t="n">
        <v>-181361275262</v>
      </c>
    </row>
    <row r="364">
      <c r="A364" s="696" t="n">
        <v>363</v>
      </c>
      <c r="B364" s="34" t="inlineStr">
        <is>
          <t xml:space="preserve">　　　         마.공정가치위험회피평가손익_법인세조정</t>
        </is>
      </c>
      <c r="D364" s="33" t="n">
        <v>-5708572181</v>
      </c>
      <c r="E364" s="34" t="n">
        <v>0</v>
      </c>
      <c r="F364" s="34" t="n">
        <v>0</v>
      </c>
      <c r="G364" s="34" t="n">
        <v>0</v>
      </c>
      <c r="H364" s="147" t="n">
        <v>-5708572181</v>
      </c>
      <c r="I364" s="34" t="n">
        <v>0</v>
      </c>
      <c r="J364" s="34" t="n">
        <v>0</v>
      </c>
      <c r="K364" s="34" t="n">
        <v>0</v>
      </c>
      <c r="L364" s="34" t="n">
        <v>0</v>
      </c>
      <c r="M364" s="33" t="n">
        <v>-5708572181</v>
      </c>
      <c r="N364" s="17">
        <f>+M364+I364+J364</f>
        <v/>
      </c>
      <c r="O364" s="17">
        <f>+F364</f>
        <v/>
      </c>
      <c r="P364" s="17">
        <f>+K364+L364</f>
        <v/>
      </c>
      <c r="Q364" s="17">
        <f>+G364</f>
        <v/>
      </c>
      <c r="AH364" s="20" t="inlineStr">
        <is>
          <t xml:space="preserve">     2.감 자 차 익 </t>
        </is>
      </c>
      <c r="AI364" s="847" t="n">
        <v>0</v>
      </c>
    </row>
    <row r="365">
      <c r="A365" s="696" t="n">
        <v>364</v>
      </c>
      <c r="B365" s="34" t="inlineStr">
        <is>
          <t xml:space="preserve">　　       8.재 평 가 잉 여 금</t>
        </is>
      </c>
      <c r="D365" s="33" t="n">
        <v>-758642</v>
      </c>
      <c r="E365" s="33" t="n">
        <v>59203</v>
      </c>
      <c r="F365" s="34" t="n">
        <v>0</v>
      </c>
      <c r="G365" s="34" t="n">
        <v>0</v>
      </c>
      <c r="H365" s="147" t="n">
        <v>-699439</v>
      </c>
      <c r="I365" s="34" t="n">
        <v>0</v>
      </c>
      <c r="J365" s="34" t="n">
        <v>0</v>
      </c>
      <c r="K365" s="34" t="n">
        <v>0</v>
      </c>
      <c r="L365" s="34" t="n">
        <v>0</v>
      </c>
      <c r="M365" s="33" t="n">
        <v>-699439</v>
      </c>
      <c r="N365" s="17">
        <f>+M365+I365+J365</f>
        <v/>
      </c>
      <c r="O365" s="17">
        <f>+F365</f>
        <v/>
      </c>
      <c r="P365" s="17">
        <f>+K365+L365</f>
        <v/>
      </c>
      <c r="Q365" s="17">
        <f>+G365</f>
        <v/>
      </c>
      <c r="AH365" s="20" t="inlineStr">
        <is>
          <t xml:space="preserve">     3.재평가적립금 </t>
        </is>
      </c>
      <c r="AI365" s="847" t="n">
        <v>0</v>
      </c>
    </row>
    <row r="366">
      <c r="B366" s="34" t="inlineStr">
        <is>
          <t xml:space="preserve">　　       9.보 험 수 리 적 손 익</t>
        </is>
      </c>
      <c r="D366" s="33" t="n">
        <v>-4475435459</v>
      </c>
      <c r="E366" s="34" t="n">
        <v>0</v>
      </c>
      <c r="F366" s="34" t="n">
        <v>0</v>
      </c>
      <c r="G366" s="34" t="n">
        <v>0</v>
      </c>
      <c r="H366" s="147" t="n">
        <v>-4475435459</v>
      </c>
      <c r="I366" s="34" t="n">
        <v>0</v>
      </c>
      <c r="J366" s="34" t="n">
        <v>0</v>
      </c>
      <c r="K366" s="34" t="n">
        <v>0</v>
      </c>
      <c r="L366" s="34" t="n">
        <v>0</v>
      </c>
      <c r="M366" s="33" t="n">
        <v>-4475435459</v>
      </c>
      <c r="N366" s="17">
        <f>+M366+I366+J366</f>
        <v/>
      </c>
      <c r="O366" s="17">
        <f>+F366</f>
        <v/>
      </c>
      <c r="P366" s="17">
        <f>+K366+L366</f>
        <v/>
      </c>
      <c r="Q366" s="17">
        <f>+G366</f>
        <v/>
      </c>
      <c r="AH366" s="20" t="inlineStr">
        <is>
          <t xml:space="preserve">     4.기타자본잉여금 </t>
        </is>
      </c>
      <c r="AI366" s="847" t="n">
        <v>-23208578</v>
      </c>
    </row>
    <row r="367">
      <c r="B367" s="34" t="inlineStr">
        <is>
          <t xml:space="preserve">　　       10.기     타</t>
        </is>
      </c>
      <c r="D367" s="34" t="n">
        <v>0</v>
      </c>
      <c r="E367" s="34" t="n">
        <v>0</v>
      </c>
      <c r="F367" s="34" t="n">
        <v>0</v>
      </c>
      <c r="G367" s="34" t="n">
        <v>0</v>
      </c>
      <c r="H367" s="148" t="n">
        <v>0</v>
      </c>
      <c r="I367" s="34" t="n">
        <v>0</v>
      </c>
      <c r="J367" s="34" t="n">
        <v>0</v>
      </c>
      <c r="K367" s="34" t="n">
        <v>0</v>
      </c>
      <c r="L367" s="34" t="n">
        <v>0</v>
      </c>
      <c r="M367" s="34" t="n">
        <v>0</v>
      </c>
      <c r="N367" s="17">
        <f>+M367+I367+J367</f>
        <v/>
      </c>
      <c r="O367" s="17">
        <f>+F367</f>
        <v/>
      </c>
      <c r="P367" s="17">
        <f>+K367+L367</f>
        <v/>
      </c>
      <c r="Q367" s="17">
        <f>+G367</f>
        <v/>
      </c>
      <c r="AH367" s="20" t="inlineStr">
        <is>
          <t xml:space="preserve">  IV. 이 익 잉 여 금 </t>
        </is>
      </c>
      <c r="AI367" s="847" t="n">
        <v>-1775408153607</v>
      </c>
    </row>
    <row r="368">
      <c r="B368" s="34" t="inlineStr">
        <is>
          <t>* [부채 와 자본 총 계]</t>
        </is>
      </c>
      <c r="C368" s="34" t="inlineStr">
        <is>
          <t>@0M@</t>
        </is>
      </c>
      <c r="D368" s="33" t="n">
        <v>-32855181935106</v>
      </c>
      <c r="E368" s="33" t="n">
        <v>-13679774848594</v>
      </c>
      <c r="F368" s="33" t="n">
        <v>-13323148118922</v>
      </c>
      <c r="G368" s="33" t="n">
        <v>-356626729672</v>
      </c>
      <c r="H368" s="147" t="n">
        <v>-32855181935106</v>
      </c>
      <c r="I368" s="33" t="n">
        <v>-1505771962170</v>
      </c>
      <c r="J368" s="33" t="n">
        <v>-34862287173</v>
      </c>
      <c r="K368" s="33" t="n">
        <v>-17246396780</v>
      </c>
      <c r="L368" s="33" t="n">
        <v>-1858720460727</v>
      </c>
      <c r="M368" s="33" t="n">
        <v>-29438580828256</v>
      </c>
      <c r="N368" s="17">
        <f>+M368+I368+J368</f>
        <v/>
      </c>
      <c r="O368" s="17">
        <f>+F368</f>
        <v/>
      </c>
      <c r="P368" s="17">
        <f>+K368+L368</f>
        <v/>
      </c>
      <c r="Q368" s="17">
        <f>+G368</f>
        <v/>
      </c>
      <c r="AH368" s="20" t="inlineStr">
        <is>
          <t xml:space="preserve">     1.이익준비금</t>
        </is>
      </c>
      <c r="AI368" s="847" t="n">
        <v>-29423725175</v>
      </c>
    </row>
    <row r="369">
      <c r="AH369" s="20" t="inlineStr">
        <is>
          <t xml:space="preserve">     2.기타법정적립금 </t>
        </is>
      </c>
      <c r="AI369" s="847" t="n">
        <v>0</v>
      </c>
    </row>
    <row r="370">
      <c r="AH370" s="20" t="inlineStr">
        <is>
          <t xml:space="preserve">     3.대손준비금</t>
        </is>
      </c>
      <c r="AI370" s="847" t="n">
        <v>-15764940609</v>
      </c>
    </row>
    <row r="371">
      <c r="AH371" s="20" t="inlineStr">
        <is>
          <t xml:space="preserve">     4.임의적립금 </t>
        </is>
      </c>
      <c r="AI371" s="847" t="n">
        <v>0</v>
      </c>
    </row>
    <row r="372">
      <c r="AH372" s="20" t="inlineStr">
        <is>
          <t xml:space="preserve">     5.처분전이익잉여금(처리전결손금)</t>
        </is>
      </c>
      <c r="AI372" s="847" t="n">
        <v>-513966485749</v>
      </c>
    </row>
    <row r="373">
      <c r="AH373" s="20" t="inlineStr">
        <is>
          <t xml:space="preserve">     6.이익잉여금(보험수리적손익)</t>
        </is>
      </c>
      <c r="AI373" s="847" t="n">
        <v>0</v>
      </c>
    </row>
    <row r="374">
      <c r="AH374" s="20" t="inlineStr">
        <is>
          <t xml:space="preserve">     7.해약환급금준비금</t>
        </is>
      </c>
      <c r="AI374" s="847" t="n">
        <v>-1039089002581</v>
      </c>
    </row>
    <row r="375">
      <c r="AH375" s="20" t="inlineStr">
        <is>
          <t xml:space="preserve">     8.보증준비금</t>
        </is>
      </c>
      <c r="AI375" s="847" t="n">
        <v>-177163999493</v>
      </c>
    </row>
    <row r="376">
      <c r="AH376" s="20" t="inlineStr">
        <is>
          <t xml:space="preserve">  V. 자 본 조 정 </t>
        </is>
      </c>
      <c r="AI376" s="847" t="n">
        <v>371175448895</v>
      </c>
    </row>
    <row r="377">
      <c r="AH377" s="20" t="inlineStr">
        <is>
          <t xml:space="preserve">     1.주식할인발행차금</t>
        </is>
      </c>
      <c r="AI377" s="847" t="n">
        <v>0</v>
      </c>
    </row>
    <row r="378">
      <c r="AH378" s="20" t="inlineStr">
        <is>
          <t xml:space="preserve">     2.자 기 주 식 </t>
        </is>
      </c>
      <c r="AI378" s="847" t="n">
        <v>371164575305</v>
      </c>
    </row>
    <row r="379">
      <c r="AH379" s="20" t="inlineStr">
        <is>
          <t xml:space="preserve">     3.기타자본조정</t>
        </is>
      </c>
      <c r="AI379" s="847" t="n">
        <v>10873590</v>
      </c>
    </row>
    <row r="380">
      <c r="AH380" s="20" t="inlineStr">
        <is>
          <t xml:space="preserve">  VI. 기 타 포 괄 손 익 누 계 액 </t>
        </is>
      </c>
      <c r="AI380" s="847" t="n">
        <v>171531040273</v>
      </c>
    </row>
    <row r="381">
      <c r="AH381" s="20" t="inlineStr">
        <is>
          <t xml:space="preserve">     1.기타포괄손익-공정가치측정금융자산평가손익</t>
        </is>
      </c>
      <c r="AI381" s="847" t="n">
        <v>609244454603</v>
      </c>
    </row>
    <row r="382">
      <c r="AH382" s="20" t="inlineStr">
        <is>
          <t xml:space="preserve">     2.기타포괄손익-공정가치측정금융자산대손충당금</t>
        </is>
      </c>
      <c r="AI382" s="847" t="n">
        <v>-383594365</v>
      </c>
    </row>
    <row r="383">
      <c r="AH383" s="20" t="inlineStr">
        <is>
          <t xml:space="preserve">     3.기타포괄손익-공정가치측정금융자산환산손익 </t>
        </is>
      </c>
      <c r="AI383" s="847" t="n">
        <v>0</v>
      </c>
    </row>
    <row r="384">
      <c r="AH384" s="20" t="inlineStr">
        <is>
          <t xml:space="preserve">     4.당기손익-공정가치측정지정금융부채평가손익</t>
        </is>
      </c>
      <c r="AI384" s="847" t="n">
        <v>0</v>
      </c>
    </row>
    <row r="385">
      <c r="AH385" s="20" t="inlineStr">
        <is>
          <t xml:space="preserve">     5.보험계약자산(부채) 순금융손익 </t>
        </is>
      </c>
      <c r="AI385" s="847" t="n">
        <v>-275539169236</v>
      </c>
    </row>
    <row r="386">
      <c r="AH386" s="20" t="inlineStr">
        <is>
          <t xml:space="preserve">     (1)일반보험금융가정변동기타포괄이익</t>
        </is>
      </c>
      <c r="AI386" s="847" t="n">
        <v>-445954856925</v>
      </c>
    </row>
    <row r="387">
      <c r="AH387" s="20" t="inlineStr">
        <is>
          <t xml:space="preserve">      1)일반보험금융가정변동기타포괄이익_잔여보장</t>
        </is>
      </c>
      <c r="AI387" s="847" t="n">
        <v>-445531267618</v>
      </c>
    </row>
    <row r="388">
      <c r="AH388" s="20" t="inlineStr">
        <is>
          <t xml:space="preserve">      2)일반보험금융가정변동기타포괄이익_발생사고</t>
        </is>
      </c>
      <c r="AI388" s="847" t="n">
        <v>-423589307</v>
      </c>
    </row>
    <row r="389">
      <c r="AH389" s="20" t="inlineStr">
        <is>
          <t xml:space="preserve">     (2)일반보험금융가정변동기타포괄손실</t>
        </is>
      </c>
      <c r="AI389" s="847" t="n">
        <v>170415687689</v>
      </c>
    </row>
    <row r="390">
      <c r="AH390" s="20" t="inlineStr">
        <is>
          <t xml:space="preserve">      1)일반보험금융가정변동기타포괄손실_잔여보장</t>
        </is>
      </c>
      <c r="AI390" s="847" t="n">
        <v>170228022973</v>
      </c>
    </row>
    <row r="391">
      <c r="AH391" s="20" t="inlineStr">
        <is>
          <t xml:space="preserve">      2)일반보험금융가정변동기타포괄손실_발생사고</t>
        </is>
      </c>
      <c r="AI391" s="847" t="n">
        <v>187664716</v>
      </c>
    </row>
    <row r="392">
      <c r="AH392" s="20" t="inlineStr">
        <is>
          <t xml:space="preserve">     6.재보험계약자산(부채) 순금융손익 </t>
        </is>
      </c>
      <c r="AI392" s="847" t="n">
        <v>-90761249</v>
      </c>
    </row>
    <row r="393">
      <c r="AH393" s="20" t="inlineStr">
        <is>
          <t xml:space="preserve">     (1)재보험금융가정변동기타포괄이익</t>
        </is>
      </c>
      <c r="AI393" s="847" t="n">
        <v>-1066015742</v>
      </c>
    </row>
    <row r="394">
      <c r="AH394" s="20" t="inlineStr">
        <is>
          <t xml:space="preserve">      1)재보험금융가정변동기타포괄이익_잔여보장</t>
        </is>
      </c>
      <c r="AI394" s="847" t="n">
        <v>-1046484200</v>
      </c>
    </row>
    <row r="395">
      <c r="AH395" s="20" t="inlineStr">
        <is>
          <t xml:space="preserve">      2)재보험금융가정변동기타포괄이익_발생사고</t>
        </is>
      </c>
      <c r="AI395" s="847" t="n">
        <v>-19531542</v>
      </c>
    </row>
    <row r="396">
      <c r="AH396" s="20" t="inlineStr">
        <is>
          <t xml:space="preserve">     (2)재보험금융가정변동기타포괄손실</t>
        </is>
      </c>
      <c r="AI396" s="847" t="n">
        <v>975254493</v>
      </c>
    </row>
    <row r="397">
      <c r="AH397" s="20" t="inlineStr">
        <is>
          <t xml:space="preserve">      1)재보험금융가정변동기타포괄손실_잔여보장</t>
        </is>
      </c>
      <c r="AI397" s="847" t="n">
        <v>907869307</v>
      </c>
    </row>
    <row r="398">
      <c r="AH398" s="20" t="inlineStr">
        <is>
          <t xml:space="preserve">      2)재보험금융가정변동기타포괄손실_발생사고</t>
        </is>
      </c>
      <c r="AI398" s="847" t="n">
        <v>67385186</v>
      </c>
    </row>
    <row r="399">
      <c r="AH399" s="20" t="inlineStr">
        <is>
          <t xml:space="preserve">     7.관계·종속기업투자주식평가손익</t>
        </is>
      </c>
      <c r="AI399" s="847" t="n">
        <v>0</v>
      </c>
    </row>
    <row r="400">
      <c r="AH400" s="20" t="inlineStr">
        <is>
          <t xml:space="preserve">     8.해외사업환산손익</t>
        </is>
      </c>
      <c r="AI400" s="847" t="n">
        <v>0</v>
      </c>
    </row>
    <row r="401">
      <c r="AH401" s="20" t="inlineStr">
        <is>
          <t xml:space="preserve">     9.현금흐름위험회피파생상품평가손익</t>
        </is>
      </c>
      <c r="AI401" s="847" t="n">
        <v>-162586860953</v>
      </c>
    </row>
    <row r="402">
      <c r="AH402" s="20" t="inlineStr">
        <is>
          <t xml:space="preserve">     (1)현금흐름위험회피평가이익</t>
        </is>
      </c>
      <c r="AI402" s="847" t="n">
        <v>-215684789217</v>
      </c>
    </row>
    <row r="403">
      <c r="AH403" s="20" t="inlineStr">
        <is>
          <t xml:space="preserve">     (2)현금흐름위험회피평가손실</t>
        </is>
      </c>
      <c r="AI403" s="847" t="n">
        <v>6219624372</v>
      </c>
    </row>
    <row r="404">
      <c r="AH404" s="20" t="inlineStr">
        <is>
          <t xml:space="preserve">     (3)현금흐름위험회피파생상품평가손익_법인세조정 </t>
        </is>
      </c>
      <c r="AI404" s="847" t="n">
        <v>46878303892</v>
      </c>
    </row>
    <row r="405">
      <c r="AH405" s="20" t="inlineStr">
        <is>
          <t xml:space="preserve">     10.재평가잉여금 </t>
        </is>
      </c>
      <c r="AI405" s="847" t="n">
        <v>-705038</v>
      </c>
    </row>
    <row r="406">
      <c r="AH406" s="20" t="inlineStr">
        <is>
          <t xml:space="preserve">     11.기타</t>
        </is>
      </c>
      <c r="AI406" s="847" t="n">
        <v>887676511</v>
      </c>
    </row>
    <row r="407">
      <c r="AH407" s="20" t="inlineStr">
        <is>
          <t xml:space="preserve">  [자 본 총 계]</t>
        </is>
      </c>
      <c r="AI407" s="865" t="n">
        <v>-2404800893279</v>
      </c>
    </row>
    <row r="408">
      <c r="AH408" s="31" t="inlineStr">
        <is>
          <t>* [부 채 와 자 본 총 계]</t>
        </is>
      </c>
      <c r="AI408" s="866" t="n">
        <v>-32232652833785</v>
      </c>
    </row>
  </sheetData>
  <mergeCells count="2">
    <mergeCell ref="V55:W55"/>
    <mergeCell ref="V56:W56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7" sqref="A7"/>
    </sheetView>
  </sheetViews>
  <sheetFormatPr baseColWidth="8" defaultRowHeight="16.5"/>
  <cols>
    <col width="9.125" bestFit="1" customWidth="1" style="760" min="1" max="1"/>
    <col width="10.375" bestFit="1" customWidth="1" style="760" min="9" max="9"/>
    <col width="12.25" bestFit="1" customWidth="1" style="760" min="10" max="10"/>
    <col width="10.375" bestFit="1" customWidth="1" style="760" min="11" max="20"/>
  </cols>
  <sheetData>
    <row r="1">
      <c r="C1" s="642" t="inlineStr">
        <is>
          <t>기준월</t>
        </is>
      </c>
      <c r="D1" s="642" t="n"/>
      <c r="E1" s="642" t="n"/>
      <c r="F1" s="642" t="n"/>
      <c r="G1" s="642" t="n"/>
      <c r="H1" s="642" t="n"/>
      <c r="I1" s="2" t="n">
        <v>2412</v>
      </c>
      <c r="J1" s="642" t="n"/>
      <c r="K1" s="642" t="n"/>
      <c r="L1" s="642" t="n"/>
      <c r="M1" s="642" t="n"/>
      <c r="N1" s="642" t="n"/>
      <c r="O1" s="642" t="n"/>
      <c r="P1" s="642" t="n"/>
      <c r="Q1" s="642" t="n"/>
      <c r="R1" s="642" t="n"/>
      <c r="S1" s="642" t="n"/>
      <c r="T1" s="642" t="n"/>
    </row>
    <row r="2">
      <c r="C2" s="642" t="n"/>
      <c r="D2" s="642" t="n"/>
      <c r="E2" s="642" t="n"/>
      <c r="F2" s="642" t="n"/>
      <c r="G2" s="642" t="n"/>
      <c r="H2" s="642" t="n"/>
      <c r="I2" s="642" t="n"/>
      <c r="J2" s="642" t="n"/>
      <c r="K2" s="642" t="n"/>
      <c r="L2" s="642" t="n"/>
      <c r="M2" s="642" t="n"/>
      <c r="N2" s="642" t="n"/>
      <c r="O2" s="642" t="n"/>
      <c r="P2" s="642" t="n"/>
      <c r="Q2" s="642" t="n"/>
      <c r="R2" s="642" t="n"/>
      <c r="S2" s="642" t="n"/>
      <c r="T2" s="642" t="n"/>
    </row>
    <row r="3">
      <c r="C3" s="642" t="n"/>
      <c r="D3" s="642" t="n"/>
      <c r="E3" s="642" t="n"/>
      <c r="F3" s="642" t="n"/>
      <c r="G3" s="642" t="n"/>
      <c r="H3" s="642" t="n"/>
      <c r="I3" s="642" t="n"/>
      <c r="J3" s="642" t="n"/>
      <c r="K3" s="642" t="n"/>
      <c r="L3" s="642" t="n"/>
      <c r="M3" s="642" t="n"/>
      <c r="N3" s="642" t="n"/>
      <c r="O3" s="642" t="n"/>
      <c r="P3" s="642" t="n"/>
      <c r="Q3" s="642" t="n"/>
      <c r="R3" s="642" t="n"/>
      <c r="S3" s="642" t="n"/>
      <c r="T3" s="642" t="n"/>
    </row>
    <row r="4">
      <c r="C4" s="642" t="n"/>
      <c r="D4" s="642" t="n"/>
      <c r="E4" s="642" t="n"/>
      <c r="F4" s="642" t="n"/>
      <c r="G4" s="642" t="n"/>
      <c r="H4" s="642" t="n"/>
      <c r="I4" s="642" t="n"/>
      <c r="J4" s="642" t="n"/>
      <c r="K4" s="642" t="n"/>
      <c r="L4" s="642" t="n"/>
      <c r="M4" s="642" t="n"/>
      <c r="N4" s="642" t="n"/>
      <c r="O4" s="642" t="inlineStr">
        <is>
          <t>(단위 : 억원)</t>
        </is>
      </c>
      <c r="P4" s="642" t="n"/>
      <c r="Q4" s="642" t="n"/>
      <c r="R4" s="642" t="n"/>
      <c r="S4" s="642" t="n"/>
      <c r="T4" s="642" t="n"/>
    </row>
    <row r="5">
      <c r="C5" s="686" t="inlineStr">
        <is>
          <t>구분</t>
        </is>
      </c>
      <c r="D5" s="652" t="n"/>
      <c r="E5" s="652" t="n"/>
      <c r="F5" s="652" t="n"/>
      <c r="G5" s="652" t="n"/>
      <c r="H5" s="653" t="n"/>
      <c r="I5" s="3" t="inlineStr">
        <is>
          <t>미래</t>
        </is>
      </c>
      <c r="J5" s="3" t="inlineStr">
        <is>
          <t>삼성</t>
        </is>
      </c>
      <c r="K5" s="3" t="inlineStr">
        <is>
          <t>교보</t>
        </is>
      </c>
      <c r="L5" s="3" t="inlineStr">
        <is>
          <t>한화</t>
        </is>
      </c>
      <c r="M5" s="3" t="inlineStr">
        <is>
          <t>신한라이프</t>
        </is>
      </c>
      <c r="N5" s="3" t="inlineStr">
        <is>
          <t>동양</t>
        </is>
      </c>
      <c r="O5" s="4" t="inlineStr">
        <is>
          <t>KB라이프</t>
        </is>
      </c>
      <c r="P5" s="3" t="inlineStr">
        <is>
          <t>삼성화재</t>
        </is>
      </c>
      <c r="Q5" s="3" t="inlineStr">
        <is>
          <t>현대해상</t>
        </is>
      </c>
      <c r="R5" s="3" t="inlineStr">
        <is>
          <t>메리츠화재</t>
        </is>
      </c>
      <c r="S5" s="3" t="inlineStr">
        <is>
          <t>KB손보</t>
        </is>
      </c>
      <c r="T5" s="4" t="inlineStr">
        <is>
          <t>DB손보</t>
        </is>
      </c>
    </row>
    <row r="6">
      <c r="A6" s="786" t="n"/>
      <c r="B6" s="786" t="n"/>
      <c r="C6" s="786" t="inlineStr">
        <is>
          <t>* 전기말 bel + ra + csm</t>
        </is>
      </c>
      <c r="D6" s="786" t="n"/>
      <c r="E6" s="786" t="n"/>
      <c r="F6" s="786" t="n"/>
      <c r="G6" s="786" t="n"/>
      <c r="H6" s="786" t="n"/>
      <c r="I6" s="786">
        <f>SUM(I7:I9)</f>
        <v/>
      </c>
      <c r="J6" s="786">
        <f>SUM(J7:J9)</f>
        <v/>
      </c>
      <c r="K6" s="786">
        <f>SUM(K7:K9)</f>
        <v/>
      </c>
      <c r="L6" s="786">
        <f>SUM(L7:L9)</f>
        <v/>
      </c>
      <c r="M6" s="786">
        <f>SUM(M7:M9)</f>
        <v/>
      </c>
      <c r="N6" s="786">
        <f>SUM(N7:N9)</f>
        <v/>
      </c>
      <c r="O6" s="786">
        <f>SUM(O7:O9)</f>
        <v/>
      </c>
      <c r="P6" s="786">
        <f>SUM(P7:P9)</f>
        <v/>
      </c>
      <c r="Q6" s="786">
        <f>SUM(Q7:Q9)</f>
        <v/>
      </c>
      <c r="R6" s="786">
        <f>SUM(R7:R9)</f>
        <v/>
      </c>
      <c r="S6" s="786">
        <f>SUM(S7:S9)</f>
        <v/>
      </c>
      <c r="T6" s="786">
        <f>SUM(T7:T9)</f>
        <v/>
      </c>
    </row>
    <row r="7">
      <c r="A7" s="786">
        <f>DATA!BU1</f>
        <v/>
      </c>
      <c r="B7" s="786" t="n"/>
      <c r="C7" s="786" t="inlineStr">
        <is>
          <t xml:space="preserve">  bel</t>
        </is>
      </c>
      <c r="D7" s="786" t="n"/>
      <c r="E7" s="786" t="n"/>
      <c r="F7" s="786" t="n"/>
      <c r="G7" s="786" t="n"/>
      <c r="H7" s="786" t="n"/>
      <c r="I7" s="786">
        <f>VLOOKUP($I$1&amp;I$5,DATA!$A:$EB,전기말!$A7,0)/100</f>
        <v/>
      </c>
      <c r="J7" s="786">
        <f>VLOOKUP($I$1&amp;J$5,DATA!$A:$EB,전기말!$A7,0)/100</f>
        <v/>
      </c>
      <c r="K7" s="786">
        <f>VLOOKUP($I$1&amp;K$5,DATA!$A:$EB,전기말!$A7,0)/100</f>
        <v/>
      </c>
      <c r="L7" s="786">
        <f>VLOOKUP($I$1&amp;L$5,DATA!$A:$EB,전기말!$A7,0)/100</f>
        <v/>
      </c>
      <c r="M7" s="786">
        <f>VLOOKUP($I$1&amp;M$5,DATA!$A:$EB,전기말!$A7,0)/100</f>
        <v/>
      </c>
      <c r="N7" s="786">
        <f>VLOOKUP($I$1&amp;N$5,DATA!$A:$EB,전기말!$A7,0)/100</f>
        <v/>
      </c>
      <c r="O7" s="786">
        <f>VLOOKUP($I$1&amp;O$5,DATA!$A:$EB,전기말!$A7,0)/100</f>
        <v/>
      </c>
      <c r="P7" s="786">
        <f>VLOOKUP($I$1&amp;P$5,DATA!$A:$EB,전기말!$A7,0)/100</f>
        <v/>
      </c>
      <c r="Q7" s="786">
        <f>VLOOKUP($I$1&amp;Q$5,DATA!$A:$EB,전기말!$A7,0)/100</f>
        <v/>
      </c>
      <c r="R7" s="786">
        <f>VLOOKUP($I$1&amp;R$5,DATA!$A:$EB,전기말!$A7,0)/100</f>
        <v/>
      </c>
      <c r="S7" s="786">
        <f>VLOOKUP($I$1&amp;S$5,DATA!$A:$EB,전기말!$A7,0)/100</f>
        <v/>
      </c>
      <c r="T7" s="786">
        <f>VLOOKUP($I$1&amp;T$5,DATA!$A:$EB,전기말!$A7,0)/100</f>
        <v/>
      </c>
    </row>
    <row r="8">
      <c r="A8" s="786">
        <f>DATA!BV1</f>
        <v/>
      </c>
      <c r="B8" s="786" t="n"/>
      <c r="C8" s="786" t="inlineStr">
        <is>
          <t xml:space="preserve">  ra</t>
        </is>
      </c>
      <c r="D8" s="786" t="n"/>
      <c r="E8" s="786" t="n"/>
      <c r="F8" s="786" t="n"/>
      <c r="G8" s="786" t="n"/>
      <c r="H8" s="786" t="n"/>
      <c r="I8" s="786">
        <f>VLOOKUP($I$1&amp;I$5,DATA!$A:$EB,전기말!$A8,0)/100</f>
        <v/>
      </c>
      <c r="J8" s="786">
        <f>VLOOKUP($I$1&amp;J$5,DATA!$A:$EB,전기말!$A8,0)/100</f>
        <v/>
      </c>
      <c r="K8" s="786">
        <f>VLOOKUP($I$1&amp;K$5,DATA!$A:$EB,전기말!$A8,0)/100</f>
        <v/>
      </c>
      <c r="L8" s="786">
        <f>VLOOKUP($I$1&amp;L$5,DATA!$A:$EB,전기말!$A8,0)/100</f>
        <v/>
      </c>
      <c r="M8" s="786">
        <f>VLOOKUP($I$1&amp;M$5,DATA!$A:$EB,전기말!$A8,0)/100</f>
        <v/>
      </c>
      <c r="N8" s="786">
        <f>VLOOKUP($I$1&amp;N$5,DATA!$A:$EB,전기말!$A8,0)/100</f>
        <v/>
      </c>
      <c r="O8" s="786">
        <f>VLOOKUP($I$1&amp;O$5,DATA!$A:$EB,전기말!$A8,0)/100</f>
        <v/>
      </c>
      <c r="P8" s="786">
        <f>VLOOKUP($I$1&amp;P$5,DATA!$A:$EB,전기말!$A8,0)/100</f>
        <v/>
      </c>
      <c r="Q8" s="786">
        <f>VLOOKUP($I$1&amp;Q$5,DATA!$A:$EB,전기말!$A8,0)/100</f>
        <v/>
      </c>
      <c r="R8" s="786">
        <f>VLOOKUP($I$1&amp;R$5,DATA!$A:$EB,전기말!$A8,0)/100</f>
        <v/>
      </c>
      <c r="S8" s="786">
        <f>VLOOKUP($I$1&amp;S$5,DATA!$A:$EB,전기말!$A8,0)/100</f>
        <v/>
      </c>
      <c r="T8" s="786">
        <f>VLOOKUP($I$1&amp;T$5,DATA!$A:$EB,전기말!$A8,0)/100</f>
        <v/>
      </c>
    </row>
    <row r="9">
      <c r="A9" s="786">
        <f>DATA!BW1</f>
        <v/>
      </c>
      <c r="B9" s="786" t="n"/>
      <c r="C9" s="786" t="inlineStr">
        <is>
          <t xml:space="preserve">  csm</t>
        </is>
      </c>
      <c r="D9" s="786" t="n"/>
      <c r="E9" s="786" t="n"/>
      <c r="F9" s="786" t="n"/>
      <c r="G9" s="786" t="n"/>
      <c r="H9" s="786" t="n"/>
      <c r="I9" s="786">
        <f>VLOOKUP($I$1&amp;I$5,DATA!$A:$EB,전기말!$A9,0)/100</f>
        <v/>
      </c>
      <c r="J9" s="786">
        <f>VLOOKUP($I$1&amp;J$5,DATA!$A:$EB,전기말!$A9,0)/100</f>
        <v/>
      </c>
      <c r="K9" s="786">
        <f>VLOOKUP($I$1&amp;K$5,DATA!$A:$EB,전기말!$A9,0)/100</f>
        <v/>
      </c>
      <c r="L9" s="786">
        <f>VLOOKUP($I$1&amp;L$5,DATA!$A:$EB,전기말!$A9,0)/100</f>
        <v/>
      </c>
      <c r="M9" s="786">
        <f>VLOOKUP($I$1&amp;M$5,DATA!$A:$EB,전기말!$A9,0)/100</f>
        <v/>
      </c>
      <c r="N9" s="786">
        <f>VLOOKUP($I$1&amp;N$5,DATA!$A:$EB,전기말!$A9,0)/100</f>
        <v/>
      </c>
      <c r="O9" s="786">
        <f>VLOOKUP($I$1&amp;O$5,DATA!$A:$EB,전기말!$A9,0)/100</f>
        <v/>
      </c>
      <c r="P9" s="786">
        <f>VLOOKUP($I$1&amp;P$5,DATA!$A:$EB,전기말!$A9,0)/100</f>
        <v/>
      </c>
      <c r="Q9" s="786">
        <f>VLOOKUP($I$1&amp;Q$5,DATA!$A:$EB,전기말!$A9,0)/100</f>
        <v/>
      </c>
      <c r="R9" s="786">
        <f>VLOOKUP($I$1&amp;R$5,DATA!$A:$EB,전기말!$A9,0)/100</f>
        <v/>
      </c>
      <c r="S9" s="786">
        <f>VLOOKUP($I$1&amp;S$5,DATA!$A:$EB,전기말!$A9,0)/100</f>
        <v/>
      </c>
      <c r="T9" s="786">
        <f>VLOOKUP($I$1&amp;T$5,DATA!$A:$EB,전기말!$A9,0)/100</f>
        <v/>
      </c>
    </row>
    <row r="11">
      <c r="A11" s="642">
        <f>작업!A79</f>
        <v/>
      </c>
      <c r="B11" s="642" t="n"/>
      <c r="C11" s="642" t="inlineStr">
        <is>
          <t>FVOCI평가손익</t>
        </is>
      </c>
      <c r="D11" s="642" t="n"/>
      <c r="E11" s="642" t="n"/>
      <c r="F11" s="642" t="n"/>
      <c r="G11" s="642" t="n"/>
      <c r="H11" s="642" t="n"/>
      <c r="I11" s="786">
        <f>VLOOKUP($I$1&amp;I$5,DATA!$A:$EB,$A11,0)/100</f>
        <v/>
      </c>
      <c r="J11" s="786">
        <f>VLOOKUP($I$1&amp;J$5,DATA!$A:$EB,$A11,0)/100</f>
        <v/>
      </c>
      <c r="K11" s="786">
        <f>VLOOKUP($I$1&amp;K$5,DATA!$A:$EB,$A11,0)/100</f>
        <v/>
      </c>
      <c r="L11" s="786">
        <f>VLOOKUP($I$1&amp;L$5,DATA!$A:$EB,$A11,0)/100</f>
        <v/>
      </c>
      <c r="M11" s="786">
        <f>VLOOKUP($I$1&amp;M$5,DATA!$A:$EB,$A11,0)/100</f>
        <v/>
      </c>
      <c r="N11" s="786">
        <f>VLOOKUP($I$1&amp;N$5,DATA!$A:$EB,$A11,0)/100</f>
        <v/>
      </c>
      <c r="O11" s="786">
        <f>VLOOKUP($I$1&amp;O$5,DATA!$A:$EB,$A11,0)/100</f>
        <v/>
      </c>
      <c r="P11" s="786">
        <f>VLOOKUP($I$1&amp;P$5,DATA!$A:$EB,$A11,0)/100</f>
        <v/>
      </c>
      <c r="Q11" s="786">
        <f>VLOOKUP($I$1&amp;Q$5,DATA!$A:$EB,$A11,0)/100</f>
        <v/>
      </c>
      <c r="R11" s="786">
        <f>VLOOKUP($I$1&amp;R$5,DATA!$A:$EB,$A11,0)/100</f>
        <v/>
      </c>
      <c r="S11" s="786">
        <f>VLOOKUP($I$1&amp;S$5,DATA!$A:$EB,$A11,0)/100</f>
        <v/>
      </c>
      <c r="T11" s="786">
        <f>VLOOKUP($I$1&amp;T$5,DATA!$A:$EB,$A11,0)/100</f>
        <v/>
      </c>
    </row>
    <row r="12">
      <c r="A12" s="642">
        <f>작업!A80</f>
        <v/>
      </c>
      <c r="B12" s="642" t="n"/>
      <c r="C12" s="642" t="inlineStr">
        <is>
          <t>현금흐름위험회피</t>
        </is>
      </c>
      <c r="D12" s="642" t="n"/>
      <c r="E12" s="642" t="n"/>
      <c r="F12" s="642" t="n"/>
      <c r="G12" s="642" t="n"/>
      <c r="H12" s="642" t="n"/>
      <c r="I12" s="786">
        <f>VLOOKUP($I$1&amp;I$5,DATA!$A:$EB,$A12,0)/100</f>
        <v/>
      </c>
      <c r="J12" s="786">
        <f>VLOOKUP($I$1&amp;J$5,DATA!$A:$EB,$A12,0)/100</f>
        <v/>
      </c>
      <c r="K12" s="786">
        <f>VLOOKUP($I$1&amp;K$5,DATA!$A:$EB,$A12,0)/100</f>
        <v/>
      </c>
      <c r="L12" s="786">
        <f>VLOOKUP($I$1&amp;L$5,DATA!$A:$EB,$A12,0)/100</f>
        <v/>
      </c>
      <c r="M12" s="786">
        <f>VLOOKUP($I$1&amp;M$5,DATA!$A:$EB,$A12,0)/100</f>
        <v/>
      </c>
      <c r="N12" s="786">
        <f>VLOOKUP($I$1&amp;N$5,DATA!$A:$EB,$A12,0)/100</f>
        <v/>
      </c>
      <c r="O12" s="786">
        <f>VLOOKUP($I$1&amp;O$5,DATA!$A:$EB,$A12,0)/100</f>
        <v/>
      </c>
      <c r="P12" s="786">
        <f>VLOOKUP($I$1&amp;P$5,DATA!$A:$EB,$A12,0)/100</f>
        <v/>
      </c>
      <c r="Q12" s="786">
        <f>VLOOKUP($I$1&amp;Q$5,DATA!$A:$EB,$A12,0)/100</f>
        <v/>
      </c>
      <c r="R12" s="786">
        <f>VLOOKUP($I$1&amp;R$5,DATA!$A:$EB,$A12,0)/100</f>
        <v/>
      </c>
      <c r="S12" s="786">
        <f>VLOOKUP($I$1&amp;S$5,DATA!$A:$EB,$A12,0)/100</f>
        <v/>
      </c>
      <c r="T12" s="786">
        <f>VLOOKUP($I$1&amp;T$5,DATA!$A:$EB,$A12,0)/100</f>
        <v/>
      </c>
    </row>
    <row r="13">
      <c r="A13" s="642">
        <f>작업!A81</f>
        <v/>
      </c>
      <c r="B13" s="642" t="n"/>
      <c r="C13" s="642" t="inlineStr">
        <is>
          <t>보험계약자산(부채)순금융손익</t>
        </is>
      </c>
      <c r="D13" s="642" t="n"/>
      <c r="E13" s="642" t="n"/>
      <c r="F13" s="642" t="n"/>
      <c r="G13" s="642" t="n"/>
      <c r="H13" s="642" t="n"/>
      <c r="I13" s="786">
        <f>VLOOKUP($I$1&amp;I$5,DATA!$A:$EB,$A13,0)/100</f>
        <v/>
      </c>
      <c r="J13" s="786">
        <f>VLOOKUP($I$1&amp;J$5,DATA!$A:$EB,$A13,0)/100</f>
        <v/>
      </c>
      <c r="K13" s="786">
        <f>VLOOKUP($I$1&amp;K$5,DATA!$A:$EB,$A13,0)/100</f>
        <v/>
      </c>
      <c r="L13" s="786">
        <f>VLOOKUP($I$1&amp;L$5,DATA!$A:$EB,$A13,0)/100</f>
        <v/>
      </c>
      <c r="M13" s="786">
        <f>VLOOKUP($I$1&amp;M$5,DATA!$A:$EB,$A13,0)/100</f>
        <v/>
      </c>
      <c r="N13" s="786">
        <f>VLOOKUP($I$1&amp;N$5,DATA!$A:$EB,$A13,0)/100</f>
        <v/>
      </c>
      <c r="O13" s="786">
        <f>VLOOKUP($I$1&amp;O$5,DATA!$A:$EB,$A13,0)/100</f>
        <v/>
      </c>
      <c r="P13" s="786">
        <f>VLOOKUP($I$1&amp;P$5,DATA!$A:$EB,$A13,0)/100</f>
        <v/>
      </c>
      <c r="Q13" s="786">
        <f>VLOOKUP($I$1&amp;Q$5,DATA!$A:$EB,$A13,0)/100</f>
        <v/>
      </c>
      <c r="R13" s="786">
        <f>VLOOKUP($I$1&amp;R$5,DATA!$A:$EB,$A13,0)/100</f>
        <v/>
      </c>
      <c r="S13" s="786">
        <f>VLOOKUP($I$1&amp;S$5,DATA!$A:$EB,$A13,0)/100</f>
        <v/>
      </c>
      <c r="T13" s="786">
        <f>VLOOKUP($I$1&amp;T$5,DATA!$A:$EB,$A13,0)/100</f>
        <v/>
      </c>
    </row>
    <row r="14">
      <c r="A14" s="642">
        <f>작업!A82</f>
        <v/>
      </c>
      <c r="B14" s="642" t="n"/>
      <c r="C14" s="642" t="inlineStr">
        <is>
          <t>재보험계약자산(부채)</t>
        </is>
      </c>
      <c r="D14" s="642" t="n"/>
      <c r="E14" s="642" t="n"/>
      <c r="F14" s="642" t="n"/>
      <c r="G14" s="642" t="n"/>
      <c r="H14" s="642" t="n"/>
      <c r="I14" s="786">
        <f>VLOOKUP($I$1&amp;I$5,DATA!$A:$EB,$A14,0)/100</f>
        <v/>
      </c>
      <c r="J14" s="786">
        <f>VLOOKUP($I$1&amp;J$5,DATA!$A:$EB,$A14,0)/100</f>
        <v/>
      </c>
      <c r="K14" s="786">
        <f>VLOOKUP($I$1&amp;K$5,DATA!$A:$EB,$A14,0)/100</f>
        <v/>
      </c>
      <c r="L14" s="786">
        <f>VLOOKUP($I$1&amp;L$5,DATA!$A:$EB,$A14,0)/100</f>
        <v/>
      </c>
      <c r="M14" s="786">
        <f>VLOOKUP($I$1&amp;M$5,DATA!$A:$EB,$A14,0)/100</f>
        <v/>
      </c>
      <c r="N14" s="786">
        <f>VLOOKUP($I$1&amp;N$5,DATA!$A:$EB,$A14,0)/100</f>
        <v/>
      </c>
      <c r="O14" s="786">
        <f>VLOOKUP($I$1&amp;O$5,DATA!$A:$EB,$A14,0)/100</f>
        <v/>
      </c>
      <c r="P14" s="786">
        <f>VLOOKUP($I$1&amp;P$5,DATA!$A:$EB,$A14,0)/100</f>
        <v/>
      </c>
      <c r="Q14" s="786">
        <f>VLOOKUP($I$1&amp;Q$5,DATA!$A:$EB,$A14,0)/100</f>
        <v/>
      </c>
      <c r="R14" s="786">
        <f>VLOOKUP($I$1&amp;R$5,DATA!$A:$EB,$A14,0)/100</f>
        <v/>
      </c>
      <c r="S14" s="786">
        <f>VLOOKUP($I$1&amp;S$5,DATA!$A:$EB,$A14,0)/100</f>
        <v/>
      </c>
      <c r="T14" s="786">
        <f>VLOOKUP($I$1&amp;T$5,DATA!$A:$EB,$A14,0)/100</f>
        <v/>
      </c>
    </row>
    <row r="16">
      <c r="A16" s="696">
        <f>작업!A100</f>
        <v/>
      </c>
      <c r="C16" s="642" t="inlineStr">
        <is>
          <t>킥스</t>
        </is>
      </c>
      <c r="I16" s="786">
        <f>VLOOKUP($I$1&amp;I$5,DATA!$A:$EB,$A16,0)</f>
        <v/>
      </c>
      <c r="J16" s="786">
        <f>VLOOKUP($I$1&amp;J$5,DATA!$A:$EB,$A16,0)</f>
        <v/>
      </c>
      <c r="K16" s="786">
        <f>VLOOKUP($I$1&amp;K$5,DATA!$A:$EB,$A16,0)</f>
        <v/>
      </c>
      <c r="L16" s="786">
        <f>VLOOKUP($I$1&amp;L$5,DATA!$A:$EB,$A16,0)</f>
        <v/>
      </c>
      <c r="M16" s="786">
        <f>VLOOKUP($I$1&amp;M$5,DATA!$A:$EB,$A16,0)</f>
        <v/>
      </c>
      <c r="N16" s="786">
        <f>VLOOKUP($I$1&amp;N$5,DATA!$A:$EB,$A16,0)</f>
        <v/>
      </c>
      <c r="O16" s="786">
        <f>VLOOKUP($I$1&amp;O$5,DATA!$A:$EB,$A16,0)</f>
        <v/>
      </c>
      <c r="P16" s="786">
        <f>VLOOKUP($I$1&amp;P$5,DATA!$A:$EB,$A16,0)</f>
        <v/>
      </c>
      <c r="Q16" s="786">
        <f>VLOOKUP($I$1&amp;Q$5,DATA!$A:$EB,$A16,0)</f>
        <v/>
      </c>
      <c r="R16" s="786">
        <f>VLOOKUP($I$1&amp;R$5,DATA!$A:$EB,$A16,0)</f>
        <v/>
      </c>
      <c r="S16" s="786">
        <f>VLOOKUP($I$1&amp;S$5,DATA!$A:$EB,$A16,0)</f>
        <v/>
      </c>
      <c r="T16" s="786">
        <f>VLOOKUP($I$1&amp;T$5,DATA!$A:$EB,$A16,0)</f>
        <v/>
      </c>
    </row>
    <row r="18">
      <c r="A18" s="696" t="n">
        <v>19</v>
      </c>
      <c r="C18" s="642" t="inlineStr">
        <is>
          <t>운용자산</t>
        </is>
      </c>
      <c r="I18" s="786">
        <f>VLOOKUP($I$1&amp;I$5,DATA!$A:$EB,$A18,0)/100</f>
        <v/>
      </c>
      <c r="J18" s="786">
        <f>VLOOKUP($I$1&amp;J$5,DATA!$A:$EB,$A18,0)/100</f>
        <v/>
      </c>
      <c r="K18" s="786">
        <f>VLOOKUP($I$1&amp;K$5,DATA!$A:$EB,$A18,0)/100</f>
        <v/>
      </c>
      <c r="L18" s="786">
        <f>VLOOKUP($I$1&amp;L$5,DATA!$A:$EB,$A18,0)/100</f>
        <v/>
      </c>
      <c r="M18" s="786">
        <f>VLOOKUP($I$1&amp;M$5,DATA!$A:$EB,$A18,0)/100</f>
        <v/>
      </c>
      <c r="N18" s="786">
        <f>VLOOKUP($I$1&amp;N$5,DATA!$A:$EB,$A18,0)/100</f>
        <v/>
      </c>
      <c r="O18" s="786">
        <f>VLOOKUP($I$1&amp;O$5,DATA!$A:$EB,$A18,0)/100</f>
        <v/>
      </c>
      <c r="P18" s="786">
        <f>VLOOKUP($I$1&amp;P$5,DATA!$A:$EB,$A18,0)/100</f>
        <v/>
      </c>
      <c r="Q18" s="786">
        <f>VLOOKUP($I$1&amp;Q$5,DATA!$A:$EB,$A18,0)/100</f>
        <v/>
      </c>
      <c r="R18" s="786">
        <f>VLOOKUP($I$1&amp;R$5,DATA!$A:$EB,$A18,0)/100</f>
        <v/>
      </c>
      <c r="S18" s="786">
        <f>VLOOKUP($I$1&amp;S$5,DATA!$A:$EB,$A18,0)/100</f>
        <v/>
      </c>
      <c r="T18" s="786">
        <f>VLOOKUP($I$1&amp;T$5,DATA!$A:$EB,$A18,0)/100</f>
        <v/>
      </c>
    </row>
    <row r="22">
      <c r="C22" s="650" t="inlineStr">
        <is>
          <t>구분</t>
        </is>
      </c>
      <c r="D22" s="648" t="n"/>
      <c r="E22" s="648" t="n"/>
      <c r="F22" s="648" t="n"/>
      <c r="G22" s="648" t="n"/>
      <c r="H22" s="649" t="n"/>
      <c r="I22" s="8" t="inlineStr">
        <is>
          <t>미래에셋생명</t>
        </is>
      </c>
      <c r="J22" s="8" t="inlineStr">
        <is>
          <t>삼성생명</t>
        </is>
      </c>
      <c r="K22" s="8" t="inlineStr">
        <is>
          <t>교보생명</t>
        </is>
      </c>
      <c r="L22" s="8" t="inlineStr">
        <is>
          <t>한화생명</t>
        </is>
      </c>
      <c r="M22" s="8" t="inlineStr">
        <is>
          <t>신한라이프</t>
        </is>
      </c>
      <c r="N22" s="8" t="inlineStr">
        <is>
          <t>동양생명</t>
        </is>
      </c>
      <c r="O22" s="9" t="inlineStr">
        <is>
          <t>KB라이프</t>
        </is>
      </c>
      <c r="P22" s="9" t="inlineStr">
        <is>
          <t>삼성화재</t>
        </is>
      </c>
      <c r="Q22" s="9" t="inlineStr">
        <is>
          <t>현대해상</t>
        </is>
      </c>
      <c r="R22" s="9" t="inlineStr">
        <is>
          <t>메리츠화재</t>
        </is>
      </c>
      <c r="S22" s="9" t="inlineStr">
        <is>
          <t>KB손보</t>
        </is>
      </c>
      <c r="T22" s="9" t="inlineStr">
        <is>
          <t>DB손보</t>
        </is>
      </c>
    </row>
    <row r="23">
      <c r="A23" s="696">
        <f>+작업!A109</f>
        <v/>
      </c>
      <c r="C23" s="665" t="inlineStr">
        <is>
          <t>보험손익</t>
        </is>
      </c>
      <c r="D23" s="648" t="n"/>
      <c r="E23" s="648" t="n"/>
      <c r="F23" s="648" t="n"/>
      <c r="G23" s="648" t="n"/>
      <c r="H23" s="649" t="n"/>
      <c r="I23" s="786">
        <f>VLOOKUP($I$1&amp;I$5,DATA!$A:$EB,$A23,0)/100</f>
        <v/>
      </c>
      <c r="J23" s="786">
        <f>VLOOKUP($I$1&amp;J$5,DATA!$A:$EB,$A23,0)/100</f>
        <v/>
      </c>
      <c r="K23" s="786">
        <f>VLOOKUP($I$1&amp;K$5,DATA!$A:$EB,$A23,0)/100</f>
        <v/>
      </c>
      <c r="L23" s="786">
        <f>VLOOKUP($I$1&amp;L$5,DATA!$A:$EB,$A23,0)/100</f>
        <v/>
      </c>
      <c r="M23" s="786">
        <f>VLOOKUP($I$1&amp;M$5,DATA!$A:$EB,$A23,0)/100</f>
        <v/>
      </c>
      <c r="N23" s="786">
        <f>VLOOKUP($I$1&amp;N$5,DATA!$A:$EB,$A23,0)/100</f>
        <v/>
      </c>
      <c r="O23" s="786">
        <f>VLOOKUP($I$1&amp;O$5,DATA!$A:$EB,$A23,0)/100</f>
        <v/>
      </c>
      <c r="P23" s="786">
        <f>VLOOKUP($I$1&amp;P$5,DATA!$A:$EB,$A23,0)/100</f>
        <v/>
      </c>
      <c r="Q23" s="786">
        <f>VLOOKUP($I$1&amp;Q$5,DATA!$A:$EB,$A23,0)/100</f>
        <v/>
      </c>
      <c r="R23" s="786">
        <f>VLOOKUP($I$1&amp;R$5,DATA!$A:$EB,$A23,0)/100</f>
        <v/>
      </c>
      <c r="S23" s="786">
        <f>VLOOKUP($I$1&amp;S$5,DATA!$A:$EB,$A23,0)/100</f>
        <v/>
      </c>
      <c r="T23" s="786">
        <f>VLOOKUP($I$1&amp;T$5,DATA!$A:$EB,$A23,0)/100</f>
        <v/>
      </c>
    </row>
    <row r="24">
      <c r="A24" s="696">
        <f>+작업!A110</f>
        <v/>
      </c>
      <c r="C24" s="209" t="n"/>
      <c r="D24" s="680" t="inlineStr">
        <is>
          <t>손해율</t>
        </is>
      </c>
      <c r="E24" s="663" t="n"/>
      <c r="F24" s="663" t="n"/>
      <c r="G24" s="663" t="n"/>
      <c r="H24" s="664" t="n"/>
      <c r="I24" s="813" t="n"/>
      <c r="J24" s="813" t="n"/>
      <c r="K24" s="813" t="n"/>
      <c r="L24" s="813" t="n"/>
      <c r="M24" s="813" t="n"/>
      <c r="N24" s="813" t="n"/>
      <c r="O24" s="813" t="n"/>
      <c r="P24" s="813" t="n"/>
      <c r="Q24" s="813" t="n"/>
      <c r="R24" s="813" t="n"/>
      <c r="S24" s="813" t="n"/>
      <c r="T24" s="813" t="n"/>
    </row>
    <row r="25">
      <c r="A25" s="696">
        <f>+작업!A111</f>
        <v/>
      </c>
      <c r="C25" s="209" t="n"/>
      <c r="D25" s="683" t="inlineStr">
        <is>
          <t>실제보험금/예상보험금</t>
        </is>
      </c>
      <c r="E25" s="673" t="n"/>
      <c r="F25" s="673" t="n"/>
      <c r="G25" s="673" t="n"/>
      <c r="H25" s="674" t="n"/>
      <c r="I25" s="813" t="n"/>
      <c r="J25" s="813" t="n"/>
      <c r="K25" s="813" t="n"/>
      <c r="L25" s="813" t="n"/>
      <c r="M25" s="813" t="n"/>
      <c r="N25" s="813" t="n"/>
      <c r="O25" s="813" t="n"/>
      <c r="P25" s="813" t="n"/>
      <c r="Q25" s="813" t="n"/>
      <c r="R25" s="813" t="n"/>
      <c r="S25" s="813" t="n"/>
      <c r="T25" s="813" t="n"/>
    </row>
    <row r="26">
      <c r="A26" s="696">
        <f>+작업!A112</f>
        <v/>
      </c>
      <c r="C26" s="209" t="n"/>
      <c r="D26" s="684" t="inlineStr">
        <is>
          <t>사업비
예실차</t>
        </is>
      </c>
      <c r="E26" s="663" t="n"/>
      <c r="F26" s="680" t="inlineStr">
        <is>
          <t>예실차율</t>
        </is>
      </c>
      <c r="G26" s="663" t="n"/>
      <c r="H26" s="664" t="n"/>
      <c r="I26" s="813" t="n"/>
      <c r="J26" s="813" t="n"/>
      <c r="K26" s="813" t="n"/>
      <c r="L26" s="813" t="n"/>
      <c r="M26" s="813" t="n"/>
      <c r="N26" s="813" t="n"/>
      <c r="O26" s="813" t="n"/>
      <c r="P26" s="813" t="n"/>
      <c r="Q26" s="813" t="n"/>
      <c r="R26" s="813" t="n"/>
      <c r="S26" s="813" t="n"/>
      <c r="T26" s="813" t="n"/>
    </row>
    <row r="27">
      <c r="A27" s="696">
        <f>+작업!A113</f>
        <v/>
      </c>
      <c r="C27" s="211" t="n"/>
      <c r="D27" s="685" t="n"/>
      <c r="E27" s="670" t="n"/>
      <c r="F27" s="669" t="inlineStr">
        <is>
          <t>÷ CSM상각액</t>
        </is>
      </c>
      <c r="G27" s="670" t="n"/>
      <c r="H27" s="671" t="n"/>
      <c r="I27" s="814" t="n"/>
      <c r="J27" s="814" t="n"/>
      <c r="K27" s="814" t="n"/>
      <c r="L27" s="814" t="n"/>
      <c r="M27" s="814" t="n"/>
      <c r="N27" s="814" t="n"/>
      <c r="O27" s="814" t="n"/>
      <c r="P27" s="814" t="n"/>
      <c r="Q27" s="814" t="n"/>
      <c r="R27" s="814" t="n"/>
      <c r="S27" s="814" t="n"/>
      <c r="T27" s="814" t="n"/>
    </row>
    <row r="28">
      <c r="A28" s="696">
        <f>+작업!A114</f>
        <v/>
      </c>
      <c r="C28" s="672" t="inlineStr">
        <is>
          <t>투자손익</t>
        </is>
      </c>
      <c r="D28" s="673" t="n"/>
      <c r="E28" s="673" t="n"/>
      <c r="F28" s="673" t="n"/>
      <c r="G28" s="673" t="n"/>
      <c r="H28" s="674" t="n"/>
      <c r="I28" s="786">
        <f>VLOOKUP($I$1&amp;I$5,DATA!$A:$EB,$A28,0)/100</f>
        <v/>
      </c>
      <c r="J28" s="786">
        <f>VLOOKUP($I$1&amp;J$5,DATA!$A:$EB,$A28,0)/100</f>
        <v/>
      </c>
      <c r="K28" s="786">
        <f>VLOOKUP($I$1&amp;K$5,DATA!$A:$EB,$A28,0)/100</f>
        <v/>
      </c>
      <c r="L28" s="786">
        <f>VLOOKUP($I$1&amp;L$5,DATA!$A:$EB,$A28,0)/100</f>
        <v/>
      </c>
      <c r="M28" s="786">
        <f>VLOOKUP($I$1&amp;M$5,DATA!$A:$EB,$A28,0)/100</f>
        <v/>
      </c>
      <c r="N28" s="786">
        <f>VLOOKUP($I$1&amp;N$5,DATA!$A:$EB,$A28,0)/100</f>
        <v/>
      </c>
      <c r="O28" s="786">
        <f>VLOOKUP($I$1&amp;O$5,DATA!$A:$EB,$A28,0)/100</f>
        <v/>
      </c>
      <c r="P28" s="786">
        <f>VLOOKUP($I$1&amp;P$5,DATA!$A:$EB,$A28,0)/100</f>
        <v/>
      </c>
      <c r="Q28" s="786">
        <f>VLOOKUP($I$1&amp;Q$5,DATA!$A:$EB,$A28,0)/100</f>
        <v/>
      </c>
      <c r="R28" s="786">
        <f>VLOOKUP($I$1&amp;R$5,DATA!$A:$EB,$A28,0)/100</f>
        <v/>
      </c>
      <c r="S28" s="786">
        <f>VLOOKUP($I$1&amp;S$5,DATA!$A:$EB,$A28,0)/100</f>
        <v/>
      </c>
      <c r="T28" s="786">
        <f>VLOOKUP($I$1&amp;T$5,DATA!$A:$EB,$A28,0)/100</f>
        <v/>
      </c>
    </row>
    <row r="29">
      <c r="A29" s="696">
        <f>+작업!A115</f>
        <v/>
      </c>
      <c r="C29" s="672" t="inlineStr">
        <is>
          <t>영업이익</t>
        </is>
      </c>
      <c r="D29" s="673" t="n"/>
      <c r="E29" s="673" t="n"/>
      <c r="F29" s="673" t="n"/>
      <c r="G29" s="673" t="n"/>
      <c r="H29" s="674" t="n"/>
      <c r="I29" s="786" t="n"/>
      <c r="J29" s="786" t="n"/>
      <c r="K29" s="786" t="n"/>
      <c r="L29" s="786" t="n"/>
      <c r="M29" s="786" t="n"/>
      <c r="N29" s="786" t="n"/>
      <c r="O29" s="786" t="n"/>
      <c r="P29" s="786" t="n"/>
      <c r="Q29" s="786" t="n"/>
      <c r="R29" s="786" t="n"/>
      <c r="S29" s="786" t="n"/>
      <c r="T29" s="786" t="n"/>
    </row>
    <row r="30">
      <c r="A30" s="696">
        <f>+작업!A116</f>
        <v/>
      </c>
      <c r="C30" s="667" t="inlineStr">
        <is>
          <t>영업외손익</t>
        </is>
      </c>
      <c r="D30" s="659" t="n"/>
      <c r="E30" s="659" t="n"/>
      <c r="F30" s="659" t="n"/>
      <c r="G30" s="659" t="n"/>
      <c r="H30" s="660" t="n"/>
      <c r="I30" s="786">
        <f>VLOOKUP($I$1&amp;I$5,DATA!$A:$EB,$A30,0)/100</f>
        <v/>
      </c>
      <c r="J30" s="786">
        <f>VLOOKUP($I$1&amp;J$5,DATA!$A:$EB,$A30,0)/100</f>
        <v/>
      </c>
      <c r="K30" s="786">
        <f>VLOOKUP($I$1&amp;K$5,DATA!$A:$EB,$A30,0)/100</f>
        <v/>
      </c>
      <c r="L30" s="786">
        <f>VLOOKUP($I$1&amp;L$5,DATA!$A:$EB,$A30,0)/100</f>
        <v/>
      </c>
      <c r="M30" s="786">
        <f>VLOOKUP($I$1&amp;M$5,DATA!$A:$EB,$A30,0)/100</f>
        <v/>
      </c>
      <c r="N30" s="786">
        <f>VLOOKUP($I$1&amp;N$5,DATA!$A:$EB,$A30,0)/100</f>
        <v/>
      </c>
      <c r="O30" s="786">
        <f>VLOOKUP($I$1&amp;O$5,DATA!$A:$EB,$A30,0)/100</f>
        <v/>
      </c>
      <c r="P30" s="786">
        <f>VLOOKUP($I$1&amp;P$5,DATA!$A:$EB,$A30,0)/100</f>
        <v/>
      </c>
      <c r="Q30" s="786">
        <f>VLOOKUP($I$1&amp;Q$5,DATA!$A:$EB,$A30,0)/100</f>
        <v/>
      </c>
      <c r="R30" s="786">
        <f>VLOOKUP($I$1&amp;R$5,DATA!$A:$EB,$A30,0)/100</f>
        <v/>
      </c>
      <c r="S30" s="786">
        <f>VLOOKUP($I$1&amp;S$5,DATA!$A:$EB,$A30,0)/100</f>
        <v/>
      </c>
      <c r="T30" s="786">
        <f>VLOOKUP($I$1&amp;T$5,DATA!$A:$EB,$A30,0)/100</f>
        <v/>
      </c>
    </row>
    <row r="31">
      <c r="A31" s="696">
        <f>+작업!A117</f>
        <v/>
      </c>
      <c r="C31" s="647" t="inlineStr">
        <is>
          <t>세전이익</t>
        </is>
      </c>
      <c r="D31" s="648" t="n"/>
      <c r="E31" s="648" t="n"/>
      <c r="F31" s="648" t="n"/>
      <c r="G31" s="648" t="n"/>
      <c r="H31" s="649" t="n"/>
      <c r="I31" s="786">
        <f>VLOOKUP($I$1&amp;I$5,DATA!$A:$EB,$A31,0)/100</f>
        <v/>
      </c>
      <c r="J31" s="786">
        <f>VLOOKUP($I$1&amp;J$5,DATA!$A:$EB,$A31,0)/100</f>
        <v/>
      </c>
      <c r="K31" s="786">
        <f>VLOOKUP($I$1&amp;K$5,DATA!$A:$EB,$A31,0)/100</f>
        <v/>
      </c>
      <c r="L31" s="786">
        <f>VLOOKUP($I$1&amp;L$5,DATA!$A:$EB,$A31,0)/100</f>
        <v/>
      </c>
      <c r="M31" s="786">
        <f>VLOOKUP($I$1&amp;M$5,DATA!$A:$EB,$A31,0)/100</f>
        <v/>
      </c>
      <c r="N31" s="786">
        <f>VLOOKUP($I$1&amp;N$5,DATA!$A:$EB,$A31,0)/100</f>
        <v/>
      </c>
      <c r="O31" s="786">
        <f>VLOOKUP($I$1&amp;O$5,DATA!$A:$EB,$A31,0)/100</f>
        <v/>
      </c>
      <c r="P31" s="786">
        <f>VLOOKUP($I$1&amp;P$5,DATA!$A:$EB,$A31,0)/100</f>
        <v/>
      </c>
      <c r="Q31" s="786">
        <f>VLOOKUP($I$1&amp;Q$5,DATA!$A:$EB,$A31,0)/100</f>
        <v/>
      </c>
      <c r="R31" s="786">
        <f>VLOOKUP($I$1&amp;R$5,DATA!$A:$EB,$A31,0)/100</f>
        <v/>
      </c>
      <c r="S31" s="786">
        <f>VLOOKUP($I$1&amp;S$5,DATA!$A:$EB,$A31,0)/100</f>
        <v/>
      </c>
      <c r="T31" s="786">
        <f>VLOOKUP($I$1&amp;T$5,DATA!$A:$EB,$A31,0)/100</f>
        <v/>
      </c>
    </row>
    <row r="32">
      <c r="A32" s="696">
        <f>+작업!A118</f>
        <v/>
      </c>
      <c r="C32" s="644" t="inlineStr">
        <is>
          <t>당기순이익</t>
        </is>
      </c>
      <c r="D32" s="645" t="n"/>
      <c r="E32" s="645" t="n"/>
      <c r="F32" s="645" t="n"/>
      <c r="G32" s="645" t="n"/>
      <c r="H32" s="646" t="n"/>
      <c r="I32" s="786">
        <f>VLOOKUP($I$1&amp;I$5,DATA!$A:$EB,$A32,0)/100</f>
        <v/>
      </c>
      <c r="J32" s="786">
        <f>VLOOKUP($I$1&amp;J$5,DATA!$A:$EB,$A32,0)/100</f>
        <v/>
      </c>
      <c r="K32" s="786">
        <f>VLOOKUP($I$1&amp;K$5,DATA!$A:$EB,$A32,0)/100</f>
        <v/>
      </c>
      <c r="L32" s="786">
        <f>VLOOKUP($I$1&amp;L$5,DATA!$A:$EB,$A32,0)/100</f>
        <v/>
      </c>
      <c r="M32" s="786">
        <f>VLOOKUP($I$1&amp;M$5,DATA!$A:$EB,$A32,0)/100</f>
        <v/>
      </c>
      <c r="N32" s="786">
        <f>VLOOKUP($I$1&amp;N$5,DATA!$A:$EB,$A32,0)/100</f>
        <v/>
      </c>
      <c r="O32" s="786">
        <f>VLOOKUP($I$1&amp;O$5,DATA!$A:$EB,$A32,0)/100</f>
        <v/>
      </c>
      <c r="P32" s="786">
        <f>VLOOKUP($I$1&amp;P$5,DATA!$A:$EB,$A32,0)/100</f>
        <v/>
      </c>
      <c r="Q32" s="786">
        <f>VLOOKUP($I$1&amp;Q$5,DATA!$A:$EB,$A32,0)/100</f>
        <v/>
      </c>
      <c r="R32" s="786">
        <f>VLOOKUP($I$1&amp;R$5,DATA!$A:$EB,$A32,0)/100</f>
        <v/>
      </c>
      <c r="S32" s="786">
        <f>VLOOKUP($I$1&amp;S$5,DATA!$A:$EB,$A32,0)/100</f>
        <v/>
      </c>
      <c r="T32" s="786">
        <f>VLOOKUP($I$1&amp;T$5,DATA!$A:$EB,$A32,0)/100</f>
        <v/>
      </c>
    </row>
    <row r="36">
      <c r="A36" s="696">
        <f>작업!A136</f>
        <v/>
      </c>
      <c r="C36" s="696" t="inlineStr">
        <is>
          <t>신계약csm</t>
        </is>
      </c>
      <c r="I36" s="786">
        <f>VLOOKUP($I$1&amp;I$5,DATA!$A:$EB,$A36,0)/100</f>
        <v/>
      </c>
      <c r="J36" s="786">
        <f>VLOOKUP($I$1&amp;J$5,DATA!$A:$EB,$A36,0)/100</f>
        <v/>
      </c>
      <c r="K36" s="786">
        <f>VLOOKUP($I$1&amp;K$5,DATA!$A:$EB,$A36,0)/100</f>
        <v/>
      </c>
      <c r="L36" s="786">
        <f>VLOOKUP($I$1&amp;L$5,DATA!$A:$EB,$A36,0)/100</f>
        <v/>
      </c>
      <c r="M36" s="786">
        <f>VLOOKUP($I$1&amp;M$5,DATA!$A:$EB,$A36,0)/100</f>
        <v/>
      </c>
      <c r="N36" s="786">
        <f>VLOOKUP($I$1&amp;N$5,DATA!$A:$EB,$A36,0)/100</f>
        <v/>
      </c>
      <c r="O36" s="786">
        <f>VLOOKUP($I$1&amp;O$5,DATA!$A:$EB,$A36,0)/100</f>
        <v/>
      </c>
      <c r="P36" s="786">
        <f>VLOOKUP($I$1&amp;P$5,DATA!$A:$EB,$A36,0)/100</f>
        <v/>
      </c>
      <c r="Q36" s="786">
        <f>VLOOKUP($I$1&amp;Q$5,DATA!$A:$EB,$A36,0)/100</f>
        <v/>
      </c>
      <c r="R36" s="786">
        <f>VLOOKUP($I$1&amp;R$5,DATA!$A:$EB,$A36,0)/100</f>
        <v/>
      </c>
      <c r="S36" s="786">
        <f>VLOOKUP($I$1&amp;S$5,DATA!$A:$EB,$A36,0)/100</f>
        <v/>
      </c>
      <c r="T36" s="786">
        <f>VLOOKUP($I$1&amp;T$5,DATA!$A:$EB,$A36,0)/100</f>
        <v/>
      </c>
    </row>
    <row r="37">
      <c r="A37" s="696">
        <f>작업!A137</f>
        <v/>
      </c>
      <c r="C37" s="696" t="inlineStr">
        <is>
          <t>csm상각액</t>
        </is>
      </c>
      <c r="I37" s="786">
        <f>VLOOKUP($I$1&amp;I$5,DATA!$A:$EB,$A37,0)/100</f>
        <v/>
      </c>
      <c r="J37" s="786">
        <f>VLOOKUP($I$1&amp;J$5,DATA!$A:$EB,$A37,0)/100</f>
        <v/>
      </c>
      <c r="K37" s="786">
        <f>VLOOKUP($I$1&amp;K$5,DATA!$A:$EB,$A37,0)/100</f>
        <v/>
      </c>
      <c r="L37" s="786">
        <f>VLOOKUP($I$1&amp;L$5,DATA!$A:$EB,$A37,0)/100</f>
        <v/>
      </c>
      <c r="M37" s="786">
        <f>VLOOKUP($I$1&amp;M$5,DATA!$A:$EB,$A37,0)/100</f>
        <v/>
      </c>
      <c r="N37" s="786">
        <f>VLOOKUP($I$1&amp;N$5,DATA!$A:$EB,$A37,0)/100</f>
        <v/>
      </c>
      <c r="O37" s="786">
        <f>VLOOKUP($I$1&amp;O$5,DATA!$A:$EB,$A37,0)/100</f>
        <v/>
      </c>
      <c r="P37" s="786">
        <f>VLOOKUP($I$1&amp;P$5,DATA!$A:$EB,$A37,0)/100</f>
        <v/>
      </c>
      <c r="Q37" s="786">
        <f>VLOOKUP($I$1&amp;Q$5,DATA!$A:$EB,$A37,0)/100</f>
        <v/>
      </c>
      <c r="R37" s="786">
        <f>VLOOKUP($I$1&amp;R$5,DATA!$A:$EB,$A37,0)/100</f>
        <v/>
      </c>
      <c r="S37" s="786">
        <f>VLOOKUP($I$1&amp;S$5,DATA!$A:$EB,$A37,0)/100</f>
        <v/>
      </c>
      <c r="T37" s="786">
        <f>VLOOKUP($I$1&amp;T$5,DATA!$A:$EB,$A37,0)/100</f>
        <v/>
      </c>
    </row>
    <row r="39">
      <c r="A39" s="696" t="n">
        <v>13</v>
      </c>
      <c r="C39" s="696" t="inlineStr">
        <is>
          <t>보험계약부채</t>
        </is>
      </c>
    </row>
  </sheetData>
  <mergeCells count="13">
    <mergeCell ref="C32:H32"/>
    <mergeCell ref="D25:H25"/>
    <mergeCell ref="C28:H28"/>
    <mergeCell ref="D24:H24"/>
    <mergeCell ref="C5:H5"/>
    <mergeCell ref="C22:H22"/>
    <mergeCell ref="F27:H27"/>
    <mergeCell ref="C31:H31"/>
    <mergeCell ref="C23:H23"/>
    <mergeCell ref="F26:H26"/>
    <mergeCell ref="C29:H29"/>
    <mergeCell ref="C30:H30"/>
    <mergeCell ref="D26:E27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H43" sqref="H43"/>
    </sheetView>
  </sheetViews>
  <sheetFormatPr baseColWidth="8" defaultRowHeight="16.5"/>
  <cols>
    <col width="10.375" customWidth="1" style="760" min="9" max="20"/>
  </cols>
  <sheetData>
    <row r="1">
      <c r="C1" s="642" t="inlineStr">
        <is>
          <t>기준월</t>
        </is>
      </c>
      <c r="D1" s="642" t="n"/>
      <c r="E1" s="642" t="n"/>
      <c r="F1" s="642" t="n"/>
      <c r="G1" s="642" t="n"/>
      <c r="H1" s="642" t="n"/>
      <c r="J1" s="642" t="n"/>
      <c r="K1" s="642" t="n"/>
      <c r="L1" s="642" t="n"/>
      <c r="M1" s="642" t="n"/>
      <c r="N1" s="642" t="n"/>
      <c r="O1" s="642" t="n"/>
      <c r="P1" s="642" t="n"/>
      <c r="Q1" s="642" t="n"/>
      <c r="R1" s="642" t="n"/>
      <c r="S1" s="642" t="n"/>
      <c r="T1" s="642" t="n"/>
    </row>
    <row r="2">
      <c r="C2" s="642" t="n"/>
      <c r="D2" s="642" t="n"/>
      <c r="E2" s="642" t="n"/>
      <c r="F2" s="642" t="n"/>
      <c r="G2" s="642" t="n"/>
      <c r="H2" s="642" t="n"/>
      <c r="I2" s="642" t="n"/>
      <c r="J2" s="642" t="n"/>
      <c r="K2" s="642" t="n"/>
      <c r="L2" s="642" t="n"/>
      <c r="M2" s="642" t="n"/>
      <c r="N2" s="642" t="n"/>
      <c r="O2" s="642" t="n"/>
      <c r="P2" s="642" t="n"/>
      <c r="Q2" s="642" t="n"/>
      <c r="R2" s="642" t="n"/>
      <c r="S2" s="642" t="n"/>
      <c r="T2" s="642" t="n"/>
    </row>
    <row r="3">
      <c r="C3" s="642" t="n"/>
      <c r="D3" s="642" t="n"/>
      <c r="E3" s="642" t="n"/>
      <c r="F3" s="642" t="n"/>
      <c r="G3" s="642" t="n"/>
      <c r="H3" s="642" t="n"/>
      <c r="I3" s="642" t="n"/>
      <c r="J3" s="642" t="n"/>
      <c r="K3" s="642" t="n"/>
      <c r="L3" s="642" t="n"/>
      <c r="M3" s="642" t="n"/>
      <c r="N3" s="642" t="n"/>
      <c r="O3" s="642" t="n"/>
      <c r="P3" s="642" t="n"/>
      <c r="Q3" s="642" t="n"/>
      <c r="R3" s="642" t="n"/>
      <c r="S3" s="642" t="n"/>
      <c r="T3" s="642" t="n"/>
    </row>
    <row r="4">
      <c r="C4" s="642" t="n"/>
      <c r="D4" s="642" t="n"/>
      <c r="E4" s="642" t="n"/>
      <c r="F4" s="642" t="n"/>
      <c r="G4" s="642" t="n"/>
      <c r="H4" s="642" t="n"/>
      <c r="I4" s="642" t="n"/>
      <c r="J4" s="642" t="n"/>
      <c r="K4" s="642" t="n"/>
      <c r="L4" s="642" t="n"/>
      <c r="M4" s="642" t="n"/>
      <c r="N4" s="642" t="n"/>
      <c r="O4" s="642" t="inlineStr">
        <is>
          <t>(단위 : 억원)</t>
        </is>
      </c>
      <c r="P4" s="642" t="n"/>
      <c r="Q4" s="642" t="n"/>
      <c r="R4" s="642" t="n"/>
      <c r="S4" s="642" t="n"/>
      <c r="T4" s="642" t="n"/>
    </row>
    <row r="5">
      <c r="C5" s="686" t="inlineStr">
        <is>
          <t>구분</t>
        </is>
      </c>
      <c r="D5" s="652" t="n"/>
      <c r="E5" s="652" t="n"/>
      <c r="F5" s="652" t="n"/>
      <c r="G5" s="652" t="n"/>
      <c r="H5" s="653" t="n"/>
      <c r="I5" s="3" t="inlineStr">
        <is>
          <t>미래</t>
        </is>
      </c>
      <c r="J5" s="3" t="inlineStr">
        <is>
          <t>삼성</t>
        </is>
      </c>
      <c r="K5" s="3" t="inlineStr">
        <is>
          <t>교보</t>
        </is>
      </c>
      <c r="L5" s="3" t="inlineStr">
        <is>
          <t>한화</t>
        </is>
      </c>
      <c r="M5" s="3" t="inlineStr">
        <is>
          <t>신한라이프</t>
        </is>
      </c>
      <c r="N5" s="3" t="inlineStr">
        <is>
          <t>동양</t>
        </is>
      </c>
      <c r="O5" s="4" t="inlineStr">
        <is>
          <t>KB라이프</t>
        </is>
      </c>
      <c r="P5" s="3" t="inlineStr">
        <is>
          <t>삼성화재</t>
        </is>
      </c>
      <c r="Q5" s="3" t="inlineStr">
        <is>
          <t>현대해상</t>
        </is>
      </c>
      <c r="R5" s="3" t="inlineStr">
        <is>
          <t>메리츠화재</t>
        </is>
      </c>
      <c r="S5" s="3" t="inlineStr">
        <is>
          <t>KB손보</t>
        </is>
      </c>
      <c r="T5" s="4" t="inlineStr">
        <is>
          <t>DB손보</t>
        </is>
      </c>
    </row>
    <row r="6">
      <c r="A6" s="786" t="n"/>
      <c r="B6" s="786" t="n"/>
      <c r="C6" s="786" t="n"/>
      <c r="D6" s="786" t="n"/>
      <c r="E6" s="786" t="n"/>
      <c r="F6" s="786" t="n"/>
      <c r="G6" s="786" t="n"/>
      <c r="H6" s="786" t="n"/>
      <c r="I6" s="786" t="n"/>
      <c r="J6" s="786" t="n"/>
      <c r="K6" s="786" t="n"/>
      <c r="L6" s="786" t="n"/>
      <c r="M6" s="786" t="n"/>
      <c r="N6" s="786" t="n"/>
      <c r="O6" s="786" t="n"/>
      <c r="P6" s="786" t="n"/>
      <c r="Q6" s="786" t="n"/>
      <c r="R6" s="786" t="n"/>
      <c r="S6" s="786" t="n"/>
      <c r="T6" s="786" t="n"/>
    </row>
    <row r="7">
      <c r="A7" s="786">
        <f>DATA!BT1</f>
        <v/>
      </c>
      <c r="B7" s="2" t="n">
        <v>2212</v>
      </c>
      <c r="C7" s="786" t="inlineStr">
        <is>
          <t>22년말 이익잉여금</t>
        </is>
      </c>
      <c r="D7" s="786" t="n"/>
      <c r="E7" s="786" t="inlineStr">
        <is>
          <t>IFRS 4 + IAS 39</t>
        </is>
      </c>
      <c r="F7" s="786" t="n"/>
      <c r="G7" s="786" t="n"/>
      <c r="H7" s="786" t="n"/>
      <c r="I7" s="786">
        <f>VLOOKUP($B7&amp;I$5,DATA!$A:$EB,이익잉여금!$A7,0)/100</f>
        <v/>
      </c>
      <c r="J7" s="786">
        <f>VLOOKUP($B7&amp;J$5,DATA!$A:$EB,이익잉여금!$A7,0)/100</f>
        <v/>
      </c>
      <c r="K7" s="786">
        <f>VLOOKUP($B7&amp;K$5,DATA!$A:$EB,이익잉여금!$A7,0)/100</f>
        <v/>
      </c>
      <c r="L7" s="786">
        <f>VLOOKUP($B7&amp;L$5,DATA!$A:$EB,이익잉여금!$A7,0)/100</f>
        <v/>
      </c>
      <c r="M7" s="786">
        <f>VLOOKUP($B7&amp;M$5,DATA!$A:$EB,이익잉여금!$A7,0)/100</f>
        <v/>
      </c>
      <c r="N7" s="786">
        <f>VLOOKUP($B7&amp;N$5,DATA!$A:$EB,이익잉여금!$A7,0)/100</f>
        <v/>
      </c>
      <c r="O7" s="786">
        <f>VLOOKUP($B7&amp;O$5,DATA!$A:$EB,이익잉여금!$A7,0)/100</f>
        <v/>
      </c>
      <c r="P7" s="786">
        <f>VLOOKUP($B7&amp;P$5,DATA!$A:$EB,이익잉여금!$A7,0)/100</f>
        <v/>
      </c>
      <c r="Q7" s="786">
        <f>VLOOKUP($B7&amp;Q$5,DATA!$A:$EB,이익잉여금!$A7,0)/100</f>
        <v/>
      </c>
      <c r="R7" s="786">
        <f>VLOOKUP($B7&amp;R$5,DATA!$A:$EB,이익잉여금!$A7,0)/100</f>
        <v/>
      </c>
      <c r="S7" s="786">
        <f>VLOOKUP($B7&amp;S$5,DATA!$A:$EB,이익잉여금!$A7,0)/100</f>
        <v/>
      </c>
      <c r="T7" s="786">
        <f>VLOOKUP($B7&amp;T$5,DATA!$A:$EB,이익잉여금!$A7,0)/100</f>
        <v/>
      </c>
    </row>
    <row r="8">
      <c r="A8" s="696">
        <f>DATA!BM1</f>
        <v/>
      </c>
      <c r="B8" s="2" t="n">
        <v>2312</v>
      </c>
      <c r="C8" s="696" t="inlineStr">
        <is>
          <t>23년초 이익잉여금</t>
        </is>
      </c>
      <c r="E8" s="696" t="inlineStr">
        <is>
          <t>IFRS 17+ IFRS 9</t>
        </is>
      </c>
      <c r="I8" s="786">
        <f>VLOOKUP($B8&amp;I$5,DATA!$A:$EB,이익잉여금!$A8,0)/100</f>
        <v/>
      </c>
      <c r="J8" s="786">
        <f>VLOOKUP($B8&amp;J$5,DATA!$A:$EB,이익잉여금!$A8,0)/100</f>
        <v/>
      </c>
      <c r="K8" s="786">
        <f>VLOOKUP($B8&amp;K$5,DATA!$A:$EB,이익잉여금!$A8,0)/100</f>
        <v/>
      </c>
      <c r="L8" s="786">
        <f>VLOOKUP($B8&amp;L$5,DATA!$A:$EB,이익잉여금!$A8,0)/100</f>
        <v/>
      </c>
      <c r="M8" s="786">
        <f>VLOOKUP($B8&amp;M$5,DATA!$A:$EB,이익잉여금!$A8,0)/100</f>
        <v/>
      </c>
      <c r="N8" s="786">
        <f>VLOOKUP($B8&amp;N$5,DATA!$A:$EB,이익잉여금!$A8,0)/100</f>
        <v/>
      </c>
      <c r="O8" s="786">
        <f>VLOOKUP($B8&amp;O$5,DATA!$A:$EB,이익잉여금!$A8,0)/100</f>
        <v/>
      </c>
      <c r="P8" s="786">
        <f>VLOOKUP($B8&amp;P$5,DATA!$A:$EB,이익잉여금!$A8,0)/100</f>
        <v/>
      </c>
      <c r="Q8" s="786">
        <f>VLOOKUP($B8&amp;Q$5,DATA!$A:$EB,이익잉여금!$A8,0)/100</f>
        <v/>
      </c>
      <c r="R8" s="786">
        <f>VLOOKUP($B8&amp;R$5,DATA!$A:$EB,이익잉여금!$A8,0)/100</f>
        <v/>
      </c>
      <c r="S8" s="786">
        <f>VLOOKUP($B8&amp;S$5,DATA!$A:$EB,이익잉여금!$A8,0)/100</f>
        <v/>
      </c>
      <c r="T8" s="786">
        <f>VLOOKUP($B8&amp;T$5,DATA!$A:$EB,이익잉여금!$A8,0)/100</f>
        <v/>
      </c>
    </row>
    <row r="9">
      <c r="C9" s="696" t="inlineStr">
        <is>
          <t>증가율</t>
        </is>
      </c>
      <c r="I9" s="785">
        <f>I8/I7</f>
        <v/>
      </c>
      <c r="J9" s="785">
        <f>J8/J7</f>
        <v/>
      </c>
      <c r="K9" s="785">
        <f>K8/K7</f>
        <v/>
      </c>
      <c r="L9" s="785">
        <f>L8/L7</f>
        <v/>
      </c>
      <c r="M9" s="785">
        <f>M8/M7</f>
        <v/>
      </c>
      <c r="N9" s="785">
        <f>N8/N7</f>
        <v/>
      </c>
      <c r="O9" s="785">
        <f>O8/O7</f>
        <v/>
      </c>
      <c r="P9" s="785">
        <f>P8/P7</f>
        <v/>
      </c>
      <c r="Q9" s="785">
        <f>Q8/Q7</f>
        <v/>
      </c>
      <c r="R9" s="785">
        <f>R8/R7</f>
        <v/>
      </c>
      <c r="S9" s="785">
        <f>S8/S7</f>
        <v/>
      </c>
      <c r="T9" s="785">
        <f>T8/T7</f>
        <v/>
      </c>
    </row>
    <row r="10">
      <c r="I10" s="786" t="n"/>
      <c r="J10" s="786" t="n"/>
      <c r="K10" s="786" t="n"/>
      <c r="L10" s="786" t="n"/>
      <c r="M10" s="786" t="n"/>
      <c r="N10" s="786" t="n"/>
      <c r="O10" s="786" t="n"/>
      <c r="P10" s="786" t="n"/>
      <c r="Q10" s="786" t="n"/>
      <c r="R10" s="786" t="n"/>
      <c r="S10" s="786" t="n"/>
      <c r="T10" s="786" t="n"/>
    </row>
    <row r="12">
      <c r="C12" s="696" t="inlineStr">
        <is>
          <t>해약환급금 준비금</t>
        </is>
      </c>
    </row>
    <row r="15">
      <c r="C15" s="650" t="inlineStr">
        <is>
          <t>구분</t>
        </is>
      </c>
      <c r="D15" s="648" t="n"/>
      <c r="E15" s="648" t="n"/>
      <c r="F15" s="648" t="n"/>
      <c r="G15" s="648" t="n"/>
      <c r="H15" s="649" t="n"/>
      <c r="I15" s="8" t="inlineStr">
        <is>
          <t>미래에셋생명</t>
        </is>
      </c>
      <c r="J15" s="8" t="inlineStr">
        <is>
          <t>삼성생명</t>
        </is>
      </c>
      <c r="K15" s="8" t="inlineStr">
        <is>
          <t>교보생명</t>
        </is>
      </c>
      <c r="L15" s="8" t="inlineStr">
        <is>
          <t>한화생명</t>
        </is>
      </c>
      <c r="M15" s="8" t="inlineStr">
        <is>
          <t>신한라이프</t>
        </is>
      </c>
      <c r="N15" s="8" t="inlineStr">
        <is>
          <t>동양생명</t>
        </is>
      </c>
      <c r="O15" s="9" t="inlineStr">
        <is>
          <t>KB라이프</t>
        </is>
      </c>
      <c r="P15" s="9" t="inlineStr">
        <is>
          <t>삼성화재</t>
        </is>
      </c>
      <c r="Q15" s="9" t="inlineStr">
        <is>
          <t>현대해상</t>
        </is>
      </c>
      <c r="R15" s="9" t="inlineStr">
        <is>
          <t>메리츠화재</t>
        </is>
      </c>
      <c r="S15" s="9" t="inlineStr">
        <is>
          <t>KB손보</t>
        </is>
      </c>
      <c r="T15" s="9" t="inlineStr">
        <is>
          <t>DB손보</t>
        </is>
      </c>
    </row>
    <row r="16">
      <c r="A16" s="696">
        <f>DATA!BS1</f>
        <v/>
      </c>
      <c r="B16" s="2" t="n">
        <v>2412</v>
      </c>
      <c r="C16" s="647" t="inlineStr">
        <is>
          <t>이익잉여금(2</t>
        </is>
      </c>
      <c r="D16" s="648" t="n"/>
      <c r="E16" s="648" t="n"/>
      <c r="F16" s="648" t="n"/>
      <c r="G16" s="648" t="n"/>
      <c r="H16" s="649" t="n"/>
      <c r="I16" s="786">
        <f>VLOOKUP($B16&amp;I$5,DATA!$A:$EB,이익잉여금!$A16,0)/100</f>
        <v/>
      </c>
      <c r="J16" s="786">
        <f>VLOOKUP($B16&amp;J$5,DATA!$A:$EB,이익잉여금!$A16,0)/100</f>
        <v/>
      </c>
      <c r="K16" s="786">
        <f>VLOOKUP($B16&amp;K$5,DATA!$A:$EB,이익잉여금!$A16,0)/100</f>
        <v/>
      </c>
      <c r="L16" s="786">
        <f>VLOOKUP($B16&amp;L$5,DATA!$A:$EB,이익잉여금!$A16,0)/100</f>
        <v/>
      </c>
      <c r="M16" s="786">
        <f>VLOOKUP($B16&amp;M$5,DATA!$A:$EB,이익잉여금!$A16,0)/100</f>
        <v/>
      </c>
      <c r="N16" s="786">
        <f>VLOOKUP($B16&amp;N$5,DATA!$A:$EB,이익잉여금!$A16,0)/100</f>
        <v/>
      </c>
      <c r="O16" s="786">
        <f>VLOOKUP($B16&amp;O$5,DATA!$A:$EB,이익잉여금!$A16,0)/100</f>
        <v/>
      </c>
      <c r="P16" s="786">
        <f>VLOOKUP($B16&amp;P$5,DATA!$A:$EB,이익잉여금!$A16,0)/100</f>
        <v/>
      </c>
      <c r="Q16" s="786">
        <f>VLOOKUP($B16&amp;Q$5,DATA!$A:$EB,이익잉여금!$A16,0)/100</f>
        <v/>
      </c>
      <c r="R16" s="786">
        <f>VLOOKUP($B16&amp;R$5,DATA!$A:$EB,이익잉여금!$A16,0)/100</f>
        <v/>
      </c>
      <c r="S16" s="786">
        <f>VLOOKUP($B16&amp;S$5,DATA!$A:$EB,이익잉여금!$A16,0)/100</f>
        <v/>
      </c>
      <c r="T16" s="786">
        <f>VLOOKUP($B16&amp;T$5,DATA!$A:$EB,이익잉여금!$A16,0)/100</f>
        <v/>
      </c>
    </row>
    <row r="17">
      <c r="A17" s="696">
        <f>DATA!CU1</f>
        <v/>
      </c>
      <c r="B17" s="2" t="n">
        <v>2412</v>
      </c>
      <c r="C17" s="665" t="inlineStr">
        <is>
          <t>해약환급금준비금</t>
        </is>
      </c>
      <c r="D17" s="648" t="n"/>
      <c r="E17" s="648" t="n"/>
      <c r="F17" s="648" t="n"/>
      <c r="G17" s="648" t="n"/>
      <c r="H17" s="649" t="n"/>
      <c r="I17" s="786">
        <f>VLOOKUP($B17&amp;I$5,DATA!$A:$EB,이익잉여금!$A17,0)/100</f>
        <v/>
      </c>
      <c r="J17" s="786">
        <f>VLOOKUP($B17&amp;J$5,DATA!$A:$EB,이익잉여금!$A17,0)/100</f>
        <v/>
      </c>
      <c r="K17" s="786">
        <f>VLOOKUP($B17&amp;K$5,DATA!$A:$EB,이익잉여금!$A17,0)/100</f>
        <v/>
      </c>
      <c r="L17" s="786">
        <f>VLOOKUP($B17&amp;L$5,DATA!$A:$EB,이익잉여금!$A17,0)/100</f>
        <v/>
      </c>
      <c r="M17" s="786">
        <f>VLOOKUP($B17&amp;M$5,DATA!$A:$EB,이익잉여금!$A17,0)/100</f>
        <v/>
      </c>
      <c r="N17" s="786">
        <f>VLOOKUP($B17&amp;N$5,DATA!$A:$EB,이익잉여금!$A17,0)/100</f>
        <v/>
      </c>
      <c r="O17" s="786">
        <f>VLOOKUP($B17&amp;O$5,DATA!$A:$EB,이익잉여금!$A17,0)/100</f>
        <v/>
      </c>
      <c r="P17" s="786">
        <f>VLOOKUP($B17&amp;P$5,DATA!$A:$EB,이익잉여금!$A17,0)/100</f>
        <v/>
      </c>
      <c r="Q17" s="786">
        <f>VLOOKUP($B17&amp;Q$5,DATA!$A:$EB,이익잉여금!$A17,0)/100</f>
        <v/>
      </c>
      <c r="R17" s="786">
        <f>VLOOKUP($B17&amp;R$5,DATA!$A:$EB,이익잉여금!$A17,0)/100</f>
        <v/>
      </c>
      <c r="S17" s="786">
        <f>VLOOKUP($B17&amp;S$5,DATA!$A:$EB,이익잉여금!$A17,0)/100</f>
        <v/>
      </c>
      <c r="T17" s="786">
        <f>VLOOKUP($B17&amp;T$5,DATA!$A:$EB,이익잉여금!$A17,0)/100</f>
        <v/>
      </c>
    </row>
    <row r="18">
      <c r="C18" s="666" t="inlineStr">
        <is>
          <t>(이익잉여금 대비 해약환급금 준비금 비율)</t>
        </is>
      </c>
      <c r="H18" s="643" t="n"/>
      <c r="I18" s="785">
        <f>+I17/I16</f>
        <v/>
      </c>
      <c r="J18" s="785">
        <f>+J17/J16</f>
        <v/>
      </c>
      <c r="K18" s="785">
        <f>+K17/K16</f>
        <v/>
      </c>
      <c r="L18" s="785">
        <f>+L17/L16</f>
        <v/>
      </c>
      <c r="M18" s="785">
        <f>+M17/M16</f>
        <v/>
      </c>
      <c r="N18" s="785">
        <f>+N17/N16</f>
        <v/>
      </c>
      <c r="O18" s="785">
        <f>+O17/O16</f>
        <v/>
      </c>
      <c r="P18" s="785">
        <f>+P17/P16</f>
        <v/>
      </c>
      <c r="Q18" s="785">
        <f>+Q17/Q16</f>
        <v/>
      </c>
      <c r="R18" s="785">
        <f>+R17/R16</f>
        <v/>
      </c>
      <c r="S18" s="785">
        <f>+S17/S16</f>
        <v/>
      </c>
      <c r="T18" s="785">
        <f>+T17/T16</f>
        <v/>
      </c>
    </row>
    <row r="19">
      <c r="C19" s="644" t="inlineStr">
        <is>
          <t>(자기자본 대비 해약환급금 준비금 비율)</t>
        </is>
      </c>
      <c r="D19" s="645" t="n"/>
      <c r="E19" s="645" t="n"/>
      <c r="F19" s="645" t="n"/>
      <c r="G19" s="645" t="n"/>
      <c r="H19" s="646" t="n"/>
      <c r="I19" s="785">
        <f>+I17/I26</f>
        <v/>
      </c>
      <c r="J19" s="785">
        <f>+J17/J26</f>
        <v/>
      </c>
      <c r="K19" s="785">
        <f>+K17/K26</f>
        <v/>
      </c>
      <c r="L19" s="785">
        <f>+L17/L26</f>
        <v/>
      </c>
      <c r="M19" s="785">
        <f>+M17/M26</f>
        <v/>
      </c>
      <c r="N19" s="785">
        <f>+N17/N26</f>
        <v/>
      </c>
      <c r="O19" s="785">
        <f>+O17/O26</f>
        <v/>
      </c>
      <c r="P19" s="785">
        <f>+P17/P26</f>
        <v/>
      </c>
      <c r="Q19" s="785">
        <f>+Q17/Q26</f>
        <v/>
      </c>
      <c r="R19" s="785">
        <f>+R17/R26</f>
        <v/>
      </c>
      <c r="S19" s="785">
        <f>+S17/S26</f>
        <v/>
      </c>
      <c r="T19" s="785">
        <f>+T17/T26</f>
        <v/>
      </c>
    </row>
    <row r="20">
      <c r="C20" s="644" t="inlineStr">
        <is>
          <t>(보험계약부채 대비 해약환급금 준비금 비율)</t>
        </is>
      </c>
      <c r="D20" s="645" t="n"/>
      <c r="E20" s="645" t="n"/>
      <c r="F20" s="645" t="n"/>
      <c r="G20" s="645" t="n"/>
      <c r="H20" s="646" t="n"/>
      <c r="I20" s="785">
        <f>+I17/I30</f>
        <v/>
      </c>
      <c r="J20" s="785">
        <f>+J17/J30</f>
        <v/>
      </c>
      <c r="K20" s="785">
        <f>+K17/K30</f>
        <v/>
      </c>
      <c r="L20" s="785">
        <f>+L17/L30</f>
        <v/>
      </c>
      <c r="M20" s="785">
        <f>+M17/M30</f>
        <v/>
      </c>
      <c r="N20" s="785">
        <f>+N17/N30</f>
        <v/>
      </c>
      <c r="O20" s="785">
        <f>+O17/O30</f>
        <v/>
      </c>
      <c r="P20" s="785">
        <f>+P17/P30</f>
        <v/>
      </c>
      <c r="Q20" s="785">
        <f>+Q17/Q30</f>
        <v/>
      </c>
      <c r="R20" s="785">
        <f>+R17/R30</f>
        <v/>
      </c>
      <c r="S20" s="785">
        <f>+S17/S30</f>
        <v/>
      </c>
      <c r="T20" s="785">
        <f>+T17/T30</f>
        <v/>
      </c>
    </row>
    <row r="26">
      <c r="A26" s="696">
        <f>DATA!N1</f>
        <v/>
      </c>
      <c r="B26" s="2" t="n">
        <v>2412</v>
      </c>
      <c r="C26" s="696" t="inlineStr">
        <is>
          <t>자기자본(신종자본증권 제외)</t>
        </is>
      </c>
      <c r="I26" s="786">
        <f>VLOOKUP($B26&amp;I$5,DATA!$A:$EB,이익잉여금!$A26,0)/100</f>
        <v/>
      </c>
      <c r="J26" s="786">
        <f>VLOOKUP($B26&amp;J$5,DATA!$A:$EB,이익잉여금!$A26,0)/100</f>
        <v/>
      </c>
      <c r="K26" s="786">
        <f>VLOOKUP($B26&amp;K$5,DATA!$A:$EB,이익잉여금!$A26,0)/100</f>
        <v/>
      </c>
      <c r="L26" s="786">
        <f>VLOOKUP($B26&amp;L$5,DATA!$A:$EB,이익잉여금!$A26,0)/100</f>
        <v/>
      </c>
      <c r="M26" s="786">
        <f>VLOOKUP($B26&amp;M$5,DATA!$A:$EB,이익잉여금!$A26,0)/100</f>
        <v/>
      </c>
      <c r="N26" s="786">
        <f>VLOOKUP($B26&amp;N$5,DATA!$A:$EB,이익잉여금!$A26,0)/100</f>
        <v/>
      </c>
      <c r="O26" s="786">
        <f>VLOOKUP($B26&amp;O$5,DATA!$A:$EB,이익잉여금!$A26,0)/100</f>
        <v/>
      </c>
      <c r="P26" s="786">
        <f>VLOOKUP($B26&amp;P$5,DATA!$A:$EB,이익잉여금!$A26,0)/100</f>
        <v/>
      </c>
      <c r="Q26" s="786">
        <f>VLOOKUP($B26&amp;Q$5,DATA!$A:$EB,이익잉여금!$A26,0)/100</f>
        <v/>
      </c>
      <c r="R26" s="786">
        <f>VLOOKUP($B26&amp;R$5,DATA!$A:$EB,이익잉여금!$A26,0)/100</f>
        <v/>
      </c>
      <c r="S26" s="786">
        <f>VLOOKUP($B26&amp;S$5,DATA!$A:$EB,이익잉여금!$A26,0)/100</f>
        <v/>
      </c>
      <c r="T26" s="786">
        <f>VLOOKUP($B26&amp;T$5,DATA!$A:$EB,이익잉여금!$A26,0)/100</f>
        <v/>
      </c>
    </row>
    <row r="27">
      <c r="A27" s="696">
        <f>DATA!BU1</f>
        <v/>
      </c>
      <c r="B27" s="2">
        <f>+B26</f>
        <v/>
      </c>
      <c r="C27" s="696" t="inlineStr">
        <is>
          <t>BEL</t>
        </is>
      </c>
      <c r="I27" s="786">
        <f>VLOOKUP($B27&amp;I$5,DATA!$A:$EB,이익잉여금!$A27,0)/100</f>
        <v/>
      </c>
      <c r="J27" s="786">
        <f>VLOOKUP($B27&amp;J$5,DATA!$A:$EB,이익잉여금!$A27,0)/100</f>
        <v/>
      </c>
      <c r="K27" s="786">
        <f>VLOOKUP($B27&amp;K$5,DATA!$A:$EB,이익잉여금!$A27,0)/100</f>
        <v/>
      </c>
      <c r="L27" s="786">
        <f>VLOOKUP($B27&amp;L$5,DATA!$A:$EB,이익잉여금!$A27,0)/100</f>
        <v/>
      </c>
      <c r="M27" s="786">
        <f>VLOOKUP($B27&amp;M$5,DATA!$A:$EB,이익잉여금!$A27,0)/100</f>
        <v/>
      </c>
      <c r="N27" s="786">
        <f>VLOOKUP($B27&amp;N$5,DATA!$A:$EB,이익잉여금!$A27,0)/100</f>
        <v/>
      </c>
      <c r="O27" s="786">
        <f>VLOOKUP($B27&amp;O$5,DATA!$A:$EB,이익잉여금!$A27,0)/100</f>
        <v/>
      </c>
      <c r="P27" s="786">
        <f>VLOOKUP($B27&amp;P$5,DATA!$A:$EB,이익잉여금!$A27,0)/100</f>
        <v/>
      </c>
      <c r="Q27" s="786">
        <f>VLOOKUP($B27&amp;Q$5,DATA!$A:$EB,이익잉여금!$A27,0)/100</f>
        <v/>
      </c>
      <c r="R27" s="786">
        <f>VLOOKUP($B27&amp;R$5,DATA!$A:$EB,이익잉여금!$A27,0)/100</f>
        <v/>
      </c>
      <c r="S27" s="786">
        <f>VLOOKUP($B27&amp;S$5,DATA!$A:$EB,이익잉여금!$A27,0)/100</f>
        <v/>
      </c>
      <c r="T27" s="786">
        <f>VLOOKUP($B27&amp;T$5,DATA!$A:$EB,이익잉여금!$A27,0)/100</f>
        <v/>
      </c>
    </row>
    <row r="28">
      <c r="A28" s="863">
        <f>DATA!BV1</f>
        <v/>
      </c>
      <c r="B28" s="2">
        <f>+B27</f>
        <v/>
      </c>
      <c r="C28" s="696" t="inlineStr">
        <is>
          <t>RA</t>
        </is>
      </c>
      <c r="I28" s="786">
        <f>VLOOKUP($B28&amp;I$5,DATA!$A:$EB,이익잉여금!$A28,0)/100</f>
        <v/>
      </c>
      <c r="J28" s="786">
        <f>VLOOKUP($B28&amp;J$5,DATA!$A:$EB,이익잉여금!$A28,0)/100</f>
        <v/>
      </c>
      <c r="K28" s="786">
        <f>VLOOKUP($B28&amp;K$5,DATA!$A:$EB,이익잉여금!$A28,0)/100</f>
        <v/>
      </c>
      <c r="L28" s="786">
        <f>VLOOKUP($B28&amp;L$5,DATA!$A:$EB,이익잉여금!$A28,0)/100</f>
        <v/>
      </c>
      <c r="M28" s="786">
        <f>VLOOKUP($B28&amp;M$5,DATA!$A:$EB,이익잉여금!$A28,0)/100</f>
        <v/>
      </c>
      <c r="N28" s="786">
        <f>VLOOKUP($B28&amp;N$5,DATA!$A:$EB,이익잉여금!$A28,0)/100</f>
        <v/>
      </c>
      <c r="O28" s="786">
        <f>VLOOKUP($B28&amp;O$5,DATA!$A:$EB,이익잉여금!$A28,0)/100</f>
        <v/>
      </c>
      <c r="P28" s="786">
        <f>VLOOKUP($B28&amp;P$5,DATA!$A:$EB,이익잉여금!$A28,0)/100</f>
        <v/>
      </c>
      <c r="Q28" s="786">
        <f>VLOOKUP($B28&amp;Q$5,DATA!$A:$EB,이익잉여금!$A28,0)/100</f>
        <v/>
      </c>
      <c r="R28" s="786">
        <f>VLOOKUP($B28&amp;R$5,DATA!$A:$EB,이익잉여금!$A28,0)/100</f>
        <v/>
      </c>
      <c r="S28" s="786">
        <f>VLOOKUP($B28&amp;S$5,DATA!$A:$EB,이익잉여금!$A28,0)/100</f>
        <v/>
      </c>
      <c r="T28" s="786">
        <f>VLOOKUP($B28&amp;T$5,DATA!$A:$EB,이익잉여금!$A28,0)/100</f>
        <v/>
      </c>
    </row>
    <row r="29">
      <c r="A29" s="696">
        <f>DATA!BW1</f>
        <v/>
      </c>
      <c r="B29" s="2">
        <f>+B28</f>
        <v/>
      </c>
      <c r="C29" s="696" t="inlineStr">
        <is>
          <t>CSM</t>
        </is>
      </c>
      <c r="I29" s="786">
        <f>VLOOKUP($B29&amp;I$5,DATA!$A:$EB,이익잉여금!$A29,0)/100</f>
        <v/>
      </c>
      <c r="J29" s="786">
        <f>VLOOKUP($B29&amp;J$5,DATA!$A:$EB,이익잉여금!$A29,0)/100</f>
        <v/>
      </c>
      <c r="K29" s="786">
        <f>VLOOKUP($B29&amp;K$5,DATA!$A:$EB,이익잉여금!$A29,0)/100</f>
        <v/>
      </c>
      <c r="L29" s="786">
        <f>VLOOKUP($B29&amp;L$5,DATA!$A:$EB,이익잉여금!$A29,0)/100</f>
        <v/>
      </c>
      <c r="M29" s="786">
        <f>VLOOKUP($B29&amp;M$5,DATA!$A:$EB,이익잉여금!$A29,0)/100</f>
        <v/>
      </c>
      <c r="N29" s="786">
        <f>VLOOKUP($B29&amp;N$5,DATA!$A:$EB,이익잉여금!$A29,0)/100</f>
        <v/>
      </c>
      <c r="O29" s="786">
        <f>VLOOKUP($B29&amp;O$5,DATA!$A:$EB,이익잉여금!$A29,0)/100</f>
        <v/>
      </c>
      <c r="P29" s="786">
        <f>VLOOKUP($B29&amp;P$5,DATA!$A:$EB,이익잉여금!$A29,0)/100</f>
        <v/>
      </c>
      <c r="Q29" s="786">
        <f>VLOOKUP($B29&amp;Q$5,DATA!$A:$EB,이익잉여금!$A29,0)/100</f>
        <v/>
      </c>
      <c r="R29" s="786">
        <f>VLOOKUP($B29&amp;R$5,DATA!$A:$EB,이익잉여금!$A29,0)/100</f>
        <v/>
      </c>
      <c r="S29" s="786">
        <f>VLOOKUP($B29&amp;S$5,DATA!$A:$EB,이익잉여금!$A29,0)/100</f>
        <v/>
      </c>
      <c r="T29" s="786">
        <f>VLOOKUP($B29&amp;T$5,DATA!$A:$EB,이익잉여금!$A29,0)/100</f>
        <v/>
      </c>
    </row>
    <row r="30">
      <c r="C30" s="696" t="inlineStr">
        <is>
          <t>BEL+RA+CSM</t>
        </is>
      </c>
      <c r="I30" s="863">
        <f>SUM(I27:I29)</f>
        <v/>
      </c>
      <c r="J30" s="863">
        <f>SUM(J27:J29)</f>
        <v/>
      </c>
      <c r="K30" s="863">
        <f>SUM(K27:K29)</f>
        <v/>
      </c>
      <c r="L30" s="863">
        <f>SUM(L27:L29)</f>
        <v/>
      </c>
      <c r="M30" s="863">
        <f>SUM(M27:M29)</f>
        <v/>
      </c>
      <c r="N30" s="863">
        <f>SUM(N27:N29)</f>
        <v/>
      </c>
      <c r="O30" s="863">
        <f>SUM(O27:O29)</f>
        <v/>
      </c>
      <c r="P30" s="863">
        <f>SUM(P27:P29)</f>
        <v/>
      </c>
      <c r="Q30" s="863">
        <f>SUM(Q27:Q29)</f>
        <v/>
      </c>
      <c r="R30" s="863">
        <f>SUM(R27:R29)</f>
        <v/>
      </c>
      <c r="S30" s="863">
        <f>SUM(S27:S29)</f>
        <v/>
      </c>
      <c r="T30" s="863">
        <f>SUM(T27:T29)</f>
        <v/>
      </c>
    </row>
  </sheetData>
  <mergeCells count="7">
    <mergeCell ref="C19:H19"/>
    <mergeCell ref="C16:H16"/>
    <mergeCell ref="C5:H5"/>
    <mergeCell ref="C17:H17"/>
    <mergeCell ref="C18:H18"/>
    <mergeCell ref="C20:H20"/>
    <mergeCell ref="C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2:AH101"/>
  <sheetViews>
    <sheetView topLeftCell="C1" workbookViewId="0">
      <selection activeCell="M50" sqref="M50"/>
    </sheetView>
  </sheetViews>
  <sheetFormatPr baseColWidth="8" defaultRowHeight="16.5"/>
  <cols>
    <col width="9.5" bestFit="1" customWidth="1" style="760" min="6" max="6"/>
    <col width="10.875" bestFit="1" customWidth="1" style="760" min="7" max="7"/>
    <col width="10.25" bestFit="1" customWidth="1" style="760" min="8" max="8"/>
    <col width="9.5" bestFit="1" customWidth="1" style="760" min="9" max="9"/>
    <col width="10.25" bestFit="1" customWidth="1" style="760" min="10" max="10"/>
    <col width="9.375" bestFit="1" customWidth="1" style="760" min="11" max="11"/>
    <col width="9.5" bestFit="1" customWidth="1" style="760" min="12" max="13"/>
    <col width="10.25" bestFit="1" customWidth="1" style="760" min="14" max="14"/>
    <col width="9.5" bestFit="1" customWidth="1" style="760" min="15" max="17"/>
    <col width="9.125" bestFit="1" customWidth="1" style="760" min="18" max="18"/>
    <col width="9.375" bestFit="1" customWidth="1" style="760" min="23" max="23"/>
    <col width="10" bestFit="1" customWidth="1" style="760" min="24" max="24"/>
    <col width="9.125" bestFit="1" customWidth="1" style="760" min="25" max="25"/>
    <col width="10" bestFit="1" customWidth="1" style="760" min="26" max="26"/>
    <col width="9.125" bestFit="1" customWidth="1" style="760" min="27" max="29"/>
    <col width="10" bestFit="1" customWidth="1" style="760" min="30" max="30"/>
    <col width="9.125" bestFit="1" customWidth="1" style="760" min="31" max="34"/>
  </cols>
  <sheetData>
    <row r="2">
      <c r="F2" s="696" t="inlineStr">
        <is>
          <t>CHECK</t>
        </is>
      </c>
      <c r="G2" s="867">
        <f>G8-SUM(G10:G12)</f>
        <v/>
      </c>
      <c r="H2" s="867">
        <f>H8-SUM(H10:H12)</f>
        <v/>
      </c>
      <c r="I2" s="867">
        <f>I8-SUM(I10:I12)</f>
        <v/>
      </c>
      <c r="J2" s="867">
        <f>J8-SUM(J10:J12)</f>
        <v/>
      </c>
      <c r="K2" s="867">
        <f>K8-SUM(K10:K12)</f>
        <v/>
      </c>
      <c r="L2" s="867">
        <f>L8-SUM(L10:L12)</f>
        <v/>
      </c>
      <c r="M2" s="867">
        <f>M8-SUM(M10:M12)</f>
        <v/>
      </c>
      <c r="N2" s="867">
        <f>N8-SUM(N10:N12)</f>
        <v/>
      </c>
      <c r="O2" s="867">
        <f>O8-SUM(O10:O12)</f>
        <v/>
      </c>
      <c r="P2" s="867">
        <f>P8-SUM(P10:P12)</f>
        <v/>
      </c>
      <c r="Q2" s="867">
        <f>Q8-SUM(Q10:Q12)</f>
        <v/>
      </c>
      <c r="R2" s="867">
        <f>R8-SUM(R10:R12)</f>
        <v/>
      </c>
    </row>
    <row r="3">
      <c r="G3" s="863">
        <f>작업!I15+작업!I16+작업!I18</f>
        <v/>
      </c>
      <c r="H3" s="863">
        <f>작업!J15+작업!J16+작업!J18</f>
        <v/>
      </c>
      <c r="I3" s="863">
        <f>작업!K15+작업!K16+작업!K18</f>
        <v/>
      </c>
      <c r="J3" s="863">
        <f>작업!L15+작업!L16+작업!L18</f>
        <v/>
      </c>
      <c r="K3" s="863">
        <f>작업!M15+작업!M16+작업!M18</f>
        <v/>
      </c>
      <c r="L3" s="863">
        <f>작업!N15+작업!N16+작업!N18</f>
        <v/>
      </c>
      <c r="M3" s="863">
        <f>작업!O15+작업!O16+작업!O18</f>
        <v/>
      </c>
      <c r="N3" s="863">
        <f>작업!P15+작업!P16+작업!P18</f>
        <v/>
      </c>
      <c r="O3" s="863">
        <f>작업!Q15+작업!Q16+작업!Q18</f>
        <v/>
      </c>
      <c r="P3" s="863">
        <f>작업!R15+작업!R16+작업!R18</f>
        <v/>
      </c>
      <c r="Q3" s="863">
        <f>작업!S15+작업!S16+작업!S18</f>
        <v/>
      </c>
      <c r="R3" s="863">
        <f>작업!T15+작업!T16+작업!T18</f>
        <v/>
      </c>
    </row>
    <row r="4" ht="17.25" customHeight="1" s="760" thickBot="1">
      <c r="G4" s="30">
        <f>G12/G3</f>
        <v/>
      </c>
      <c r="H4" s="868">
        <f>H12/H3</f>
        <v/>
      </c>
      <c r="I4" s="868">
        <f>I12/I3</f>
        <v/>
      </c>
      <c r="J4" s="868">
        <f>J12/J3</f>
        <v/>
      </c>
      <c r="K4" s="868">
        <f>K12/K3</f>
        <v/>
      </c>
      <c r="L4" s="868">
        <f>L12/L3</f>
        <v/>
      </c>
      <c r="M4" s="868">
        <f>M12/M3</f>
        <v/>
      </c>
      <c r="N4" s="868">
        <f>N12/N3</f>
        <v/>
      </c>
      <c r="O4" s="868">
        <f>O12/O3</f>
        <v/>
      </c>
      <c r="P4" s="868">
        <f>P12/P3</f>
        <v/>
      </c>
      <c r="Q4" s="868">
        <f>Q12/Q3</f>
        <v/>
      </c>
      <c r="R4" s="868">
        <f>R12/R3</f>
        <v/>
      </c>
    </row>
    <row r="5">
      <c r="D5" s="704" t="inlineStr">
        <is>
          <t>구분</t>
        </is>
      </c>
      <c r="E5" s="698" t="n"/>
      <c r="F5" s="699" t="n"/>
      <c r="G5" s="700" t="inlineStr">
        <is>
          <t>당사</t>
        </is>
      </c>
      <c r="H5" s="718" t="inlineStr">
        <is>
          <t>생보사</t>
        </is>
      </c>
      <c r="I5" s="708" t="n"/>
      <c r="J5" s="708" t="n"/>
      <c r="K5" s="708" t="n"/>
      <c r="L5" s="708" t="n"/>
      <c r="M5" s="719" t="n"/>
      <c r="N5" s="707" t="inlineStr">
        <is>
          <t>손보사</t>
        </is>
      </c>
      <c r="O5" s="708" t="n"/>
      <c r="P5" s="708" t="n"/>
      <c r="Q5" s="708" t="n"/>
      <c r="R5" s="708" t="n"/>
      <c r="S5" s="708" t="n"/>
      <c r="U5" s="716" t="inlineStr">
        <is>
          <t>구분</t>
        </is>
      </c>
      <c r="V5" s="698" t="n"/>
      <c r="W5" s="700" t="inlineStr">
        <is>
          <t>당사</t>
        </is>
      </c>
      <c r="X5" s="718" t="inlineStr">
        <is>
          <t>생보사</t>
        </is>
      </c>
      <c r="Y5" s="708" t="n"/>
      <c r="Z5" s="708" t="n"/>
      <c r="AA5" s="708" t="n"/>
      <c r="AB5" s="708" t="n"/>
      <c r="AC5" s="719" t="n"/>
    </row>
    <row r="6" ht="17.25" customHeight="1" s="760" thickBot="1">
      <c r="D6" s="705" t="n"/>
      <c r="E6" s="705" t="n"/>
      <c r="F6" s="706" t="n"/>
      <c r="G6" s="701" t="n"/>
      <c r="H6" s="35" t="inlineStr">
        <is>
          <t>삼성</t>
        </is>
      </c>
      <c r="I6" s="35" t="inlineStr">
        <is>
          <t>교보</t>
        </is>
      </c>
      <c r="J6" s="35" t="inlineStr">
        <is>
          <t>한화</t>
        </is>
      </c>
      <c r="K6" s="35" t="inlineStr">
        <is>
          <t>신한</t>
        </is>
      </c>
      <c r="L6" s="35" t="inlineStr">
        <is>
          <t>동양</t>
        </is>
      </c>
      <c r="M6" s="221" t="inlineStr">
        <is>
          <t>KB</t>
        </is>
      </c>
      <c r="N6" s="35" t="inlineStr">
        <is>
          <t>삼성</t>
        </is>
      </c>
      <c r="O6" s="35" t="inlineStr">
        <is>
          <t>현대</t>
        </is>
      </c>
      <c r="P6" s="35" t="inlineStr">
        <is>
          <t>메리츠</t>
        </is>
      </c>
      <c r="Q6" s="35" t="inlineStr">
        <is>
          <t>KB</t>
        </is>
      </c>
      <c r="R6" s="220" t="inlineStr">
        <is>
          <t>DB</t>
        </is>
      </c>
      <c r="S6" s="37" t="n"/>
      <c r="U6" s="705" t="n"/>
      <c r="V6" s="705" t="n"/>
      <c r="W6" s="701" t="n"/>
      <c r="X6" s="35" t="inlineStr">
        <is>
          <t>삼성</t>
        </is>
      </c>
      <c r="Y6" s="35" t="inlineStr">
        <is>
          <t>교보</t>
        </is>
      </c>
      <c r="Z6" s="35" t="inlineStr">
        <is>
          <t>한화</t>
        </is>
      </c>
      <c r="AA6" s="35" t="inlineStr">
        <is>
          <t>신한</t>
        </is>
      </c>
      <c r="AB6" s="35" t="inlineStr">
        <is>
          <t>동양</t>
        </is>
      </c>
      <c r="AC6" s="221" t="inlineStr">
        <is>
          <t>KB</t>
        </is>
      </c>
      <c r="AD6" s="35" t="inlineStr">
        <is>
          <t>삼성</t>
        </is>
      </c>
      <c r="AE6" s="35" t="inlineStr">
        <is>
          <t>현대</t>
        </is>
      </c>
      <c r="AF6" s="35" t="inlineStr">
        <is>
          <t>메리츠</t>
        </is>
      </c>
      <c r="AG6" s="35" t="inlineStr">
        <is>
          <t>KB</t>
        </is>
      </c>
      <c r="AH6" s="220" t="inlineStr">
        <is>
          <t>DB</t>
        </is>
      </c>
    </row>
    <row r="7">
      <c r="D7" s="713" t="inlineStr">
        <is>
          <t>자기자본</t>
        </is>
      </c>
      <c r="E7" s="714" t="n"/>
      <c r="F7" s="715" t="n"/>
      <c r="G7" s="869">
        <f>작업!I19</f>
        <v/>
      </c>
      <c r="H7" s="870">
        <f>작업!J19</f>
        <v/>
      </c>
      <c r="I7" s="870">
        <f>작업!K19</f>
        <v/>
      </c>
      <c r="J7" s="870">
        <f>작업!L19</f>
        <v/>
      </c>
      <c r="K7" s="870">
        <f>작업!M19</f>
        <v/>
      </c>
      <c r="L7" s="870">
        <f>작업!N19</f>
        <v/>
      </c>
      <c r="M7" s="871">
        <f>작업!O19</f>
        <v/>
      </c>
      <c r="N7" s="870">
        <f>작업!P19</f>
        <v/>
      </c>
      <c r="O7" s="870">
        <f>작업!Q19</f>
        <v/>
      </c>
      <c r="P7" s="870">
        <f>작업!R19</f>
        <v/>
      </c>
      <c r="Q7" s="870">
        <f>작업!S19</f>
        <v/>
      </c>
      <c r="R7" s="872">
        <f>작업!T19</f>
        <v/>
      </c>
      <c r="S7" s="37" t="n"/>
      <c r="U7" s="729" t="inlineStr">
        <is>
          <t>자기자본</t>
        </is>
      </c>
      <c r="V7" s="714" t="n"/>
      <c r="W7" s="38">
        <f>작업!Z19</f>
        <v/>
      </c>
      <c r="X7" s="39">
        <f>작업!AA19</f>
        <v/>
      </c>
      <c r="Y7" s="39">
        <f>작업!AB19</f>
        <v/>
      </c>
      <c r="Z7" s="39">
        <f>작업!AC19</f>
        <v/>
      </c>
      <c r="AA7" s="39">
        <f>작업!AD19</f>
        <v/>
      </c>
      <c r="AB7" s="39">
        <f>작업!AE19</f>
        <v/>
      </c>
      <c r="AC7" s="40">
        <f>작업!AF19</f>
        <v/>
      </c>
      <c r="AD7" s="39">
        <f>작업!AG19</f>
        <v/>
      </c>
      <c r="AE7" s="39">
        <f>작업!AH19</f>
        <v/>
      </c>
      <c r="AF7" s="39">
        <f>작업!AI19</f>
        <v/>
      </c>
      <c r="AG7" s="39">
        <f>작업!AJ19</f>
        <v/>
      </c>
      <c r="AH7" s="41">
        <f>작업!AK19</f>
        <v/>
      </c>
    </row>
    <row r="8">
      <c r="D8" s="42" t="n"/>
      <c r="E8" s="42" t="n"/>
      <c r="F8" s="43" t="inlineStr">
        <is>
          <t>전기대비</t>
        </is>
      </c>
      <c r="G8" s="869">
        <f>W12-W9</f>
        <v/>
      </c>
      <c r="H8" s="870">
        <f>X12-X9</f>
        <v/>
      </c>
      <c r="I8" s="870">
        <f>Y12-Y9</f>
        <v/>
      </c>
      <c r="J8" s="870">
        <f>Z12-Z9</f>
        <v/>
      </c>
      <c r="K8" s="870">
        <f>AA12-AA9</f>
        <v/>
      </c>
      <c r="L8" s="870">
        <f>AB12-AB9</f>
        <v/>
      </c>
      <c r="M8" s="871">
        <f>AC12-AC9</f>
        <v/>
      </c>
      <c r="N8" s="870">
        <f>AD12-AD9</f>
        <v/>
      </c>
      <c r="O8" s="870">
        <f>AE12-AE9</f>
        <v/>
      </c>
      <c r="P8" s="870">
        <f>AF12-AF9</f>
        <v/>
      </c>
      <c r="Q8" s="870">
        <f>AG12-AG9</f>
        <v/>
      </c>
      <c r="R8" s="872">
        <f>AH12-AH9</f>
        <v/>
      </c>
      <c r="S8" s="37" t="n"/>
      <c r="U8" s="42" t="n"/>
      <c r="V8" s="42" t="n"/>
      <c r="W8" s="44" t="n"/>
      <c r="X8" s="45" t="n"/>
      <c r="Y8" s="45" t="n"/>
      <c r="Z8" s="45" t="n"/>
      <c r="AA8" s="45" t="n"/>
      <c r="AB8" s="45" t="n"/>
      <c r="AC8" s="46" t="n"/>
      <c r="AD8" s="45" t="n"/>
      <c r="AE8" s="45" t="n"/>
      <c r="AF8" s="45" t="n"/>
      <c r="AG8" s="45" t="n"/>
      <c r="AH8" s="47" t="n"/>
    </row>
    <row r="9">
      <c r="D9" s="48" t="n"/>
      <c r="E9" s="49" t="n"/>
      <c r="F9" s="50" t="inlineStr">
        <is>
          <t>증감율</t>
        </is>
      </c>
      <c r="G9" s="873">
        <f>G8/W9</f>
        <v/>
      </c>
      <c r="H9" s="874">
        <f>H8/X9</f>
        <v/>
      </c>
      <c r="I9" s="874">
        <f>I8/Y9</f>
        <v/>
      </c>
      <c r="J9" s="874">
        <f>J8/Z9</f>
        <v/>
      </c>
      <c r="K9" s="874">
        <f>K8/AA9</f>
        <v/>
      </c>
      <c r="L9" s="874">
        <f>L8/AB9</f>
        <v/>
      </c>
      <c r="M9" s="875">
        <f>M8/AC9</f>
        <v/>
      </c>
      <c r="N9" s="874">
        <f>N8/AD9</f>
        <v/>
      </c>
      <c r="O9" s="874">
        <f>O8/AE9</f>
        <v/>
      </c>
      <c r="P9" s="874">
        <f>P8/AF9</f>
        <v/>
      </c>
      <c r="Q9" s="874">
        <f>Q8/AG9</f>
        <v/>
      </c>
      <c r="R9" s="876">
        <f>R8/AH9</f>
        <v/>
      </c>
      <c r="S9" s="37" t="n"/>
      <c r="U9" s="48" t="n"/>
      <c r="V9" s="49" t="n"/>
      <c r="W9" s="877">
        <f>작업!I36</f>
        <v/>
      </c>
      <c r="X9" s="878">
        <f>작업!J36</f>
        <v/>
      </c>
      <c r="Y9" s="878">
        <f>작업!K36</f>
        <v/>
      </c>
      <c r="Z9" s="878">
        <f>작업!L36</f>
        <v/>
      </c>
      <c r="AA9" s="878">
        <f>작업!M36</f>
        <v/>
      </c>
      <c r="AB9" s="878">
        <f>작업!N36</f>
        <v/>
      </c>
      <c r="AC9" s="879">
        <f>작업!O36</f>
        <v/>
      </c>
      <c r="AD9" s="878">
        <f>작업!P36</f>
        <v/>
      </c>
      <c r="AE9" s="878">
        <f>작업!Q36</f>
        <v/>
      </c>
      <c r="AF9" s="878">
        <f>작업!R36</f>
        <v/>
      </c>
      <c r="AG9" s="878">
        <f>작업!S36</f>
        <v/>
      </c>
      <c r="AH9" s="880">
        <f>작업!T36</f>
        <v/>
      </c>
    </row>
    <row r="10">
      <c r="D10" s="42" t="n"/>
      <c r="E10" s="42" t="n"/>
      <c r="F10" s="51" t="inlineStr">
        <is>
          <t>1Q 변동금액</t>
        </is>
      </c>
      <c r="G10" s="869">
        <f>W10-W9</f>
        <v/>
      </c>
      <c r="H10" s="870">
        <f>X10-X9</f>
        <v/>
      </c>
      <c r="I10" s="870">
        <f>'2403'!K26</f>
        <v/>
      </c>
      <c r="J10" s="870">
        <f>Z10-Z9</f>
        <v/>
      </c>
      <c r="K10" s="870">
        <f>AA10-AA9</f>
        <v/>
      </c>
      <c r="L10" s="870">
        <f>AB10-AB9</f>
        <v/>
      </c>
      <c r="M10" s="871">
        <f>AC10-AC9</f>
        <v/>
      </c>
      <c r="N10" s="870">
        <f>AD10-AD9</f>
        <v/>
      </c>
      <c r="O10" s="870">
        <f>AE10-AE9</f>
        <v/>
      </c>
      <c r="P10" s="870">
        <f>AF10-AF9</f>
        <v/>
      </c>
      <c r="Q10" s="870">
        <f>AG10-AG9</f>
        <v/>
      </c>
      <c r="R10" s="872">
        <f>AH10-AH9</f>
        <v/>
      </c>
      <c r="S10" s="37" t="n"/>
      <c r="U10" s="42" t="n"/>
      <c r="V10" s="42" t="n"/>
      <c r="W10" s="881">
        <f>'2403'!I19</f>
        <v/>
      </c>
      <c r="X10" s="53">
        <f>'2403'!J19</f>
        <v/>
      </c>
      <c r="Y10" s="882">
        <f>'2403'!K19</f>
        <v/>
      </c>
      <c r="Z10" s="882">
        <f>'2403'!L19</f>
        <v/>
      </c>
      <c r="AA10" s="882">
        <f>'2403'!M19</f>
        <v/>
      </c>
      <c r="AB10" s="882">
        <f>'2403'!N19</f>
        <v/>
      </c>
      <c r="AC10" s="883">
        <f>'2403'!O19</f>
        <v/>
      </c>
      <c r="AD10" s="39">
        <f>'2403'!P19</f>
        <v/>
      </c>
      <c r="AE10" s="53">
        <f>'2403'!Q19</f>
        <v/>
      </c>
      <c r="AF10" s="53">
        <f>'2403'!R19</f>
        <v/>
      </c>
      <c r="AG10" s="53">
        <f>'2403'!S19</f>
        <v/>
      </c>
      <c r="AH10" s="48">
        <f>'2403'!T19</f>
        <v/>
      </c>
    </row>
    <row r="11">
      <c r="D11" s="48" t="n"/>
      <c r="E11" s="49" t="n"/>
      <c r="F11" s="51" t="inlineStr">
        <is>
          <t>2Q 변동금액</t>
        </is>
      </c>
      <c r="G11" s="869">
        <f>W11-W10</f>
        <v/>
      </c>
      <c r="H11" s="870">
        <f>X11-X10</f>
        <v/>
      </c>
      <c r="I11" s="870">
        <f>'2406'!K26-I10</f>
        <v/>
      </c>
      <c r="J11" s="870">
        <f>Z11-Z10</f>
        <v/>
      </c>
      <c r="K11" s="870">
        <f>AA11-AA10</f>
        <v/>
      </c>
      <c r="L11" s="870">
        <f>AB11-AB10</f>
        <v/>
      </c>
      <c r="M11" s="871">
        <f>AC11-AC10</f>
        <v/>
      </c>
      <c r="N11" s="870">
        <f>AD11-AD10</f>
        <v/>
      </c>
      <c r="O11" s="870">
        <f>AE11-AE10</f>
        <v/>
      </c>
      <c r="P11" s="870">
        <f>AF11-AF10</f>
        <v/>
      </c>
      <c r="Q11" s="870">
        <f>AG11-AG10</f>
        <v/>
      </c>
      <c r="R11" s="872">
        <f>AH11-AH10</f>
        <v/>
      </c>
      <c r="S11" s="37" t="n"/>
      <c r="U11" s="48" t="n"/>
      <c r="V11" s="49" t="n"/>
      <c r="W11" s="881">
        <f>'2406'!I19</f>
        <v/>
      </c>
      <c r="X11" s="53">
        <f>'2406'!J19</f>
        <v/>
      </c>
      <c r="Y11" s="882">
        <f>'2406'!K19</f>
        <v/>
      </c>
      <c r="Z11" s="882">
        <f>'2406'!L19</f>
        <v/>
      </c>
      <c r="AA11" s="882">
        <f>'2406'!M19</f>
        <v/>
      </c>
      <c r="AB11" s="882">
        <f>'2406'!N19</f>
        <v/>
      </c>
      <c r="AC11" s="883">
        <f>'2406'!O19</f>
        <v/>
      </c>
      <c r="AD11" s="39">
        <f>'2406'!P19</f>
        <v/>
      </c>
      <c r="AE11" s="53">
        <f>'2406'!Q19</f>
        <v/>
      </c>
      <c r="AF11" s="39">
        <f>'2406'!R19</f>
        <v/>
      </c>
      <c r="AG11" s="53">
        <f>'2406'!S19</f>
        <v/>
      </c>
      <c r="AH11" s="48">
        <f>'2406'!T19</f>
        <v/>
      </c>
    </row>
    <row r="12" ht="17.25" customHeight="1" s="760" thickBot="1">
      <c r="D12" s="42" t="n"/>
      <c r="E12" s="42" t="n"/>
      <c r="F12" s="55" t="inlineStr">
        <is>
          <t>3Q 변동금액</t>
        </is>
      </c>
      <c r="G12" s="884">
        <f>W12-W11</f>
        <v/>
      </c>
      <c r="H12" s="885">
        <f>X12-X11</f>
        <v/>
      </c>
      <c r="I12" s="885">
        <f>Y12-Y11</f>
        <v/>
      </c>
      <c r="J12" s="885">
        <f>Z12-Z11</f>
        <v/>
      </c>
      <c r="K12" s="885">
        <f>AA12-AA11</f>
        <v/>
      </c>
      <c r="L12" s="885">
        <f>AB12-AB11</f>
        <v/>
      </c>
      <c r="M12" s="886">
        <f>AC12-AC11</f>
        <v/>
      </c>
      <c r="N12" s="885">
        <f>AD12-AD11</f>
        <v/>
      </c>
      <c r="O12" s="885">
        <f>AE12-AE11</f>
        <v/>
      </c>
      <c r="P12" s="885">
        <f>AF12-AF11</f>
        <v/>
      </c>
      <c r="Q12" s="885">
        <f>AG12-AG11</f>
        <v/>
      </c>
      <c r="R12" s="887">
        <f>AH12-AH11</f>
        <v/>
      </c>
      <c r="S12" s="37" t="n"/>
      <c r="U12" s="42" t="n"/>
      <c r="V12" s="42" t="n"/>
      <c r="W12" s="88">
        <f>G7</f>
        <v/>
      </c>
      <c r="X12" s="57">
        <f>H7</f>
        <v/>
      </c>
      <c r="Y12" s="58">
        <f>I7</f>
        <v/>
      </c>
      <c r="Z12" s="58">
        <f>J7</f>
        <v/>
      </c>
      <c r="AA12" s="57">
        <f>K7</f>
        <v/>
      </c>
      <c r="AB12" s="57">
        <f>L7</f>
        <v/>
      </c>
      <c r="AC12" s="59">
        <f>M7</f>
        <v/>
      </c>
      <c r="AD12" s="57">
        <f>N7</f>
        <v/>
      </c>
      <c r="AE12" s="57">
        <f>O7</f>
        <v/>
      </c>
      <c r="AF12" s="58">
        <f>P7</f>
        <v/>
      </c>
      <c r="AG12" s="57">
        <f>Q7</f>
        <v/>
      </c>
      <c r="AH12" s="60">
        <f>R7</f>
        <v/>
      </c>
    </row>
    <row r="13">
      <c r="D13" s="697" t="inlineStr">
        <is>
          <t>이익잉여금 전기말대비</t>
        </is>
      </c>
      <c r="E13" s="698" t="n"/>
      <c r="F13" s="699" t="n"/>
      <c r="G13" s="888">
        <f>W16-W13</f>
        <v/>
      </c>
      <c r="H13" s="889" t="n">
        <v>8865</v>
      </c>
      <c r="I13" s="890" t="n">
        <v>8747</v>
      </c>
      <c r="J13" s="889" t="n">
        <v>4569</v>
      </c>
      <c r="K13" s="889" t="n">
        <v>3121</v>
      </c>
      <c r="L13" s="889" t="n">
        <v>1823</v>
      </c>
      <c r="M13" s="891" t="n">
        <v>1433</v>
      </c>
      <c r="N13" s="889" t="n">
        <v>11543</v>
      </c>
      <c r="O13" s="889" t="n">
        <v>8806</v>
      </c>
      <c r="P13" s="889" t="n">
        <v>7033</v>
      </c>
      <c r="Q13" s="889" t="n">
        <v>5089</v>
      </c>
      <c r="R13" s="892" t="n">
        <v>12597</v>
      </c>
      <c r="S13" s="37" t="n"/>
      <c r="U13" s="721" t="inlineStr">
        <is>
          <t>이익잉여금 기시</t>
        </is>
      </c>
      <c r="V13" s="698" t="n"/>
      <c r="W13" s="893">
        <f>작업!I55</f>
        <v/>
      </c>
      <c r="X13" s="61">
        <f>작업!J55</f>
        <v/>
      </c>
      <c r="Y13" s="62">
        <f>작업!K55</f>
        <v/>
      </c>
      <c r="Z13" s="61">
        <f>작업!L55</f>
        <v/>
      </c>
      <c r="AA13" s="61">
        <f>작업!M55</f>
        <v/>
      </c>
      <c r="AB13" s="61">
        <f>작업!N55</f>
        <v/>
      </c>
      <c r="AC13" s="63">
        <f>작업!O55</f>
        <v/>
      </c>
      <c r="AD13" s="61">
        <f>작업!P55</f>
        <v/>
      </c>
      <c r="AE13" s="61">
        <f>작업!Q55</f>
        <v/>
      </c>
      <c r="AF13" s="61">
        <f>작업!R55</f>
        <v/>
      </c>
      <c r="AG13" s="61">
        <f>작업!S55</f>
        <v/>
      </c>
      <c r="AH13" s="64">
        <f>작업!T55</f>
        <v/>
      </c>
    </row>
    <row r="14">
      <c r="D14" s="42" t="n"/>
      <c r="E14" s="42" t="n"/>
      <c r="F14" s="43" t="inlineStr">
        <is>
          <t>1Q 변동금액</t>
        </is>
      </c>
      <c r="G14" s="894">
        <f>'2403'!I41</f>
        <v/>
      </c>
      <c r="H14" s="895">
        <f>'2403'!J41</f>
        <v/>
      </c>
      <c r="I14" s="896">
        <f>'2403'!K41</f>
        <v/>
      </c>
      <c r="J14" s="895">
        <f>'2403'!L41</f>
        <v/>
      </c>
      <c r="K14" s="895">
        <f>'2403'!M41</f>
        <v/>
      </c>
      <c r="L14" s="895">
        <f>'2403'!N41</f>
        <v/>
      </c>
      <c r="M14" s="897">
        <f>'2403'!O41</f>
        <v/>
      </c>
      <c r="N14" s="895">
        <f>'2403'!P41</f>
        <v/>
      </c>
      <c r="O14" s="895">
        <f>'2403'!Q41</f>
        <v/>
      </c>
      <c r="P14" s="895">
        <f>'2403'!R41</f>
        <v/>
      </c>
      <c r="Q14" s="895">
        <f>'2403'!S41</f>
        <v/>
      </c>
      <c r="R14" s="898">
        <f>'2403'!T41</f>
        <v/>
      </c>
      <c r="S14" s="37" t="n"/>
      <c r="U14" s="42" t="n"/>
      <c r="V14" s="42" t="n"/>
      <c r="W14" s="899">
        <f>'2403'!I20</f>
        <v/>
      </c>
      <c r="X14" s="45">
        <f>'2403'!J20</f>
        <v/>
      </c>
      <c r="Y14" s="65">
        <f>'2403'!K20</f>
        <v/>
      </c>
      <c r="Z14" s="45">
        <f>'2403'!L20</f>
        <v/>
      </c>
      <c r="AA14" s="45">
        <f>'2403'!M20</f>
        <v/>
      </c>
      <c r="AB14" s="45">
        <f>'2403'!N20</f>
        <v/>
      </c>
      <c r="AC14" s="46">
        <f>'2403'!O20</f>
        <v/>
      </c>
      <c r="AD14" s="45">
        <f>'2403'!P20</f>
        <v/>
      </c>
      <c r="AE14" s="66">
        <f>'2403'!Q20</f>
        <v/>
      </c>
      <c r="AF14" s="45">
        <f>'2403'!R20</f>
        <v/>
      </c>
      <c r="AG14" s="45">
        <f>'2403'!S20</f>
        <v/>
      </c>
      <c r="AH14" s="67">
        <f>'2403'!T20</f>
        <v/>
      </c>
    </row>
    <row r="15">
      <c r="D15" s="48" t="n"/>
      <c r="E15" s="49" t="n"/>
      <c r="F15" s="51" t="inlineStr">
        <is>
          <t>2Q 변동금액</t>
        </is>
      </c>
      <c r="G15" s="900">
        <f>'2406'!I41-G14</f>
        <v/>
      </c>
      <c r="H15" s="901">
        <f>'2406'!J41-H14</f>
        <v/>
      </c>
      <c r="I15" s="902">
        <f>'2406'!K41-I14</f>
        <v/>
      </c>
      <c r="J15" s="901">
        <f>'2406'!L41-J14</f>
        <v/>
      </c>
      <c r="K15" s="901">
        <f>'2406'!M41-K14</f>
        <v/>
      </c>
      <c r="L15" s="901">
        <f>'2406'!N41-L14</f>
        <v/>
      </c>
      <c r="M15" s="903">
        <f>'2406'!O41-M14</f>
        <v/>
      </c>
      <c r="N15" s="901">
        <f>'2406'!P41-N14</f>
        <v/>
      </c>
      <c r="O15" s="901">
        <f>'2406'!Q41-O14</f>
        <v/>
      </c>
      <c r="P15" s="901">
        <f>'2406'!R41-P14</f>
        <v/>
      </c>
      <c r="Q15" s="901">
        <f>'2406'!S41-Q14</f>
        <v/>
      </c>
      <c r="R15" s="904">
        <f>'2406'!T41-R14</f>
        <v/>
      </c>
      <c r="S15" s="37" t="n"/>
      <c r="U15" s="48" t="n"/>
      <c r="V15" s="49" t="n"/>
      <c r="W15" s="881">
        <f>'2406'!I20</f>
        <v/>
      </c>
      <c r="X15" s="39">
        <f>'2406'!J20</f>
        <v/>
      </c>
      <c r="Y15" s="68">
        <f>'2406'!K20</f>
        <v/>
      </c>
      <c r="Z15" s="39">
        <f>'2406'!L20</f>
        <v/>
      </c>
      <c r="AA15" s="39">
        <f>'2406'!M20</f>
        <v/>
      </c>
      <c r="AB15" s="53">
        <f>'2406'!N20</f>
        <v/>
      </c>
      <c r="AC15" s="40">
        <f>'2406'!O20</f>
        <v/>
      </c>
      <c r="AD15" s="39">
        <f>'2406'!P20</f>
        <v/>
      </c>
      <c r="AE15" s="39">
        <f>'2406'!Q20</f>
        <v/>
      </c>
      <c r="AF15" s="39">
        <f>'2406'!R20</f>
        <v/>
      </c>
      <c r="AG15" s="39">
        <f>'2406'!S20</f>
        <v/>
      </c>
      <c r="AH15" s="41">
        <f>'2406'!T20</f>
        <v/>
      </c>
    </row>
    <row r="16" ht="17.25" customHeight="1" s="760" thickBot="1">
      <c r="D16" s="42" t="n"/>
      <c r="E16" s="42" t="n"/>
      <c r="F16" s="55" t="inlineStr">
        <is>
          <t>3Q 변동금액</t>
        </is>
      </c>
      <c r="G16" s="905">
        <f>작업!I56-SUM(G14:G15)</f>
        <v/>
      </c>
      <c r="H16" s="906">
        <f>작업!J56-SUM(H14:H15)</f>
        <v/>
      </c>
      <c r="I16" s="907">
        <f>작업!K56-SUM(I14:I15)</f>
        <v/>
      </c>
      <c r="J16" s="906">
        <f>작업!L56-SUM(J14:J15)</f>
        <v/>
      </c>
      <c r="K16" s="906">
        <f>작업!M56-SUM(K14:K15)</f>
        <v/>
      </c>
      <c r="L16" s="906">
        <f>작업!N56-SUM(L14:L15)</f>
        <v/>
      </c>
      <c r="M16" s="908">
        <f>작업!O56-SUM(M14:M15)</f>
        <v/>
      </c>
      <c r="N16" s="906">
        <f>작업!P56-SUM(N14:N15)</f>
        <v/>
      </c>
      <c r="O16" s="906">
        <f>작업!Q56-SUM(O14:O15)</f>
        <v/>
      </c>
      <c r="P16" s="906">
        <f>작업!R56-SUM(P14:P15)</f>
        <v/>
      </c>
      <c r="Q16" s="906">
        <f>작업!S56-SUM(Q14:Q15)</f>
        <v/>
      </c>
      <c r="R16" s="909">
        <f>작업!T56-SUM(R14:R15)</f>
        <v/>
      </c>
      <c r="S16" s="37" t="n"/>
      <c r="U16" s="42" t="n"/>
      <c r="V16" s="42" t="n"/>
      <c r="W16" s="910">
        <f>작업!I22</f>
        <v/>
      </c>
      <c r="X16" s="69">
        <f>작업!J22</f>
        <v/>
      </c>
      <c r="Y16" s="70">
        <f>작업!K22</f>
        <v/>
      </c>
      <c r="Z16" s="69">
        <f>작업!L22</f>
        <v/>
      </c>
      <c r="AA16" s="69">
        <f>작업!M22</f>
        <v/>
      </c>
      <c r="AB16" s="71">
        <f>작업!N22</f>
        <v/>
      </c>
      <c r="AC16" s="72">
        <f>작업!O22</f>
        <v/>
      </c>
      <c r="AD16" s="69">
        <f>작업!P22</f>
        <v/>
      </c>
      <c r="AE16" s="69">
        <f>작업!Q22</f>
        <v/>
      </c>
      <c r="AF16" s="69">
        <f>작업!R22</f>
        <v/>
      </c>
      <c r="AG16" s="69">
        <f>작업!S22</f>
        <v/>
      </c>
      <c r="AH16" s="73">
        <f>작업!T22</f>
        <v/>
      </c>
    </row>
    <row r="17">
      <c r="D17" s="697" t="inlineStr">
        <is>
          <t xml:space="preserve">기타포괄손익 전기말 대비 </t>
        </is>
      </c>
      <c r="E17" s="698" t="n"/>
      <c r="F17" s="699" t="n"/>
      <c r="G17" s="869">
        <f>작업!I23-작업!I38</f>
        <v/>
      </c>
      <c r="H17" s="870">
        <f>작업!J23-작업!J38</f>
        <v/>
      </c>
      <c r="I17" s="870">
        <f>작업!K23-작업!K38</f>
        <v/>
      </c>
      <c r="J17" s="870">
        <f>작업!L23-작업!L38</f>
        <v/>
      </c>
      <c r="K17" s="870">
        <f>작업!M23-작업!M38</f>
        <v/>
      </c>
      <c r="L17" s="870">
        <f>작업!N23-작업!N38</f>
        <v/>
      </c>
      <c r="M17" s="871">
        <f>작업!O23-작업!O38</f>
        <v/>
      </c>
      <c r="N17" s="870">
        <f>작업!P23-작업!P38</f>
        <v/>
      </c>
      <c r="O17" s="870">
        <f>작업!Q23-작업!Q38</f>
        <v/>
      </c>
      <c r="P17" s="870">
        <f>작업!R23-작업!R38</f>
        <v/>
      </c>
      <c r="Q17" s="870">
        <f>작업!S23-작업!S38</f>
        <v/>
      </c>
      <c r="R17" s="872">
        <f>작업!T23-작업!T38</f>
        <v/>
      </c>
      <c r="S17" s="37" t="n"/>
      <c r="U17" s="721" t="inlineStr">
        <is>
          <t xml:space="preserve">기타포괄손익 전기말 대비 </t>
        </is>
      </c>
      <c r="V17" s="698" t="n"/>
      <c r="W17" s="52" t="inlineStr">
        <is>
          <t>△5,579</t>
        </is>
      </c>
      <c r="X17" s="53" t="inlineStr">
        <is>
          <t>△37,111</t>
        </is>
      </c>
      <c r="Y17" s="53" t="inlineStr">
        <is>
          <t>△26,759</t>
        </is>
      </c>
      <c r="Z17" s="53" t="inlineStr">
        <is>
          <t>△18,516</t>
        </is>
      </c>
      <c r="AA17" s="53" t="inlineStr">
        <is>
          <t>△12,936</t>
        </is>
      </c>
      <c r="AB17" s="53" t="inlineStr">
        <is>
          <t>△8,063</t>
        </is>
      </c>
      <c r="AC17" s="54" t="inlineStr">
        <is>
          <t>△8,623</t>
        </is>
      </c>
      <c r="AD17" s="53" t="inlineStr">
        <is>
          <t>△592</t>
        </is>
      </c>
      <c r="AE17" s="53" t="inlineStr">
        <is>
          <t>△12,973</t>
        </is>
      </c>
      <c r="AF17" s="53" t="inlineStr">
        <is>
          <t>△5,606</t>
        </is>
      </c>
      <c r="AG17" s="53" t="inlineStr">
        <is>
          <t>△7,603</t>
        </is>
      </c>
      <c r="AH17" s="48" t="inlineStr">
        <is>
          <t>△10,014</t>
        </is>
      </c>
    </row>
    <row r="18">
      <c r="D18" s="74" t="n"/>
      <c r="E18" s="75" t="n"/>
      <c r="F18" s="76" t="inlineStr">
        <is>
          <t>1Q 변동금액</t>
        </is>
      </c>
      <c r="G18" s="911">
        <f>'2403'!I21-'2403'!I27</f>
        <v/>
      </c>
      <c r="H18" s="912">
        <f>'2403'!J21-'2403'!J27</f>
        <v/>
      </c>
      <c r="I18" s="912">
        <f>'2403'!K21-'2403'!K27</f>
        <v/>
      </c>
      <c r="J18" s="912">
        <f>'2403'!L21-'2403'!L27</f>
        <v/>
      </c>
      <c r="K18" s="912">
        <f>'2403'!M21-'2403'!M27</f>
        <v/>
      </c>
      <c r="L18" s="912">
        <f>'2403'!N21-'2403'!N27</f>
        <v/>
      </c>
      <c r="M18" s="913">
        <f>'2403'!O21-'2403'!O27</f>
        <v/>
      </c>
      <c r="N18" s="912">
        <f>'2403'!P21-'2403'!P27</f>
        <v/>
      </c>
      <c r="O18" s="912">
        <f>'2403'!Q21-'2403'!Q27</f>
        <v/>
      </c>
      <c r="P18" s="912">
        <f>'2403'!R21-'2403'!R27</f>
        <v/>
      </c>
      <c r="Q18" s="912">
        <f>'2403'!S21-'2403'!S27</f>
        <v/>
      </c>
      <c r="R18" s="914">
        <f>'2403'!T21-'2403'!T27</f>
        <v/>
      </c>
      <c r="S18" s="37" t="n"/>
      <c r="U18" s="74" t="n"/>
      <c r="V18" s="75" t="n"/>
      <c r="W18" s="44" t="inlineStr">
        <is>
          <t>△3,260</t>
        </is>
      </c>
      <c r="X18" s="45" t="inlineStr">
        <is>
          <t>△9,669</t>
        </is>
      </c>
      <c r="Y18" s="45" t="inlineStr">
        <is>
          <t>△13,153</t>
        </is>
      </c>
      <c r="Z18" s="45" t="inlineStr">
        <is>
          <t>△7,895</t>
        </is>
      </c>
      <c r="AA18" s="45" t="inlineStr">
        <is>
          <t>△7,684</t>
        </is>
      </c>
      <c r="AB18" s="45" t="inlineStr">
        <is>
          <t>△3,825</t>
        </is>
      </c>
      <c r="AC18" s="46" t="inlineStr">
        <is>
          <t>△4,661</t>
        </is>
      </c>
      <c r="AD18" s="66" t="n">
        <v>1218</v>
      </c>
      <c r="AE18" s="45" t="inlineStr">
        <is>
          <t>△6,156</t>
        </is>
      </c>
      <c r="AF18" s="45" t="inlineStr">
        <is>
          <t>△4,791</t>
        </is>
      </c>
      <c r="AG18" s="45" t="inlineStr">
        <is>
          <t>△4,557</t>
        </is>
      </c>
      <c r="AH18" s="47" t="inlineStr">
        <is>
          <t>△5,041</t>
        </is>
      </c>
    </row>
    <row r="19">
      <c r="D19" s="77" t="n"/>
      <c r="E19" s="78" t="n"/>
      <c r="F19" s="51" t="inlineStr">
        <is>
          <t>2Q 변동금액</t>
        </is>
      </c>
      <c r="G19" s="869">
        <f>'2406'!I21-'2406'!I27-G18</f>
        <v/>
      </c>
      <c r="H19" s="870">
        <f>'2406'!J21-'2406'!J27-H18</f>
        <v/>
      </c>
      <c r="I19" s="870">
        <f>'2406'!K21-'2406'!K27-I18</f>
        <v/>
      </c>
      <c r="J19" s="870">
        <f>'2406'!L21-'2406'!L27-J18</f>
        <v/>
      </c>
      <c r="K19" s="870">
        <f>'2406'!M21-'2406'!M27-K18</f>
        <v/>
      </c>
      <c r="L19" s="870">
        <f>'2406'!N21-'2406'!N27-L18</f>
        <v/>
      </c>
      <c r="M19" s="871">
        <f>'2406'!O21-'2406'!O27-M18</f>
        <v/>
      </c>
      <c r="N19" s="870">
        <f>'2406'!P21-'2406'!P27-N18</f>
        <v/>
      </c>
      <c r="O19" s="870">
        <f>'2406'!Q21-'2406'!Q27-O18</f>
        <v/>
      </c>
      <c r="P19" s="870">
        <f>'2406'!R21-'2406'!R27-P18</f>
        <v/>
      </c>
      <c r="Q19" s="870">
        <f>'2406'!S21-'2406'!S27-Q18</f>
        <v/>
      </c>
      <c r="R19" s="872">
        <f>'2406'!T21-'2406'!T27-R18</f>
        <v/>
      </c>
      <c r="S19" s="37" t="n"/>
      <c r="U19" s="77" t="n"/>
      <c r="V19" s="78" t="n"/>
      <c r="W19" s="52" t="n"/>
      <c r="X19" s="53" t="n"/>
      <c r="Y19" s="53" t="n"/>
      <c r="Z19" s="53" t="n"/>
      <c r="AA19" s="53" t="n"/>
      <c r="AB19" s="53" t="n"/>
      <c r="AC19" s="54" t="n"/>
      <c r="AD19" s="53" t="n"/>
      <c r="AE19" s="53" t="n"/>
      <c r="AF19" s="53" t="n"/>
      <c r="AG19" s="53" t="n"/>
      <c r="AH19" s="48" t="n"/>
    </row>
    <row r="20" ht="17.25" customHeight="1" s="760" thickBot="1">
      <c r="D20" s="79" t="n"/>
      <c r="E20" s="80" t="n"/>
      <c r="F20" s="55" t="inlineStr">
        <is>
          <t>3Q 변동금액</t>
        </is>
      </c>
      <c r="G20" s="884">
        <f>작업!I23-작업!I38-SUM(G18:G19)</f>
        <v/>
      </c>
      <c r="H20" s="885">
        <f>작업!J23-작업!J38-SUM(H18:H19)</f>
        <v/>
      </c>
      <c r="I20" s="885">
        <f>작업!K23-작업!K38-SUM(I18:I19)</f>
        <v/>
      </c>
      <c r="J20" s="885">
        <f>작업!L23-작업!L38-SUM(J18:J19)</f>
        <v/>
      </c>
      <c r="K20" s="885">
        <f>작업!M23-작업!M38-SUM(K18:K19)</f>
        <v/>
      </c>
      <c r="L20" s="885">
        <f>작업!N23-작업!N38-SUM(L18:L19)</f>
        <v/>
      </c>
      <c r="M20" s="886">
        <f>작업!O23-작업!O38-SUM(M18:M19)</f>
        <v/>
      </c>
      <c r="N20" s="885">
        <f>작업!P23-작업!P38-SUM(N18:N19)</f>
        <v/>
      </c>
      <c r="O20" s="885">
        <f>작업!Q23-작업!Q38-SUM(O18:O19)</f>
        <v/>
      </c>
      <c r="P20" s="885">
        <f>작업!R23-작업!R38-SUM(P18:P19)</f>
        <v/>
      </c>
      <c r="Q20" s="885">
        <f>작업!S23-작업!S38-SUM(Q18:Q19)</f>
        <v/>
      </c>
      <c r="R20" s="887">
        <f>작업!T23-작업!T38-SUM(R18:R19)</f>
        <v/>
      </c>
      <c r="S20" s="37" t="n"/>
      <c r="U20" s="79" t="n"/>
      <c r="V20" s="80" t="n"/>
      <c r="W20" s="56" t="inlineStr">
        <is>
          <t>△2,319</t>
        </is>
      </c>
      <c r="X20" s="57" t="inlineStr">
        <is>
          <t xml:space="preserve">△27,442 </t>
        </is>
      </c>
      <c r="Y20" s="57" t="inlineStr">
        <is>
          <t>△13,606</t>
        </is>
      </c>
      <c r="Z20" s="57" t="inlineStr">
        <is>
          <t>△10,621</t>
        </is>
      </c>
      <c r="AA20" s="57" t="inlineStr">
        <is>
          <t>△5,252</t>
        </is>
      </c>
      <c r="AB20" s="57" t="inlineStr">
        <is>
          <t>△4,239</t>
        </is>
      </c>
      <c r="AC20" s="59" t="inlineStr">
        <is>
          <t>△3,961</t>
        </is>
      </c>
      <c r="AD20" s="57" t="inlineStr">
        <is>
          <t xml:space="preserve">△1,811 </t>
        </is>
      </c>
      <c r="AE20" s="57" t="inlineStr">
        <is>
          <t>△6,817</t>
        </is>
      </c>
      <c r="AF20" s="57" t="inlineStr">
        <is>
          <t xml:space="preserve">△815 </t>
        </is>
      </c>
      <c r="AG20" s="57" t="inlineStr">
        <is>
          <t>△3,046</t>
        </is>
      </c>
      <c r="AH20" s="81" t="inlineStr">
        <is>
          <t>△4,973</t>
        </is>
      </c>
    </row>
    <row r="21">
      <c r="D21" s="717" t="inlineStr">
        <is>
          <t>K-ICS비율(E)</t>
        </is>
      </c>
      <c r="E21" s="698" t="n"/>
      <c r="F21" s="699" t="n"/>
      <c r="G21" s="915">
        <f>작업!I92</f>
        <v/>
      </c>
      <c r="H21" s="916">
        <f>작업!J92</f>
        <v/>
      </c>
      <c r="I21" s="916" t="inlineStr">
        <is>
          <t>미공시</t>
        </is>
      </c>
      <c r="J21" s="916">
        <f>작업!L92</f>
        <v/>
      </c>
      <c r="K21" s="916">
        <f>작업!M92</f>
        <v/>
      </c>
      <c r="L21" s="916">
        <f>작업!N92</f>
        <v/>
      </c>
      <c r="M21" s="917">
        <f>작업!O92</f>
        <v/>
      </c>
      <c r="N21" s="916">
        <f>작업!P92</f>
        <v/>
      </c>
      <c r="O21" s="916">
        <f>작업!Q92</f>
        <v/>
      </c>
      <c r="P21" s="916">
        <f>작업!R92</f>
        <v/>
      </c>
      <c r="Q21" s="916">
        <f>작업!S92</f>
        <v/>
      </c>
      <c r="R21" s="918">
        <f>작업!T92</f>
        <v/>
      </c>
      <c r="S21" s="37" t="n"/>
      <c r="U21" s="730" t="inlineStr">
        <is>
          <t>K-ICS비율(E)</t>
        </is>
      </c>
      <c r="V21" s="698" t="n"/>
      <c r="W21" s="82" t="n">
        <v>1.971</v>
      </c>
      <c r="X21" s="53" t="inlineStr">
        <is>
          <t>200~210%</t>
        </is>
      </c>
      <c r="Y21" s="53" t="inlineStr">
        <is>
          <t>미공시</t>
        </is>
      </c>
      <c r="Z21" s="83" t="n">
        <v>1.63</v>
      </c>
      <c r="AA21" s="83" t="n">
        <v>2.38</v>
      </c>
      <c r="AB21" s="83" t="n">
        <v>1.671</v>
      </c>
      <c r="AC21" s="84" t="n">
        <v>3.135</v>
      </c>
      <c r="AD21" s="83" t="n">
        <v>2.789</v>
      </c>
      <c r="AE21" s="83" t="n">
        <v>1.697</v>
      </c>
      <c r="AF21" s="83" t="n">
        <v>2.249</v>
      </c>
      <c r="AG21" s="83" t="n">
        <v>2.028</v>
      </c>
      <c r="AH21" s="85" t="n">
        <v>2.282</v>
      </c>
    </row>
    <row r="22">
      <c r="D22" s="86" t="inlineStr">
        <is>
          <t xml:space="preserve"> 부채할인율 1Q -6bp / 2Q -27bp</t>
        </is>
      </c>
      <c r="U22" s="86" t="inlineStr">
        <is>
          <t xml:space="preserve"> 부채할인율 1Q -6bp / 2Q -27bp</t>
        </is>
      </c>
    </row>
    <row r="23">
      <c r="D23" s="87" t="inlineStr">
        <is>
          <t>삼성전자 1분기 +9천 / 2분기 -1천억, 화재 +4천억</t>
        </is>
      </c>
      <c r="U23" s="87" t="inlineStr">
        <is>
          <t>삼성전자 1분기 +9천 / 2분기 -1천억, 화재 +4천억</t>
        </is>
      </c>
    </row>
    <row r="24">
      <c r="D24" s="36" t="n"/>
      <c r="U24" s="36" t="n"/>
    </row>
    <row r="25">
      <c r="D25" s="36" t="n"/>
      <c r="U25" s="36" t="n"/>
    </row>
    <row r="26">
      <c r="D26" s="86" t="inlineStr">
        <is>
          <t xml:space="preserve">  지분증권 (삼성전자등) / 세전</t>
        </is>
      </c>
      <c r="U26" s="86" t="inlineStr">
        <is>
          <t xml:space="preserve">  지분증권 (삼성전자등) / 세전</t>
        </is>
      </c>
    </row>
    <row r="27">
      <c r="D27" s="36" t="inlineStr">
        <is>
          <t xml:space="preserve">   1Q+3,768억 / 2Q -583억</t>
        </is>
      </c>
      <c r="U27" s="36" t="inlineStr">
        <is>
          <t xml:space="preserve">   1Q+3,768억 / 2Q -583억</t>
        </is>
      </c>
    </row>
    <row r="28">
      <c r="D28" s="87" t="inlineStr">
        <is>
          <t>채무증권 /세전</t>
        </is>
      </c>
      <c r="U28" s="87" t="inlineStr">
        <is>
          <t>채무증권 /세전</t>
        </is>
      </c>
    </row>
    <row r="29">
      <c r="D29" s="36" t="inlineStr">
        <is>
          <t xml:space="preserve"> 1Q -4,280억 / 2Q +3,010억</t>
        </is>
      </c>
      <c r="U29" s="36" t="inlineStr">
        <is>
          <t xml:space="preserve"> 1Q -4,280억 / 2Q +3,010억</t>
        </is>
      </c>
    </row>
    <row r="30">
      <c r="D30" s="36" t="n"/>
      <c r="U30" s="36" t="n"/>
    </row>
    <row r="31">
      <c r="D31" s="87" t="inlineStr">
        <is>
          <t>부채(할인율)   / 세전- 1분기 왜 그런지 모르겠음</t>
        </is>
      </c>
      <c r="U31" s="87" t="inlineStr">
        <is>
          <t>부채(할인율)   / 세전- 1분기 왜 그런지 모르겠음</t>
        </is>
      </c>
    </row>
    <row r="32">
      <c r="D32" s="36" t="inlineStr">
        <is>
          <t>1Q   +2,057억   / 2Q -5,259억</t>
        </is>
      </c>
      <c r="U32" s="36" t="inlineStr">
        <is>
          <t>1Q   +2,057억   / 2Q -5,259억</t>
        </is>
      </c>
    </row>
    <row r="33">
      <c r="D33" s="86" t="inlineStr">
        <is>
          <t xml:space="preserve"> 지분증권(세전)</t>
        </is>
      </c>
      <c r="U33" s="86" t="inlineStr">
        <is>
          <t xml:space="preserve"> 지분증권(세전)</t>
        </is>
      </c>
    </row>
    <row r="34">
      <c r="D34" s="36" t="inlineStr">
        <is>
          <t>1Q  +44억 / 2Q +141억</t>
        </is>
      </c>
      <c r="U34" s="36" t="inlineStr">
        <is>
          <t>1Q  +44억 / 2Q +141억</t>
        </is>
      </c>
    </row>
    <row r="35">
      <c r="D35" s="87" t="inlineStr">
        <is>
          <t>채무증권(세전)</t>
        </is>
      </c>
      <c r="U35" s="87" t="inlineStr">
        <is>
          <t>채무증권(세전)</t>
        </is>
      </c>
    </row>
    <row r="36">
      <c r="D36" s="36" t="inlineStr">
        <is>
          <t>1Q -3,259억 / 2Q +3,343억</t>
        </is>
      </c>
      <c r="U36" s="36" t="inlineStr">
        <is>
          <t>1Q -3,259억 / 2Q +3,343억</t>
        </is>
      </c>
    </row>
    <row r="37">
      <c r="D37" s="36" t="n"/>
      <c r="U37" s="36" t="n"/>
    </row>
    <row r="38">
      <c r="D38" s="87" t="inlineStr">
        <is>
          <t>투자손익 1Q -4,287억 / 2Q 4,926억</t>
        </is>
      </c>
      <c r="U38" s="87" t="inlineStr">
        <is>
          <t>투자손익 1Q -4,287억 / 2Q 4,926억</t>
        </is>
      </c>
    </row>
    <row r="39">
      <c r="D39" s="36" t="n"/>
      <c r="U39" s="36" t="n"/>
    </row>
    <row r="40">
      <c r="D40" s="87" t="inlineStr">
        <is>
          <t>부채(세전)</t>
        </is>
      </c>
      <c r="U40" s="87" t="inlineStr">
        <is>
          <t>부채(세전)</t>
        </is>
      </c>
    </row>
    <row r="41">
      <c r="D41" s="36" t="inlineStr">
        <is>
          <t>1Q -2,259억 /2Q -7,733억</t>
        </is>
      </c>
      <c r="U41" s="36" t="inlineStr">
        <is>
          <t>1Q -2,259억 /2Q -7,733억</t>
        </is>
      </c>
    </row>
    <row r="42">
      <c r="D42" s="36" t="n"/>
      <c r="U42" s="36" t="n"/>
    </row>
    <row r="43">
      <c r="D43" s="87" t="inlineStr">
        <is>
          <t>재평가잉여금 +872억</t>
        </is>
      </c>
      <c r="U43" s="87" t="inlineStr">
        <is>
          <t>재평가잉여금 +872억</t>
        </is>
      </c>
    </row>
    <row r="44">
      <c r="D44" s="36" t="n"/>
      <c r="U44" s="36" t="n"/>
    </row>
    <row r="64" ht="17.25" customHeight="1" s="760" thickBot="1"/>
    <row r="65">
      <c r="D65" s="704" t="inlineStr">
        <is>
          <t>구분</t>
        </is>
      </c>
      <c r="E65" s="698" t="n"/>
      <c r="F65" s="699" t="n"/>
      <c r="G65" s="700" t="inlineStr">
        <is>
          <t>당사</t>
        </is>
      </c>
      <c r="H65" s="718" t="inlineStr">
        <is>
          <t>생보사</t>
        </is>
      </c>
      <c r="I65" s="708" t="n"/>
      <c r="J65" s="708" t="n"/>
      <c r="K65" s="708" t="n"/>
      <c r="L65" s="708" t="n"/>
      <c r="M65" s="719" t="n"/>
      <c r="N65" s="707" t="inlineStr">
        <is>
          <t>손보사</t>
        </is>
      </c>
      <c r="O65" s="708" t="n"/>
      <c r="P65" s="708" t="n"/>
      <c r="Q65" s="708" t="n"/>
      <c r="R65" s="708" t="n"/>
    </row>
    <row r="66" ht="17.25" customHeight="1" s="760" thickBot="1">
      <c r="D66" s="705" t="n"/>
      <c r="E66" s="705" t="n"/>
      <c r="F66" s="706" t="n"/>
      <c r="G66" s="701" t="n"/>
      <c r="H66" s="35" t="inlineStr">
        <is>
          <t>삼성</t>
        </is>
      </c>
      <c r="I66" s="35" t="inlineStr">
        <is>
          <t>교보</t>
        </is>
      </c>
      <c r="J66" s="35" t="inlineStr">
        <is>
          <t>한화</t>
        </is>
      </c>
      <c r="K66" s="35" t="inlineStr">
        <is>
          <t>신한</t>
        </is>
      </c>
      <c r="L66" s="35" t="inlineStr">
        <is>
          <t>동양</t>
        </is>
      </c>
      <c r="M66" s="221" t="inlineStr">
        <is>
          <t>KB</t>
        </is>
      </c>
      <c r="N66" s="35" t="inlineStr">
        <is>
          <t>삼성</t>
        </is>
      </c>
      <c r="O66" s="35" t="inlineStr">
        <is>
          <t>현대</t>
        </is>
      </c>
      <c r="P66" s="35" t="inlineStr">
        <is>
          <t>메리츠</t>
        </is>
      </c>
      <c r="Q66" s="35" t="inlineStr">
        <is>
          <t>KB</t>
        </is>
      </c>
      <c r="R66" s="220" t="inlineStr">
        <is>
          <t>DB</t>
        </is>
      </c>
    </row>
    <row r="67">
      <c r="D67" s="713" t="inlineStr">
        <is>
          <t>세전손익</t>
        </is>
      </c>
      <c r="E67" s="714" t="n"/>
      <c r="F67" s="715" t="n"/>
      <c r="G67" s="869">
        <f>작업!I117</f>
        <v/>
      </c>
      <c r="H67" s="870">
        <f>작업!J117</f>
        <v/>
      </c>
      <c r="I67" s="870">
        <f>작업!K117</f>
        <v/>
      </c>
      <c r="J67" s="870">
        <f>작업!L117</f>
        <v/>
      </c>
      <c r="K67" s="870">
        <f>작업!M117</f>
        <v/>
      </c>
      <c r="L67" s="870">
        <f>작업!N117</f>
        <v/>
      </c>
      <c r="M67" s="871">
        <f>작업!O117</f>
        <v/>
      </c>
      <c r="N67" s="870">
        <f>작업!P117</f>
        <v/>
      </c>
      <c r="O67" s="870">
        <f>작업!Q117</f>
        <v/>
      </c>
      <c r="P67" s="870">
        <f>작업!R117</f>
        <v/>
      </c>
      <c r="Q67" s="870">
        <f>작업!S117</f>
        <v/>
      </c>
      <c r="R67" s="872">
        <f>작업!T117</f>
        <v/>
      </c>
      <c r="S67" s="919" t="n"/>
    </row>
    <row r="68">
      <c r="D68" s="115" t="n"/>
      <c r="E68" s="115" t="inlineStr">
        <is>
          <t>전기대비</t>
        </is>
      </c>
      <c r="F68" s="116" t="n"/>
      <c r="G68" s="869">
        <f>G67-전기말!I31</f>
        <v/>
      </c>
      <c r="H68" s="870">
        <f>H67-전기말!J31</f>
        <v/>
      </c>
      <c r="I68" s="870">
        <f>I67-전기말!K31</f>
        <v/>
      </c>
      <c r="J68" s="870">
        <f>J67-전기말!L31</f>
        <v/>
      </c>
      <c r="K68" s="870">
        <f>K67-전기말!M31</f>
        <v/>
      </c>
      <c r="L68" s="870">
        <f>L67-전기말!N31</f>
        <v/>
      </c>
      <c r="M68" s="871">
        <f>M67-전기말!O31</f>
        <v/>
      </c>
      <c r="N68" s="870">
        <f>N67-전기말!P31</f>
        <v/>
      </c>
      <c r="O68" s="870">
        <f>O67-전기말!Q31</f>
        <v/>
      </c>
      <c r="P68" s="870">
        <f>P67-전기말!R31</f>
        <v/>
      </c>
      <c r="Q68" s="870">
        <f>Q67-전기말!S31</f>
        <v/>
      </c>
      <c r="R68" s="872">
        <f>R67-전기말!T31</f>
        <v/>
      </c>
      <c r="S68" s="919" t="n"/>
    </row>
    <row r="69">
      <c r="D69" s="42" t="n"/>
      <c r="E69" s="725" t="inlineStr">
        <is>
          <t>① 보험손익</t>
        </is>
      </c>
      <c r="F69" s="726" t="n"/>
      <c r="G69" s="911">
        <f>작업!I109</f>
        <v/>
      </c>
      <c r="H69" s="912">
        <f>작업!J109</f>
        <v/>
      </c>
      <c r="I69" s="912">
        <f>작업!K109</f>
        <v/>
      </c>
      <c r="J69" s="912">
        <f>작업!L109</f>
        <v/>
      </c>
      <c r="K69" s="912">
        <f>작업!M109</f>
        <v/>
      </c>
      <c r="L69" s="912">
        <f>작업!N109</f>
        <v/>
      </c>
      <c r="M69" s="913">
        <f>작업!O109</f>
        <v/>
      </c>
      <c r="N69" s="912">
        <f>작업!P109</f>
        <v/>
      </c>
      <c r="O69" s="912">
        <f>작업!Q109</f>
        <v/>
      </c>
      <c r="P69" s="912">
        <f>작업!R109</f>
        <v/>
      </c>
      <c r="Q69" s="912">
        <f>작업!S109</f>
        <v/>
      </c>
      <c r="R69" s="914">
        <f>작업!T109</f>
        <v/>
      </c>
      <c r="S69" s="919" t="n"/>
    </row>
    <row r="70">
      <c r="D70" s="48" t="n"/>
      <c r="E70" s="731" t="inlineStr">
        <is>
          <t>비중</t>
        </is>
      </c>
      <c r="F70" s="732" t="n"/>
      <c r="G70" s="920">
        <f>G69/G67</f>
        <v/>
      </c>
      <c r="H70" s="921">
        <f>H69/H67</f>
        <v/>
      </c>
      <c r="I70" s="921">
        <f>I69/I67</f>
        <v/>
      </c>
      <c r="J70" s="921">
        <f>J69/J67</f>
        <v/>
      </c>
      <c r="K70" s="921">
        <f>K69/K67</f>
        <v/>
      </c>
      <c r="L70" s="921">
        <f>L69/L67</f>
        <v/>
      </c>
      <c r="M70" s="922">
        <f>M69/M67</f>
        <v/>
      </c>
      <c r="N70" s="921">
        <f>N69/N67</f>
        <v/>
      </c>
      <c r="O70" s="921">
        <f>O69/O67</f>
        <v/>
      </c>
      <c r="P70" s="921">
        <f>P69/P67</f>
        <v/>
      </c>
      <c r="Q70" s="921">
        <f>Q69/Q67</f>
        <v/>
      </c>
      <c r="R70" s="923">
        <f>R69/R67</f>
        <v/>
      </c>
      <c r="S70" s="924" t="n"/>
      <c r="T70" s="924" t="n"/>
    </row>
    <row r="71">
      <c r="D71" s="42" t="n"/>
      <c r="E71" s="218" t="n"/>
      <c r="F71" s="217" t="inlineStr">
        <is>
          <t>전기대비</t>
        </is>
      </c>
      <c r="G71" s="911">
        <f>G69-전기말!I23</f>
        <v/>
      </c>
      <c r="H71" s="912">
        <f>H69-전기말!J23</f>
        <v/>
      </c>
      <c r="I71" s="912">
        <f>I69-전기말!K23</f>
        <v/>
      </c>
      <c r="J71" s="912">
        <f>J69-전기말!L23</f>
        <v/>
      </c>
      <c r="K71" s="912">
        <f>K69-전기말!M23</f>
        <v/>
      </c>
      <c r="L71" s="912">
        <f>L69-전기말!N23</f>
        <v/>
      </c>
      <c r="M71" s="913">
        <f>M69-전기말!O23</f>
        <v/>
      </c>
      <c r="N71" s="912">
        <f>N69-전기말!P23</f>
        <v/>
      </c>
      <c r="O71" s="912">
        <f>O69-전기말!Q23</f>
        <v/>
      </c>
      <c r="P71" s="912">
        <f>P69-전기말!R23</f>
        <v/>
      </c>
      <c r="Q71" s="912">
        <f>Q69-전기말!S23</f>
        <v/>
      </c>
      <c r="R71" s="914">
        <f>R69-전기말!T23</f>
        <v/>
      </c>
      <c r="S71" s="919" t="n"/>
    </row>
    <row r="72" ht="27" customHeight="1" s="760">
      <c r="D72" s="42" t="n"/>
      <c r="E72" s="89" t="n"/>
      <c r="F72" s="43" t="inlineStr">
        <is>
          <t>② CSM상각액</t>
        </is>
      </c>
      <c r="G72" s="911">
        <f>작업!I126</f>
        <v/>
      </c>
      <c r="H72" s="912">
        <f>작업!J126</f>
        <v/>
      </c>
      <c r="I72" s="912">
        <f>작업!K126</f>
        <v/>
      </c>
      <c r="J72" s="912">
        <f>작업!L126</f>
        <v/>
      </c>
      <c r="K72" s="912">
        <f>작업!M126</f>
        <v/>
      </c>
      <c r="L72" s="912">
        <f>작업!N126</f>
        <v/>
      </c>
      <c r="M72" s="913">
        <f>작업!O126</f>
        <v/>
      </c>
      <c r="N72" s="912">
        <f>작업!P126</f>
        <v/>
      </c>
      <c r="O72" s="912">
        <f>작업!Q126</f>
        <v/>
      </c>
      <c r="P72" s="912">
        <f>작업!R126</f>
        <v/>
      </c>
      <c r="Q72" s="912">
        <f>작업!S126</f>
        <v/>
      </c>
      <c r="R72" s="914">
        <f>작업!T126</f>
        <v/>
      </c>
      <c r="S72" s="919" t="n"/>
    </row>
    <row r="73">
      <c r="D73" s="42" t="n"/>
      <c r="E73" s="89" t="n"/>
      <c r="F73" s="50" t="inlineStr">
        <is>
          <t>②/①</t>
        </is>
      </c>
      <c r="G73" s="873">
        <f>G72/G69</f>
        <v/>
      </c>
      <c r="H73" s="874">
        <f>H72/H69</f>
        <v/>
      </c>
      <c r="I73" s="874">
        <f>I72/I69</f>
        <v/>
      </c>
      <c r="J73" s="874">
        <f>J72/J69</f>
        <v/>
      </c>
      <c r="K73" s="874">
        <f>K72/K69</f>
        <v/>
      </c>
      <c r="L73" s="874">
        <f>L72/L69</f>
        <v/>
      </c>
      <c r="M73" s="875">
        <f>M72/M69</f>
        <v/>
      </c>
      <c r="N73" s="874">
        <f>N72/N69</f>
        <v/>
      </c>
      <c r="O73" s="874">
        <f>O72/O69</f>
        <v/>
      </c>
      <c r="P73" s="874">
        <f>P72/P69</f>
        <v/>
      </c>
      <c r="Q73" s="874">
        <f>Q72/Q69</f>
        <v/>
      </c>
      <c r="R73" s="876">
        <f>R72/R69</f>
        <v/>
      </c>
      <c r="S73" s="919" t="n"/>
    </row>
    <row r="74">
      <c r="D74" s="42" t="n"/>
      <c r="E74" s="725" t="inlineStr">
        <is>
          <t>투자손익</t>
        </is>
      </c>
      <c r="F74" s="726" t="n"/>
      <c r="G74" s="869">
        <f>작업!I114</f>
        <v/>
      </c>
      <c r="H74" s="870">
        <f>작업!J114</f>
        <v/>
      </c>
      <c r="I74" s="870">
        <f>작업!K114</f>
        <v/>
      </c>
      <c r="J74" s="870">
        <f>작업!L114</f>
        <v/>
      </c>
      <c r="K74" s="870">
        <f>작업!M114</f>
        <v/>
      </c>
      <c r="L74" s="870">
        <f>작업!N114</f>
        <v/>
      </c>
      <c r="M74" s="871">
        <f>작업!O114</f>
        <v/>
      </c>
      <c r="N74" s="870">
        <f>작업!P114</f>
        <v/>
      </c>
      <c r="O74" s="870">
        <f>작업!Q114</f>
        <v/>
      </c>
      <c r="P74" s="870">
        <f>작업!R114</f>
        <v/>
      </c>
      <c r="Q74" s="870">
        <f>작업!S114</f>
        <v/>
      </c>
      <c r="R74" s="872">
        <f>작업!T114</f>
        <v/>
      </c>
      <c r="S74" s="919" t="n"/>
    </row>
    <row r="75">
      <c r="D75" s="42" t="n"/>
      <c r="E75" s="218" t="n"/>
      <c r="F75" s="217" t="inlineStr">
        <is>
          <t>전기대비</t>
        </is>
      </c>
      <c r="G75" s="911">
        <f>G74-전기말!I28</f>
        <v/>
      </c>
      <c r="H75" s="912">
        <f>H74-전기말!J28</f>
        <v/>
      </c>
      <c r="I75" s="912">
        <f>I74-전기말!K28</f>
        <v/>
      </c>
      <c r="J75" s="912">
        <f>J74-전기말!L28</f>
        <v/>
      </c>
      <c r="K75" s="912">
        <f>K74-전기말!M28</f>
        <v/>
      </c>
      <c r="L75" s="912">
        <f>L74-전기말!N28</f>
        <v/>
      </c>
      <c r="M75" s="913">
        <f>M74-전기말!O28</f>
        <v/>
      </c>
      <c r="N75" s="912">
        <f>N74-전기말!P28</f>
        <v/>
      </c>
      <c r="O75" s="912">
        <f>O74-전기말!Q28</f>
        <v/>
      </c>
      <c r="P75" s="912">
        <f>P74-전기말!R28</f>
        <v/>
      </c>
      <c r="Q75" s="912">
        <f>Q74-전기말!S28</f>
        <v/>
      </c>
      <c r="R75" s="914">
        <f>R74-전기말!T28</f>
        <v/>
      </c>
      <c r="S75" s="919" t="n"/>
    </row>
    <row r="76">
      <c r="G76" s="919" t="n"/>
      <c r="H76" s="919" t="n"/>
      <c r="I76" s="919" t="n"/>
      <c r="J76" s="919" t="n"/>
      <c r="K76" s="919" t="n"/>
      <c r="L76" s="919" t="n"/>
      <c r="M76" s="919" t="n"/>
      <c r="N76" s="919" t="n"/>
      <c r="O76" s="919" t="n"/>
      <c r="P76" s="919" t="n"/>
      <c r="Q76" s="919" t="n"/>
      <c r="R76" s="919" t="n"/>
      <c r="S76" s="919" t="n"/>
    </row>
    <row r="78" ht="17.25" customHeight="1" s="760" thickBot="1"/>
    <row r="79" ht="17.25" customHeight="1" s="760" thickTop="1">
      <c r="D79" s="727" t="inlineStr">
        <is>
          <t>구분</t>
        </is>
      </c>
      <c r="E79" s="710" t="n"/>
      <c r="F79" s="711" t="inlineStr">
        <is>
          <t>당사</t>
        </is>
      </c>
      <c r="G79" s="723" t="inlineStr">
        <is>
          <t>생보사</t>
        </is>
      </c>
      <c r="H79" s="708" t="n"/>
      <c r="I79" s="708" t="n"/>
      <c r="J79" s="708" t="n"/>
      <c r="K79" s="708" t="n"/>
      <c r="L79" s="724" t="n"/>
      <c r="M79" s="722" t="inlineStr">
        <is>
          <t>손보사</t>
        </is>
      </c>
      <c r="N79" s="708" t="n"/>
      <c r="O79" s="708" t="n"/>
      <c r="P79" s="708" t="n"/>
      <c r="Q79" s="708" t="n"/>
      <c r="R79" s="708" t="n"/>
    </row>
    <row r="80" ht="17.25" customHeight="1" s="760" thickBot="1">
      <c r="D80" s="728" t="n"/>
      <c r="E80" s="703" t="n"/>
      <c r="F80" s="712" t="n"/>
      <c r="G80" s="90" t="inlineStr">
        <is>
          <t>삼성</t>
        </is>
      </c>
      <c r="H80" s="91" t="inlineStr">
        <is>
          <t>교보</t>
        </is>
      </c>
      <c r="I80" s="91" t="inlineStr">
        <is>
          <t>한화</t>
        </is>
      </c>
      <c r="J80" s="91" t="inlineStr">
        <is>
          <t>신한</t>
        </is>
      </c>
      <c r="K80" s="91" t="inlineStr">
        <is>
          <t>동양</t>
        </is>
      </c>
      <c r="L80" s="92" t="inlineStr">
        <is>
          <t>KB</t>
        </is>
      </c>
      <c r="M80" s="90" t="inlineStr">
        <is>
          <t>삼성</t>
        </is>
      </c>
      <c r="N80" s="90" t="inlineStr">
        <is>
          <t>현대</t>
        </is>
      </c>
      <c r="O80" s="90" t="inlineStr">
        <is>
          <t>메리츠</t>
        </is>
      </c>
      <c r="P80" s="90" t="inlineStr">
        <is>
          <t>KB</t>
        </is>
      </c>
      <c r="Q80" s="216" t="inlineStr">
        <is>
          <t>DB</t>
        </is>
      </c>
      <c r="R80" s="37" t="n"/>
    </row>
    <row r="81">
      <c r="D81" s="709" t="inlineStr">
        <is>
          <t>①CSM잔액</t>
        </is>
      </c>
      <c r="E81" s="710" t="n"/>
      <c r="F81" s="93">
        <f>작업!I133</f>
        <v/>
      </c>
      <c r="G81" s="94">
        <f>작업!J133</f>
        <v/>
      </c>
      <c r="H81" s="94">
        <f>작업!K133</f>
        <v/>
      </c>
      <c r="I81" s="94">
        <f>작업!L133</f>
        <v/>
      </c>
      <c r="J81" s="94">
        <f>작업!M133</f>
        <v/>
      </c>
      <c r="K81" s="94">
        <f>작업!N133</f>
        <v/>
      </c>
      <c r="L81" s="95">
        <f>작업!O133</f>
        <v/>
      </c>
      <c r="M81" s="94">
        <f>작업!P133</f>
        <v/>
      </c>
      <c r="N81" s="94">
        <f>작업!Q133</f>
        <v/>
      </c>
      <c r="O81" s="94">
        <f>작업!R133</f>
        <v/>
      </c>
      <c r="P81" s="94">
        <f>작업!S133</f>
        <v/>
      </c>
      <c r="Q81" s="96">
        <f>작업!T133</f>
        <v/>
      </c>
      <c r="R81" s="37" t="n"/>
    </row>
    <row r="82" ht="27.75" customHeight="1" s="760" thickBot="1">
      <c r="D82" s="97" t="n"/>
      <c r="E82" s="98" t="inlineStr">
        <is>
          <t>전기대비 증가율</t>
        </is>
      </c>
      <c r="F82" s="925">
        <f>작업!I135</f>
        <v/>
      </c>
      <c r="G82" s="926">
        <f>작업!J135</f>
        <v/>
      </c>
      <c r="H82" s="926">
        <f>작업!K135</f>
        <v/>
      </c>
      <c r="I82" s="926">
        <f>작업!L135</f>
        <v/>
      </c>
      <c r="J82" s="926">
        <f>작업!M135</f>
        <v/>
      </c>
      <c r="K82" s="926">
        <f>작업!N135</f>
        <v/>
      </c>
      <c r="L82" s="927">
        <f>작업!O135</f>
        <v/>
      </c>
      <c r="M82" s="926">
        <f>작업!P135</f>
        <v/>
      </c>
      <c r="N82" s="926">
        <f>작업!Q135</f>
        <v/>
      </c>
      <c r="O82" s="926">
        <f>작업!R135</f>
        <v/>
      </c>
      <c r="P82" s="926">
        <f>작업!S135</f>
        <v/>
      </c>
      <c r="Q82" s="928">
        <f>작업!T135</f>
        <v/>
      </c>
      <c r="R82" s="37" t="n"/>
    </row>
    <row r="83">
      <c r="D83" s="733" t="inlineStr">
        <is>
          <t>②  신계약CSM</t>
        </is>
      </c>
      <c r="E83" s="698" t="n"/>
      <c r="F83" s="117">
        <f>작업!I136</f>
        <v/>
      </c>
      <c r="G83" s="118">
        <f>작업!J136</f>
        <v/>
      </c>
      <c r="H83" s="118">
        <f>작업!K136</f>
        <v/>
      </c>
      <c r="I83" s="118">
        <f>작업!L136</f>
        <v/>
      </c>
      <c r="J83" s="118">
        <f>작업!M136</f>
        <v/>
      </c>
      <c r="K83" s="118">
        <f>작업!N136</f>
        <v/>
      </c>
      <c r="L83" s="119">
        <f>작업!O136</f>
        <v/>
      </c>
      <c r="M83" s="118">
        <f>작업!P136</f>
        <v/>
      </c>
      <c r="N83" s="118">
        <f>작업!Q136</f>
        <v/>
      </c>
      <c r="O83" s="118">
        <f>작업!R136</f>
        <v/>
      </c>
      <c r="P83" s="118">
        <f>작업!S136</f>
        <v/>
      </c>
      <c r="Q83" s="120">
        <f>작업!T136</f>
        <v/>
      </c>
      <c r="R83" s="37" t="n"/>
    </row>
    <row r="84" ht="27" customHeight="1" s="760">
      <c r="D84" s="121" t="n"/>
      <c r="E84" s="129" t="inlineStr">
        <is>
          <t>전기대비 증가율</t>
        </is>
      </c>
      <c r="F84" s="925">
        <f>(F83-F90)/F90</f>
        <v/>
      </c>
      <c r="G84" s="926">
        <f>(G83-G90)/G90</f>
        <v/>
      </c>
      <c r="H84" s="926">
        <f>(H83-H90)/H90</f>
        <v/>
      </c>
      <c r="I84" s="926">
        <f>(I83-I90)/I90</f>
        <v/>
      </c>
      <c r="J84" s="926">
        <f>(J83-J90)/J90</f>
        <v/>
      </c>
      <c r="K84" s="926">
        <f>(K83-K90)/K90</f>
        <v/>
      </c>
      <c r="L84" s="927">
        <f>(L83-L90)/L90</f>
        <v/>
      </c>
      <c r="M84" s="926">
        <f>(M83-M90)/M90</f>
        <v/>
      </c>
      <c r="N84" s="926">
        <f>(N83-N90)/N90</f>
        <v/>
      </c>
      <c r="O84" s="926">
        <f>(O83-O90)/O90</f>
        <v/>
      </c>
      <c r="P84" s="926">
        <f>(P83-P90)/P90</f>
        <v/>
      </c>
      <c r="Q84" s="928">
        <f>(Q83-Q90)/Q90</f>
        <v/>
      </c>
      <c r="R84" s="37" t="n"/>
    </row>
    <row r="85" ht="17.25" customHeight="1" s="760" thickBot="1">
      <c r="D85" s="122" t="n"/>
      <c r="E85" s="130" t="inlineStr">
        <is>
          <t>②/①</t>
        </is>
      </c>
      <c r="F85" s="929">
        <f>+F83/F81</f>
        <v/>
      </c>
      <c r="G85" s="930">
        <f>+G83/G81</f>
        <v/>
      </c>
      <c r="H85" s="930">
        <f>+H83/H81</f>
        <v/>
      </c>
      <c r="I85" s="930">
        <f>+I83/I81</f>
        <v/>
      </c>
      <c r="J85" s="930">
        <f>+J83/J81</f>
        <v/>
      </c>
      <c r="K85" s="930">
        <f>+K83/K81</f>
        <v/>
      </c>
      <c r="L85" s="931">
        <f>+L83/L81</f>
        <v/>
      </c>
      <c r="M85" s="930">
        <f>+M83/M81</f>
        <v/>
      </c>
      <c r="N85" s="930">
        <f>+N83/N81</f>
        <v/>
      </c>
      <c r="O85" s="930">
        <f>+O83/O81</f>
        <v/>
      </c>
      <c r="P85" s="930">
        <f>+P83/P81</f>
        <v/>
      </c>
      <c r="Q85" s="932">
        <f>+Q83/Q81</f>
        <v/>
      </c>
      <c r="R85" s="37" t="n"/>
    </row>
    <row r="86">
      <c r="D86" s="720" t="inlineStr">
        <is>
          <t>③ CSM상각액</t>
        </is>
      </c>
      <c r="E86" s="698" t="n"/>
      <c r="F86" s="123">
        <f>작업!I137</f>
        <v/>
      </c>
      <c r="G86" s="124">
        <f>작업!J137</f>
        <v/>
      </c>
      <c r="H86" s="124">
        <f>작업!K137</f>
        <v/>
      </c>
      <c r="I86" s="124">
        <f>작업!L137</f>
        <v/>
      </c>
      <c r="J86" s="124">
        <f>작업!M137</f>
        <v/>
      </c>
      <c r="K86" s="124">
        <f>작업!N137</f>
        <v/>
      </c>
      <c r="L86" s="125">
        <f>작업!O137</f>
        <v/>
      </c>
      <c r="M86" s="124">
        <f>작업!P137</f>
        <v/>
      </c>
      <c r="N86" s="124">
        <f>작업!Q137</f>
        <v/>
      </c>
      <c r="O86" s="124">
        <f>작업!R137</f>
        <v/>
      </c>
      <c r="P86" s="124">
        <f>작업!S137</f>
        <v/>
      </c>
      <c r="Q86" s="126">
        <f>작업!T137</f>
        <v/>
      </c>
      <c r="R86" s="37" t="n"/>
    </row>
    <row r="87" ht="27" customHeight="1" s="760">
      <c r="E87" s="127" t="inlineStr">
        <is>
          <t>전기대비 증가율</t>
        </is>
      </c>
      <c r="F87" s="933">
        <f>(F86-F91)/F91</f>
        <v/>
      </c>
      <c r="G87" s="934">
        <f>(G86-G91)/G91</f>
        <v/>
      </c>
      <c r="H87" s="934">
        <f>(H86-H91)/H91</f>
        <v/>
      </c>
      <c r="I87" s="934">
        <f>(I86-I91)/I91</f>
        <v/>
      </c>
      <c r="J87" s="934">
        <f>(J86-J91)/J91</f>
        <v/>
      </c>
      <c r="K87" s="934">
        <f>(K86-K91)/K91</f>
        <v/>
      </c>
      <c r="L87" s="935">
        <f>(L86-L91)/L91</f>
        <v/>
      </c>
      <c r="M87" s="934">
        <f>(M86-M91)/M91</f>
        <v/>
      </c>
      <c r="N87" s="934">
        <f>(N86-N91)/N91</f>
        <v/>
      </c>
      <c r="O87" s="934">
        <f>(O86-O91)/O91</f>
        <v/>
      </c>
      <c r="P87" s="934">
        <f>(P86-P91)/P91</f>
        <v/>
      </c>
      <c r="Q87" s="936">
        <f>(Q86-Q91)/Q91</f>
        <v/>
      </c>
      <c r="R87" s="37" t="n"/>
    </row>
    <row r="88" ht="17.25" customHeight="1" s="760" thickBot="1">
      <c r="E88" s="128" t="inlineStr">
        <is>
          <t>②/③</t>
        </is>
      </c>
      <c r="F88" s="937">
        <f>+F83/F86</f>
        <v/>
      </c>
      <c r="G88" s="938" t="n">
        <v>2.32</v>
      </c>
      <c r="H88" s="938" t="n">
        <v>2.34</v>
      </c>
      <c r="I88" s="938" t="n">
        <v>2.16</v>
      </c>
      <c r="J88" s="938" t="n">
        <v>1.7</v>
      </c>
      <c r="K88" s="938" t="n">
        <v>2.89</v>
      </c>
      <c r="L88" s="939" t="n">
        <v>1.73</v>
      </c>
      <c r="M88" s="938" t="n">
        <v>2.05</v>
      </c>
      <c r="N88" s="938" t="n">
        <v>1.82</v>
      </c>
      <c r="O88" s="938" t="n">
        <v>1.23</v>
      </c>
      <c r="P88" s="938" t="n">
        <v>2.14</v>
      </c>
      <c r="Q88" s="940" t="n">
        <v>2.2</v>
      </c>
      <c r="R88" s="37" t="n"/>
    </row>
    <row r="89" ht="17.25" customHeight="1" s="760">
      <c r="E89" s="131" t="n"/>
      <c r="F89" s="132" t="n"/>
      <c r="G89" s="133" t="n"/>
      <c r="H89" s="133" t="n"/>
      <c r="I89" s="133" t="n"/>
      <c r="J89" s="133" t="n"/>
      <c r="K89" s="133" t="n"/>
      <c r="L89" s="134" t="n"/>
      <c r="M89" s="133" t="n"/>
      <c r="N89" s="133" t="n"/>
      <c r="O89" s="133" t="n"/>
      <c r="P89" s="133" t="n"/>
      <c r="Q89" s="135" t="n"/>
      <c r="R89" s="37" t="n"/>
    </row>
    <row r="90" ht="17.25" customHeight="1" s="760">
      <c r="D90" s="131" t="inlineStr">
        <is>
          <t>전기</t>
        </is>
      </c>
      <c r="E90" s="696" t="inlineStr">
        <is>
          <t>신계약</t>
        </is>
      </c>
      <c r="F90" s="941">
        <f>전기말!I36</f>
        <v/>
      </c>
      <c r="G90" s="942">
        <f>전기말!J36</f>
        <v/>
      </c>
      <c r="H90" s="942">
        <f>전기말!K36</f>
        <v/>
      </c>
      <c r="I90" s="942">
        <f>전기말!L36</f>
        <v/>
      </c>
      <c r="J90" s="942">
        <f>전기말!M36</f>
        <v/>
      </c>
      <c r="K90" s="942">
        <f>전기말!N36</f>
        <v/>
      </c>
      <c r="L90" s="943">
        <f>전기말!O36</f>
        <v/>
      </c>
      <c r="M90" s="942">
        <f>전기말!P36</f>
        <v/>
      </c>
      <c r="N90" s="942">
        <f>전기말!Q36</f>
        <v/>
      </c>
      <c r="O90" s="942">
        <f>전기말!R36</f>
        <v/>
      </c>
      <c r="P90" s="942">
        <f>전기말!S36</f>
        <v/>
      </c>
      <c r="Q90" s="944">
        <f>전기말!T36</f>
        <v/>
      </c>
      <c r="R90" s="37" t="n"/>
    </row>
    <row r="91" ht="17.25" customHeight="1" s="760">
      <c r="E91" s="131" t="inlineStr">
        <is>
          <t>상각액</t>
        </is>
      </c>
      <c r="F91" s="941">
        <f>전기말!I37</f>
        <v/>
      </c>
      <c r="G91" s="942">
        <f>전기말!J37</f>
        <v/>
      </c>
      <c r="H91" s="942">
        <f>전기말!K37</f>
        <v/>
      </c>
      <c r="I91" s="942">
        <f>전기말!L37</f>
        <v/>
      </c>
      <c r="J91" s="942">
        <f>전기말!M37</f>
        <v/>
      </c>
      <c r="K91" s="942">
        <f>전기말!N37</f>
        <v/>
      </c>
      <c r="L91" s="943">
        <f>전기말!O37</f>
        <v/>
      </c>
      <c r="M91" s="942">
        <f>전기말!P37</f>
        <v/>
      </c>
      <c r="N91" s="942">
        <f>전기말!Q37</f>
        <v/>
      </c>
      <c r="O91" s="942">
        <f>전기말!R37</f>
        <v/>
      </c>
      <c r="P91" s="942">
        <f>전기말!S37</f>
        <v/>
      </c>
      <c r="Q91" s="944">
        <f>전기말!T37</f>
        <v/>
      </c>
      <c r="R91" s="37" t="n"/>
    </row>
    <row r="92">
      <c r="F92" s="945">
        <f>#REF!/F81</f>
        <v/>
      </c>
      <c r="G92" s="946">
        <f>#REF!/G81</f>
        <v/>
      </c>
      <c r="H92" s="946">
        <f>#REF!/H81</f>
        <v/>
      </c>
      <c r="I92" s="946">
        <f>#REF!/I81</f>
        <v/>
      </c>
      <c r="J92" s="946">
        <f>#REF!/J81</f>
        <v/>
      </c>
      <c r="K92" s="946">
        <f>#REF!/K81</f>
        <v/>
      </c>
      <c r="L92" s="947">
        <f>#REF!/L81</f>
        <v/>
      </c>
      <c r="M92" s="946">
        <f>#REF!/M81</f>
        <v/>
      </c>
      <c r="N92" s="946">
        <f>#REF!/N81</f>
        <v/>
      </c>
      <c r="O92" s="946">
        <f>#REF!/O81</f>
        <v/>
      </c>
      <c r="P92" s="946">
        <f>#REF!/P81</f>
        <v/>
      </c>
      <c r="Q92" s="948">
        <f>#REF!/Q81</f>
        <v/>
      </c>
    </row>
    <row r="93">
      <c r="F93" s="848">
        <f>#REF!/#REF!</f>
        <v/>
      </c>
      <c r="G93" s="848">
        <f>#REF!/#REF!</f>
        <v/>
      </c>
      <c r="H93" s="848">
        <f>#REF!/#REF!</f>
        <v/>
      </c>
      <c r="I93" s="848">
        <f>#REF!/#REF!</f>
        <v/>
      </c>
      <c r="J93" s="848">
        <f>#REF!/#REF!</f>
        <v/>
      </c>
      <c r="K93" s="848">
        <f>#REF!/#REF!</f>
        <v/>
      </c>
      <c r="L93" s="848">
        <f>#REF!/#REF!</f>
        <v/>
      </c>
      <c r="M93" s="848">
        <f>#REF!/#REF!</f>
        <v/>
      </c>
      <c r="N93" s="848">
        <f>#REF!/#REF!</f>
        <v/>
      </c>
      <c r="O93" s="848">
        <f>#REF!/#REF!</f>
        <v/>
      </c>
      <c r="P93" s="848">
        <f>#REF!/#REF!</f>
        <v/>
      </c>
      <c r="Q93" s="848">
        <f>#REF!/#REF!</f>
        <v/>
      </c>
    </row>
    <row r="94" ht="17.25" customHeight="1" s="760" thickBot="1"/>
    <row r="95" ht="17.25" customHeight="1" s="760" thickTop="1">
      <c r="D95" s="727" t="inlineStr">
        <is>
          <t>구분</t>
        </is>
      </c>
      <c r="E95" s="710" t="n"/>
      <c r="F95" s="711" t="inlineStr">
        <is>
          <t>당사</t>
        </is>
      </c>
      <c r="G95" s="723" t="inlineStr">
        <is>
          <t>생보사</t>
        </is>
      </c>
      <c r="H95" s="708" t="n"/>
      <c r="I95" s="708" t="n"/>
      <c r="J95" s="708" t="n"/>
      <c r="K95" s="708" t="n"/>
      <c r="L95" s="724" t="n"/>
      <c r="M95" s="722" t="inlineStr">
        <is>
          <t>손보사</t>
        </is>
      </c>
      <c r="N95" s="708" t="n"/>
      <c r="O95" s="708" t="n"/>
      <c r="P95" s="708" t="n"/>
      <c r="Q95" s="708" t="n"/>
      <c r="R95" s="708" t="n"/>
    </row>
    <row r="96" ht="17.25" customHeight="1" s="760" thickBot="1">
      <c r="D96" s="728" t="n"/>
      <c r="E96" s="703" t="n"/>
      <c r="F96" s="712" t="n"/>
      <c r="G96" s="90" t="inlineStr">
        <is>
          <t>삼성</t>
        </is>
      </c>
      <c r="H96" s="91" t="inlineStr">
        <is>
          <t>교보</t>
        </is>
      </c>
      <c r="I96" s="91" t="inlineStr">
        <is>
          <t>한화</t>
        </is>
      </c>
      <c r="J96" s="91" t="inlineStr">
        <is>
          <t>신한</t>
        </is>
      </c>
      <c r="K96" s="91" t="inlineStr">
        <is>
          <t>동양</t>
        </is>
      </c>
      <c r="L96" s="92" t="inlineStr">
        <is>
          <t>KB</t>
        </is>
      </c>
      <c r="M96" s="90" t="inlineStr">
        <is>
          <t>삼성</t>
        </is>
      </c>
      <c r="N96" s="90" t="inlineStr">
        <is>
          <t>현대</t>
        </is>
      </c>
      <c r="O96" s="90" t="inlineStr">
        <is>
          <t>메리츠</t>
        </is>
      </c>
      <c r="P96" s="90" t="inlineStr">
        <is>
          <t>KB</t>
        </is>
      </c>
      <c r="Q96" s="216" t="inlineStr">
        <is>
          <t>DB</t>
        </is>
      </c>
      <c r="R96" s="37" t="n"/>
    </row>
    <row r="97">
      <c r="D97" s="709" t="inlineStr">
        <is>
          <t>ROE 1)</t>
        </is>
      </c>
      <c r="E97" s="710" t="n"/>
      <c r="F97" s="949">
        <f>작업!I154</f>
        <v/>
      </c>
      <c r="G97" s="950">
        <f>작업!J154</f>
        <v/>
      </c>
      <c r="H97" s="950">
        <f>작업!K154</f>
        <v/>
      </c>
      <c r="I97" s="950">
        <f>작업!L154</f>
        <v/>
      </c>
      <c r="J97" s="950">
        <f>작업!M154</f>
        <v/>
      </c>
      <c r="K97" s="950">
        <f>작업!N154</f>
        <v/>
      </c>
      <c r="L97" s="951">
        <f>작업!O154</f>
        <v/>
      </c>
      <c r="M97" s="950">
        <f>작업!P154</f>
        <v/>
      </c>
      <c r="N97" s="950">
        <f>작업!Q154</f>
        <v/>
      </c>
      <c r="O97" s="950">
        <f>작업!R154</f>
        <v/>
      </c>
      <c r="P97" s="950">
        <f>작업!S154</f>
        <v/>
      </c>
      <c r="Q97" s="952">
        <f>작업!T154</f>
        <v/>
      </c>
      <c r="R97" s="37" t="n"/>
    </row>
    <row r="98" ht="17.25" customHeight="1" s="760" thickBot="1">
      <c r="D98" s="99" t="n"/>
      <c r="E98" s="100" t="inlineStr">
        <is>
          <t>1Q</t>
        </is>
      </c>
      <c r="F98" s="953" t="n">
        <v>0.057</v>
      </c>
      <c r="G98" s="954" t="n">
        <v>0.07000000000000001</v>
      </c>
      <c r="H98" s="954" t="n">
        <v>0.135</v>
      </c>
      <c r="I98" s="954" t="n">
        <v>0.064</v>
      </c>
      <c r="J98" s="954" t="n">
        <v>0.078</v>
      </c>
      <c r="K98" s="954" t="n">
        <v>0.128</v>
      </c>
      <c r="L98" s="955" t="n">
        <v>0.081</v>
      </c>
      <c r="M98" s="954" t="n">
        <v>0.171</v>
      </c>
      <c r="N98" s="954" t="n">
        <v>0.32</v>
      </c>
      <c r="O98" s="954" t="n">
        <v>0.381</v>
      </c>
      <c r="P98" s="954" t="n">
        <v>0.195</v>
      </c>
      <c r="Q98" s="956" t="n">
        <v>0.273</v>
      </c>
      <c r="R98" s="37" t="n"/>
    </row>
    <row r="99" ht="17.25" customHeight="1" s="760" thickBot="1">
      <c r="D99" s="99" t="n"/>
      <c r="E99" s="101" t="inlineStr">
        <is>
          <t>2Q</t>
        </is>
      </c>
      <c r="F99" s="953">
        <f>'2406'!I110</f>
        <v/>
      </c>
      <c r="G99" s="954">
        <f>'2406'!J110</f>
        <v/>
      </c>
      <c r="H99" s="954">
        <f>'2406'!K110</f>
        <v/>
      </c>
      <c r="I99" s="954">
        <f>'2406'!L110</f>
        <v/>
      </c>
      <c r="J99" s="954">
        <f>'2406'!M110</f>
        <v/>
      </c>
      <c r="K99" s="954">
        <f>'2406'!N110</f>
        <v/>
      </c>
      <c r="L99" s="955">
        <f>'2406'!O110</f>
        <v/>
      </c>
      <c r="M99" s="954">
        <f>'2406'!P110</f>
        <v/>
      </c>
      <c r="N99" s="954">
        <f>'2406'!Q110</f>
        <v/>
      </c>
      <c r="O99" s="954">
        <f>'2406'!R110</f>
        <v/>
      </c>
      <c r="P99" s="954">
        <f>'2406'!S110</f>
        <v/>
      </c>
      <c r="Q99" s="956">
        <f>'2406'!T110</f>
        <v/>
      </c>
      <c r="R99" s="37" t="n"/>
    </row>
    <row r="100" ht="17.25" customHeight="1" s="760" thickBot="1">
      <c r="D100" s="702" t="inlineStr">
        <is>
          <t>요구자본 대비 CSM 2)</t>
        </is>
      </c>
      <c r="E100" s="703" t="n"/>
      <c r="F100" s="953">
        <f>작업!I157</f>
        <v/>
      </c>
      <c r="G100" s="954">
        <f>작업!J157</f>
        <v/>
      </c>
      <c r="H100" s="954">
        <f>작업!K157</f>
        <v/>
      </c>
      <c r="I100" s="954">
        <f>작업!L157</f>
        <v/>
      </c>
      <c r="J100" s="954">
        <f>작업!M157</f>
        <v/>
      </c>
      <c r="K100" s="954">
        <f>작업!N157</f>
        <v/>
      </c>
      <c r="L100" s="955">
        <f>작업!O157</f>
        <v/>
      </c>
      <c r="M100" s="954">
        <f>작업!P157</f>
        <v/>
      </c>
      <c r="N100" s="954">
        <f>작업!Q157</f>
        <v/>
      </c>
      <c r="O100" s="954">
        <f>작업!R157</f>
        <v/>
      </c>
      <c r="P100" s="954">
        <f>작업!S157</f>
        <v/>
      </c>
      <c r="Q100" s="956">
        <f>작업!T157</f>
        <v/>
      </c>
      <c r="R100" s="37" t="n"/>
    </row>
    <row r="101">
      <c r="D101" s="696" t="inlineStr">
        <is>
          <t>요구자본대비 자기자본</t>
        </is>
      </c>
      <c r="F101" s="953">
        <f>작업!I19/(작업!I102*150%)</f>
        <v/>
      </c>
      <c r="G101" s="954">
        <f>작업!J19/(작업!J102*150%)</f>
        <v/>
      </c>
      <c r="H101" s="954">
        <f>작업!K19/(작업!K102*150%)</f>
        <v/>
      </c>
      <c r="I101" s="954">
        <f>작업!L19/(작업!L102*150%)</f>
        <v/>
      </c>
      <c r="J101" s="954">
        <f>작업!M19/(작업!M102*150%)</f>
        <v/>
      </c>
      <c r="K101" s="954">
        <f>작업!N19/(작업!N102*150%)</f>
        <v/>
      </c>
      <c r="L101" s="955">
        <f>작업!O19/(작업!O102*150%)</f>
        <v/>
      </c>
      <c r="M101" s="954">
        <f>작업!P19/(작업!P102*150%)</f>
        <v/>
      </c>
      <c r="N101" s="954">
        <f>작업!Q19/(작업!Q102*150%)</f>
        <v/>
      </c>
      <c r="O101" s="954">
        <f>작업!R19/(작업!R102*150%)</f>
        <v/>
      </c>
      <c r="P101" s="954">
        <f>작업!S19/(작업!S102*150%)</f>
        <v/>
      </c>
      <c r="Q101" s="956">
        <f>작업!T19/(작업!T102*150%)</f>
        <v/>
      </c>
    </row>
  </sheetData>
  <mergeCells count="36">
    <mergeCell ref="D13:F13"/>
    <mergeCell ref="W5:W6"/>
    <mergeCell ref="D100:E100"/>
    <mergeCell ref="D5:F6"/>
    <mergeCell ref="N5:S5"/>
    <mergeCell ref="D81:E81"/>
    <mergeCell ref="D17:F17"/>
    <mergeCell ref="D7:F7"/>
    <mergeCell ref="F95:F96"/>
    <mergeCell ref="U5:V6"/>
    <mergeCell ref="F79:F80"/>
    <mergeCell ref="X5:AC5"/>
    <mergeCell ref="D86:E86"/>
    <mergeCell ref="U17:V17"/>
    <mergeCell ref="M95:R95"/>
    <mergeCell ref="G95:L95"/>
    <mergeCell ref="G65:G66"/>
    <mergeCell ref="D65:F66"/>
    <mergeCell ref="H65:M65"/>
    <mergeCell ref="G79:L79"/>
    <mergeCell ref="E69:F69"/>
    <mergeCell ref="D97:E97"/>
    <mergeCell ref="E74:F74"/>
    <mergeCell ref="U13:V13"/>
    <mergeCell ref="D79:E80"/>
    <mergeCell ref="U7:V7"/>
    <mergeCell ref="G5:G6"/>
    <mergeCell ref="D67:F67"/>
    <mergeCell ref="H5:M5"/>
    <mergeCell ref="U21:V21"/>
    <mergeCell ref="E70:F70"/>
    <mergeCell ref="D83:E83"/>
    <mergeCell ref="M79:R79"/>
    <mergeCell ref="D21:F21"/>
    <mergeCell ref="N65:R65"/>
    <mergeCell ref="D95:E96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G5"/>
  <sheetViews>
    <sheetView workbookViewId="0">
      <selection activeCell="K38" sqref="K38"/>
    </sheetView>
  </sheetViews>
  <sheetFormatPr baseColWidth="8" defaultRowHeight="16.5"/>
  <cols>
    <col width="13" bestFit="1" customWidth="1" style="760" min="4" max="4"/>
    <col width="17.875" bestFit="1" customWidth="1" style="760" min="5" max="7"/>
    <col width="16.125" customWidth="1" style="760" min="8" max="8"/>
    <col width="13" bestFit="1" customWidth="1" style="760" min="12" max="12"/>
    <col width="11.875" bestFit="1" customWidth="1" style="760" min="13" max="13"/>
    <col width="10.875" bestFit="1" customWidth="1" style="760" min="14" max="19"/>
    <col width="13.5" bestFit="1" customWidth="1" style="760" min="20" max="20"/>
    <col width="10.875" bestFit="1" customWidth="1" style="760" min="24" max="25"/>
    <col width="9.375" bestFit="1" customWidth="1" style="760" min="32" max="32"/>
    <col width="10.875" bestFit="1" customWidth="1" style="760" min="33" max="34"/>
    <col width="9.375" bestFit="1" customWidth="1" style="760" min="35" max="35"/>
    <col width="10.875" bestFit="1" customWidth="1" style="760" min="36" max="36"/>
    <col width="14.625" bestFit="1" customWidth="1" style="760" min="37" max="37"/>
    <col width="16.75" bestFit="1" customWidth="1" style="760" min="40" max="40"/>
    <col width="9.375" bestFit="1" customWidth="1" style="760" min="41" max="41"/>
    <col width="9.375" bestFit="1" customWidth="1" style="760" min="43" max="44"/>
    <col width="10.875" bestFit="1" customWidth="1" style="760" min="55" max="55"/>
    <col width="9.375" bestFit="1" customWidth="1" style="760" min="56" max="56"/>
    <col width="10.875" bestFit="1" customWidth="1" style="760" min="58" max="58"/>
    <col width="9.375" bestFit="1" customWidth="1" style="760" min="59" max="59"/>
    <col width="10.875" bestFit="1" customWidth="1" style="760" min="63" max="63"/>
    <col width="10.875" bestFit="1" customWidth="1" style="760" min="65" max="65"/>
    <col width="9.375" bestFit="1" customWidth="1" style="760" min="66" max="66"/>
    <col width="9.375" bestFit="1" customWidth="1" style="760" min="68" max="68"/>
    <col width="10.875" bestFit="1" customWidth="1" style="760" min="71" max="71"/>
  </cols>
  <sheetData>
    <row r="2" ht="27.75" customFormat="1" customHeight="1" s="642">
      <c r="D2" s="957" t="inlineStr">
        <is>
          <t>B/S</t>
        </is>
      </c>
      <c r="U2" s="958" t="n"/>
      <c r="V2" s="958" t="n"/>
      <c r="W2" s="958" t="n"/>
      <c r="X2" s="959" t="n"/>
      <c r="Y2" s="959" t="n"/>
      <c r="Z2" s="959" t="n"/>
      <c r="AA2" s="959" t="n"/>
      <c r="AB2" s="959" t="n"/>
      <c r="AC2" s="959" t="n"/>
      <c r="AD2" s="959" t="n"/>
      <c r="AE2" s="959" t="n"/>
      <c r="AF2" s="960" t="inlineStr">
        <is>
          <t>P/L</t>
        </is>
      </c>
      <c r="AS2" s="786" t="n"/>
      <c r="AT2" s="786" t="n"/>
      <c r="AU2" s="786" t="n"/>
      <c r="AV2" s="786" t="n"/>
      <c r="AW2" s="786" t="n"/>
      <c r="AX2" s="786" t="n"/>
      <c r="AY2" s="786" t="n"/>
      <c r="AZ2" s="786" t="n"/>
      <c r="BA2" s="786" t="n"/>
      <c r="BB2" s="786" t="n"/>
      <c r="BC2" s="961" t="inlineStr">
        <is>
          <t>기타포괄손익</t>
        </is>
      </c>
      <c r="BM2" s="739" t="inlineStr">
        <is>
          <t>이익잉여금</t>
        </is>
      </c>
      <c r="BT2" s="786" t="n"/>
      <c r="BU2" s="961" t="inlineStr">
        <is>
          <t>부채금액(순부채기준_24.12월부터 수정함)</t>
        </is>
      </c>
      <c r="CD2" s="786" t="n"/>
      <c r="CE2" s="961" t="inlineStr">
        <is>
          <t>CSM 기간별 기대수익인식금액(재보제외)</t>
        </is>
      </c>
      <c r="CK2" s="786" t="n"/>
      <c r="CL2" s="786" t="n"/>
      <c r="CM2" s="786" t="n"/>
      <c r="CN2" s="961" t="inlineStr">
        <is>
          <t>재무건전성(잠정치)</t>
        </is>
      </c>
      <c r="CQ2" s="962" t="inlineStr">
        <is>
          <t>재무건전성(최종))</t>
        </is>
      </c>
      <c r="CU2" s="642" t="inlineStr">
        <is>
          <t>해약환급금준비금</t>
        </is>
      </c>
      <c r="CW2" s="963" t="inlineStr">
        <is>
          <t>손해율(연간누계)</t>
        </is>
      </c>
      <c r="DC2" s="963" t="inlineStr">
        <is>
          <t>손해율(연간누계)</t>
        </is>
      </c>
      <c r="DF2" s="786" t="n"/>
      <c r="DG2" s="961" t="inlineStr">
        <is>
          <t>예실차</t>
        </is>
      </c>
      <c r="DR2" s="786" t="n"/>
      <c r="DS2" s="786" t="n"/>
      <c r="DT2" s="786" t="n"/>
      <c r="DU2" s="786" t="n"/>
      <c r="DV2" s="786" t="n"/>
      <c r="DW2" s="786" t="n"/>
      <c r="DY2" s="786" t="n"/>
      <c r="DZ2" s="786" t="n"/>
      <c r="EA2" s="786" t="n"/>
      <c r="EB2" s="786" t="n"/>
      <c r="EC2" s="786" t="n"/>
      <c r="ED2" s="786" t="n"/>
      <c r="EE2" s="786" t="n"/>
    </row>
    <row r="3" ht="27.75" customFormat="1" customHeight="1" s="642">
      <c r="D3" s="786" t="inlineStr">
        <is>
          <t>총자산</t>
        </is>
      </c>
      <c r="E3" s="786" t="n"/>
      <c r="F3" s="786" t="n"/>
      <c r="G3" s="786" t="n"/>
      <c r="H3" s="786" t="n"/>
      <c r="I3" s="964" t="inlineStr">
        <is>
          <t>총자산대비 비중</t>
        </is>
      </c>
      <c r="J3" s="964" t="n"/>
      <c r="K3" s="964" t="n"/>
      <c r="L3" s="786" t="inlineStr">
        <is>
          <t>부채</t>
        </is>
      </c>
      <c r="M3" s="786" t="n"/>
      <c r="N3" s="965" t="inlineStr">
        <is>
          <t>자본(신종자본증권제외)</t>
        </is>
      </c>
      <c r="O3" s="965" t="inlineStr">
        <is>
          <t>자본</t>
        </is>
      </c>
      <c r="P3" s="965" t="n"/>
      <c r="Q3" s="965" t="n"/>
      <c r="R3" s="965" t="n"/>
      <c r="S3" s="965" t="inlineStr">
        <is>
          <t>기시자본</t>
        </is>
      </c>
      <c r="T3" s="965" t="inlineStr">
        <is>
          <t>기시자본(신종자본증권제외)</t>
        </is>
      </c>
      <c r="U3" s="787" t="inlineStr">
        <is>
          <t>자산운용률</t>
        </is>
      </c>
      <c r="V3" s="787" t="n"/>
      <c r="W3" s="787" t="n"/>
      <c r="X3" s="965" t="inlineStr">
        <is>
          <t>기타포괄손익누계액</t>
        </is>
      </c>
      <c r="Y3" s="965" t="n"/>
      <c r="Z3" s="965" t="n"/>
      <c r="AA3" s="965" t="n"/>
      <c r="AB3" s="965" t="n"/>
      <c r="AC3" s="965" t="n"/>
      <c r="AD3" s="965" t="n"/>
      <c r="AE3" s="965" t="n"/>
      <c r="AF3" s="786" t="inlineStr">
        <is>
          <t>보험손익</t>
        </is>
      </c>
      <c r="AG3" s="786" t="n"/>
      <c r="AH3" s="786" t="n"/>
      <c r="AI3" s="786" t="inlineStr">
        <is>
          <t>투자손익</t>
        </is>
      </c>
      <c r="AJ3" s="786" t="n"/>
      <c r="AK3" s="786" t="n"/>
      <c r="AL3" s="786" t="n"/>
      <c r="AM3" s="786" t="n"/>
      <c r="AN3" s="966" t="inlineStr">
        <is>
          <t>수수료수익,임대료수입,기타영업수익/비용</t>
        </is>
      </c>
      <c r="AO3" s="786" t="inlineStr">
        <is>
          <t>영업이익</t>
        </is>
      </c>
      <c r="AP3" s="786" t="inlineStr">
        <is>
          <t>영업외손익</t>
        </is>
      </c>
      <c r="AQ3" s="965" t="inlineStr">
        <is>
          <t>세전손익</t>
        </is>
      </c>
      <c r="AR3" s="965" t="inlineStr">
        <is>
          <t>당기순이익</t>
        </is>
      </c>
      <c r="AS3" s="786" t="inlineStr">
        <is>
          <t>CHECK1</t>
        </is>
      </c>
      <c r="AT3" s="786" t="inlineStr">
        <is>
          <t>CHECK2</t>
        </is>
      </c>
      <c r="AU3" s="786" t="inlineStr">
        <is>
          <t>CHECK3</t>
        </is>
      </c>
      <c r="AV3" s="967" t="inlineStr">
        <is>
          <t>보험손익</t>
        </is>
      </c>
      <c r="AW3" s="967" t="inlineStr">
        <is>
          <t>투자손익</t>
        </is>
      </c>
      <c r="AX3" s="967" t="inlineStr">
        <is>
          <t>영업외손익</t>
        </is>
      </c>
      <c r="AY3" s="967" t="inlineStr">
        <is>
          <t>합계</t>
        </is>
      </c>
      <c r="AZ3" s="786" t="n"/>
      <c r="BA3" s="786" t="n"/>
      <c r="BB3" s="786" t="n"/>
      <c r="BC3" s="786" t="inlineStr">
        <is>
          <t>기초</t>
        </is>
      </c>
      <c r="BD3" s="786" t="n"/>
      <c r="BE3" s="786" t="n"/>
      <c r="BF3" s="786" t="n"/>
      <c r="BG3" s="786" t="n"/>
      <c r="BH3" s="786" t="n"/>
      <c r="BI3" s="786" t="n"/>
      <c r="BJ3" s="786" t="inlineStr">
        <is>
          <t>해외사업환산손익</t>
        </is>
      </c>
      <c r="BK3" s="786" t="inlineStr">
        <is>
          <t>기말</t>
        </is>
      </c>
      <c r="BL3" s="965" t="inlineStr">
        <is>
          <t>check</t>
        </is>
      </c>
      <c r="BM3" s="786" t="inlineStr">
        <is>
          <t>기초</t>
        </is>
      </c>
      <c r="BN3" s="786" t="n"/>
      <c r="BO3" s="786" t="n"/>
      <c r="BP3" s="786" t="n"/>
      <c r="BQ3" s="968" t="inlineStr">
        <is>
          <t>가업결합 등</t>
        </is>
      </c>
      <c r="BR3" s="968" t="inlineStr">
        <is>
          <t>24.3월부터</t>
        </is>
      </c>
      <c r="BS3" s="786" t="inlineStr">
        <is>
          <t>기말</t>
        </is>
      </c>
      <c r="BT3" s="786" t="n"/>
      <c r="BU3" s="965" t="inlineStr">
        <is>
          <t>BEL</t>
        </is>
      </c>
      <c r="BV3" s="965" t="inlineStr">
        <is>
          <t>RA</t>
        </is>
      </c>
      <c r="BW3" s="965" t="inlineStr">
        <is>
          <t>CSM</t>
        </is>
      </c>
      <c r="BX3" s="137" t="n"/>
      <c r="BY3" s="137" t="n"/>
      <c r="BZ3" s="137" t="n"/>
      <c r="CA3" s="137" t="n"/>
      <c r="CB3" s="137" t="n"/>
      <c r="CC3" s="786" t="inlineStr">
        <is>
          <t>보험료배분접근법</t>
        </is>
      </c>
      <c r="CD3" s="786" t="n"/>
      <c r="CE3" s="783" t="inlineStr">
        <is>
          <t>1년이하</t>
        </is>
      </c>
      <c r="CF3" s="783" t="inlineStr">
        <is>
          <t>1~3년</t>
        </is>
      </c>
      <c r="CG3" s="783" t="inlineStr">
        <is>
          <t>3~5년</t>
        </is>
      </c>
      <c r="CH3" s="783" t="inlineStr">
        <is>
          <t>5~10년</t>
        </is>
      </c>
      <c r="CI3" s="783" t="inlineStr">
        <is>
          <t>10년초과</t>
        </is>
      </c>
      <c r="CJ3" s="783" t="inlineStr">
        <is>
          <t>합계</t>
        </is>
      </c>
      <c r="CK3" s="969" t="inlineStr">
        <is>
          <t>check</t>
        </is>
      </c>
      <c r="CL3" s="786" t="n"/>
      <c r="CM3" s="786" t="n"/>
      <c r="CN3" s="786" t="inlineStr">
        <is>
          <t>K-ICS</t>
        </is>
      </c>
      <c r="CO3" s="786" t="inlineStr">
        <is>
          <t>가용자본</t>
        </is>
      </c>
      <c r="CP3" s="786" t="inlineStr">
        <is>
          <t>요구자본</t>
        </is>
      </c>
      <c r="CQ3" s="786" t="inlineStr">
        <is>
          <t>K-ICS</t>
        </is>
      </c>
      <c r="CR3" s="786" t="inlineStr">
        <is>
          <t>가용자본</t>
        </is>
      </c>
      <c r="CS3" s="786" t="inlineStr">
        <is>
          <t>요구자본</t>
        </is>
      </c>
      <c r="CW3" s="642" t="inlineStr">
        <is>
          <t>예상손해율 a</t>
        </is>
      </c>
      <c r="CX3" s="642" t="inlineStr">
        <is>
          <t>실제손해율 b</t>
        </is>
      </c>
      <c r="CY3" s="642" t="inlineStr">
        <is>
          <t>보험금예실차비율</t>
        </is>
      </c>
      <c r="CZ3" s="642" t="inlineStr">
        <is>
          <t>실제보허금/예상보험금</t>
        </is>
      </c>
      <c r="DC3" s="785" t="inlineStr">
        <is>
          <t>손해율</t>
        </is>
      </c>
      <c r="DD3" s="786" t="inlineStr">
        <is>
          <t>위험보험료</t>
        </is>
      </c>
      <c r="DE3" s="786" t="inlineStr">
        <is>
          <t>사고보험금(간접제외)</t>
        </is>
      </c>
      <c r="DF3" s="786" t="n"/>
      <c r="DG3" s="786" t="inlineStr">
        <is>
          <t>예실차</t>
        </is>
      </c>
      <c r="DH3" s="965" t="inlineStr">
        <is>
          <t>보험금예실차</t>
        </is>
      </c>
      <c r="DI3" s="786" t="n"/>
      <c r="DJ3" s="786" t="n"/>
      <c r="DK3" s="965" t="inlineStr">
        <is>
          <t>사업비예실차</t>
        </is>
      </c>
      <c r="DL3" s="786" t="n"/>
      <c r="DM3" s="786" t="n"/>
      <c r="DN3" s="786" t="n"/>
      <c r="DO3" s="786" t="n"/>
      <c r="DP3" s="786" t="n"/>
      <c r="DQ3" s="786" t="n"/>
      <c r="DR3" s="786" t="n"/>
      <c r="DS3" s="786" t="n"/>
      <c r="DT3" s="786" t="inlineStr">
        <is>
          <t>사업비</t>
        </is>
      </c>
      <c r="DU3" s="786" t="n"/>
      <c r="DV3" s="786" t="n"/>
      <c r="DW3" s="786" t="n"/>
      <c r="DY3" s="786" t="inlineStr">
        <is>
          <t>기타사업비</t>
        </is>
      </c>
      <c r="DZ3" s="786" t="n"/>
      <c r="EA3" s="786" t="n"/>
      <c r="EB3" s="786" t="n"/>
      <c r="EC3" s="786" t="n"/>
      <c r="ED3" s="786" t="inlineStr">
        <is>
          <t>취득현금흐름</t>
        </is>
      </c>
      <c r="EE3" s="786" t="n"/>
    </row>
    <row r="4" ht="27.75" customFormat="1" customHeight="1" s="642">
      <c r="B4" s="642" t="inlineStr">
        <is>
          <t>월도</t>
        </is>
      </c>
      <c r="C4" s="642" t="inlineStr">
        <is>
          <t>회사명</t>
        </is>
      </c>
      <c r="D4" s="786" t="n"/>
      <c r="E4" s="786" t="inlineStr">
        <is>
          <t>FVPL</t>
        </is>
      </c>
      <c r="F4" s="786" t="inlineStr">
        <is>
          <t>FVOCI</t>
        </is>
      </c>
      <c r="G4" s="786" t="inlineStr">
        <is>
          <t>AC</t>
        </is>
      </c>
      <c r="H4" s="970" t="inlineStr">
        <is>
          <t>종속기업
관계기업</t>
        </is>
      </c>
      <c r="I4" s="964" t="inlineStr">
        <is>
          <t>FVPL</t>
        </is>
      </c>
      <c r="J4" s="964" t="inlineStr">
        <is>
          <t>FVOCI</t>
        </is>
      </c>
      <c r="K4" s="964" t="inlineStr">
        <is>
          <t>AC</t>
        </is>
      </c>
      <c r="L4" s="786" t="n"/>
      <c r="M4" s="786" t="inlineStr">
        <is>
          <t>보험계약부채</t>
        </is>
      </c>
      <c r="N4" s="965" t="n"/>
      <c r="O4" s="965" t="n"/>
      <c r="P4" s="965" t="inlineStr">
        <is>
          <t>신종자본증권</t>
        </is>
      </c>
      <c r="Q4" s="965" t="inlineStr">
        <is>
          <t>기타포괄손익누계액</t>
        </is>
      </c>
      <c r="R4" s="965" t="inlineStr">
        <is>
          <t>이익잉여금</t>
        </is>
      </c>
      <c r="S4" s="965" t="n"/>
      <c r="T4" s="965" t="n"/>
      <c r="U4" s="787" t="inlineStr">
        <is>
          <t>총자산</t>
        </is>
      </c>
      <c r="V4" s="787" t="inlineStr">
        <is>
          <t>운용자산</t>
        </is>
      </c>
      <c r="W4" s="787" t="inlineStr">
        <is>
          <t>자산운용률</t>
        </is>
      </c>
      <c r="X4" s="965" t="inlineStr">
        <is>
          <t>합계</t>
        </is>
      </c>
      <c r="Y4" s="965" t="inlineStr">
        <is>
          <t>FVOCI평가손익</t>
        </is>
      </c>
      <c r="Z4" s="965" t="inlineStr">
        <is>
          <t>보험계약자산(부채)순금융손익</t>
        </is>
      </c>
      <c r="AA4" s="965" t="inlineStr">
        <is>
          <t>재보험계약자산(부채)</t>
        </is>
      </c>
      <c r="AB4" s="965" t="inlineStr">
        <is>
          <t>현금흐름위험회피</t>
        </is>
      </c>
      <c r="AC4" s="965" t="inlineStr">
        <is>
          <t>재평가잉여금</t>
        </is>
      </c>
      <c r="AD4" s="965" t="inlineStr">
        <is>
          <t>확정급여부채</t>
        </is>
      </c>
      <c r="AE4" s="965" t="inlineStr">
        <is>
          <t>CHECK</t>
        </is>
      </c>
      <c r="AF4" s="786" t="n"/>
      <c r="AG4" s="970" t="inlineStr">
        <is>
          <t>보험서비스수익
(일반+출재)</t>
        </is>
      </c>
      <c r="AH4" s="970" t="inlineStr">
        <is>
          <t>보험서비스비용
(일반+출재+기타사업비용)</t>
        </is>
      </c>
      <c r="AI4" s="786" t="n"/>
      <c r="AJ4" s="970" t="inlineStr">
        <is>
          <t>보험금융손익
(수익-비용)</t>
        </is>
      </c>
      <c r="AK4" s="970" t="inlineStr">
        <is>
          <t>재보험금융손익
'(수익-비용)</t>
        </is>
      </c>
      <c r="AL4" s="786" t="inlineStr">
        <is>
          <t>금융손익</t>
        </is>
      </c>
      <c r="AM4" s="786" t="inlineStr">
        <is>
          <t>재산관리비</t>
        </is>
      </c>
      <c r="AN4" s="786" t="inlineStr">
        <is>
          <t>기타투자손익</t>
        </is>
      </c>
      <c r="AO4" s="786" t="n"/>
      <c r="AP4" s="786" t="n"/>
      <c r="AQ4" s="965" t="n"/>
      <c r="AR4" s="965" t="n"/>
      <c r="AS4" s="786" t="n"/>
      <c r="AT4" s="786" t="n"/>
      <c r="AU4" s="786" t="n"/>
      <c r="AV4" s="964" t="n"/>
      <c r="AW4" s="964" t="n"/>
      <c r="AX4" s="964" t="n"/>
      <c r="AY4" s="964" t="n"/>
      <c r="AZ4" s="786" t="n"/>
      <c r="BA4" s="786" t="n"/>
      <c r="BB4" s="786" t="n"/>
      <c r="BC4" s="786" t="n"/>
      <c r="BD4" s="786" t="inlineStr">
        <is>
          <t>금융자산평가손익</t>
        </is>
      </c>
      <c r="BE4" s="786" t="inlineStr">
        <is>
          <t>대손충당금</t>
        </is>
      </c>
      <c r="BF4" s="786" t="inlineStr">
        <is>
          <t>보험계약금융손익(재보포함)</t>
        </is>
      </c>
      <c r="BG4" s="786" t="inlineStr">
        <is>
          <t>현금흐름위험회피파생상품</t>
        </is>
      </c>
      <c r="BH4" s="786" t="inlineStr">
        <is>
          <t>재평가잉여금</t>
        </is>
      </c>
      <c r="BI4" s="786" t="inlineStr">
        <is>
          <t>확정급여부채</t>
        </is>
      </c>
      <c r="BJ4" s="786" t="inlineStr">
        <is>
          <t>기타</t>
        </is>
      </c>
      <c r="BK4" s="786" t="n"/>
      <c r="BL4" s="786" t="n"/>
      <c r="BM4" s="786" t="n"/>
      <c r="BN4" s="786" t="inlineStr">
        <is>
          <t>결산배당</t>
        </is>
      </c>
      <c r="BO4" s="786" t="inlineStr">
        <is>
          <t>자기주식취득/처분</t>
        </is>
      </c>
      <c r="BP4" s="786" t="inlineStr">
        <is>
          <t>순이익</t>
        </is>
      </c>
      <c r="BQ4" s="786" t="inlineStr">
        <is>
          <t>기타</t>
        </is>
      </c>
      <c r="BR4" s="786" t="inlineStr">
        <is>
          <t>기타 배당(신종자본증권 등)</t>
        </is>
      </c>
      <c r="BS4" s="786" t="n"/>
      <c r="BT4" s="786" t="inlineStr">
        <is>
          <t>22년말(ifrs4)</t>
        </is>
      </c>
      <c r="BU4" s="137" t="n"/>
      <c r="BV4" s="137" t="n"/>
      <c r="BW4" s="137" t="n"/>
      <c r="BX4" s="965" t="inlineStr">
        <is>
          <t xml:space="preserve"> 신계약CSM</t>
        </is>
      </c>
      <c r="BY4" s="965" t="inlineStr">
        <is>
          <t xml:space="preserve"> CSM상각</t>
        </is>
      </c>
      <c r="BZ4" s="965" t="inlineStr">
        <is>
          <t>CSM조정</t>
        </is>
      </c>
      <c r="CA4" s="971" t="inlineStr">
        <is>
          <t>이자부리 등 
보험금융손익</t>
        </is>
      </c>
      <c r="CB4" s="965" t="inlineStr">
        <is>
          <t xml:space="preserve"> 전기CSM</t>
        </is>
      </c>
      <c r="CD4" s="786" t="n"/>
      <c r="CE4" s="786" t="n"/>
      <c r="CF4" s="786" t="inlineStr">
        <is>
          <t>1~2년</t>
        </is>
      </c>
      <c r="CG4" s="786" t="inlineStr">
        <is>
          <t>2~5년</t>
        </is>
      </c>
      <c r="CH4" s="786" t="n"/>
      <c r="CI4" s="786" t="n"/>
      <c r="CJ4" s="786" t="n"/>
      <c r="CK4" s="786" t="n"/>
      <c r="CL4" s="786" t="n"/>
      <c r="CM4" s="786" t="n"/>
      <c r="CN4" s="786" t="n"/>
      <c r="CO4" s="786" t="n"/>
      <c r="CP4" s="786" t="n"/>
      <c r="CQ4" s="786" t="n"/>
      <c r="CR4" s="786" t="n"/>
      <c r="CS4" s="786" t="n"/>
      <c r="CW4" s="642" t="inlineStr">
        <is>
          <t>당기 예상보험금 ÷ 당기 실제위험보험료</t>
        </is>
      </c>
      <c r="CX4" s="642" t="inlineStr">
        <is>
          <t>(당기 발생보험금 + 당기 발생사고 요소 조정) ÷당기 실제위험보험료</t>
        </is>
      </c>
      <c r="CY4" s="642" t="inlineStr">
        <is>
          <t>b-a</t>
        </is>
      </c>
      <c r="DC4" s="785" t="n"/>
      <c r="DD4" s="786" t="n"/>
      <c r="DE4" s="786" t="n"/>
      <c r="DF4" s="786" t="n"/>
      <c r="DG4" s="786" t="n"/>
      <c r="DH4" s="965" t="n"/>
      <c r="DI4" s="786" t="inlineStr">
        <is>
          <t>예상보험금</t>
        </is>
      </c>
      <c r="DJ4" s="786" t="inlineStr">
        <is>
          <t>실제보험금</t>
        </is>
      </c>
      <c r="DK4" s="965" t="n"/>
      <c r="DL4" s="786" t="inlineStr">
        <is>
          <t>예상사업비</t>
        </is>
      </c>
      <c r="DM4" s="786" t="inlineStr">
        <is>
          <t>실제사업비</t>
        </is>
      </c>
      <c r="DN4" s="786" t="inlineStr">
        <is>
          <t xml:space="preserve">   - 보험서비스수익_보험취득현금흐름의 상각</t>
        </is>
      </c>
      <c r="DO4" s="786" t="inlineStr">
        <is>
          <t xml:space="preserve">   - 보험서비스비용_보험취득현금흐름의 상각</t>
        </is>
      </c>
      <c r="DP4" s="786" t="inlineStr">
        <is>
          <t xml:space="preserve">  - 기타보험서비스수익</t>
        </is>
      </c>
      <c r="DQ4" s="786" t="inlineStr">
        <is>
          <t xml:space="preserve">  - 기타보험서비스비용</t>
        </is>
      </c>
      <c r="DR4" s="786" t="n"/>
      <c r="DS4" s="786" t="n"/>
      <c r="DT4" s="786" t="inlineStr">
        <is>
          <t>보험취득현금흐름</t>
        </is>
      </c>
      <c r="DU4" s="786" t="inlineStr">
        <is>
          <t>계약유지비용</t>
        </is>
      </c>
      <c r="DV4" s="786" t="inlineStr">
        <is>
          <t>투자관리비용</t>
        </is>
      </c>
      <c r="DW4" s="786" t="inlineStr">
        <is>
          <t>손해조사비용</t>
        </is>
      </c>
      <c r="DX4" s="642" t="inlineStr">
        <is>
          <t>합계</t>
        </is>
      </c>
      <c r="DY4" s="786" t="inlineStr">
        <is>
          <t>신계약비</t>
        </is>
      </c>
      <c r="DZ4" s="786" t="inlineStr">
        <is>
          <t>유지비</t>
        </is>
      </c>
      <c r="EA4" s="786" t="inlineStr">
        <is>
          <t>재산관리비</t>
        </is>
      </c>
      <c r="EB4" s="786" t="inlineStr">
        <is>
          <t>사업비 총계</t>
        </is>
      </c>
      <c r="EC4" s="786" t="n"/>
      <c r="ED4" s="786" t="inlineStr">
        <is>
          <t>비례수당</t>
        </is>
      </c>
      <c r="EE4" s="786" t="inlineStr">
        <is>
          <t>판촉비</t>
        </is>
      </c>
      <c r="EF4" s="642" t="inlineStr">
        <is>
          <t>기타</t>
        </is>
      </c>
      <c r="EG4" s="642" t="inlineStr">
        <is>
          <t>회수예상액</t>
        </is>
      </c>
    </row>
    <row r="5" customFormat="1" s="848">
      <c r="C5" s="848" t="inlineStr">
        <is>
          <t>교보</t>
        </is>
      </c>
      <c r="D5" s="848" t="n">
        <v>127213347.303222</v>
      </c>
      <c r="E5" s="848" t="n">
        <v>33587374.99602</v>
      </c>
      <c r="F5" s="848" t="n">
        <v>61044087.170703</v>
      </c>
      <c r="G5" s="848" t="n">
        <v>21428384.401341</v>
      </c>
      <c r="H5" s="848" t="n">
        <v>3302882.833591</v>
      </c>
      <c r="L5" s="848" t="n">
        <v>120412433.540692</v>
      </c>
      <c r="M5" s="848" t="n">
        <v>99364709.846058</v>
      </c>
      <c r="N5" s="848">
        <f>+O5-P5</f>
        <v/>
      </c>
      <c r="O5" s="848" t="n">
        <v>6800913.76253</v>
      </c>
      <c r="P5" s="848" t="n">
        <v>2205726.208213</v>
      </c>
      <c r="Q5" s="848" t="n">
        <v>-3117696.479842</v>
      </c>
      <c r="R5" s="848" t="n">
        <v>7441652.486049</v>
      </c>
      <c r="S5" s="848" t="n">
        <v>7305017.718577</v>
      </c>
      <c r="T5" s="972" t="n">
        <v>5099291.510364</v>
      </c>
      <c r="X5" s="848" t="n">
        <v>-3117696.479842</v>
      </c>
      <c r="AF5" s="848" t="n">
        <v>253601.557184</v>
      </c>
      <c r="AG5" s="848" t="n">
        <v>2150383.316392</v>
      </c>
      <c r="AH5" s="848" t="n">
        <v>1896781.759208</v>
      </c>
      <c r="AI5" s="848" t="n">
        <v>496917.777961</v>
      </c>
      <c r="AJ5" s="848" t="n">
        <v>-2588369.498665</v>
      </c>
      <c r="AK5" s="848" t="n">
        <v>-1527.403432</v>
      </c>
      <c r="AM5" s="848" t="n">
        <v>33009.466964</v>
      </c>
      <c r="AN5" s="848" t="n">
        <v>470524.096537</v>
      </c>
      <c r="AO5" s="848" t="n">
        <v>750519.335145</v>
      </c>
      <c r="AP5" s="848" t="n">
        <v>15386.836193</v>
      </c>
      <c r="AQ5" s="848" t="n">
        <v>765906.171338</v>
      </c>
      <c r="AR5" s="848" t="n">
        <v>585307.486474</v>
      </c>
      <c r="BC5" s="848" t="n">
        <v>-2205732.209538</v>
      </c>
      <c r="BD5" s="848" t="n">
        <v>315068.637157</v>
      </c>
      <c r="BE5" s="848" t="n">
        <v>344.045666</v>
      </c>
      <c r="BF5" s="848" t="n">
        <v>-1131008.319808</v>
      </c>
      <c r="BG5" s="848" t="n">
        <v>-100273.747007</v>
      </c>
      <c r="BH5" s="848" t="n">
        <v>4221.537825</v>
      </c>
      <c r="BI5" s="848" t="n">
        <v>-316.424137</v>
      </c>
      <c r="BK5" s="848" t="n">
        <v>-3117696.479842</v>
      </c>
      <c r="BM5" s="848" t="n">
        <v>7034002.116592</v>
      </c>
      <c r="BN5" s="848" t="n">
        <v>-120487.3068</v>
      </c>
      <c r="BP5" s="848" t="n">
        <v>585307.486474</v>
      </c>
      <c r="BR5" s="848" t="n">
        <v>-57169.810217</v>
      </c>
      <c r="BS5" s="848" t="n">
        <v>7441652.486049</v>
      </c>
    </row>
  </sheetData>
  <mergeCells count="11">
    <mergeCell ref="AF2:AR2"/>
    <mergeCell ref="CE2:CJ2"/>
    <mergeCell ref="DC2:DE2"/>
    <mergeCell ref="CN2:CP2"/>
    <mergeCell ref="CQ2:CS2"/>
    <mergeCell ref="BC2:BK2"/>
    <mergeCell ref="BU2:CC2"/>
    <mergeCell ref="D2:T2"/>
    <mergeCell ref="BM2:BS2"/>
    <mergeCell ref="CW2:CY2"/>
    <mergeCell ref="DG2:DQ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E148"/>
  <sheetViews>
    <sheetView showGridLines="0" tabSelected="1" zoomScaleNormal="100" workbookViewId="0">
      <pane xSplit="3" ySplit="5" topLeftCell="D114" activePane="bottomRight" state="frozen"/>
      <selection pane="topRight" activeCell="D1" sqref="D1"/>
      <selection pane="bottomLeft" activeCell="A6" sqref="A6"/>
      <selection pane="bottomRight" activeCell="J126" sqref="J126"/>
    </sheetView>
  </sheetViews>
  <sheetFormatPr baseColWidth="8" defaultRowHeight="15"/>
  <cols>
    <col width="9.375" customWidth="1" style="642" min="1" max="1"/>
    <col width="13.125" customWidth="1" style="642" min="2" max="2"/>
    <col width="15.125" customWidth="1" style="642" min="3" max="3"/>
    <col width="15.375" customWidth="1" style="786" min="4" max="7"/>
    <col width="14.25" customWidth="1" style="786" min="8" max="8"/>
    <col width="13" customWidth="1" style="786" min="9" max="11"/>
    <col width="15.625" customWidth="1" style="786" min="12" max="13"/>
    <col width="21.5" customWidth="1" style="965" min="14" max="14"/>
    <col width="13.5" customWidth="1" style="965" min="15" max="15"/>
    <col width="13" customWidth="1" style="965" min="16" max="16"/>
    <col width="19.25" bestFit="1" customWidth="1" style="965" min="17" max="17"/>
    <col width="13" customWidth="1" style="965" min="18" max="19"/>
    <col width="14.375" customWidth="1" style="965" min="20" max="20"/>
    <col width="13.875" customWidth="1" style="787" min="21" max="22"/>
    <col width="13" customWidth="1" style="787" min="23" max="23"/>
    <col width="19.25" bestFit="1" customWidth="1" style="965" min="24" max="24"/>
    <col width="16.125" bestFit="1" customWidth="1" style="965" min="25" max="25"/>
    <col width="13" customWidth="1" style="965" min="26" max="31"/>
    <col width="13.375" bestFit="1" customWidth="1" style="786" min="32" max="32"/>
    <col width="13.375" customWidth="1" style="786" min="33" max="37"/>
    <col width="12.25" bestFit="1" customWidth="1" style="786" min="38" max="38"/>
    <col width="12.75" customWidth="1" style="786" min="39" max="39"/>
    <col width="17.375" bestFit="1" customWidth="1" style="786" min="40" max="40"/>
    <col width="13" customWidth="1" style="786" min="41" max="42"/>
    <col width="13" customWidth="1" style="965" min="43" max="44"/>
    <col width="13" customWidth="1" style="786" min="45" max="54"/>
    <col width="15.625" customWidth="1" style="786" min="55" max="63"/>
    <col width="13" customWidth="1" style="786" min="64" max="72"/>
    <col width="14.875" customWidth="1" style="965" min="73" max="73"/>
    <col width="13" customWidth="1" style="965" min="74" max="80"/>
    <col width="13" customWidth="1" style="786" min="81" max="102"/>
    <col width="25.625" customWidth="1" style="786" min="103" max="103"/>
    <col width="13" customWidth="1" style="786" min="104" max="106"/>
    <col width="13" customWidth="1" style="785" min="107" max="107"/>
    <col width="13" customWidth="1" style="786" min="108" max="123"/>
    <col width="17.25" customWidth="1" style="786" min="124" max="124"/>
    <col width="13" customWidth="1" style="786" min="125" max="131"/>
    <col width="13.875" customWidth="1" style="786" min="132" max="132"/>
    <col width="10.125" customWidth="1" style="786" min="133" max="135"/>
    <col width="10.375" bestFit="1" customWidth="1" style="642" min="136" max="137"/>
    <col width="9" customWidth="1" style="642" min="138" max="138"/>
    <col width="11.875" bestFit="1" customWidth="1" style="642" min="139" max="139"/>
    <col width="12.25" bestFit="1" customWidth="1" style="642" min="140" max="140"/>
    <col width="9.5" bestFit="1" customWidth="1" style="642" min="141" max="141"/>
    <col width="9.375" bestFit="1" customWidth="1" style="642" min="142" max="142"/>
    <col width="9.125" bestFit="1" customWidth="1" style="642" min="143" max="143"/>
    <col width="10.5" bestFit="1" customWidth="1" style="642" min="144" max="144"/>
    <col width="9" customWidth="1" style="642" min="145" max="145"/>
    <col width="12.25" bestFit="1" customWidth="1" style="786" min="146" max="148"/>
    <col width="10.75" bestFit="1" customWidth="1" style="786" min="149" max="149"/>
    <col width="12.25" bestFit="1" customWidth="1" style="786" min="150" max="151"/>
    <col width="10.375" bestFit="1" customWidth="1" style="786" min="152" max="152"/>
    <col width="12.25" bestFit="1" customWidth="1" style="786" min="153" max="158"/>
    <col width="12.25" bestFit="1" customWidth="1" style="642" min="159" max="159"/>
    <col width="9" customWidth="1" style="642" min="160" max="160"/>
    <col width="9" customWidth="1" style="642" min="161" max="16384"/>
  </cols>
  <sheetData>
    <row r="1">
      <c r="A1" s="642" t="n">
        <v>1</v>
      </c>
      <c r="B1" s="642" t="n">
        <v>2</v>
      </c>
      <c r="C1" s="642" t="n">
        <v>3</v>
      </c>
      <c r="D1" s="642" t="n">
        <v>4</v>
      </c>
      <c r="E1" s="642" t="n">
        <v>5</v>
      </c>
      <c r="F1" s="642" t="n">
        <v>6</v>
      </c>
      <c r="G1" s="642" t="n">
        <v>7</v>
      </c>
      <c r="H1" s="642" t="n">
        <v>8</v>
      </c>
      <c r="I1" s="642" t="n">
        <v>9</v>
      </c>
      <c r="J1" s="642" t="n">
        <v>10</v>
      </c>
      <c r="K1" s="642" t="n">
        <v>11</v>
      </c>
      <c r="L1" s="642" t="n">
        <v>12</v>
      </c>
      <c r="M1" s="642" t="n">
        <v>13</v>
      </c>
      <c r="N1" s="137" t="n">
        <v>14</v>
      </c>
      <c r="O1" s="137" t="n">
        <v>15</v>
      </c>
      <c r="P1" s="137" t="n">
        <v>16</v>
      </c>
      <c r="Q1" s="137" t="n">
        <v>17</v>
      </c>
      <c r="R1" s="137" t="n">
        <v>18</v>
      </c>
      <c r="S1" s="137" t="n">
        <v>19</v>
      </c>
      <c r="T1" s="137" t="n">
        <v>20</v>
      </c>
      <c r="U1" s="111" t="n">
        <v>21</v>
      </c>
      <c r="V1" s="111" t="n">
        <v>22</v>
      </c>
      <c r="W1" s="111" t="n">
        <v>23</v>
      </c>
      <c r="X1" s="137" t="n">
        <v>24</v>
      </c>
      <c r="Y1" s="137" t="n">
        <v>25</v>
      </c>
      <c r="Z1" s="137" t="n">
        <v>26</v>
      </c>
      <c r="AA1" s="137" t="n">
        <v>27</v>
      </c>
      <c r="AB1" s="137" t="n">
        <v>28</v>
      </c>
      <c r="AC1" s="137" t="n">
        <v>29</v>
      </c>
      <c r="AD1" s="137" t="n">
        <v>30</v>
      </c>
      <c r="AE1" s="137" t="n">
        <v>31</v>
      </c>
      <c r="AF1" s="642" t="n">
        <v>32</v>
      </c>
      <c r="AG1" s="642" t="n">
        <v>33</v>
      </c>
      <c r="AH1" s="642" t="n">
        <v>34</v>
      </c>
      <c r="AI1" s="642" t="n">
        <v>35</v>
      </c>
      <c r="AJ1" s="642" t="n">
        <v>36</v>
      </c>
      <c r="AK1" s="642" t="n">
        <v>37</v>
      </c>
      <c r="AL1" s="642" t="n">
        <v>38</v>
      </c>
      <c r="AM1" s="642" t="n">
        <v>39</v>
      </c>
      <c r="AN1" s="642" t="n">
        <v>40</v>
      </c>
      <c r="AO1" s="642" t="n">
        <v>41</v>
      </c>
      <c r="AP1" s="642" t="n">
        <v>42</v>
      </c>
      <c r="AQ1" s="137" t="n">
        <v>43</v>
      </c>
      <c r="AR1" s="137" t="n">
        <v>44</v>
      </c>
      <c r="AS1" s="642" t="n">
        <v>45</v>
      </c>
      <c r="AT1" s="642" t="n">
        <v>46</v>
      </c>
      <c r="AU1" s="642" t="n">
        <v>47</v>
      </c>
      <c r="AV1" s="642" t="n">
        <v>48</v>
      </c>
      <c r="AW1" s="642" t="n">
        <v>49</v>
      </c>
      <c r="AX1" s="642" t="n">
        <v>50</v>
      </c>
      <c r="AY1" s="642" t="n">
        <v>51</v>
      </c>
      <c r="AZ1" s="642" t="n">
        <v>52</v>
      </c>
      <c r="BA1" s="642" t="n">
        <v>53</v>
      </c>
      <c r="BB1" s="642" t="n">
        <v>54</v>
      </c>
      <c r="BC1" s="642" t="n">
        <v>55</v>
      </c>
      <c r="BD1" s="642" t="n">
        <v>56</v>
      </c>
      <c r="BE1" s="642" t="n">
        <v>57</v>
      </c>
      <c r="BF1" s="642" t="n">
        <v>58</v>
      </c>
      <c r="BG1" s="642" t="n">
        <v>59</v>
      </c>
      <c r="BH1" s="642" t="n">
        <v>60</v>
      </c>
      <c r="BI1" s="642" t="n">
        <v>61</v>
      </c>
      <c r="BJ1" s="642" t="n">
        <v>62</v>
      </c>
      <c r="BK1" s="642" t="n">
        <v>63</v>
      </c>
      <c r="BL1" s="642" t="n">
        <v>64</v>
      </c>
      <c r="BM1" s="642" t="n">
        <v>65</v>
      </c>
      <c r="BN1" s="642" t="n">
        <v>66</v>
      </c>
      <c r="BO1" s="642" t="n">
        <v>67</v>
      </c>
      <c r="BP1" s="642" t="n">
        <v>68</v>
      </c>
      <c r="BQ1" s="642" t="n">
        <v>69</v>
      </c>
      <c r="BR1" s="642" t="n">
        <v>70</v>
      </c>
      <c r="BS1" s="642" t="n">
        <v>71</v>
      </c>
      <c r="BT1" s="642" t="n">
        <v>72</v>
      </c>
      <c r="BU1" s="137" t="n">
        <v>73</v>
      </c>
      <c r="BV1" s="137" t="n">
        <v>74</v>
      </c>
      <c r="BW1" s="137" t="n">
        <v>75</v>
      </c>
      <c r="BX1" s="137" t="n">
        <v>76</v>
      </c>
      <c r="BY1" s="137" t="n">
        <v>77</v>
      </c>
      <c r="BZ1" s="137" t="n">
        <v>78</v>
      </c>
      <c r="CA1" s="137" t="n">
        <v>79</v>
      </c>
      <c r="CB1" s="137" t="n">
        <v>80</v>
      </c>
      <c r="CC1" s="642" t="n">
        <v>81</v>
      </c>
      <c r="CD1" s="642" t="n">
        <v>82</v>
      </c>
      <c r="CE1" s="642" t="n">
        <v>83</v>
      </c>
      <c r="CF1" s="642" t="n">
        <v>84</v>
      </c>
      <c r="CG1" s="642" t="n">
        <v>85</v>
      </c>
      <c r="CH1" s="642" t="n">
        <v>86</v>
      </c>
      <c r="CI1" s="642" t="n">
        <v>87</v>
      </c>
      <c r="CJ1" s="642" t="n">
        <v>88</v>
      </c>
      <c r="CK1" s="642" t="n">
        <v>89</v>
      </c>
      <c r="CL1" s="642" t="n">
        <v>90</v>
      </c>
      <c r="CM1" s="642" t="n">
        <v>91</v>
      </c>
      <c r="CN1" s="642" t="n">
        <v>92</v>
      </c>
      <c r="CO1" s="642" t="n">
        <v>93</v>
      </c>
      <c r="CP1" s="642" t="n">
        <v>94</v>
      </c>
      <c r="CQ1" s="642" t="n">
        <v>95</v>
      </c>
      <c r="CR1" s="642" t="n">
        <v>96</v>
      </c>
      <c r="CS1" s="642" t="n">
        <v>97</v>
      </c>
      <c r="CT1" s="642" t="n">
        <v>98</v>
      </c>
      <c r="CU1" s="642" t="n">
        <v>99</v>
      </c>
      <c r="CV1" s="642" t="n">
        <v>100</v>
      </c>
      <c r="CW1" s="642" t="n">
        <v>101</v>
      </c>
      <c r="CX1" s="642" t="n">
        <v>102</v>
      </c>
      <c r="CY1" s="642" t="n">
        <v>103</v>
      </c>
      <c r="CZ1" s="642" t="n">
        <v>104</v>
      </c>
      <c r="DA1" s="642" t="n">
        <v>105</v>
      </c>
      <c r="DB1" s="642" t="n">
        <v>106</v>
      </c>
      <c r="DC1" s="642" t="n">
        <v>107</v>
      </c>
      <c r="DD1" s="642" t="n">
        <v>108</v>
      </c>
      <c r="DE1" s="642" t="n">
        <v>109</v>
      </c>
      <c r="DF1" s="642" t="n">
        <v>110</v>
      </c>
      <c r="DG1" s="642" t="n">
        <v>111</v>
      </c>
      <c r="DH1" s="642" t="n">
        <v>112</v>
      </c>
      <c r="DI1" s="642" t="n">
        <v>113</v>
      </c>
      <c r="DJ1" s="642" t="n">
        <v>114</v>
      </c>
      <c r="DK1" s="642" t="n">
        <v>115</v>
      </c>
      <c r="DL1" s="642" t="n">
        <v>116</v>
      </c>
      <c r="DM1" s="642" t="n">
        <v>117</v>
      </c>
      <c r="DN1" s="642" t="n">
        <v>118</v>
      </c>
      <c r="DO1" s="642" t="n">
        <v>119</v>
      </c>
      <c r="DP1" s="642" t="n">
        <v>120</v>
      </c>
      <c r="DQ1" s="642" t="n">
        <v>121</v>
      </c>
      <c r="DR1" s="642" t="n">
        <v>122</v>
      </c>
      <c r="DS1" s="642" t="n">
        <v>123</v>
      </c>
      <c r="DT1" s="642" t="n">
        <v>124</v>
      </c>
      <c r="DU1" s="642" t="n">
        <v>125</v>
      </c>
      <c r="DV1" s="642" t="n">
        <v>126</v>
      </c>
      <c r="DW1" s="642" t="n">
        <v>127</v>
      </c>
      <c r="DX1" s="642" t="n">
        <v>128</v>
      </c>
      <c r="DY1" s="642" t="n">
        <v>129</v>
      </c>
      <c r="DZ1" s="642" t="n">
        <v>130</v>
      </c>
      <c r="EA1" s="642" t="n">
        <v>131</v>
      </c>
      <c r="EB1" s="642" t="n">
        <v>132</v>
      </c>
      <c r="EC1" s="642" t="n">
        <v>133</v>
      </c>
      <c r="ED1" s="642" t="n">
        <v>134</v>
      </c>
      <c r="EE1" s="642" t="n">
        <v>135</v>
      </c>
      <c r="EF1" s="642" t="n">
        <v>136</v>
      </c>
      <c r="EG1" s="642" t="n">
        <v>137</v>
      </c>
      <c r="EH1" s="642" t="n">
        <v>138</v>
      </c>
      <c r="EI1" s="642" t="n">
        <v>139</v>
      </c>
      <c r="EJ1" s="642" t="n">
        <v>140</v>
      </c>
      <c r="EK1" s="642" t="n">
        <v>141</v>
      </c>
      <c r="EL1" s="642" t="n">
        <v>142</v>
      </c>
      <c r="EM1" s="642" t="n">
        <v>143</v>
      </c>
      <c r="EN1" s="642" t="n">
        <v>144</v>
      </c>
      <c r="EO1" s="642" t="n">
        <v>145</v>
      </c>
      <c r="EP1" s="642" t="n">
        <v>146</v>
      </c>
      <c r="EQ1" s="642" t="n">
        <v>147</v>
      </c>
      <c r="ER1" s="642" t="n">
        <v>148</v>
      </c>
      <c r="ES1" s="642" t="n">
        <v>149</v>
      </c>
      <c r="ET1" s="642" t="n">
        <v>150</v>
      </c>
      <c r="EU1" s="642" t="n">
        <v>151</v>
      </c>
      <c r="EV1" s="642" t="n">
        <v>152</v>
      </c>
      <c r="EW1" s="642" t="n">
        <v>153</v>
      </c>
      <c r="EX1" s="642" t="n">
        <v>154</v>
      </c>
      <c r="EY1" s="642" t="n">
        <v>155</v>
      </c>
      <c r="EZ1" s="642" t="n">
        <v>156</v>
      </c>
      <c r="FA1" s="642" t="n">
        <v>157</v>
      </c>
      <c r="FB1" s="642" t="n">
        <v>158</v>
      </c>
      <c r="FC1" s="642" t="n">
        <v>159</v>
      </c>
      <c r="FD1" s="642" t="n">
        <v>160</v>
      </c>
      <c r="FE1" s="642" t="n">
        <v>161</v>
      </c>
    </row>
    <row r="2" ht="18.75" customHeight="1" s="760">
      <c r="B2" s="1" t="inlineStr">
        <is>
          <t>□ 동업사 공시 취합</t>
        </is>
      </c>
      <c r="BB2" s="973" t="inlineStr">
        <is>
          <t>[ 자본변동 세부 ]</t>
        </is>
      </c>
      <c r="BC2" s="642" t="n"/>
      <c r="BD2" s="642" t="n"/>
      <c r="BE2" s="642" t="n"/>
      <c r="BF2" s="642" t="n"/>
      <c r="BG2" s="642" t="n"/>
      <c r="BH2" s="642" t="n"/>
      <c r="BI2" s="642" t="n"/>
      <c r="BJ2" s="642" t="n"/>
      <c r="BK2" s="642" t="n"/>
      <c r="BL2" s="642" t="n"/>
      <c r="BM2" s="642" t="n"/>
      <c r="BN2" s="642" t="n"/>
      <c r="BO2" s="642" t="n"/>
      <c r="BP2" s="642" t="n"/>
      <c r="BQ2" s="642" t="n"/>
      <c r="BR2" s="642" t="n"/>
      <c r="BS2" s="642" t="n"/>
      <c r="CN2" s="642" t="n"/>
      <c r="CO2" s="642" t="n"/>
      <c r="CP2" s="642" t="n"/>
      <c r="CQ2" s="642" t="n"/>
      <c r="CR2" s="642" t="n"/>
      <c r="CS2" s="642" t="n"/>
      <c r="CT2" s="642" t="n"/>
      <c r="CU2" s="642" t="n"/>
      <c r="CV2" s="642" t="n"/>
      <c r="CW2" s="642" t="n"/>
      <c r="CX2" s="642" t="n"/>
      <c r="CY2" s="642" t="n"/>
      <c r="CZ2" s="642" t="n"/>
      <c r="DA2" s="642" t="n"/>
      <c r="DB2" s="642" t="n"/>
      <c r="DD2" s="642" t="n"/>
      <c r="DE2" s="642" t="n"/>
      <c r="DF2" s="642" t="n"/>
      <c r="DG2" s="642" t="n"/>
      <c r="DH2" s="642" t="n"/>
      <c r="DI2" s="642" t="n"/>
      <c r="DJ2" s="642" t="n"/>
      <c r="DK2" s="642" t="n"/>
      <c r="DL2" s="642" t="n"/>
      <c r="DM2" s="642" t="n"/>
    </row>
    <row r="3" ht="27.75" customHeight="1" s="760">
      <c r="D3" s="957" t="inlineStr">
        <is>
          <t>B/S</t>
        </is>
      </c>
      <c r="U3" s="958" t="n"/>
      <c r="V3" s="958" t="n"/>
      <c r="W3" s="958" t="n"/>
      <c r="X3" s="959" t="n"/>
      <c r="Y3" s="959" t="n"/>
      <c r="Z3" s="959" t="n"/>
      <c r="AA3" s="959" t="n"/>
      <c r="AB3" s="959" t="n"/>
      <c r="AC3" s="959" t="n"/>
      <c r="AD3" s="959" t="n"/>
      <c r="AE3" s="959" t="n"/>
      <c r="AF3" s="960" t="inlineStr">
        <is>
          <t>P/L</t>
        </is>
      </c>
      <c r="BC3" s="961" t="inlineStr">
        <is>
          <t>기타포괄손익</t>
        </is>
      </c>
      <c r="BL3" s="642" t="n"/>
      <c r="BM3" s="739" t="inlineStr">
        <is>
          <t>이익잉여금</t>
        </is>
      </c>
      <c r="BU3" s="961" t="inlineStr">
        <is>
          <t>부채금액(순부채기준_24.12월부터 수정함)</t>
        </is>
      </c>
      <c r="CE3" s="961" t="inlineStr">
        <is>
          <t>CSM 기간별 기대수익인식금액(재보제외)</t>
        </is>
      </c>
      <c r="CN3" s="961" t="inlineStr">
        <is>
          <t>재무건전성(잠정치)</t>
        </is>
      </c>
      <c r="CQ3" s="962" t="inlineStr">
        <is>
          <t>재무건전성(최종))</t>
        </is>
      </c>
      <c r="CT3" s="642" t="n"/>
      <c r="CU3" s="642" t="inlineStr">
        <is>
          <t>해약환급금준비금</t>
        </is>
      </c>
      <c r="CV3" s="642" t="n"/>
      <c r="CW3" s="963" t="inlineStr">
        <is>
          <t>손해율(연간누계)</t>
        </is>
      </c>
      <c r="CZ3" s="642" t="n"/>
      <c r="DA3" s="642" t="n"/>
      <c r="DB3" s="642" t="n"/>
      <c r="DC3" s="963" t="inlineStr">
        <is>
          <t>손해율(연간누계)</t>
        </is>
      </c>
      <c r="DG3" s="961" t="inlineStr">
        <is>
          <t>예실차</t>
        </is>
      </c>
      <c r="DX3" s="642" t="n"/>
      <c r="EW3" s="974" t="inlineStr">
        <is>
          <t>가정변경</t>
        </is>
      </c>
    </row>
    <row r="4" ht="27.75" customHeight="1" s="760">
      <c r="D4" s="786" t="inlineStr">
        <is>
          <t>총자산</t>
        </is>
      </c>
      <c r="I4" s="964" t="inlineStr">
        <is>
          <t>총자산대비 비중</t>
        </is>
      </c>
      <c r="J4" s="964" t="n"/>
      <c r="K4" s="964" t="n"/>
      <c r="L4" s="786" t="inlineStr">
        <is>
          <t>부채</t>
        </is>
      </c>
      <c r="N4" s="965" t="inlineStr">
        <is>
          <t>자본(신종자본증권제외)</t>
        </is>
      </c>
      <c r="O4" s="965" t="inlineStr">
        <is>
          <t>자본</t>
        </is>
      </c>
      <c r="S4" s="965" t="inlineStr">
        <is>
          <t>기시자본</t>
        </is>
      </c>
      <c r="T4" s="965" t="inlineStr">
        <is>
          <t>기시자본(신종자본증권제외)</t>
        </is>
      </c>
      <c r="U4" s="975" t="inlineStr">
        <is>
          <t>자산운용률</t>
        </is>
      </c>
      <c r="X4" s="965" t="inlineStr">
        <is>
          <t>기타포괄손익누계액</t>
        </is>
      </c>
      <c r="AF4" s="786" t="inlineStr">
        <is>
          <t>보험손익</t>
        </is>
      </c>
      <c r="AI4" s="786" t="inlineStr">
        <is>
          <t>투자손익</t>
        </is>
      </c>
      <c r="AN4" s="966" t="inlineStr">
        <is>
          <t>수수료수익,임대료수입,기타영업수익/비용</t>
        </is>
      </c>
      <c r="AO4" s="786" t="inlineStr">
        <is>
          <t>영업이익</t>
        </is>
      </c>
      <c r="AP4" s="786" t="inlineStr">
        <is>
          <t>영업외손익</t>
        </is>
      </c>
      <c r="AQ4" s="965" t="inlineStr">
        <is>
          <t>세전손익</t>
        </is>
      </c>
      <c r="AR4" s="965" t="inlineStr">
        <is>
          <t>당기순이익</t>
        </is>
      </c>
      <c r="AS4" s="786" t="inlineStr">
        <is>
          <t>CHECK1</t>
        </is>
      </c>
      <c r="AT4" s="786" t="inlineStr">
        <is>
          <t>CHECK2</t>
        </is>
      </c>
      <c r="AU4" s="786" t="inlineStr">
        <is>
          <t>CHECK3</t>
        </is>
      </c>
      <c r="AV4" s="967" t="inlineStr">
        <is>
          <t>보험손익</t>
        </is>
      </c>
      <c r="AW4" s="967" t="inlineStr">
        <is>
          <t>투자손익</t>
        </is>
      </c>
      <c r="AX4" s="967" t="inlineStr">
        <is>
          <t>영업외손익</t>
        </is>
      </c>
      <c r="AY4" s="967" t="inlineStr">
        <is>
          <t>합계</t>
        </is>
      </c>
      <c r="BC4" s="786" t="inlineStr">
        <is>
          <t>기초</t>
        </is>
      </c>
      <c r="BJ4" s="786" t="inlineStr">
        <is>
          <t>해외사업환산손익</t>
        </is>
      </c>
      <c r="BK4" s="786" t="inlineStr">
        <is>
          <t>기말</t>
        </is>
      </c>
      <c r="BL4" s="965" t="inlineStr">
        <is>
          <t>check</t>
        </is>
      </c>
      <c r="BM4" s="786" t="inlineStr">
        <is>
          <t>기초</t>
        </is>
      </c>
      <c r="BQ4" s="968" t="inlineStr">
        <is>
          <t>가업결합 등</t>
        </is>
      </c>
      <c r="BR4" s="968" t="inlineStr">
        <is>
          <t>24.3월부터</t>
        </is>
      </c>
      <c r="BS4" s="786" t="inlineStr">
        <is>
          <t>기말</t>
        </is>
      </c>
      <c r="BU4" s="965" t="inlineStr">
        <is>
          <t>BEL</t>
        </is>
      </c>
      <c r="BV4" s="965" t="inlineStr">
        <is>
          <t>RA</t>
        </is>
      </c>
      <c r="BW4" s="965" t="inlineStr">
        <is>
          <t>CSM</t>
        </is>
      </c>
      <c r="BX4" s="137" t="n"/>
      <c r="BY4" s="137" t="n"/>
      <c r="BZ4" s="137" t="n"/>
      <c r="CA4" s="137" t="n"/>
      <c r="CB4" s="137" t="n"/>
      <c r="CC4" s="786" t="inlineStr">
        <is>
          <t>보험료배분접근법</t>
        </is>
      </c>
      <c r="CE4" s="783" t="inlineStr">
        <is>
          <t>1년이하</t>
        </is>
      </c>
      <c r="CF4" s="783" t="inlineStr">
        <is>
          <t>1~3년</t>
        </is>
      </c>
      <c r="CG4" s="783" t="inlineStr">
        <is>
          <t>3~5년</t>
        </is>
      </c>
      <c r="CH4" s="783" t="inlineStr">
        <is>
          <t>5~10년</t>
        </is>
      </c>
      <c r="CI4" s="783" t="inlineStr">
        <is>
          <t>10년초과</t>
        </is>
      </c>
      <c r="CJ4" s="783" t="inlineStr">
        <is>
          <t>합계</t>
        </is>
      </c>
      <c r="CK4" s="969" t="inlineStr">
        <is>
          <t>check</t>
        </is>
      </c>
      <c r="CN4" s="786" t="inlineStr">
        <is>
          <t>K-ICS</t>
        </is>
      </c>
      <c r="CO4" s="786" t="inlineStr">
        <is>
          <t>가용자본</t>
        </is>
      </c>
      <c r="CP4" s="786" t="inlineStr">
        <is>
          <t>요구자본</t>
        </is>
      </c>
      <c r="CQ4" s="786" t="inlineStr">
        <is>
          <t>K-ICS</t>
        </is>
      </c>
      <c r="CR4" s="786" t="inlineStr">
        <is>
          <t>가용자본</t>
        </is>
      </c>
      <c r="CS4" s="786" t="inlineStr">
        <is>
          <t>요구자본</t>
        </is>
      </c>
      <c r="CT4" s="642" t="n"/>
      <c r="CU4" s="642" t="n"/>
      <c r="CV4" s="642" t="n"/>
      <c r="CW4" s="2" t="inlineStr">
        <is>
          <t>예상손해율 a</t>
        </is>
      </c>
      <c r="CX4" s="642" t="inlineStr">
        <is>
          <t>실제손해율 b</t>
        </is>
      </c>
      <c r="CY4" s="642" t="inlineStr">
        <is>
          <t>보험금예실차비율</t>
        </is>
      </c>
      <c r="CZ4" s="642" t="inlineStr">
        <is>
          <t>실제보허금/예상보험금</t>
        </is>
      </c>
      <c r="DA4" s="642" t="n"/>
      <c r="DB4" s="642" t="n"/>
      <c r="DC4" s="785" t="inlineStr">
        <is>
          <t>손해율</t>
        </is>
      </c>
      <c r="DD4" s="786" t="inlineStr">
        <is>
          <t>위험보험료</t>
        </is>
      </c>
      <c r="DE4" s="786" t="inlineStr">
        <is>
          <t>사고보험금(간접제외)</t>
        </is>
      </c>
      <c r="DG4" s="786" t="inlineStr">
        <is>
          <t>예실차</t>
        </is>
      </c>
      <c r="DH4" s="965" t="inlineStr">
        <is>
          <t>보험금예실차</t>
        </is>
      </c>
      <c r="DK4" s="965" t="inlineStr">
        <is>
          <t>사업비예실차</t>
        </is>
      </c>
      <c r="DT4" s="786" t="inlineStr">
        <is>
          <t>사업비</t>
        </is>
      </c>
      <c r="DX4" s="642" t="n"/>
      <c r="DY4" s="786" t="inlineStr">
        <is>
          <t>기타사업비</t>
        </is>
      </c>
      <c r="ED4" s="786" t="inlineStr">
        <is>
          <t>취득현금흐름</t>
        </is>
      </c>
      <c r="EI4" s="642" t="inlineStr">
        <is>
          <t>처음인식한</t>
        </is>
      </c>
      <c r="EP4" s="786" t="inlineStr">
        <is>
          <t>BEL+RA기준</t>
        </is>
      </c>
      <c r="EW4" s="786" t="inlineStr">
        <is>
          <t>CSM기준</t>
        </is>
      </c>
    </row>
    <row r="5" ht="27.75" customHeight="1" s="760">
      <c r="B5" s="642" t="inlineStr">
        <is>
          <t>월도</t>
        </is>
      </c>
      <c r="C5" s="642" t="inlineStr">
        <is>
          <t>회사명</t>
        </is>
      </c>
      <c r="E5" s="786" t="inlineStr">
        <is>
          <t>FVPL</t>
        </is>
      </c>
      <c r="F5" s="786" t="inlineStr">
        <is>
          <t>FVOCI</t>
        </is>
      </c>
      <c r="G5" s="786" t="inlineStr">
        <is>
          <t>AC</t>
        </is>
      </c>
      <c r="H5" s="970" t="inlineStr">
        <is>
          <t>종속기업
관계기업</t>
        </is>
      </c>
      <c r="I5" s="964" t="inlineStr">
        <is>
          <t>FVPL</t>
        </is>
      </c>
      <c r="J5" s="964" t="inlineStr">
        <is>
          <t>FVOCI</t>
        </is>
      </c>
      <c r="K5" s="964" t="inlineStr">
        <is>
          <t>AC</t>
        </is>
      </c>
      <c r="M5" s="786" t="inlineStr">
        <is>
          <t>보험계약부채</t>
        </is>
      </c>
      <c r="P5" s="965" t="inlineStr">
        <is>
          <t>신종자본증권</t>
        </is>
      </c>
      <c r="Q5" s="965" t="inlineStr">
        <is>
          <t>기타포괄손익누계액</t>
        </is>
      </c>
      <c r="R5" s="965" t="inlineStr">
        <is>
          <t>이익잉여금</t>
        </is>
      </c>
      <c r="U5" s="787" t="inlineStr">
        <is>
          <t>총자산</t>
        </is>
      </c>
      <c r="V5" s="787" t="inlineStr">
        <is>
          <t>운용자산</t>
        </is>
      </c>
      <c r="W5" s="787" t="inlineStr">
        <is>
          <t>자산운용률</t>
        </is>
      </c>
      <c r="X5" s="965" t="inlineStr">
        <is>
          <t>합계</t>
        </is>
      </c>
      <c r="Y5" s="965" t="inlineStr">
        <is>
          <t>FVOCI평가손익</t>
        </is>
      </c>
      <c r="Z5" s="965" t="inlineStr">
        <is>
          <t>보험계약자산(부채)순금융손익</t>
        </is>
      </c>
      <c r="AA5" s="965" t="inlineStr">
        <is>
          <t>재보험계약자산(부채)</t>
        </is>
      </c>
      <c r="AB5" s="965" t="inlineStr">
        <is>
          <t>현금흐름위험회피</t>
        </is>
      </c>
      <c r="AC5" s="965" t="inlineStr">
        <is>
          <t>재평가잉여금</t>
        </is>
      </c>
      <c r="AD5" s="965" t="inlineStr">
        <is>
          <t>확정급여부채</t>
        </is>
      </c>
      <c r="AE5" s="965" t="inlineStr">
        <is>
          <t>CHECK</t>
        </is>
      </c>
      <c r="AG5" s="970" t="inlineStr">
        <is>
          <t>보험서비스수익
(일반+출재)</t>
        </is>
      </c>
      <c r="AH5" s="970" t="inlineStr">
        <is>
          <t>보험서비스비용
(일반+출재+기타사업비용)</t>
        </is>
      </c>
      <c r="AJ5" s="970" t="inlineStr">
        <is>
          <t>보험금융손익
(수익-비용)</t>
        </is>
      </c>
      <c r="AK5" s="970" t="inlineStr">
        <is>
          <t>재보험금융손익
'(수익-비용)</t>
        </is>
      </c>
      <c r="AL5" s="786" t="inlineStr">
        <is>
          <t>금융손익</t>
        </is>
      </c>
      <c r="AM5" s="786" t="inlineStr">
        <is>
          <t>재산관리비</t>
        </is>
      </c>
      <c r="AN5" s="786" t="inlineStr">
        <is>
          <t>기타투자손익</t>
        </is>
      </c>
      <c r="AV5" s="964" t="n"/>
      <c r="AW5" s="964" t="n"/>
      <c r="AX5" s="964" t="n"/>
      <c r="AY5" s="964" t="n"/>
      <c r="BD5" s="786" t="inlineStr">
        <is>
          <t>금융자산평가손익</t>
        </is>
      </c>
      <c r="BE5" s="786" t="inlineStr">
        <is>
          <t>대손충당금</t>
        </is>
      </c>
      <c r="BF5" s="786" t="inlineStr">
        <is>
          <t>보험계약금융손익(재보포함)</t>
        </is>
      </c>
      <c r="BG5" s="786" t="inlineStr">
        <is>
          <t>현금흐름위험회피파생상품</t>
        </is>
      </c>
      <c r="BH5" s="786" t="inlineStr">
        <is>
          <t>재평가잉여금</t>
        </is>
      </c>
      <c r="BI5" s="786" t="inlineStr">
        <is>
          <t>확정급여부채</t>
        </is>
      </c>
      <c r="BJ5" s="786" t="inlineStr">
        <is>
          <t>기타</t>
        </is>
      </c>
      <c r="BN5" s="786" t="inlineStr">
        <is>
          <t>결산배당</t>
        </is>
      </c>
      <c r="BO5" s="786" t="inlineStr">
        <is>
          <t>자기주식취득/처분</t>
        </is>
      </c>
      <c r="BP5" s="786" t="inlineStr">
        <is>
          <t>순이익</t>
        </is>
      </c>
      <c r="BQ5" s="786" t="inlineStr">
        <is>
          <t>기타</t>
        </is>
      </c>
      <c r="BR5" s="786" t="inlineStr">
        <is>
          <t>기타 배당(신종자본증권 등)</t>
        </is>
      </c>
      <c r="BT5" s="786" t="inlineStr">
        <is>
          <t>22년말(ifrs4)</t>
        </is>
      </c>
      <c r="BU5" s="137" t="n"/>
      <c r="BV5" s="137" t="n"/>
      <c r="BW5" s="137" t="n"/>
      <c r="BX5" s="965" t="inlineStr">
        <is>
          <t xml:space="preserve"> 신계약CSM</t>
        </is>
      </c>
      <c r="BY5" s="965" t="inlineStr">
        <is>
          <t xml:space="preserve"> CSM상각</t>
        </is>
      </c>
      <c r="BZ5" s="965" t="inlineStr">
        <is>
          <t>CSM조정</t>
        </is>
      </c>
      <c r="CA5" s="971" t="inlineStr">
        <is>
          <t>이자부리 등 
보험금융손익</t>
        </is>
      </c>
      <c r="CB5" s="965" t="inlineStr">
        <is>
          <t xml:space="preserve"> 전기CSM</t>
        </is>
      </c>
      <c r="CC5" s="642" t="n"/>
      <c r="CF5" s="786" t="inlineStr">
        <is>
          <t>1~2년</t>
        </is>
      </c>
      <c r="CG5" s="786" t="inlineStr">
        <is>
          <t>2~5년</t>
        </is>
      </c>
      <c r="CT5" s="642" t="n"/>
      <c r="CU5" s="642" t="n"/>
      <c r="CV5" s="642" t="n"/>
      <c r="CW5" s="642" t="inlineStr">
        <is>
          <t>당기 예상보험금 ÷ 당기 실제위험보험료</t>
        </is>
      </c>
      <c r="CX5" s="642" t="inlineStr">
        <is>
          <t>(당기 발생보험금 + 당기 발생사고 요소 조정) ÷당기 실제위험보험료</t>
        </is>
      </c>
      <c r="CY5" s="642" t="inlineStr">
        <is>
          <t>b-a</t>
        </is>
      </c>
      <c r="CZ5" s="642" t="n"/>
      <c r="DA5" s="642" t="n"/>
      <c r="DB5" s="642" t="n"/>
      <c r="DH5" s="965" t="n"/>
      <c r="DI5" s="786" t="inlineStr">
        <is>
          <t>예상보험금</t>
        </is>
      </c>
      <c r="DJ5" s="786" t="inlineStr">
        <is>
          <t>실제보험금</t>
        </is>
      </c>
      <c r="DK5" s="965" t="n"/>
      <c r="DL5" s="786" t="inlineStr">
        <is>
          <t>예상사업비</t>
        </is>
      </c>
      <c r="DM5" s="786" t="inlineStr">
        <is>
          <t>실제사업비</t>
        </is>
      </c>
      <c r="DN5" s="786" t="inlineStr">
        <is>
          <t xml:space="preserve">   - 보험서비스수익_보험취득현금흐름의 상각</t>
        </is>
      </c>
      <c r="DO5" s="786" t="inlineStr">
        <is>
          <t xml:space="preserve">   - 보험서비스비용_보험취득현금흐름의 상각</t>
        </is>
      </c>
      <c r="DP5" s="786" t="inlineStr">
        <is>
          <t xml:space="preserve">  - 기타보험서비스수익</t>
        </is>
      </c>
      <c r="DQ5" s="786" t="inlineStr">
        <is>
          <t xml:space="preserve">  - 기타보험서비스비용</t>
        </is>
      </c>
      <c r="DT5" s="786" t="inlineStr">
        <is>
          <t>보험취득현금흐름</t>
        </is>
      </c>
      <c r="DU5" s="786" t="inlineStr">
        <is>
          <t>계약유지비용</t>
        </is>
      </c>
      <c r="DV5" s="786" t="inlineStr">
        <is>
          <t>투자관리비용</t>
        </is>
      </c>
      <c r="DW5" s="786" t="inlineStr">
        <is>
          <t>손해조사비용</t>
        </is>
      </c>
      <c r="DX5" s="642" t="inlineStr">
        <is>
          <t>합계</t>
        </is>
      </c>
      <c r="DY5" s="786" t="inlineStr">
        <is>
          <t>신계약비</t>
        </is>
      </c>
      <c r="DZ5" s="786" t="inlineStr">
        <is>
          <t>유지비</t>
        </is>
      </c>
      <c r="EA5" s="786" t="inlineStr">
        <is>
          <t>재산관리비</t>
        </is>
      </c>
      <c r="EB5" s="786" t="inlineStr">
        <is>
          <t>사업비 총계</t>
        </is>
      </c>
      <c r="ED5" s="786" t="inlineStr">
        <is>
          <t>비례수당</t>
        </is>
      </c>
      <c r="EE5" s="786" t="inlineStr">
        <is>
          <t>판촉비</t>
        </is>
      </c>
      <c r="EF5" s="642" t="inlineStr">
        <is>
          <t>기타</t>
        </is>
      </c>
      <c r="EG5" s="642" t="inlineStr">
        <is>
          <t>회수예상액</t>
        </is>
      </c>
      <c r="EI5" s="642" t="inlineStr">
        <is>
          <t>사망</t>
        </is>
      </c>
      <c r="EJ5" s="642" t="inlineStr">
        <is>
          <t>건강</t>
        </is>
      </c>
      <c r="EK5" s="642" t="inlineStr">
        <is>
          <t>연금</t>
        </is>
      </c>
      <c r="EL5" s="642" t="inlineStr">
        <is>
          <t>저축</t>
        </is>
      </c>
      <c r="EM5" s="642" t="inlineStr">
        <is>
          <t>기타</t>
        </is>
      </c>
      <c r="EN5" s="642" t="inlineStr">
        <is>
          <t>합계</t>
        </is>
      </c>
      <c r="EP5" s="786" t="inlineStr">
        <is>
          <t>해지율</t>
        </is>
      </c>
      <c r="EQ5" s="786" t="inlineStr">
        <is>
          <t>위험률</t>
        </is>
      </c>
      <c r="ER5" s="786" t="inlineStr">
        <is>
          <t>사업비율</t>
        </is>
      </c>
      <c r="ES5" s="786" t="inlineStr">
        <is>
          <t>기타</t>
        </is>
      </c>
      <c r="ET5" s="786" t="inlineStr">
        <is>
          <t>물량, 예실차</t>
        </is>
      </c>
      <c r="EW5" s="786" t="inlineStr">
        <is>
          <t>해지율</t>
        </is>
      </c>
      <c r="EX5" s="786" t="inlineStr">
        <is>
          <t>위험률</t>
        </is>
      </c>
      <c r="EY5" s="786" t="inlineStr">
        <is>
          <t>사업비율</t>
        </is>
      </c>
      <c r="EZ5" s="786" t="inlineStr">
        <is>
          <t>기타</t>
        </is>
      </c>
      <c r="FA5" s="786" t="inlineStr">
        <is>
          <t>물량, 예실차</t>
        </is>
      </c>
      <c r="FB5" s="786" t="inlineStr">
        <is>
          <t>손실요소</t>
        </is>
      </c>
    </row>
    <row r="6" customFormat="1" s="103">
      <c r="A6" s="103">
        <f>B6&amp;C6</f>
        <v/>
      </c>
      <c r="B6" s="103" t="n">
        <v>2212</v>
      </c>
      <c r="C6" s="103" t="inlineStr">
        <is>
          <t>미래</t>
        </is>
      </c>
      <c r="D6" s="976" t="n"/>
      <c r="E6" s="976" t="n"/>
      <c r="F6" s="976" t="n"/>
      <c r="G6" s="976" t="n"/>
      <c r="H6" s="976" t="n"/>
      <c r="I6" s="977" t="n"/>
      <c r="J6" s="977" t="n"/>
      <c r="K6" s="977" t="n"/>
      <c r="L6" s="976" t="n"/>
      <c r="M6" s="976" t="n"/>
      <c r="N6" s="978">
        <f>O6-P6</f>
        <v/>
      </c>
      <c r="O6" s="978" t="n">
        <v>2875241.81535399</v>
      </c>
      <c r="P6" s="978" t="n"/>
      <c r="Q6" s="978" t="n">
        <v>365633.240535</v>
      </c>
      <c r="R6" s="978" t="n">
        <v>1708684.794874</v>
      </c>
      <c r="S6" s="978" t="n"/>
      <c r="T6" s="978" t="n"/>
      <c r="U6" s="979" t="n"/>
      <c r="V6" s="979" t="n"/>
      <c r="W6" s="979" t="n"/>
      <c r="X6" s="978" t="n">
        <v>365633</v>
      </c>
      <c r="Y6" s="978" t="n">
        <v>-1504463</v>
      </c>
      <c r="Z6" s="978" t="n">
        <v>1906556</v>
      </c>
      <c r="AA6" s="978" t="n">
        <v>-3080</v>
      </c>
      <c r="AB6" s="978" t="n">
        <v>-34967</v>
      </c>
      <c r="AC6" s="978" t="n">
        <v>1</v>
      </c>
      <c r="AD6" s="978" t="n">
        <v>1586</v>
      </c>
      <c r="AE6" s="978">
        <f>X6-SUM(Y6:AD6)</f>
        <v/>
      </c>
      <c r="AF6" s="976" t="n"/>
      <c r="AG6" s="976" t="n"/>
      <c r="AH6" s="976" t="n"/>
      <c r="AI6" s="976" t="n"/>
      <c r="AJ6" s="976" t="n"/>
      <c r="AK6" s="976" t="n"/>
      <c r="AL6" s="976" t="n"/>
      <c r="AM6" s="976" t="n"/>
      <c r="AN6" s="976" t="n"/>
      <c r="AO6" s="976" t="n"/>
      <c r="AP6" s="976" t="n"/>
      <c r="AQ6" s="978" t="n"/>
      <c r="AR6" s="978" t="n"/>
      <c r="AS6" s="978">
        <f>+AO6+AP6-AQ6</f>
        <v/>
      </c>
      <c r="AT6" s="978">
        <f>+AJ6+AK6+AL6-AM6+AN6-AI6</f>
        <v/>
      </c>
      <c r="AU6" s="978">
        <f>+AF6+AI6-AO6</f>
        <v/>
      </c>
      <c r="AV6" s="978">
        <f>+AF6</f>
        <v/>
      </c>
      <c r="AW6" s="978">
        <f>+AI6</f>
        <v/>
      </c>
      <c r="AX6" s="978">
        <f>+AP6</f>
        <v/>
      </c>
      <c r="AY6" s="978">
        <f>+SUM(AV6:AX6)</f>
        <v/>
      </c>
      <c r="AZ6" s="976" t="n"/>
      <c r="BA6" s="976" t="n"/>
      <c r="BB6" s="977">
        <f>+BF6/(BU6+BV6+BW6)</f>
        <v/>
      </c>
      <c r="BC6" s="976" t="n"/>
      <c r="BD6" s="976" t="n"/>
      <c r="BE6" s="976" t="n"/>
      <c r="BF6" s="976" t="n"/>
      <c r="BG6" s="976" t="n"/>
      <c r="BH6" s="976" t="n"/>
      <c r="BI6" s="976" t="n"/>
      <c r="BJ6" s="976" t="n"/>
      <c r="BK6" s="976" t="n"/>
      <c r="BL6" s="978">
        <f>+BK6-BC6-SUM(BD6:BJ6)</f>
        <v/>
      </c>
      <c r="BM6" s="976" t="n"/>
      <c r="BN6" s="976" t="n"/>
      <c r="BO6" s="976" t="n"/>
      <c r="BP6" s="976" t="n"/>
      <c r="BQ6" s="976" t="n"/>
      <c r="BR6" s="976" t="n"/>
      <c r="BS6" s="976" t="n"/>
      <c r="BT6" s="978" t="n">
        <v>810242.023362</v>
      </c>
      <c r="BU6" s="978" t="n">
        <v>21738494</v>
      </c>
      <c r="BV6" s="978" t="n">
        <v>397537</v>
      </c>
      <c r="BW6" s="978" t="n">
        <v>1979495</v>
      </c>
      <c r="BX6" s="978" t="n"/>
      <c r="BY6" s="978" t="n"/>
      <c r="BZ6" s="978" t="n"/>
      <c r="CA6" s="978" t="n"/>
      <c r="CB6" s="978" t="n"/>
      <c r="CC6" s="976" t="n"/>
      <c r="CD6" s="976" t="n"/>
      <c r="CE6" s="976" t="n"/>
      <c r="CF6" s="976" t="n"/>
      <c r="CG6" s="976" t="n"/>
      <c r="CH6" s="976" t="n"/>
      <c r="CI6" s="976" t="n"/>
      <c r="CJ6" s="976" t="n"/>
      <c r="CK6" s="976" t="n"/>
      <c r="CL6" s="976" t="n"/>
      <c r="CM6" s="976" t="n"/>
      <c r="CN6" s="977" t="n"/>
      <c r="CO6" s="976" t="n"/>
      <c r="CP6" s="976" t="n"/>
      <c r="CQ6" s="977" t="n"/>
      <c r="CR6" s="976" t="n"/>
      <c r="CS6" s="976" t="n"/>
      <c r="CT6" s="976" t="n"/>
      <c r="CU6" s="976" t="n"/>
      <c r="CV6" s="976" t="n"/>
      <c r="CW6" s="976" t="n"/>
      <c r="CX6" s="976" t="n"/>
      <c r="CY6" s="976" t="n"/>
      <c r="CZ6" s="976" t="n"/>
      <c r="DA6" s="976" t="n"/>
      <c r="DB6" s="976" t="n"/>
      <c r="DC6" s="977" t="n"/>
      <c r="DD6" s="976" t="n"/>
      <c r="DE6" s="976" t="n"/>
      <c r="DF6" s="976" t="n"/>
      <c r="DG6" s="976" t="n"/>
      <c r="DH6" s="976" t="n"/>
      <c r="DI6" s="976" t="n"/>
      <c r="DJ6" s="976" t="n"/>
      <c r="DK6" s="976" t="n"/>
      <c r="DL6" s="976" t="n"/>
      <c r="DM6" s="976" t="n"/>
      <c r="DN6" s="976" t="n"/>
      <c r="DO6" s="976" t="n"/>
      <c r="DP6" s="976" t="n"/>
      <c r="DQ6" s="976" t="n"/>
      <c r="DR6" s="976" t="n"/>
      <c r="DS6" s="976" t="n"/>
      <c r="DT6" s="976" t="n"/>
      <c r="DU6" s="976" t="n"/>
      <c r="DV6" s="976" t="n"/>
      <c r="DW6" s="976" t="n"/>
      <c r="DX6" s="976" t="n"/>
      <c r="DY6" s="976" t="n"/>
      <c r="DZ6" s="976" t="n"/>
      <c r="EA6" s="976" t="n"/>
      <c r="EB6" s="976" t="n"/>
      <c r="EC6" s="976" t="n"/>
      <c r="ED6" s="976" t="n"/>
      <c r="EE6" s="976" t="n"/>
      <c r="EP6" s="976" t="n"/>
      <c r="EQ6" s="976" t="n"/>
      <c r="ER6" s="976" t="n"/>
      <c r="ES6" s="976" t="n"/>
      <c r="ET6" s="976" t="n"/>
      <c r="EU6" s="976" t="n"/>
      <c r="EV6" s="976" t="n"/>
      <c r="EW6" s="976" t="n"/>
      <c r="EX6" s="976" t="n"/>
      <c r="EY6" s="976" t="n"/>
      <c r="EZ6" s="976" t="n"/>
      <c r="FA6" s="976" t="n"/>
      <c r="FB6" s="976" t="n"/>
    </row>
    <row r="7" customFormat="1" s="103">
      <c r="A7" s="103">
        <f>B7&amp;C7</f>
        <v/>
      </c>
      <c r="B7" s="103" t="n">
        <v>2312</v>
      </c>
      <c r="C7" s="103" t="inlineStr">
        <is>
          <t>미래</t>
        </is>
      </c>
      <c r="D7" s="976" t="n">
        <v>33046193.024997</v>
      </c>
      <c r="E7" s="976" t="n">
        <v>15850238.18747</v>
      </c>
      <c r="F7" s="976" t="n">
        <v>11226454.380747</v>
      </c>
      <c r="G7" s="976" t="n">
        <v>4193467.376169</v>
      </c>
      <c r="H7" s="976" t="n">
        <v>142042.965503</v>
      </c>
      <c r="I7" s="977">
        <f>+E7/$D7</f>
        <v/>
      </c>
      <c r="J7" s="977">
        <f>+F7/$D7</f>
        <v/>
      </c>
      <c r="K7" s="977">
        <f>+G7/$D7</f>
        <v/>
      </c>
      <c r="L7" s="976" t="n">
        <v>30027165.961452</v>
      </c>
      <c r="M7" s="976" t="n">
        <v>25645533.710571</v>
      </c>
      <c r="N7" s="978">
        <f>O7-P7</f>
        <v/>
      </c>
      <c r="O7" s="978" t="n">
        <v>3019027.063545</v>
      </c>
      <c r="P7" s="978" t="n"/>
      <c r="Q7" s="978" t="n">
        <v>400218.841246</v>
      </c>
      <c r="R7" s="978" t="n">
        <v>1817884.442354</v>
      </c>
      <c r="S7" s="978" t="n">
        <v>2875241.81535399</v>
      </c>
      <c r="T7" s="978">
        <f>N6</f>
        <v/>
      </c>
      <c r="U7" s="979" t="n">
        <v>20806829</v>
      </c>
      <c r="V7" s="979" t="n">
        <v>19625964</v>
      </c>
      <c r="W7" s="109" t="n">
        <v>0.9432</v>
      </c>
      <c r="X7" s="978" t="n">
        <v>400219</v>
      </c>
      <c r="Y7" s="978" t="n">
        <v>-851131</v>
      </c>
      <c r="Z7" s="978" t="n">
        <v>1146603</v>
      </c>
      <c r="AA7" s="978" t="n">
        <v>-279</v>
      </c>
      <c r="AB7" s="978" t="n">
        <v>106721</v>
      </c>
      <c r="AC7" s="978" t="n">
        <v>1</v>
      </c>
      <c r="AD7" s="978" t="n">
        <v>-1696</v>
      </c>
      <c r="AE7" s="978">
        <f>X7-SUM(Y7:AD7)</f>
        <v/>
      </c>
      <c r="AF7" s="976" t="n">
        <v>169001</v>
      </c>
      <c r="AG7" s="976">
        <f>901599+17379</f>
        <v/>
      </c>
      <c r="AH7" s="980" t="n">
        <v>749977.844748</v>
      </c>
      <c r="AI7" s="976" t="n">
        <v>-22624.423384</v>
      </c>
      <c r="AJ7" s="976">
        <f>612083.239745-2954241.016695</f>
        <v/>
      </c>
      <c r="AK7" s="976">
        <f>1479.463552-936.47891</f>
        <v/>
      </c>
      <c r="AL7" s="976">
        <f>+AI7-AJ7-AK7+AM7-AN7</f>
        <v/>
      </c>
      <c r="AM7" s="976" t="n">
        <v>20518.1339</v>
      </c>
      <c r="AN7" s="976">
        <f>24235.034747+529.822865+152653.798967-205586.529779</f>
        <v/>
      </c>
      <c r="AO7" s="976" t="n">
        <v>146376.343224</v>
      </c>
      <c r="AP7" s="976" t="n">
        <v>-4017.126837</v>
      </c>
      <c r="AQ7" s="978" t="n">
        <v>142359.216387</v>
      </c>
      <c r="AR7" s="978" t="n">
        <v>109199.854875</v>
      </c>
      <c r="AS7" s="978">
        <f>+AO7+AP7-AQ7</f>
        <v/>
      </c>
      <c r="AT7" s="978">
        <f>+AJ7+AK7+AL7-AM7+AN7-AI7</f>
        <v/>
      </c>
      <c r="AU7" s="978">
        <f>+AF7+AI7-AO7</f>
        <v/>
      </c>
      <c r="AV7" s="978">
        <f>+AF7</f>
        <v/>
      </c>
      <c r="AW7" s="978">
        <f>+AI7</f>
        <v/>
      </c>
      <c r="AX7" s="978">
        <f>+AP7</f>
        <v/>
      </c>
      <c r="AY7" s="978">
        <f>+SUM(AV7:AX7)</f>
        <v/>
      </c>
      <c r="AZ7" s="976" t="n"/>
      <c r="BA7" s="976" t="n"/>
      <c r="BB7" s="977">
        <f>+BF7/(BU7+BV7+BW7)</f>
        <v/>
      </c>
      <c r="BC7" s="976" t="n">
        <v>365633.240535</v>
      </c>
      <c r="BD7" s="976" t="n">
        <v>653331.9583300001</v>
      </c>
      <c r="BE7" s="976" t="n"/>
      <c r="BF7" s="976">
        <f>-759953.049663+2800.822033</f>
        <v/>
      </c>
      <c r="BG7" s="976" t="n">
        <v>141688.02544</v>
      </c>
      <c r="BH7" s="976" t="n">
        <v>0.002835</v>
      </c>
      <c r="BI7" s="976" t="n">
        <v>-3282.093264</v>
      </c>
      <c r="BJ7" s="976" t="n">
        <v>-0.065</v>
      </c>
      <c r="BK7" s="976" t="n">
        <v>400218.841246</v>
      </c>
      <c r="BL7" s="978">
        <f>+BK7-BC7-SUM(BD7:BJ7)</f>
        <v/>
      </c>
      <c r="BM7" s="976" t="n">
        <v>1708684.794874</v>
      </c>
      <c r="BN7" s="976" t="n"/>
      <c r="BO7" s="976" t="n"/>
      <c r="BP7" s="976" t="n">
        <v>109199.854875</v>
      </c>
      <c r="BQ7" s="976" t="n">
        <v>-0.207395</v>
      </c>
      <c r="BR7" s="976" t="n"/>
      <c r="BS7" s="976" t="n">
        <v>1817884.442354</v>
      </c>
      <c r="BT7" s="978">
        <f>+BM7+SUM(BN7:BQ7)-BS7</f>
        <v/>
      </c>
      <c r="BU7" s="978" t="n">
        <v>23381005</v>
      </c>
      <c r="BV7" s="978" t="n">
        <v>380499</v>
      </c>
      <c r="BW7" s="978" t="n">
        <v>2021452</v>
      </c>
      <c r="BX7" s="978" t="n">
        <v>292054</v>
      </c>
      <c r="BY7" s="978" t="n">
        <v>197764</v>
      </c>
      <c r="BZ7" s="138">
        <f>-117836-110097+26396+103028+725</f>
        <v/>
      </c>
      <c r="CA7" s="978">
        <f>20816+18220+6012+393+11</f>
        <v/>
      </c>
      <c r="CB7" s="978" t="n">
        <v>1979495</v>
      </c>
      <c r="CC7" s="976" t="n"/>
      <c r="CD7" s="976">
        <f>CB7+BX7-BY7+BZ7+CA7-BW7</f>
        <v/>
      </c>
      <c r="CE7" s="976" t="n">
        <v>175878</v>
      </c>
      <c r="CF7" s="976" t="n">
        <v>153432</v>
      </c>
      <c r="CG7" s="976" t="n">
        <v>367246</v>
      </c>
      <c r="CH7" s="976" t="n">
        <v>428330</v>
      </c>
      <c r="CI7" s="976" t="n">
        <v>896566</v>
      </c>
      <c r="CJ7" s="976" t="n">
        <v>2021452</v>
      </c>
      <c r="CK7" s="976" t="n">
        <v>0</v>
      </c>
      <c r="CL7" s="976" t="n"/>
      <c r="CM7" s="976" t="n"/>
      <c r="CN7" s="977" t="n"/>
      <c r="CO7" s="976" t="n"/>
      <c r="CP7" s="976" t="n"/>
      <c r="CQ7" s="977" t="n">
        <v>2.108</v>
      </c>
      <c r="CR7" s="976" t="n">
        <v>3936222</v>
      </c>
      <c r="CS7" s="976" t="n">
        <v>1867653</v>
      </c>
      <c r="CT7" s="976" t="n"/>
      <c r="CU7" s="976" t="n">
        <v>900203</v>
      </c>
      <c r="CV7" s="976" t="n"/>
      <c r="CW7" s="976" t="n"/>
      <c r="CX7" s="976" t="n"/>
      <c r="CY7" s="976" t="n"/>
      <c r="CZ7" s="976" t="n"/>
      <c r="DA7" s="976" t="n"/>
      <c r="DB7" s="976" t="n"/>
      <c r="DC7" s="977" t="n">
        <v>0.913</v>
      </c>
      <c r="DD7" s="976" t="n">
        <v>402839.771049</v>
      </c>
      <c r="DE7" s="976" t="n">
        <v>441091.037739</v>
      </c>
      <c r="DF7" s="976" t="n"/>
      <c r="DG7" s="976">
        <f>+DH7+DK7</f>
        <v/>
      </c>
      <c r="DH7" s="976">
        <f>+DI7-DJ7</f>
        <v/>
      </c>
      <c r="DI7" s="976" t="n">
        <v>435094.85386</v>
      </c>
      <c r="DJ7" s="976" t="n">
        <v>435947.541497</v>
      </c>
      <c r="DK7" s="976" t="n">
        <v>-18422.43188299999</v>
      </c>
      <c r="DL7" s="976" t="n">
        <v>125405.505823</v>
      </c>
      <c r="DM7" s="976" t="n">
        <v>143827.937706</v>
      </c>
      <c r="DN7" s="976" t="n"/>
      <c r="DO7" s="976" t="n"/>
      <c r="DP7" s="976" t="n"/>
      <c r="DQ7" s="976" t="n"/>
      <c r="DR7" s="976" t="n"/>
      <c r="DS7" s="976" t="n"/>
      <c r="DT7" s="976" t="n"/>
      <c r="DU7" s="976" t="n"/>
      <c r="DV7" s="976" t="n"/>
      <c r="DW7" s="976" t="n"/>
      <c r="DX7" s="976" t="n"/>
      <c r="DY7" s="976" t="n"/>
      <c r="DZ7" s="976" t="n"/>
      <c r="EA7" s="976" t="n"/>
      <c r="EB7" s="976" t="n"/>
      <c r="EC7" s="976" t="n"/>
      <c r="ED7" s="976" t="n"/>
      <c r="EE7" s="976" t="n"/>
      <c r="EP7" s="976" t="n"/>
      <c r="EQ7" s="976" t="n"/>
      <c r="ER7" s="976" t="n"/>
      <c r="ES7" s="976" t="n"/>
      <c r="ET7" s="976" t="n"/>
      <c r="EU7" s="976" t="n"/>
      <c r="EV7" s="976" t="n"/>
      <c r="EW7" s="976" t="n"/>
      <c r="EX7" s="976" t="n"/>
      <c r="EY7" s="976" t="n"/>
      <c r="EZ7" s="976" t="n"/>
      <c r="FA7" s="976" t="n"/>
      <c r="FB7" s="976" t="n"/>
    </row>
    <row r="8" customFormat="1" s="103">
      <c r="A8" s="103">
        <f>B8&amp;C8</f>
        <v/>
      </c>
      <c r="B8" s="103" t="n">
        <v>2412</v>
      </c>
      <c r="C8" s="103" t="inlineStr">
        <is>
          <t>미래</t>
        </is>
      </c>
      <c r="D8" s="976" t="n">
        <v>32404438.804746</v>
      </c>
      <c r="E8" s="976" t="n">
        <v>15392284.369489</v>
      </c>
      <c r="F8" s="976" t="n">
        <v>11969183.336759</v>
      </c>
      <c r="G8" s="976" t="n">
        <v>3499463.44569</v>
      </c>
      <c r="H8" s="976" t="n">
        <v>142042.965503</v>
      </c>
      <c r="I8" s="977">
        <f>+E8/$D8</f>
        <v/>
      </c>
      <c r="J8" s="977">
        <f>+F8/$D8</f>
        <v/>
      </c>
      <c r="K8" s="977">
        <f>+G8/$D8</f>
        <v/>
      </c>
      <c r="L8" s="976" t="n">
        <v>29851200.854978</v>
      </c>
      <c r="M8" s="976" t="n">
        <v>26248411.835353</v>
      </c>
      <c r="N8" s="978">
        <f>O8-P8</f>
        <v/>
      </c>
      <c r="O8" s="978" t="n">
        <v>2553237.949768</v>
      </c>
      <c r="P8" s="978" t="n"/>
      <c r="Q8" s="978" t="n">
        <v>-190609.909176</v>
      </c>
      <c r="R8" s="978" t="n">
        <v>1942924.078999</v>
      </c>
      <c r="S8" s="978" t="n">
        <v>3019027.063545</v>
      </c>
      <c r="T8" s="978">
        <f>N7</f>
        <v/>
      </c>
      <c r="U8" s="979" t="n">
        <v>20335973</v>
      </c>
      <c r="V8" s="979" t="n">
        <v>19251277</v>
      </c>
      <c r="W8" s="109" t="n">
        <v>0.9467</v>
      </c>
      <c r="X8" s="978" t="n">
        <v>-190610</v>
      </c>
      <c r="Y8" s="978" t="n">
        <v>-663571</v>
      </c>
      <c r="Z8" s="978" t="n">
        <v>259438</v>
      </c>
      <c r="AA8" s="978" t="n">
        <v>-311</v>
      </c>
      <c r="AB8" s="978" t="n">
        <v>215428</v>
      </c>
      <c r="AC8" s="978" t="n">
        <v>1</v>
      </c>
      <c r="AD8" s="978" t="n">
        <v>-1595</v>
      </c>
      <c r="AE8" s="978">
        <f>X8-SUM(Y8:AD8)</f>
        <v/>
      </c>
      <c r="AF8" s="976" t="n">
        <v>119275.544347</v>
      </c>
      <c r="AG8" s="976" t="n">
        <v>983399.644285</v>
      </c>
      <c r="AH8" s="976" t="n">
        <v>864124.099938</v>
      </c>
      <c r="AI8" s="976" t="n">
        <v>-4336.640029</v>
      </c>
      <c r="AJ8" s="976">
        <f>319182.610551-2393087.757924</f>
        <v/>
      </c>
      <c r="AK8" s="976">
        <f>2023.866051-1217.984427</f>
        <v/>
      </c>
      <c r="AL8" s="976">
        <f>+AI8-AJ8-AK8+AM8-AN8</f>
        <v/>
      </c>
      <c r="AM8" s="976" t="n">
        <v>20023.981185</v>
      </c>
      <c r="AN8" s="976">
        <f>12600.127718+370.579051+160260.090131-149677.126397</f>
        <v/>
      </c>
      <c r="AO8" s="976" t="n">
        <v>114938.904318</v>
      </c>
      <c r="AP8" s="976" t="n">
        <v>883.982452</v>
      </c>
      <c r="AQ8" s="978" t="n">
        <v>115822.88677</v>
      </c>
      <c r="AR8" s="978" t="n">
        <v>125038.95284</v>
      </c>
      <c r="AS8" s="978">
        <f>+AO8+AP8-AQ8</f>
        <v/>
      </c>
      <c r="AT8" s="978">
        <f>+AJ8+AK8+AL8-AM8+AN8-AI8</f>
        <v/>
      </c>
      <c r="AU8" s="978">
        <f>+AF8+AI8-AO8</f>
        <v/>
      </c>
      <c r="AV8" s="978">
        <f>+AF8</f>
        <v/>
      </c>
      <c r="AW8" s="978">
        <f>+AI8</f>
        <v/>
      </c>
      <c r="AX8" s="978">
        <f>+AP8</f>
        <v/>
      </c>
      <c r="AY8" s="978">
        <f>+SUM(AV8:AX8)</f>
        <v/>
      </c>
      <c r="AZ8" s="976" t="n"/>
      <c r="BA8" s="976" t="n"/>
      <c r="BB8" s="977">
        <f>+BF8/(BU8+BV8+BW8)</f>
        <v/>
      </c>
      <c r="BC8" s="976" t="n">
        <v>400218.841246</v>
      </c>
      <c r="BD8" s="976" t="n">
        <v>187559.891758</v>
      </c>
      <c r="BE8" s="976" t="n"/>
      <c r="BF8" s="976">
        <f>-887165.296388-31.597595</f>
        <v/>
      </c>
      <c r="BG8" s="976" t="n">
        <v>108707.310233</v>
      </c>
      <c r="BH8" s="976" t="n">
        <v>0.209707</v>
      </c>
      <c r="BI8" s="976" t="n">
        <v>101.415668</v>
      </c>
      <c r="BJ8" s="976" t="n">
        <v>-0.683805</v>
      </c>
      <c r="BK8" s="976" t="n">
        <v>-190609.909176</v>
      </c>
      <c r="BL8" s="981">
        <f>+BK8-BC8-SUM(BD8:BJ8)</f>
        <v/>
      </c>
      <c r="BM8" s="976" t="n">
        <v>1817884.442354</v>
      </c>
      <c r="BN8" s="976" t="n"/>
      <c r="BO8" s="976" t="n"/>
      <c r="BP8" s="976" t="n">
        <v>125038.95284</v>
      </c>
      <c r="BQ8" s="976" t="n">
        <v>0.683805</v>
      </c>
      <c r="BR8" s="976" t="n"/>
      <c r="BS8" s="976" t="n">
        <v>1942924.078999</v>
      </c>
      <c r="BT8" s="978">
        <f>+BM8+SUM(BN8:BQ8)-BS8</f>
        <v/>
      </c>
      <c r="BU8" s="978">
        <f>5432747+2726072+9418032+6190308+16328</f>
        <v/>
      </c>
      <c r="BV8" s="978">
        <f>165905+141890+36747+42171</f>
        <v/>
      </c>
      <c r="BW8" s="978">
        <f>785941+883688+239327+168607+649</f>
        <v/>
      </c>
      <c r="BX8" s="978">
        <f>109764+231736+34685+18420</f>
        <v/>
      </c>
      <c r="BY8" s="978">
        <f>74087+60168+35799+27570+67</f>
        <v/>
      </c>
      <c r="BZ8" s="978">
        <f>-241935+111141-61713+1174-217</f>
        <v/>
      </c>
      <c r="CA8" s="978">
        <f>23065+22822+5151+337+23</f>
        <v/>
      </c>
      <c r="CB8" s="978">
        <f>969134+578158+297004+176246+910</f>
        <v/>
      </c>
      <c r="CC8" s="199">
        <f>+BU8/BU7</f>
        <v/>
      </c>
      <c r="CD8" s="976">
        <f>CB8+BX8-BY8+BZ8+CA8-BW8</f>
        <v/>
      </c>
      <c r="CE8" s="976" t="n">
        <v>183466.073686</v>
      </c>
      <c r="CF8" s="976">
        <f>163097.691359+144244.932329</f>
        <v/>
      </c>
      <c r="CG8" s="976">
        <f>129115.170765+116992.624975</f>
        <v/>
      </c>
      <c r="CH8" s="976" t="n">
        <v>448823.262549</v>
      </c>
      <c r="CI8" s="976" t="n">
        <v>892472.313316</v>
      </c>
      <c r="CJ8" s="976">
        <f>SUM(CD8:CI8)</f>
        <v/>
      </c>
      <c r="CK8" s="976" t="n">
        <v>0</v>
      </c>
      <c r="CL8" s="976" t="n"/>
      <c r="CM8" s="976" t="n"/>
      <c r="CN8" s="977" t="n"/>
      <c r="CO8" s="976" t="n"/>
      <c r="CP8" s="976" t="n"/>
      <c r="CQ8" s="977" t="n">
        <v>1.924</v>
      </c>
      <c r="CR8" s="976" t="n">
        <v>3579638</v>
      </c>
      <c r="CS8" s="976" t="n">
        <v>1860572</v>
      </c>
      <c r="CT8" s="976" t="n"/>
      <c r="CU8" s="976" t="n">
        <v>992343</v>
      </c>
      <c r="CV8" s="976" t="n"/>
      <c r="CW8" s="104" t="n">
        <v>0.97</v>
      </c>
      <c r="CX8" s="104" t="n">
        <v>1.03</v>
      </c>
      <c r="CY8" s="104" t="n">
        <v>-0.06</v>
      </c>
      <c r="CZ8" s="199">
        <f>+CX8/CW8</f>
        <v/>
      </c>
      <c r="DA8" s="976" t="n"/>
      <c r="DB8" s="976" t="n"/>
      <c r="DC8" s="977" t="n">
        <v>0.906</v>
      </c>
      <c r="DD8" s="976" t="n">
        <v>462029.642559</v>
      </c>
      <c r="DE8" s="976" t="n">
        <v>418416.696681</v>
      </c>
      <c r="DF8" s="976" t="n"/>
      <c r="DG8" s="976">
        <f>+DH8+DK8</f>
        <v/>
      </c>
      <c r="DH8" s="976">
        <f>+DI8-DJ8</f>
        <v/>
      </c>
      <c r="DI8" s="976" t="n">
        <v>449061.220339</v>
      </c>
      <c r="DJ8" s="976" t="n">
        <v>475519.347043</v>
      </c>
      <c r="DK8" s="976" t="n">
        <v>440.2383500000004</v>
      </c>
      <c r="DL8" s="976" t="n">
        <v>155074.057595</v>
      </c>
      <c r="DM8" s="976" t="n">
        <v>154633.819245</v>
      </c>
      <c r="DN8" s="976" t="n"/>
      <c r="DO8" s="976" t="n"/>
      <c r="DP8" s="976" t="n"/>
      <c r="DQ8" s="976" t="n"/>
      <c r="DR8" s="976" t="n"/>
      <c r="DS8" s="976" t="n"/>
      <c r="DT8" s="976" t="n"/>
      <c r="DU8" s="976" t="n"/>
      <c r="DV8" s="976" t="n"/>
      <c r="DW8" s="976" t="n"/>
      <c r="DX8" s="976" t="n"/>
      <c r="DY8" s="976" t="n"/>
      <c r="DZ8" s="976" t="n"/>
      <c r="EA8" s="976" t="n"/>
      <c r="EB8" s="976" t="n"/>
      <c r="EC8" s="976" t="n"/>
      <c r="ED8" s="976" t="n"/>
      <c r="EE8" s="976" t="n"/>
      <c r="EP8" s="976" t="n">
        <v>322239.56119</v>
      </c>
      <c r="EQ8" s="976" t="n">
        <v>-284865.564038</v>
      </c>
      <c r="ER8" s="976" t="n">
        <v>41396.232525</v>
      </c>
      <c r="ES8" s="976" t="n">
        <v>479025.971727</v>
      </c>
      <c r="ET8" s="976">
        <f>-324819.032059+16850.52573</f>
        <v/>
      </c>
      <c r="EU8" s="976" t="n"/>
      <c r="EV8" s="976" t="n"/>
      <c r="EW8" s="976" t="n">
        <v>-322239.56119</v>
      </c>
      <c r="EX8" s="976" t="n">
        <v>284865.564038</v>
      </c>
      <c r="EY8" s="976" t="n">
        <v>-41396.232525</v>
      </c>
      <c r="EZ8" s="976" t="n">
        <v>-479025.971727</v>
      </c>
      <c r="FA8" s="976" t="n">
        <v>341669.557789</v>
      </c>
      <c r="FB8" s="976" t="n">
        <v>24575.710336</v>
      </c>
    </row>
    <row r="9" customFormat="1" s="103">
      <c r="A9" s="103">
        <f>B9&amp;C9</f>
        <v/>
      </c>
      <c r="B9" s="103" t="n">
        <v>2503</v>
      </c>
      <c r="C9" s="103" t="inlineStr">
        <is>
          <t>미래</t>
        </is>
      </c>
      <c r="D9" s="976" t="n">
        <v>32214588.505664</v>
      </c>
      <c r="E9" s="976" t="n">
        <v>15112991.502851</v>
      </c>
      <c r="F9" s="976" t="n">
        <v>12442117.804534</v>
      </c>
      <c r="G9" s="976" t="n">
        <v>3110827.729214</v>
      </c>
      <c r="H9" s="976" t="n">
        <v>142042.965503</v>
      </c>
      <c r="I9" s="977">
        <f>+E9/$D9</f>
        <v/>
      </c>
      <c r="J9" s="977">
        <f>+F9/$D9</f>
        <v/>
      </c>
      <c r="K9" s="977">
        <f>+G9/$D9</f>
        <v/>
      </c>
      <c r="L9" s="976" t="n">
        <v>29747791.285061</v>
      </c>
      <c r="M9" s="976" t="n">
        <v>26550413.233904</v>
      </c>
      <c r="N9" s="978">
        <f>O9-P9</f>
        <v/>
      </c>
      <c r="O9" s="978" t="n">
        <v>2466797.220603</v>
      </c>
      <c r="P9" s="978" t="n"/>
      <c r="Q9" s="978" t="n">
        <v>-301370.406516</v>
      </c>
      <c r="R9" s="978" t="n">
        <v>1967243.847174</v>
      </c>
      <c r="S9" s="978" t="n">
        <v>2553237.949768</v>
      </c>
      <c r="T9" s="978">
        <f>N8</f>
        <v/>
      </c>
      <c r="U9" s="979" t="n">
        <v>20439867</v>
      </c>
      <c r="V9" s="979" t="n">
        <v>19288639</v>
      </c>
      <c r="W9" s="109" t="n">
        <v>0.9437</v>
      </c>
      <c r="X9" s="978" t="n">
        <v>-301370</v>
      </c>
      <c r="Y9" s="978" t="n">
        <v>-368683</v>
      </c>
      <c r="Z9" s="978" t="n">
        <v>-207613</v>
      </c>
      <c r="AA9" s="978" t="n">
        <v>-1553</v>
      </c>
      <c r="AB9" s="978" t="n">
        <v>277924</v>
      </c>
      <c r="AC9" s="978" t="n">
        <v>1</v>
      </c>
      <c r="AD9" s="978" t="n">
        <v>-1446</v>
      </c>
      <c r="AE9" s="978">
        <f>X9-SUM(Y9:AD9)</f>
        <v/>
      </c>
      <c r="AF9" s="976" t="n">
        <v>38885.306583</v>
      </c>
      <c r="AG9" s="976" t="n">
        <v>265006.263782</v>
      </c>
      <c r="AH9" s="976" t="n">
        <v>226120.957199</v>
      </c>
      <c r="AI9" s="976" t="n">
        <v>352.608881</v>
      </c>
      <c r="AJ9" s="976">
        <f>275924.10502-292067.265999</f>
        <v/>
      </c>
      <c r="AK9" s="976">
        <f>836.704159-58.941728</f>
        <v/>
      </c>
      <c r="AL9" s="976">
        <f>+AI9-AJ9-AK9+AM9-AN9</f>
        <v/>
      </c>
      <c r="AM9" s="976" t="n">
        <v>5082.588551</v>
      </c>
      <c r="AN9" s="976">
        <f>1175.242597+131.46588+43483.302428-16655.619346</f>
        <v/>
      </c>
      <c r="AO9" s="976" t="n">
        <v>39237.915464</v>
      </c>
      <c r="AP9" s="976" t="n">
        <v>-973.4016</v>
      </c>
      <c r="AQ9" s="978" t="n">
        <v>38264.513864</v>
      </c>
      <c r="AR9" s="978" t="n">
        <v>24319.768175</v>
      </c>
      <c r="AS9" s="978">
        <f>+AO9+AP9-AQ9</f>
        <v/>
      </c>
      <c r="AT9" s="978">
        <f>+AJ9+AK9+AL9-AM9+AN9-AI9</f>
        <v/>
      </c>
      <c r="AU9" s="978">
        <f>+AF9+AI9-AO9</f>
        <v/>
      </c>
      <c r="AV9" s="978">
        <f>+AF9</f>
        <v/>
      </c>
      <c r="AW9" s="978">
        <f>+AI9</f>
        <v/>
      </c>
      <c r="AX9" s="978">
        <f>+AP9</f>
        <v/>
      </c>
      <c r="AY9" s="978">
        <f>+SUM(AV9:AX9)</f>
        <v/>
      </c>
      <c r="AZ9" s="976" t="n"/>
      <c r="BA9" s="976" t="n"/>
      <c r="BB9" s="977" t="n"/>
      <c r="BC9" s="976" t="n">
        <v>-190609.909176</v>
      </c>
      <c r="BD9" s="976">
        <f>294887.487859</f>
        <v/>
      </c>
      <c r="BE9" s="976" t="n"/>
      <c r="BF9" s="976">
        <f>-467051.502113-1241.479465</f>
        <v/>
      </c>
      <c r="BG9" s="976" t="n">
        <v>62495.836189</v>
      </c>
      <c r="BH9" s="976" t="n">
        <v>-0.003762</v>
      </c>
      <c r="BI9" s="976" t="n">
        <v>149.13952</v>
      </c>
      <c r="BJ9" s="976" t="n"/>
      <c r="BK9" s="976" t="n">
        <v>-301370.406516</v>
      </c>
      <c r="BL9" s="978">
        <f>+BK9-BC9-SUM(BD9:BJ9)</f>
        <v/>
      </c>
      <c r="BM9" s="976" t="n">
        <v>1942924.078999</v>
      </c>
      <c r="BN9" s="976" t="n"/>
      <c r="BO9" s="976" t="n"/>
      <c r="BP9" s="976" t="n">
        <v>24319.768175</v>
      </c>
      <c r="BQ9" s="976" t="n"/>
      <c r="BR9" s="976" t="n"/>
      <c r="BS9" s="976" t="n">
        <v>1967243.847174</v>
      </c>
      <c r="BT9" s="978">
        <f>+BM9+SUM(BN9:BQ9)-BS9</f>
        <v/>
      </c>
      <c r="BU9" s="978">
        <f>5871417+2756082+9408496+6029242+16031</f>
        <v/>
      </c>
      <c r="BV9" s="978">
        <f>156433+151932+35252+40801</f>
        <v/>
      </c>
      <c r="BW9" s="978">
        <f>724057+951273+226685+182058+654</f>
        <v/>
      </c>
      <c r="BX9" s="978">
        <f>10269+115167+8234+7369</f>
        <v/>
      </c>
      <c r="BY9" s="978">
        <f>14783+19426+7634+6516+14</f>
        <v/>
      </c>
      <c r="BZ9" s="978">
        <f>-62318-36386+-14623+12456+16</f>
        <v/>
      </c>
      <c r="CA9" s="978">
        <f>4948+8230+1380+142+4</f>
        <v/>
      </c>
      <c r="CB9" s="978">
        <f>785941+883688+239327+168607+649</f>
        <v/>
      </c>
      <c r="CC9" s="976" t="n"/>
      <c r="CD9" s="976">
        <f>CB9+BX9-BY9+BZ9+CA9-BW9</f>
        <v/>
      </c>
      <c r="CE9" s="976" t="n">
        <v>186138.66199</v>
      </c>
      <c r="CF9" s="976">
        <f>166162.698702+147001.065743</f>
        <v/>
      </c>
      <c r="CG9" s="976">
        <f>131739.650401+119448.308749</f>
        <v/>
      </c>
      <c r="CH9" s="976" t="n">
        <v>458123.300995861</v>
      </c>
      <c r="CI9" s="976" t="n">
        <v>876112.94908556</v>
      </c>
      <c r="CJ9" s="976" t="n">
        <v>2084727</v>
      </c>
      <c r="CK9" s="976" t="n">
        <v>0</v>
      </c>
      <c r="CL9" s="976" t="n"/>
      <c r="CM9" s="976" t="n"/>
      <c r="CN9" s="977" t="n"/>
      <c r="CO9" s="976" t="n"/>
      <c r="CP9" s="976" t="n"/>
      <c r="CQ9" s="977" t="n">
        <v>1.833</v>
      </c>
      <c r="CR9" s="976" t="n">
        <v>3451122</v>
      </c>
      <c r="CS9" s="976" t="n">
        <v>1883004</v>
      </c>
      <c r="CT9" s="976" t="n"/>
      <c r="CU9" s="976" t="n">
        <v>1031843</v>
      </c>
      <c r="CV9" s="976" t="n"/>
      <c r="CW9" s="104" t="n"/>
      <c r="CX9" s="104" t="n"/>
      <c r="CY9" s="104" t="n"/>
      <c r="CZ9" s="199" t="n"/>
      <c r="DA9" s="976" t="n"/>
      <c r="DB9" s="976" t="n"/>
      <c r="DC9" s="977" t="n">
        <v>0.884</v>
      </c>
      <c r="DD9" s="976" t="n">
        <v>121713.099858</v>
      </c>
      <c r="DE9" s="976" t="n">
        <v>107559.708235</v>
      </c>
      <c r="DF9" s="976" t="n"/>
      <c r="DG9" s="976">
        <f>+DH9+DK9</f>
        <v/>
      </c>
      <c r="DH9" s="976">
        <f>+DI9-DJ9</f>
        <v/>
      </c>
      <c r="DI9" s="976" t="n">
        <v>117072.543885</v>
      </c>
      <c r="DJ9" s="976" t="n">
        <v>112718.779019</v>
      </c>
      <c r="DK9" s="976">
        <f>+DL9-DM9</f>
        <v/>
      </c>
      <c r="DL9" s="976" t="n">
        <v>46543.094498</v>
      </c>
      <c r="DM9" s="976" t="n">
        <v>39908.928272</v>
      </c>
      <c r="DN9" s="976" t="n"/>
      <c r="DO9" s="976" t="n"/>
      <c r="DP9" s="976" t="n"/>
      <c r="DQ9" s="976" t="n"/>
      <c r="DR9" s="976" t="n"/>
      <c r="DS9" s="976" t="n"/>
      <c r="DT9" s="976" t="n"/>
      <c r="DU9" s="976" t="n"/>
      <c r="DV9" s="976" t="n"/>
      <c r="DW9" s="976" t="n"/>
      <c r="DX9" s="976" t="n"/>
      <c r="DY9" s="976" t="n"/>
      <c r="DZ9" s="976" t="n"/>
      <c r="EA9" s="976" t="n"/>
      <c r="EB9" s="976" t="n"/>
      <c r="EC9" s="976" t="n"/>
      <c r="ED9" s="976" t="n"/>
      <c r="EE9" s="976" t="n"/>
      <c r="EP9" s="976" t="n"/>
      <c r="EQ9" s="976" t="n"/>
      <c r="ER9" s="976" t="n"/>
      <c r="ES9" s="976" t="n"/>
      <c r="ET9" s="976" t="n"/>
      <c r="EU9" s="976" t="n"/>
      <c r="EV9" s="976" t="n"/>
      <c r="EW9" s="976" t="n"/>
      <c r="EX9" s="976" t="n"/>
      <c r="EY9" s="976" t="n"/>
      <c r="EZ9" s="976" t="n"/>
      <c r="FA9" s="976" t="n"/>
      <c r="FB9" s="976" t="n"/>
    </row>
    <row r="10" customFormat="1" s="103">
      <c r="A10" s="103">
        <f>B10&amp;C10</f>
        <v/>
      </c>
      <c r="B10" s="103" t="n">
        <v>2506</v>
      </c>
      <c r="C10" s="103" t="inlineStr">
        <is>
          <t>미래</t>
        </is>
      </c>
      <c r="D10" s="976" t="n">
        <v>32215468.491141</v>
      </c>
      <c r="E10" s="976" t="n">
        <v>15656028.855631</v>
      </c>
      <c r="F10" s="976" t="n">
        <v>12053808.702816</v>
      </c>
      <c r="G10" s="976" t="n">
        <v>3067006.105679</v>
      </c>
      <c r="H10" s="976" t="n">
        <v>142042.965503</v>
      </c>
      <c r="I10" s="977">
        <f>+E10/$D10</f>
        <v/>
      </c>
      <c r="J10" s="977">
        <f>+F10/$D10</f>
        <v/>
      </c>
      <c r="K10" s="977">
        <f>+G10/$D10</f>
        <v/>
      </c>
      <c r="L10" s="976" t="n">
        <v>29744745.599781</v>
      </c>
      <c r="M10" s="976" t="n">
        <v>26726920.177778</v>
      </c>
      <c r="N10" s="978">
        <f>O10-P10</f>
        <v/>
      </c>
      <c r="O10" s="978" t="n">
        <v>2470722.89136</v>
      </c>
      <c r="P10" s="978" t="n"/>
      <c r="Q10" s="978" t="n">
        <v>-347798.366721</v>
      </c>
      <c r="R10" s="978" t="n">
        <v>2017597.478136</v>
      </c>
      <c r="S10" s="978" t="n">
        <v>2553237.949768</v>
      </c>
      <c r="T10" s="978">
        <f>T9</f>
        <v/>
      </c>
      <c r="U10" s="979" t="n">
        <v>19952535</v>
      </c>
      <c r="V10" s="979" t="n">
        <v>18966515</v>
      </c>
      <c r="W10" s="109" t="n">
        <v>0.9506</v>
      </c>
      <c r="X10" s="978" t="n">
        <v>-347798.366721</v>
      </c>
      <c r="Y10" s="978" t="n">
        <v>-514563.224048</v>
      </c>
      <c r="Z10" s="978" t="n">
        <v>-28949.164986</v>
      </c>
      <c r="AA10" s="978" t="n">
        <v>-2208.532674</v>
      </c>
      <c r="AB10" s="978" t="n">
        <v>198983.62318</v>
      </c>
      <c r="AC10" s="978" t="n">
        <v>0.721544</v>
      </c>
      <c r="AD10" s="978" t="n">
        <v>-1061.789737</v>
      </c>
      <c r="AE10" s="978">
        <f>X10-SUM(Y10:AD10)</f>
        <v/>
      </c>
      <c r="AF10" s="976" t="n">
        <v>83561.57513899999</v>
      </c>
      <c r="AG10" s="976" t="n">
        <v>532293.41955</v>
      </c>
      <c r="AH10" s="976" t="n">
        <v>448731.844411</v>
      </c>
      <c r="AI10" s="976" t="n">
        <v>20415.610316</v>
      </c>
      <c r="AJ10" s="976">
        <f>459787.038625-1054527.226523</f>
        <v/>
      </c>
      <c r="AK10" s="976">
        <f>1656.88045-1173.499672</f>
        <v/>
      </c>
      <c r="AL10" s="976">
        <f>+AI10-AJ10-AK10+AM10-AN10</f>
        <v/>
      </c>
      <c r="AM10" s="976" t="n">
        <v>10167.640203</v>
      </c>
      <c r="AN10" s="976">
        <f>3989.989192+276.709411+83064.202417-45593.78915</f>
        <v/>
      </c>
      <c r="AO10" s="976" t="n">
        <v>103977.185455</v>
      </c>
      <c r="AP10" s="976" t="n">
        <v>-2377.131308</v>
      </c>
      <c r="AQ10" s="978" t="n">
        <v>101600.054147</v>
      </c>
      <c r="AR10" s="978" t="n">
        <v>74673.399137</v>
      </c>
      <c r="AS10" s="978">
        <f>+AO10+AP10-AQ10</f>
        <v/>
      </c>
      <c r="AT10" s="978">
        <f>+AJ10+AK10+AL10-AM10+AN10-AI10</f>
        <v/>
      </c>
      <c r="AU10" s="978">
        <f>+AF10+AI10-AO10</f>
        <v/>
      </c>
      <c r="AV10" s="978">
        <f>+AF10</f>
        <v/>
      </c>
      <c r="AW10" s="978">
        <f>+AI10</f>
        <v/>
      </c>
      <c r="AX10" s="978">
        <f>+AP10</f>
        <v/>
      </c>
      <c r="AY10" s="978">
        <f>+SUM(AV10:AX10)</f>
        <v/>
      </c>
      <c r="AZ10" s="976" t="n"/>
      <c r="BA10" s="976" t="n"/>
      <c r="BB10" s="977" t="n"/>
      <c r="BC10" s="976" t="n">
        <v>-190609.909176</v>
      </c>
      <c r="BD10" s="978">
        <f>149007.451646</f>
        <v/>
      </c>
      <c r="BE10" s="978" t="n"/>
      <c r="BF10" s="978" t="n">
        <v>-290284.5747929999</v>
      </c>
      <c r="BG10" s="978" t="n">
        <v>-16444.27315</v>
      </c>
      <c r="BH10" s="978" t="n">
        <v>-0.003048</v>
      </c>
      <c r="BI10" s="978" t="n">
        <v>532.9417</v>
      </c>
      <c r="BJ10" s="978" t="n"/>
      <c r="BK10" s="976" t="n">
        <v>-347798.366721</v>
      </c>
      <c r="BL10" s="978">
        <f>+BK10-BC10-SUM(BD10:BJ10)</f>
        <v/>
      </c>
      <c r="BM10" s="976">
        <f>+BM9</f>
        <v/>
      </c>
      <c r="BN10" s="976" t="n"/>
      <c r="BO10" s="976" t="n"/>
      <c r="BP10" s="976" t="n">
        <v>74673.399137</v>
      </c>
      <c r="BQ10" s="976" t="n"/>
      <c r="BR10" s="976" t="n"/>
      <c r="BS10" s="976" t="n">
        <v>2017597.478136</v>
      </c>
      <c r="BT10" s="978">
        <f>+BM10+SUM(BN10:BQ10)-BS10</f>
        <v/>
      </c>
      <c r="BU10" s="978" t="n">
        <v>24139969.938636</v>
      </c>
      <c r="BV10" s="978" t="n">
        <v>401723.316677</v>
      </c>
      <c r="BW10" s="978" t="n">
        <v>2185226.92247</v>
      </c>
      <c r="BX10" s="978" t="n">
        <v>245194.972691</v>
      </c>
      <c r="BY10" s="978" t="n">
        <v>99207.397518</v>
      </c>
      <c r="BZ10" s="978" t="n">
        <v>-68549.585918</v>
      </c>
      <c r="CA10" s="978" t="n">
        <v>29576.864236</v>
      </c>
      <c r="CB10" s="978">
        <f>+CB9</f>
        <v/>
      </c>
      <c r="CC10" s="976" t="n"/>
      <c r="CD10" s="976">
        <f>CB10+BX10-BY10+BZ10+CA10-BW10</f>
        <v/>
      </c>
      <c r="CE10" s="976" t="n">
        <v>196394.461284</v>
      </c>
      <c r="CF10" s="976" t="n">
        <v>330676.072148</v>
      </c>
      <c r="CG10" s="976" t="n">
        <v>265377.548255</v>
      </c>
      <c r="CH10" s="976" t="n">
        <v>481939.872368</v>
      </c>
      <c r="CI10" s="976" t="n">
        <v>910838.968415</v>
      </c>
      <c r="CJ10" s="976" t="n">
        <v>2185226.92247</v>
      </c>
      <c r="CK10" s="982">
        <f>CJ10-SUM(CE10:CI10)</f>
        <v/>
      </c>
      <c r="CL10" s="976" t="n"/>
      <c r="CM10" s="976" t="n"/>
      <c r="CN10" s="977" t="n"/>
      <c r="CO10" s="976" t="n"/>
      <c r="CP10" s="976" t="n"/>
      <c r="CQ10" s="977" t="n">
        <v>1.835</v>
      </c>
      <c r="CR10" s="976" t="n">
        <v>3548527</v>
      </c>
      <c r="CS10" s="976" t="n">
        <v>1933826</v>
      </c>
      <c r="CT10" s="976" t="n"/>
      <c r="CU10" s="976" t="n">
        <v>1075511.159716</v>
      </c>
      <c r="CV10" s="976" t="n"/>
      <c r="CW10" s="104" t="n"/>
      <c r="CX10" s="104" t="n"/>
      <c r="CY10" s="104" t="n"/>
      <c r="CZ10" s="199" t="n"/>
      <c r="DA10" s="976" t="n"/>
      <c r="DB10" s="976" t="n"/>
      <c r="DC10" s="977" t="n">
        <v>0.8933686075119043</v>
      </c>
      <c r="DD10" s="976" t="n">
        <v>220173.299525</v>
      </c>
      <c r="DE10" s="976" t="n">
        <v>246452.917277</v>
      </c>
      <c r="DF10" s="976" t="n"/>
      <c r="DG10" s="976" t="n">
        <v>6782.502074000004</v>
      </c>
      <c r="DH10" s="976" t="n">
        <v>-4898.125894999993</v>
      </c>
      <c r="DI10" s="976" t="n">
        <v>235814.396802</v>
      </c>
      <c r="DJ10" s="976" t="n">
        <v>240712.522697</v>
      </c>
      <c r="DK10" s="976" t="n">
        <v>11680.627969</v>
      </c>
      <c r="DL10" s="976" t="n">
        <v>90947.315084</v>
      </c>
      <c r="DM10" s="976" t="n">
        <v>79266.68711499999</v>
      </c>
      <c r="DN10" s="976" t="n"/>
      <c r="DO10" s="976" t="n"/>
      <c r="DP10" s="976" t="n"/>
      <c r="DQ10" s="976" t="n"/>
      <c r="DR10" s="976" t="n"/>
      <c r="DS10" s="976" t="n"/>
      <c r="DT10" s="976" t="n"/>
      <c r="DU10" s="976" t="n"/>
      <c r="DV10" s="976" t="n"/>
      <c r="DW10" s="976" t="n"/>
      <c r="DX10" s="976" t="n"/>
      <c r="DY10" s="976" t="n"/>
      <c r="DZ10" s="976" t="n"/>
      <c r="EA10" s="976" t="n"/>
      <c r="EB10" s="976" t="n"/>
      <c r="EC10" s="976" t="n"/>
      <c r="ED10" s="976" t="n"/>
      <c r="EE10" s="976" t="n"/>
      <c r="EP10" s="976" t="n"/>
      <c r="EQ10" s="976" t="n"/>
      <c r="ER10" s="976" t="n"/>
      <c r="ES10" s="976" t="n"/>
      <c r="ET10" s="976" t="n"/>
      <c r="EU10" s="976" t="n"/>
      <c r="EV10" s="976" t="n"/>
      <c r="EW10" s="976" t="n"/>
      <c r="EX10" s="976" t="n"/>
      <c r="EY10" s="976" t="n"/>
      <c r="EZ10" s="976" t="n"/>
      <c r="FA10" s="976" t="n"/>
      <c r="FB10" s="976" t="n"/>
    </row>
    <row r="11" customFormat="1" s="103">
      <c r="A11" s="103">
        <f>B11&amp;C11</f>
        <v/>
      </c>
      <c r="B11" s="103" t="n">
        <v>2509</v>
      </c>
      <c r="C11" s="103" t="inlineStr">
        <is>
          <t>미래</t>
        </is>
      </c>
      <c r="D11" s="976" t="n">
        <v>33165463.238684</v>
      </c>
      <c r="E11" s="976" t="n">
        <v>16558856.627634</v>
      </c>
      <c r="F11" s="976" t="n">
        <v>12326566.814335</v>
      </c>
      <c r="G11" s="976" t="n">
        <v>2883514.038402</v>
      </c>
      <c r="H11" s="976" t="n">
        <v>142042.965503</v>
      </c>
      <c r="I11" s="977">
        <f>+E11/$D11</f>
        <v/>
      </c>
      <c r="J11" s="977">
        <f>+F11/$D11</f>
        <v/>
      </c>
      <c r="K11" s="977">
        <f>+G11/$D11</f>
        <v/>
      </c>
      <c r="L11" s="976" t="n">
        <v>30683351.810687</v>
      </c>
      <c r="M11" s="976" t="n">
        <v>27342067.893353</v>
      </c>
      <c r="N11" s="978">
        <f>O11-P11</f>
        <v/>
      </c>
      <c r="O11" s="978" t="n">
        <v>2482111.427997</v>
      </c>
      <c r="P11" s="978" t="n"/>
      <c r="Q11" s="978" t="n">
        <v>-382933.654079</v>
      </c>
      <c r="R11" s="978" t="n">
        <v>2064121.302131</v>
      </c>
      <c r="S11" s="978" t="n">
        <v>2553237.949768</v>
      </c>
      <c r="T11" s="978">
        <f>T10</f>
        <v/>
      </c>
      <c r="U11" s="979" t="n">
        <v>19873173</v>
      </c>
      <c r="V11" s="979" t="n">
        <v>19069967</v>
      </c>
      <c r="W11" s="109" t="n">
        <v>0.9596</v>
      </c>
      <c r="X11" s="978" t="n">
        <v>-382933.654079</v>
      </c>
      <c r="Y11" s="978" t="n">
        <v>-563472.233294</v>
      </c>
      <c r="Z11" s="978" t="n">
        <v>69595.550106</v>
      </c>
      <c r="AA11" s="978" t="n">
        <v>-1981.914014</v>
      </c>
      <c r="AB11" s="978" t="n">
        <v>113268.772136</v>
      </c>
      <c r="AC11" s="978" t="n">
        <v>0.721811</v>
      </c>
      <c r="AD11" s="978" t="n">
        <v>-344.550824</v>
      </c>
      <c r="AE11" s="978">
        <f>X11-SUM(Y11:AD11)</f>
        <v/>
      </c>
      <c r="AF11" s="976" t="n">
        <v>117870.78557</v>
      </c>
      <c r="AG11" s="976" t="n">
        <v>814383.521239</v>
      </c>
      <c r="AH11" s="976" t="n">
        <v>696512.735669</v>
      </c>
      <c r="AI11" s="976" t="n">
        <v>44958.711119</v>
      </c>
      <c r="AJ11" s="976">
        <f>478403.888726-2110926.278601</f>
        <v/>
      </c>
      <c r="AK11" s="976">
        <f>2449.857952-1713.452802</f>
        <v/>
      </c>
      <c r="AL11" s="976">
        <f>+AI11-AJ11-AK11+AM11-AN11</f>
        <v/>
      </c>
      <c r="AM11" s="976" t="n">
        <v>15483.933791</v>
      </c>
      <c r="AN11" s="976">
        <f>6665.151354+395.044936+127664.078122-86907.357418</f>
        <v/>
      </c>
      <c r="AO11" s="976" t="n">
        <v>162829.496689</v>
      </c>
      <c r="AP11" s="976" t="n">
        <v>-2693.664055</v>
      </c>
      <c r="AQ11" s="978" t="n">
        <v>160135.832634</v>
      </c>
      <c r="AR11" s="978" t="n">
        <v>121197.223132</v>
      </c>
      <c r="AS11" s="978">
        <f>+AO11+AP11-AQ11</f>
        <v/>
      </c>
      <c r="AT11" s="978">
        <f>+AJ11+AK11+AL11-AM11+AN11-AI11</f>
        <v/>
      </c>
      <c r="AU11" s="978">
        <f>+AF11+AI11-AO11</f>
        <v/>
      </c>
      <c r="AV11" s="978">
        <f>+AF11</f>
        <v/>
      </c>
      <c r="AW11" s="978">
        <f>+AI11</f>
        <v/>
      </c>
      <c r="AX11" s="978">
        <f>+AP11</f>
        <v/>
      </c>
      <c r="AY11" s="978">
        <f>+SUM(AV11:AX11)</f>
        <v/>
      </c>
      <c r="AZ11" s="976" t="n"/>
      <c r="BA11" s="976" t="n"/>
      <c r="BB11" s="977" t="n"/>
      <c r="BC11" s="976" t="n">
        <v>-190609.909176</v>
      </c>
      <c r="BD11" s="976" t="n">
        <v>100098.4424</v>
      </c>
      <c r="BE11" s="976" t="n"/>
      <c r="BF11" s="976">
        <f>+-189842.305865+-1670.935076</f>
        <v/>
      </c>
      <c r="BG11" s="976" t="n">
        <v>-102159.124194</v>
      </c>
      <c r="BH11" s="976" t="n">
        <v>0.002781</v>
      </c>
      <c r="BI11" s="976" t="n">
        <v>1250.180613</v>
      </c>
      <c r="BJ11" s="976" t="n"/>
      <c r="BK11" s="976" t="n">
        <v>-382933.654079</v>
      </c>
      <c r="BL11" s="978">
        <f>+BK11-BC11-SUM(BD11:BJ11)</f>
        <v/>
      </c>
      <c r="BM11" s="976" t="n">
        <v>1942924.078999</v>
      </c>
      <c r="BN11" s="976" t="n"/>
      <c r="BO11" s="976" t="n"/>
      <c r="BP11" s="976" t="n">
        <v>121197.223132</v>
      </c>
      <c r="BQ11" s="976" t="n"/>
      <c r="BR11" s="976" t="n"/>
      <c r="BS11" s="976" t="n">
        <v>2064121.302131</v>
      </c>
      <c r="BT11" s="978">
        <f>+BM11+SUM(BN11:BQ11)-BS11</f>
        <v/>
      </c>
      <c r="BU11" s="978">
        <f>6039323.845646+2447769.827923+9499652.310289+6570276.055479+37243.952227</f>
        <v/>
      </c>
      <c r="BV11" s="978">
        <f>159797.837745+174142.666228+37716.646347+43162.416306+49.941881</f>
        <v/>
      </c>
      <c r="BW11" s="976" t="n">
        <v>2332932.393282</v>
      </c>
      <c r="BX11" s="978">
        <f>30979.104317+314839.333346+26303.183298+21194.739678+2972.937908</f>
        <v/>
      </c>
      <c r="BY11" s="976">
        <f>13584.293228+16957.560499+15289.849026+7732.267328+17141.148694+36567.56829+2084.687639+20445.109747+1964.909176+4110.208143+13010.669969+4103.188218+42.917109+86.139391</f>
        <v/>
      </c>
      <c r="BZ11" s="978">
        <f>3296.615734-20519.464785+5989.719328-7411.085046+6888.116298-76468.241456-1199.316143+6236.198559-4240.411307+932.010207+57333.315579-4258.544788+38.493574+64.59784</f>
        <v/>
      </c>
      <c r="CA11" s="978">
        <f>3112.224975+5771.748812+5606.713632+2808.1501+5955.649759+17042.189958+32.523451+4086.231271+0.0117212+440.722281+12.267168</f>
        <v/>
      </c>
      <c r="CB11" s="978">
        <f>+CB10</f>
        <v/>
      </c>
      <c r="CC11" s="976" t="n"/>
      <c r="CD11" s="976">
        <f>CB11+BX11-BY11+BZ11+CA11-BW11</f>
        <v/>
      </c>
      <c r="CE11" s="976" t="n">
        <v>210646.86569</v>
      </c>
      <c r="CF11" s="976" t="n">
        <v>354876.4074311268</v>
      </c>
      <c r="CG11" s="976" t="n">
        <v>284271.2799594763</v>
      </c>
      <c r="CH11" s="976" t="n">
        <v>515143.0888456425</v>
      </c>
      <c r="CI11" s="976" t="n">
        <v>967994.7504763759</v>
      </c>
      <c r="CJ11" s="976" t="n">
        <v>2332932.393282</v>
      </c>
      <c r="CK11" s="982">
        <f>CJ11-SUM(CE11:CI11)</f>
        <v/>
      </c>
      <c r="CL11" s="976" t="n"/>
      <c r="CM11" s="976" t="n"/>
      <c r="CN11" s="977" t="n"/>
      <c r="CO11" s="976" t="n"/>
      <c r="CP11" s="976" t="n"/>
      <c r="CQ11" s="977" t="n">
        <v>1.83</v>
      </c>
      <c r="CR11" s="976" t="n">
        <v>3666942</v>
      </c>
      <c r="CS11" s="976" t="n">
        <v>2004067</v>
      </c>
      <c r="CT11" s="976" t="n"/>
      <c r="CU11" s="976" t="n">
        <v>1147657.428006</v>
      </c>
      <c r="CV11" s="976" t="n"/>
      <c r="CW11" s="104" t="n"/>
      <c r="CX11" s="104" t="n"/>
      <c r="CY11" s="104" t="n"/>
      <c r="CZ11" s="199" t="n"/>
      <c r="DA11" s="976" t="n"/>
      <c r="DB11" s="976" t="n"/>
      <c r="DC11" s="977" t="n">
        <v>0.917</v>
      </c>
      <c r="DD11" s="976" t="n">
        <v>375222</v>
      </c>
      <c r="DE11" s="976" t="n">
        <v>344097</v>
      </c>
      <c r="DF11" s="976" t="n"/>
      <c r="DG11" s="976" t="n">
        <v>-6308.536113999989</v>
      </c>
      <c r="DH11" s="976" t="n">
        <v>-23843.95891599999</v>
      </c>
      <c r="DI11" s="976" t="n">
        <v>359227.479386</v>
      </c>
      <c r="DJ11" s="976" t="n">
        <v>383071.4383020001</v>
      </c>
      <c r="DK11" s="976" t="n">
        <v>17535.422802</v>
      </c>
      <c r="DL11" s="976" t="n">
        <v>141053.812019</v>
      </c>
      <c r="DM11" s="976" t="n">
        <v>123518.389217</v>
      </c>
      <c r="DN11" s="976" t="n"/>
      <c r="DO11" s="976" t="n"/>
      <c r="DP11" s="976" t="n"/>
      <c r="DQ11" s="976" t="n"/>
      <c r="DR11" s="976" t="n"/>
      <c r="DS11" s="976" t="n"/>
      <c r="DT11" s="976" t="n"/>
      <c r="DU11" s="976" t="n"/>
      <c r="DV11" s="976" t="n"/>
      <c r="DW11" s="976" t="n"/>
      <c r="DX11" s="976" t="n"/>
      <c r="DY11" s="976" t="n"/>
      <c r="DZ11" s="976" t="n"/>
      <c r="EA11" s="976" t="n"/>
      <c r="EB11" s="976" t="n"/>
      <c r="EC11" s="976" t="n"/>
      <c r="ED11" s="976" t="n"/>
      <c r="EE11" s="976" t="n"/>
      <c r="EI11" s="976" t="n">
        <v>30979.104317</v>
      </c>
      <c r="EJ11" s="976" t="n">
        <v>314839.333346</v>
      </c>
      <c r="EK11" s="976" t="n">
        <v>26303.183298</v>
      </c>
      <c r="EL11" s="976" t="n">
        <v>21194.739678</v>
      </c>
      <c r="EM11" s="976" t="n">
        <v>2972.937908</v>
      </c>
      <c r="EN11" s="976">
        <f>SUM(EI11:EM11)</f>
        <v/>
      </c>
      <c r="EO11" s="983">
        <f>+EN11-BX11</f>
        <v/>
      </c>
      <c r="EP11" s="976" t="n"/>
      <c r="EQ11" s="976" t="n"/>
      <c r="ER11" s="976" t="n"/>
      <c r="ES11" s="976" t="n"/>
      <c r="ET11" s="976" t="n"/>
      <c r="EU11" s="976" t="n"/>
      <c r="EV11" s="976" t="n"/>
      <c r="EW11" s="976" t="n"/>
      <c r="EX11" s="976" t="n"/>
      <c r="EY11" s="976" t="n"/>
      <c r="EZ11" s="976" t="n"/>
      <c r="FA11" s="976" t="n"/>
      <c r="FB11" s="976" t="n"/>
    </row>
    <row r="12" customFormat="1" s="103">
      <c r="A12" s="103">
        <f>B12&amp;C12</f>
        <v/>
      </c>
      <c r="B12" s="103" t="n">
        <v>2512</v>
      </c>
      <c r="C12" s="103" t="inlineStr">
        <is>
          <t>미래</t>
        </is>
      </c>
      <c r="D12" s="976" t="n">
        <v>32855181.935106</v>
      </c>
      <c r="E12" s="976" t="n">
        <v>16944446.771969</v>
      </c>
      <c r="F12" s="976" t="n">
        <v>11663557.366015</v>
      </c>
      <c r="G12" s="976" t="n">
        <v>2801450.399792</v>
      </c>
      <c r="H12" s="976" t="n">
        <v>142042.965503</v>
      </c>
      <c r="I12" s="977">
        <f>+E12/$D12</f>
        <v/>
      </c>
      <c r="J12" s="977">
        <f>+F12/$D12</f>
        <v/>
      </c>
      <c r="K12" s="977">
        <f>+G12/$D12</f>
        <v/>
      </c>
      <c r="L12" s="976" t="n">
        <v>30418680.379437</v>
      </c>
      <c r="M12" s="976" t="n">
        <v>26996698.255523</v>
      </c>
      <c r="N12" s="978">
        <f>O12-P12</f>
        <v/>
      </c>
      <c r="O12" s="978" t="n">
        <v>2436501.555669</v>
      </c>
      <c r="P12" s="978" t="n"/>
      <c r="Q12" s="978" t="n">
        <v>-432246.692496</v>
      </c>
      <c r="R12" s="978" t="n">
        <v>2067824.46822</v>
      </c>
      <c r="S12" s="978" t="n">
        <v>2553237.949768</v>
      </c>
      <c r="T12" s="978">
        <f>T11</f>
        <v/>
      </c>
      <c r="U12" s="979" t="n"/>
      <c r="V12" s="979" t="n">
        <v>18541000</v>
      </c>
      <c r="W12" s="109" t="n">
        <v>0.9573</v>
      </c>
      <c r="X12" s="978">
        <f>+Q12</f>
        <v/>
      </c>
      <c r="Y12" s="978" t="n">
        <v>-1046247.890303</v>
      </c>
      <c r="Z12" s="978" t="n">
        <v>632811.513596</v>
      </c>
      <c r="AA12" s="978" t="n">
        <v>-2748.773194</v>
      </c>
      <c r="AB12" s="978" t="n">
        <v>-20537.736696</v>
      </c>
      <c r="AC12" s="978" t="n">
        <v>0.724592</v>
      </c>
      <c r="AD12" s="978" t="n">
        <v>4475.435459</v>
      </c>
      <c r="AE12" s="978">
        <f>X12-SUM(Y12:AD12)</f>
        <v/>
      </c>
      <c r="AF12" s="976" t="n">
        <v>111990.109584</v>
      </c>
      <c r="AG12" s="976" t="n">
        <v>1104076.687337</v>
      </c>
      <c r="AH12" s="976" t="n">
        <v>992086.577753</v>
      </c>
      <c r="AI12" s="976" t="n">
        <v>73866.15652400001</v>
      </c>
      <c r="AJ12" s="976">
        <f>663731.847798-2936510.796988</f>
        <v/>
      </c>
      <c r="AK12" s="976">
        <f>3308.249396-2284.439882</f>
        <v/>
      </c>
      <c r="AL12" s="976">
        <f>+AI12-AJ12-AK12+AM12-AN12</f>
        <v/>
      </c>
      <c r="AM12" s="976" t="n">
        <v>20658.569665</v>
      </c>
      <c r="AN12" s="976">
        <f>9031.070614+518.770904+165405.099672-115731.182276</f>
        <v/>
      </c>
      <c r="AO12" s="976" t="n">
        <v>185856.266108</v>
      </c>
      <c r="AP12" s="976" t="n">
        <v>3400.510773</v>
      </c>
      <c r="AQ12" s="978" t="n">
        <v>189256.776881</v>
      </c>
      <c r="AR12" s="978" t="n">
        <v>124900.389221</v>
      </c>
      <c r="AS12" s="978">
        <f>+AO12+AP12-AQ12</f>
        <v/>
      </c>
      <c r="AT12" s="978">
        <f>+AJ12+AK12+AL12-AM12+AN12-AI12</f>
        <v/>
      </c>
      <c r="AU12" s="978">
        <f>+AF12+AI12-AO12</f>
        <v/>
      </c>
      <c r="AV12" s="978">
        <f>+AF12</f>
        <v/>
      </c>
      <c r="AW12" s="978">
        <f>+AI12</f>
        <v/>
      </c>
      <c r="AX12" s="978">
        <f>+AP12</f>
        <v/>
      </c>
      <c r="AY12" s="978">
        <f>+SUM(AV12:AX12)</f>
        <v/>
      </c>
      <c r="AZ12" s="976" t="n"/>
      <c r="BA12" s="976" t="n"/>
      <c r="BB12" s="977" t="n"/>
      <c r="BC12" s="976" t="n">
        <v>-190609.909176</v>
      </c>
      <c r="BD12" s="976" t="n">
        <v>-382677.214609</v>
      </c>
      <c r="BE12" s="976" t="n"/>
      <c r="BF12" s="976">
        <f>373373.657625+-2437.794256</f>
        <v/>
      </c>
      <c r="BG12" s="976" t="n">
        <v>-235965.633026</v>
      </c>
      <c r="BH12" s="976" t="n">
        <v>0.03405</v>
      </c>
      <c r="BI12" s="976" t="n">
        <v>6070.166896</v>
      </c>
      <c r="BJ12" s="976" t="n"/>
      <c r="BK12" s="976" t="n">
        <v>-432246.692496</v>
      </c>
      <c r="BL12" s="981">
        <f>+BK12-BC12-SUM(BD12:BJ12)</f>
        <v/>
      </c>
      <c r="BM12" s="976" t="n">
        <v>1942924.078999</v>
      </c>
      <c r="BN12" s="976" t="n"/>
      <c r="BO12" s="976" t="n"/>
      <c r="BP12" s="976" t="n">
        <v>124900.389221</v>
      </c>
      <c r="BQ12" s="976" t="n"/>
      <c r="BR12" s="976" t="n"/>
      <c r="BS12" s="976" t="n">
        <v>2067824.46822</v>
      </c>
      <c r="BT12" s="978">
        <f>+BM12+SUM(BN12:BQ12)-BS12</f>
        <v/>
      </c>
      <c r="BU12" s="978">
        <f>6034920.352084+2353007.969413+9367000.083161+6733879.382617+42420.846957</f>
        <v/>
      </c>
      <c r="BV12" s="978">
        <f>154307.100816+170190.238917+36366.68649+45124.333949+56.140872</f>
        <v/>
      </c>
      <c r="BW12" s="978">
        <f>186193.155118+217081.603023+180082.133328+117923.775898+205065.445862+619969.014007+17458.112157+198395.693328+22020.252884+33515.2057849999+227265.474265+30259.611363+26.023606+3167.619423</f>
        <v/>
      </c>
      <c r="BX12" s="978">
        <f>42762.869628+428736.37896+38252.28994+26313.645583+3812.931232</f>
        <v/>
      </c>
      <c r="BY12" s="978">
        <f>17291.145164+21565.046307+19976.565286+10000.469469+21801.688158+49978.016679+2689.752156+28157.207902+2785.419853+5630.320853+19706.654532+6033.978065+43.444029+171.775312</f>
        <v/>
      </c>
      <c r="BZ12" s="978">
        <f>-55298.738834-101072.009729-49465.546933-16991.890593-48068.104323-257953.948654-3394.065953+17927.388097-26014.623867+6068.394068+129864.605759-9025.113413-596.312971-473.536497</f>
        <v/>
      </c>
      <c r="CA12" s="978">
        <f>4110.72912+7578.252413+7633.264369+3690.63802+7925.890765+23711.286192+43.072892+5365.155561+0.117212+582.575501+16.941288</f>
        <v/>
      </c>
      <c r="CB12" s="978">
        <f>+CB11</f>
        <v/>
      </c>
      <c r="CC12" s="976" t="n"/>
      <c r="CD12" s="976">
        <f>CB12+BX12-BY12+BZ12+CA12-BW12</f>
        <v/>
      </c>
      <c r="CE12" s="976" t="n">
        <v>201415.2356559522</v>
      </c>
      <c r="CF12" s="976" t="n">
        <v>331159.0735191715</v>
      </c>
      <c r="CG12" s="976" t="n">
        <v>258258.9550837835</v>
      </c>
      <c r="CH12" s="976" t="n">
        <v>457082.7977227661</v>
      </c>
      <c r="CI12" s="976" t="n">
        <v>810507.058065327</v>
      </c>
      <c r="CJ12" s="976">
        <f>SUM(CE12:CI12)</f>
        <v/>
      </c>
      <c r="CK12" s="982">
        <f>CJ12-SUM(CE12:CI12)</f>
        <v/>
      </c>
      <c r="CL12" s="976" t="n"/>
      <c r="CM12" s="976" t="n"/>
      <c r="CN12" s="977" t="n"/>
      <c r="CO12" s="976" t="n"/>
      <c r="CP12" s="976" t="n"/>
      <c r="CQ12" s="977" t="n">
        <v>1.767</v>
      </c>
      <c r="CR12" s="976" t="n">
        <v>3702239</v>
      </c>
      <c r="CS12" s="976" t="n">
        <v>2095393</v>
      </c>
      <c r="CT12" s="976" t="n"/>
      <c r="CU12" s="976" t="n">
        <v>1219968.190692</v>
      </c>
      <c r="CV12" s="976" t="n"/>
      <c r="CW12" s="104" t="n">
        <v>0.96</v>
      </c>
      <c r="CX12" s="104" t="n">
        <v>1.01</v>
      </c>
      <c r="CY12" s="104" t="n">
        <v>-0.05</v>
      </c>
      <c r="CZ12" s="199">
        <f>+CX12/CW12</f>
        <v/>
      </c>
      <c r="DA12" s="976" t="n"/>
      <c r="DB12" s="976" t="n"/>
      <c r="DC12" s="977" t="n">
        <v>0.912</v>
      </c>
      <c r="DD12" s="976">
        <f>[1]EFF!$D$8*1000</f>
        <v/>
      </c>
      <c r="DE12" s="976">
        <f>+[1]EFF!$D$7*1000</f>
        <v/>
      </c>
      <c r="DF12" s="976" t="n"/>
      <c r="DG12" s="976" t="n">
        <v>-447.9828149999996</v>
      </c>
      <c r="DH12" s="976" t="n">
        <v>-28708.11022300001</v>
      </c>
      <c r="DI12" s="976" t="n">
        <v>485978.161513</v>
      </c>
      <c r="DJ12" s="976" t="n">
        <v>514686.2717360001</v>
      </c>
      <c r="DK12" s="976" t="n">
        <v>28260.12740800001</v>
      </c>
      <c r="DL12" s="976" t="n">
        <v>191959.396908</v>
      </c>
      <c r="DM12" s="976" t="n">
        <v>163699.2695</v>
      </c>
      <c r="DN12" s="976" t="n"/>
      <c r="DO12" s="976" t="n"/>
      <c r="DP12" s="976" t="n"/>
      <c r="DQ12" s="976" t="n"/>
      <c r="DR12" s="976" t="n"/>
      <c r="DS12" s="976" t="n"/>
      <c r="DT12" s="976" t="n"/>
      <c r="DU12" s="976" t="n"/>
      <c r="DV12" s="976" t="n"/>
      <c r="DW12" s="976" t="n"/>
      <c r="DX12" s="976" t="n"/>
      <c r="DY12" s="976" t="n"/>
      <c r="DZ12" s="976" t="n"/>
      <c r="EA12" s="976" t="n"/>
      <c r="EB12" s="976" t="n"/>
      <c r="EC12" s="976" t="n"/>
      <c r="ED12" s="976" t="n"/>
      <c r="EE12" s="976" t="n"/>
      <c r="EP12" s="976" t="n">
        <v>254778.168699</v>
      </c>
      <c r="EQ12" s="976" t="n">
        <v>231654.272224</v>
      </c>
      <c r="ER12" s="976" t="n">
        <v>45015.046446</v>
      </c>
      <c r="ES12" s="976" t="n">
        <v>290961.332148</v>
      </c>
      <c r="ET12" s="976">
        <f>-329416.501281-20175.751205</f>
        <v/>
      </c>
      <c r="EU12" s="976" t="n"/>
      <c r="EV12" s="976" t="n"/>
      <c r="EW12" s="976" t="n">
        <v>-254778.168699</v>
      </c>
      <c r="EX12" s="976" t="n">
        <v>-231654.272224</v>
      </c>
      <c r="EY12" s="976" t="n">
        <v>-45015.046446</v>
      </c>
      <c r="EZ12" s="976" t="n">
        <v>-290961.332148</v>
      </c>
      <c r="FA12" s="976" t="n">
        <v>349592.252486</v>
      </c>
      <c r="FB12" s="976" t="n">
        <v>58323.063188</v>
      </c>
    </row>
    <row r="13" ht="16.5" customFormat="1" customHeight="1" s="103">
      <c r="A13" s="696">
        <f>B13&amp;C13</f>
        <v/>
      </c>
      <c r="B13" s="696" t="n">
        <v>2603</v>
      </c>
      <c r="C13" s="696" t="inlineStr">
        <is>
          <t>미래</t>
        </is>
      </c>
      <c r="D13" s="976" t="n">
        <v>32201238.25</v>
      </c>
      <c r="E13" s="976" t="n">
        <v>17004985.73</v>
      </c>
      <c r="F13" s="976" t="n">
        <v>11000897.15</v>
      </c>
      <c r="G13" s="976" t="n">
        <v>2703661.07</v>
      </c>
      <c r="H13" s="976" t="n">
        <v>142042.97</v>
      </c>
      <c r="I13" s="977">
        <f>E13/D13</f>
        <v/>
      </c>
      <c r="J13" s="977">
        <f>F13/D13</f>
        <v/>
      </c>
      <c r="K13" s="977">
        <f>G13/D13</f>
        <v/>
      </c>
      <c r="L13" s="976" t="n">
        <v>29807737.41</v>
      </c>
      <c r="M13" s="976" t="n">
        <v>26199434.86</v>
      </c>
      <c r="N13" s="978">
        <f>O13-P13</f>
        <v/>
      </c>
      <c r="O13" s="978" t="n">
        <v>2393500.85</v>
      </c>
      <c r="P13" s="978" t="n"/>
      <c r="Q13" s="978" t="n">
        <v>-524743.4</v>
      </c>
      <c r="R13" s="978" t="n">
        <v>1767260.43</v>
      </c>
      <c r="S13" s="978" t="n">
        <v>2436501.56</v>
      </c>
      <c r="T13" s="978" t="n">
        <v>2436501.56</v>
      </c>
      <c r="U13" s="979" t="n"/>
      <c r="V13" s="979" t="n">
        <v>17696449.61</v>
      </c>
      <c r="W13" s="109" t="n"/>
      <c r="X13" s="978">
        <f>Q13</f>
        <v/>
      </c>
      <c r="Y13" s="978" t="n">
        <v>-1610092.75</v>
      </c>
      <c r="Z13" s="978" t="n">
        <v>1219452.65</v>
      </c>
      <c r="AA13" s="978" t="n">
        <v>-3698.84</v>
      </c>
      <c r="AB13" s="978" t="n">
        <v>-135443.47</v>
      </c>
      <c r="AC13" s="978" t="n">
        <v>0.76</v>
      </c>
      <c r="AD13" s="978" t="n">
        <v>5038.24</v>
      </c>
      <c r="AE13" s="978" t="n"/>
      <c r="AF13" s="976" t="n">
        <v>7700.44</v>
      </c>
      <c r="AG13" s="976" t="n">
        <v>298146.44</v>
      </c>
      <c r="AH13" s="976" t="n">
        <v>290446</v>
      </c>
      <c r="AI13" s="976" t="n">
        <v>56071.22</v>
      </c>
      <c r="AJ13" s="976" t="n">
        <v>-512419.62</v>
      </c>
      <c r="AK13" s="976" t="n">
        <v>303.57</v>
      </c>
      <c r="AL13" s="976">
        <f>AI13-AJ13-AK13+AM13-AN13</f>
        <v/>
      </c>
      <c r="AM13" s="976" t="n">
        <v>7491.37</v>
      </c>
      <c r="AN13" s="976" t="n">
        <v>20181.03</v>
      </c>
      <c r="AO13" s="976" t="n">
        <v>63771.65</v>
      </c>
      <c r="AP13" s="976" t="n">
        <v>-2404.86</v>
      </c>
      <c r="AQ13" s="978" t="n">
        <v>61366.79</v>
      </c>
      <c r="AR13" s="978" t="n">
        <v>48478.1</v>
      </c>
      <c r="AS13" s="978" t="n"/>
      <c r="AT13" s="978" t="n"/>
      <c r="AU13" s="978" t="n"/>
      <c r="AV13" s="978">
        <f>AF13</f>
        <v/>
      </c>
      <c r="AW13" s="978">
        <f>AI13</f>
        <v/>
      </c>
      <c r="AX13" s="978">
        <f>AP13</f>
        <v/>
      </c>
      <c r="AY13" s="978">
        <f>AV13+AW13+AX13</f>
        <v/>
      </c>
      <c r="AZ13" s="976" t="n"/>
      <c r="BA13" s="976" t="n"/>
      <c r="BB13" s="977" t="n"/>
      <c r="BC13" s="976" t="n">
        <v>-432246.69</v>
      </c>
      <c r="BD13" s="976" t="n">
        <v>-563844.86</v>
      </c>
      <c r="BE13" s="976" t="n"/>
      <c r="BF13" s="976" t="n">
        <v>585691.0699999999</v>
      </c>
      <c r="BG13" s="976" t="n">
        <v>-114905.73</v>
      </c>
      <c r="BH13" s="976" t="n">
        <v>0</v>
      </c>
      <c r="BI13" s="976" t="n">
        <v>562.8099999999999</v>
      </c>
      <c r="BJ13" s="976" t="n"/>
      <c r="BK13" s="976">
        <f>Q13</f>
        <v/>
      </c>
      <c r="BL13" s="981" t="n"/>
      <c r="BM13" s="976" t="n">
        <v>2067824.47</v>
      </c>
      <c r="BN13" s="976" t="n"/>
      <c r="BO13" s="976" t="n"/>
      <c r="BP13" s="976">
        <f>AR13</f>
        <v/>
      </c>
      <c r="BQ13" s="976" t="n"/>
      <c r="BR13" s="976" t="n"/>
      <c r="BS13" s="976">
        <f>R13</f>
        <v/>
      </c>
      <c r="BT13" s="978" t="n"/>
      <c r="BU13" s="978" t="n">
        <v>47258991.75</v>
      </c>
      <c r="BV13" s="978" t="n">
        <v>838579.91</v>
      </c>
      <c r="BW13" s="978" t="n">
        <v>4301298.05</v>
      </c>
      <c r="BX13" s="978" t="n">
        <v>150676.9</v>
      </c>
      <c r="BY13" s="978" t="n">
        <v>53711.37</v>
      </c>
      <c r="BZ13" s="978" t="n">
        <v>-17244.07</v>
      </c>
      <c r="CA13" s="978" t="n">
        <v>25384.45</v>
      </c>
      <c r="CB13" s="978" t="n"/>
      <c r="CC13" s="976" t="n"/>
      <c r="CD13" s="976" t="n"/>
      <c r="CE13" s="976" t="n"/>
      <c r="CF13" s="976" t="n"/>
      <c r="CG13" s="976" t="n"/>
      <c r="CH13" s="976" t="n"/>
      <c r="CI13" s="976" t="n"/>
      <c r="CJ13" s="976">
        <f>BW13</f>
        <v/>
      </c>
      <c r="CK13" s="982" t="n"/>
      <c r="CL13" s="976" t="n"/>
      <c r="CM13" s="976" t="n"/>
      <c r="CN13" s="977" t="n"/>
      <c r="CO13" s="976" t="n"/>
      <c r="CP13" s="976" t="n"/>
      <c r="CQ13" s="977" t="n">
        <v>1.68</v>
      </c>
      <c r="CR13" s="976" t="n">
        <v>3717862.38</v>
      </c>
      <c r="CS13" s="976" t="n">
        <v>2218749.68</v>
      </c>
      <c r="CT13" s="976" t="n"/>
      <c r="CU13" s="976" t="n">
        <v>1309943.33</v>
      </c>
      <c r="CV13" s="976" t="n"/>
      <c r="CW13" s="104" t="n"/>
      <c r="CX13" s="104" t="n"/>
      <c r="CY13" s="104" t="n"/>
      <c r="CZ13" s="199" t="n"/>
      <c r="DA13" s="976" t="n"/>
      <c r="DB13" s="976" t="n"/>
      <c r="DC13" s="977" t="n"/>
      <c r="DD13" s="976" t="n"/>
      <c r="DE13" s="976" t="n"/>
      <c r="DF13" s="976" t="n"/>
      <c r="DG13" s="976" t="n"/>
      <c r="DH13" s="976" t="n"/>
      <c r="DI13" s="976" t="n"/>
      <c r="DJ13" s="976" t="n"/>
      <c r="DK13" s="976" t="n"/>
      <c r="DL13" s="976" t="n"/>
      <c r="DM13" s="976" t="n"/>
      <c r="DN13" s="976" t="n"/>
      <c r="DO13" s="976" t="n"/>
      <c r="DP13" s="976" t="n"/>
      <c r="DQ13" s="976" t="n"/>
      <c r="DR13" s="976" t="n"/>
      <c r="DS13" s="976" t="n"/>
      <c r="DT13" s="976" t="n"/>
      <c r="DU13" s="976" t="n"/>
      <c r="DV13" s="976" t="n"/>
      <c r="DW13" s="976" t="n"/>
      <c r="DX13" s="976" t="n"/>
      <c r="DY13" s="976" t="n"/>
      <c r="DZ13" s="976" t="n"/>
      <c r="EA13" s="976" t="n"/>
      <c r="EB13" s="976" t="n"/>
      <c r="EC13" s="976" t="n"/>
      <c r="ED13" s="976" t="n"/>
      <c r="EE13" s="976" t="n"/>
      <c r="EP13" s="976" t="n"/>
      <c r="EQ13" s="976" t="n"/>
      <c r="ER13" s="976" t="n"/>
      <c r="ES13" s="976" t="n"/>
      <c r="ET13" s="976" t="n"/>
      <c r="EU13" s="976" t="n"/>
      <c r="EV13" s="976" t="n"/>
      <c r="EW13" s="976" t="n"/>
      <c r="EX13" s="976" t="n"/>
      <c r="EY13" s="976" t="n"/>
      <c r="EZ13" s="976" t="n"/>
      <c r="FA13" s="976" t="n"/>
      <c r="FB13" s="976" t="n"/>
    </row>
    <row r="14" ht="16.5" customFormat="1" customHeight="1" s="103">
      <c r="A14" s="696">
        <f>B14&amp;C14</f>
        <v/>
      </c>
      <c r="B14" s="696" t="n">
        <v>2606</v>
      </c>
      <c r="C14" s="696" t="inlineStr">
        <is>
          <t>미래</t>
        </is>
      </c>
      <c r="D14" s="976" t="n">
        <v>34264164.86</v>
      </c>
      <c r="E14" s="976" t="n">
        <v>19598536.67</v>
      </c>
      <c r="F14" s="976" t="n">
        <v>10360997.44</v>
      </c>
      <c r="G14" s="976" t="n">
        <v>2735997.82</v>
      </c>
      <c r="H14" s="976" t="n">
        <v>142042.97</v>
      </c>
      <c r="I14" s="977">
        <f>E14/D14</f>
        <v/>
      </c>
      <c r="J14" s="977">
        <f>F14/D14</f>
        <v/>
      </c>
      <c r="K14" s="977">
        <f>G14/D14</f>
        <v/>
      </c>
      <c r="L14" s="976" t="n">
        <v>31861700.81</v>
      </c>
      <c r="M14" s="976" t="n">
        <v>28354405.03</v>
      </c>
      <c r="N14" s="978">
        <f>O14-P14</f>
        <v/>
      </c>
      <c r="O14" s="978" t="n">
        <v>2402464.04</v>
      </c>
      <c r="P14" s="978" t="n"/>
      <c r="Q14" s="978" t="n">
        <v>-490078.27</v>
      </c>
      <c r="R14" s="978" t="n">
        <v>1782120.5</v>
      </c>
      <c r="S14" s="978" t="n">
        <v>2436501.56</v>
      </c>
      <c r="T14" s="978" t="n">
        <v>2436501.56</v>
      </c>
      <c r="U14" s="979" t="n"/>
      <c r="V14" s="979" t="n"/>
      <c r="W14" s="109" t="n"/>
      <c r="X14" s="978">
        <f>Q14</f>
        <v/>
      </c>
      <c r="Y14" s="978" t="n">
        <v>-1966799.79</v>
      </c>
      <c r="Z14" s="978" t="n">
        <v>1718137.98</v>
      </c>
      <c r="AA14" s="978" t="n">
        <v>-4766.81</v>
      </c>
      <c r="AB14" s="978" t="n">
        <v>-242214.93</v>
      </c>
      <c r="AC14" s="978" t="n">
        <v>0.76</v>
      </c>
      <c r="AD14" s="978" t="n">
        <v>5564.52</v>
      </c>
      <c r="AE14" s="978" t="n"/>
      <c r="AF14" s="976" t="n">
        <v>3640.69</v>
      </c>
      <c r="AG14" s="976" t="n">
        <v>613793.4300000001</v>
      </c>
      <c r="AH14" s="976" t="n">
        <v>610152.73</v>
      </c>
      <c r="AI14" s="976" t="n">
        <v>80769.61</v>
      </c>
      <c r="AJ14" s="976" t="n">
        <v>-3852467.26</v>
      </c>
      <c r="AK14" s="976" t="n">
        <v>619.6799999999999</v>
      </c>
      <c r="AL14" s="976">
        <f>AI14-AJ14-AK14+AM14-AN14</f>
        <v/>
      </c>
      <c r="AM14" s="976" t="n">
        <v>12786.78</v>
      </c>
      <c r="AN14" s="976" t="n">
        <v>-18457.24</v>
      </c>
      <c r="AO14" s="976" t="n">
        <v>84410.3</v>
      </c>
      <c r="AP14" s="976" t="n">
        <v>-3360.02</v>
      </c>
      <c r="AQ14" s="978" t="n">
        <v>81050.28</v>
      </c>
      <c r="AR14" s="978" t="n">
        <v>63340.17</v>
      </c>
      <c r="AS14" s="978" t="n"/>
      <c r="AT14" s="978" t="n"/>
      <c r="AU14" s="978" t="n"/>
      <c r="AV14" s="978">
        <f>AF14</f>
        <v/>
      </c>
      <c r="AW14" s="978">
        <f>AI14</f>
        <v/>
      </c>
      <c r="AX14" s="978">
        <f>AP14</f>
        <v/>
      </c>
      <c r="AY14" s="978">
        <f>AV14+AW14+AX14</f>
        <v/>
      </c>
      <c r="AZ14" s="976" t="n"/>
      <c r="BA14" s="976" t="n"/>
      <c r="BB14" s="977" t="n"/>
      <c r="BC14" s="976" t="n">
        <v>-432246.69</v>
      </c>
      <c r="BD14" s="976" t="n">
        <v>-920551.9</v>
      </c>
      <c r="BE14" s="976" t="n"/>
      <c r="BF14" s="976" t="n">
        <v>1083308.43</v>
      </c>
      <c r="BG14" s="976" t="n">
        <v>-221677.2</v>
      </c>
      <c r="BH14" s="976" t="n">
        <v>0</v>
      </c>
      <c r="BI14" s="976" t="n">
        <v>1089.08</v>
      </c>
      <c r="BJ14" s="976" t="n"/>
      <c r="BK14" s="976">
        <f>Q14</f>
        <v/>
      </c>
      <c r="BL14" s="981" t="n"/>
      <c r="BM14" s="976" t="n">
        <v>2067824.47</v>
      </c>
      <c r="BN14" s="976" t="n"/>
      <c r="BO14" s="976" t="n"/>
      <c r="BP14" s="976">
        <f>AR14</f>
        <v/>
      </c>
      <c r="BQ14" s="976" t="n"/>
      <c r="BR14" s="976" t="n"/>
      <c r="BS14" s="976">
        <f>R14</f>
        <v/>
      </c>
      <c r="BT14" s="978" t="n"/>
      <c r="BU14" s="978" t="n">
        <v>51152658.25</v>
      </c>
      <c r="BV14" s="978" t="n">
        <v>893951.63</v>
      </c>
      <c r="BW14" s="978" t="n">
        <v>4662200.18</v>
      </c>
      <c r="BX14" s="978" t="n">
        <v>307567.87</v>
      </c>
      <c r="BY14" s="978" t="n">
        <v>112829.56</v>
      </c>
      <c r="BZ14" s="978" t="n">
        <v>100757.41</v>
      </c>
      <c r="CA14" s="978" t="n">
        <v>55119.9</v>
      </c>
      <c r="CB14" s="978" t="n"/>
      <c r="CC14" s="976" t="n"/>
      <c r="CD14" s="976" t="n"/>
      <c r="CE14" s="976" t="n"/>
      <c r="CF14" s="976" t="n"/>
      <c r="CG14" s="976" t="n"/>
      <c r="CH14" s="976" t="n"/>
      <c r="CI14" s="976" t="n"/>
      <c r="CJ14" s="976">
        <f>BW14</f>
        <v/>
      </c>
      <c r="CK14" s="982" t="n"/>
      <c r="CL14" s="976" t="n"/>
      <c r="CM14" s="976" t="n"/>
      <c r="CN14" s="977" t="n"/>
      <c r="CO14" s="976" t="n"/>
      <c r="CP14" s="976" t="n"/>
      <c r="CQ14" s="977" t="n"/>
      <c r="CR14" s="976" t="n"/>
      <c r="CS14" s="976" t="n"/>
      <c r="CT14" s="976" t="n"/>
      <c r="CU14" s="976" t="n">
        <v>1388869.15</v>
      </c>
      <c r="CV14" s="976" t="n"/>
      <c r="CW14" s="104" t="n"/>
      <c r="CX14" s="104" t="n"/>
      <c r="CY14" s="104" t="n"/>
      <c r="CZ14" s="199" t="n"/>
      <c r="DA14" s="976" t="n"/>
      <c r="DB14" s="976" t="n"/>
      <c r="DC14" s="977" t="n"/>
      <c r="DD14" s="976" t="n"/>
      <c r="DE14" s="976" t="n"/>
      <c r="DF14" s="976" t="n"/>
      <c r="DG14" s="976" t="n"/>
      <c r="DH14" s="976" t="n"/>
      <c r="DI14" s="976" t="n"/>
      <c r="DJ14" s="976" t="n"/>
      <c r="DK14" s="976" t="n"/>
      <c r="DL14" s="976" t="n"/>
      <c r="DM14" s="976" t="n"/>
      <c r="DN14" s="976" t="n"/>
      <c r="DO14" s="976" t="n"/>
      <c r="DP14" s="976" t="n"/>
      <c r="DQ14" s="976" t="n"/>
      <c r="DR14" s="976" t="n"/>
      <c r="DS14" s="976" t="n"/>
      <c r="DT14" s="976" t="n"/>
      <c r="DU14" s="976" t="n"/>
      <c r="DV14" s="976" t="n"/>
      <c r="DW14" s="976" t="n"/>
      <c r="DX14" s="976" t="n"/>
      <c r="DY14" s="976" t="n"/>
      <c r="DZ14" s="976" t="n"/>
      <c r="EA14" s="976" t="n"/>
      <c r="EB14" s="976" t="n"/>
      <c r="EC14" s="976" t="n"/>
      <c r="ED14" s="976" t="n"/>
      <c r="EE14" s="976" t="n"/>
      <c r="EP14" s="976" t="n"/>
      <c r="EQ14" s="976" t="n"/>
      <c r="ER14" s="976" t="n"/>
      <c r="ES14" s="976" t="n"/>
      <c r="ET14" s="976" t="n"/>
      <c r="EU14" s="976" t="n"/>
      <c r="EV14" s="976" t="n"/>
      <c r="EW14" s="976" t="n"/>
      <c r="EX14" s="976" t="n"/>
      <c r="EY14" s="976" t="n"/>
      <c r="EZ14" s="976" t="n"/>
      <c r="FA14" s="976" t="n"/>
      <c r="FB14" s="976" t="n"/>
    </row>
    <row r="15" customFormat="1" s="103">
      <c r="D15" s="976" t="n"/>
      <c r="E15" s="976" t="n"/>
      <c r="F15" s="976" t="n"/>
      <c r="G15" s="976" t="n"/>
      <c r="H15" s="976" t="n"/>
      <c r="I15" s="977" t="n"/>
      <c r="J15" s="977" t="n"/>
      <c r="K15" s="977" t="n"/>
      <c r="L15" s="976" t="n"/>
      <c r="M15" s="976" t="n"/>
      <c r="N15" s="978" t="n"/>
      <c r="O15" s="978" t="n"/>
      <c r="P15" s="978" t="n"/>
      <c r="Q15" s="978" t="n"/>
      <c r="R15" s="978" t="n"/>
      <c r="S15" s="978" t="n"/>
      <c r="T15" s="978" t="n"/>
      <c r="U15" s="979" t="n"/>
      <c r="V15" s="979" t="n"/>
      <c r="W15" s="109" t="n"/>
      <c r="X15" s="978" t="n"/>
      <c r="Y15" s="978" t="n"/>
      <c r="Z15" s="978" t="n"/>
      <c r="AA15" s="978" t="n"/>
      <c r="AB15" s="978" t="n"/>
      <c r="AC15" s="978" t="n"/>
      <c r="AD15" s="978" t="n"/>
      <c r="AE15" s="978" t="n"/>
      <c r="AF15" s="976" t="n"/>
      <c r="AG15" s="976" t="n"/>
      <c r="AH15" s="976" t="n"/>
      <c r="AI15" s="976" t="n"/>
      <c r="AJ15" s="976" t="n"/>
      <c r="AK15" s="976" t="n"/>
      <c r="AL15" s="976" t="n"/>
      <c r="AM15" s="976" t="n"/>
      <c r="AN15" s="976" t="n"/>
      <c r="AO15" s="976" t="n"/>
      <c r="AP15" s="976" t="n"/>
      <c r="AQ15" s="978" t="n"/>
      <c r="AR15" s="978" t="n"/>
      <c r="AS15" s="978" t="n"/>
      <c r="AT15" s="978" t="n"/>
      <c r="AU15" s="978" t="n"/>
      <c r="AV15" s="978" t="n"/>
      <c r="AW15" s="978" t="n"/>
      <c r="AX15" s="978" t="n"/>
      <c r="AY15" s="978" t="n"/>
      <c r="AZ15" s="976" t="n"/>
      <c r="BA15" s="976" t="n"/>
      <c r="BB15" s="977" t="n"/>
      <c r="BC15" s="976" t="n"/>
      <c r="BD15" s="976" t="n"/>
      <c r="BE15" s="976" t="n"/>
      <c r="BF15" s="976" t="n"/>
      <c r="BG15" s="976" t="n"/>
      <c r="BH15" s="976" t="n"/>
      <c r="BI15" s="976" t="n"/>
      <c r="BJ15" s="976" t="n"/>
      <c r="BK15" s="976" t="n"/>
      <c r="BL15" s="981" t="n"/>
      <c r="BM15" s="976" t="n"/>
      <c r="BN15" s="976" t="n"/>
      <c r="BO15" s="976" t="n"/>
      <c r="BP15" s="976" t="n"/>
      <c r="BQ15" s="976" t="n"/>
      <c r="BR15" s="976" t="n"/>
      <c r="BS15" s="976" t="n"/>
      <c r="BT15" s="978" t="n"/>
      <c r="BU15" s="978" t="n"/>
      <c r="BV15" s="978" t="n"/>
      <c r="BW15" s="978" t="n"/>
      <c r="BX15" s="978" t="n"/>
      <c r="BY15" s="978" t="n"/>
      <c r="BZ15" s="978" t="n"/>
      <c r="CA15" s="978" t="n"/>
      <c r="CB15" s="978" t="n"/>
      <c r="CC15" s="976" t="n"/>
      <c r="CD15" s="976" t="n"/>
      <c r="CE15" s="976" t="n"/>
      <c r="CF15" s="976" t="n"/>
      <c r="CG15" s="976" t="n"/>
      <c r="CH15" s="976" t="n"/>
      <c r="CI15" s="976" t="n"/>
      <c r="CJ15" s="976" t="n"/>
      <c r="CK15" s="976" t="n"/>
      <c r="CL15" s="976" t="n"/>
      <c r="CM15" s="976" t="n"/>
      <c r="CN15" s="977" t="n"/>
      <c r="CO15" s="976" t="n"/>
      <c r="CP15" s="976" t="n"/>
      <c r="CQ15" s="977" t="n"/>
      <c r="CR15" s="976" t="n"/>
      <c r="CS15" s="976" t="n"/>
      <c r="CT15" s="976" t="n"/>
      <c r="CU15" s="976" t="n"/>
      <c r="CV15" s="976" t="n"/>
      <c r="CW15" s="104" t="n"/>
      <c r="CX15" s="104" t="n"/>
      <c r="CY15" s="104" t="n"/>
      <c r="CZ15" s="199" t="n"/>
      <c r="DA15" s="976" t="n"/>
      <c r="DB15" s="976" t="n"/>
      <c r="DC15" s="977" t="n"/>
      <c r="DD15" s="976" t="n"/>
      <c r="DE15" s="976" t="n"/>
      <c r="DF15" s="976" t="n"/>
      <c r="DG15" s="976" t="n"/>
      <c r="DH15" s="976" t="n"/>
      <c r="DI15" s="976" t="n"/>
      <c r="DJ15" s="977">
        <f>+DJ12/DI12</f>
        <v/>
      </c>
      <c r="DK15" s="976" t="n"/>
      <c r="DL15" s="976" t="n"/>
      <c r="DM15" s="976" t="n"/>
      <c r="DN15" s="976" t="n"/>
      <c r="DO15" s="976" t="n"/>
      <c r="DP15" s="976" t="n"/>
      <c r="DQ15" s="976" t="n"/>
      <c r="DR15" s="976" t="n"/>
      <c r="DS15" s="976" t="n"/>
      <c r="DT15" s="976" t="n"/>
      <c r="DU15" s="976" t="n"/>
      <c r="DV15" s="976" t="n"/>
      <c r="DW15" s="976" t="n"/>
      <c r="DX15" s="976" t="n"/>
      <c r="DY15" s="976" t="n"/>
      <c r="DZ15" s="976" t="n"/>
      <c r="EA15" s="976" t="n"/>
      <c r="EB15" s="976" t="n"/>
      <c r="EC15" s="976" t="n"/>
      <c r="ED15" s="976" t="n"/>
      <c r="EE15" s="976" t="n"/>
      <c r="EP15" s="976" t="n"/>
      <c r="EQ15" s="976" t="n"/>
      <c r="ER15" s="976" t="n"/>
      <c r="ES15" s="976" t="n"/>
      <c r="ET15" s="976" t="n"/>
      <c r="EU15" s="976" t="n"/>
      <c r="EV15" s="976" t="n"/>
      <c r="EW15" s="976" t="n"/>
      <c r="EX15" s="976" t="n"/>
      <c r="EY15" s="976" t="n"/>
      <c r="EZ15" s="976" t="n"/>
      <c r="FA15" s="976" t="n"/>
      <c r="FB15" s="976" t="n"/>
    </row>
    <row r="16" ht="15.75" customFormat="1" customHeight="1" s="142">
      <c r="A16" s="142">
        <f>B16&amp;C16</f>
        <v/>
      </c>
      <c r="B16" s="142" t="n">
        <v>2212</v>
      </c>
      <c r="C16" s="142" t="inlineStr">
        <is>
          <t>삼성</t>
        </is>
      </c>
      <c r="D16" s="984" t="n"/>
      <c r="E16" s="984" t="n"/>
      <c r="F16" s="984" t="n"/>
      <c r="G16" s="984" t="n"/>
      <c r="H16" s="984" t="n"/>
      <c r="I16" s="985" t="n"/>
      <c r="J16" s="985" t="n"/>
      <c r="K16" s="985" t="n"/>
      <c r="L16" s="984" t="n"/>
      <c r="M16" s="984" t="n"/>
      <c r="N16" s="986">
        <f>O16-P16</f>
        <v/>
      </c>
      <c r="O16" s="986" t="n">
        <v>35080056</v>
      </c>
      <c r="P16" s="986" t="n"/>
      <c r="Q16" s="986" t="n">
        <v>12333777</v>
      </c>
      <c r="R16" s="986" t="n">
        <v>21654375</v>
      </c>
      <c r="S16" s="986" t="n"/>
      <c r="T16" s="986" t="n"/>
      <c r="U16" s="987" t="n"/>
      <c r="V16" s="987" t="n"/>
      <c r="W16" s="987" t="n"/>
      <c r="X16" s="986" t="n">
        <v>21654375</v>
      </c>
      <c r="Y16" s="986" t="n">
        <v>2925841</v>
      </c>
      <c r="Z16" s="986" t="n">
        <v>19161509</v>
      </c>
      <c r="AA16" s="986" t="n">
        <v>205367</v>
      </c>
      <c r="AB16" s="986" t="n">
        <v>-537982</v>
      </c>
      <c r="AC16" s="986" t="n"/>
      <c r="AD16" s="986" t="n">
        <v>-100361</v>
      </c>
      <c r="AE16" s="986" t="n"/>
      <c r="AF16" s="984" t="n"/>
      <c r="AG16" s="984" t="n"/>
      <c r="AH16" s="984" t="n"/>
      <c r="AI16" s="984" t="n"/>
      <c r="AJ16" s="984" t="n"/>
      <c r="AK16" s="984" t="n"/>
      <c r="AL16" s="984" t="n"/>
      <c r="AM16" s="984" t="n"/>
      <c r="AN16" s="984" t="n"/>
      <c r="AO16" s="984" t="n"/>
      <c r="AP16" s="984" t="n"/>
      <c r="AQ16" s="986" t="n"/>
      <c r="AR16" s="986" t="n"/>
      <c r="AS16" s="986" t="n"/>
      <c r="AT16" s="986" t="n"/>
      <c r="AU16" s="986" t="n"/>
      <c r="AV16" s="986" t="n"/>
      <c r="AW16" s="986" t="n"/>
      <c r="AX16" s="986" t="n"/>
      <c r="AY16" s="986" t="n"/>
      <c r="AZ16" s="984" t="n"/>
      <c r="BA16" s="984" t="n"/>
      <c r="BB16" s="985" t="n"/>
      <c r="BC16" s="984" t="n"/>
      <c r="BD16" s="984" t="n"/>
      <c r="BE16" s="984" t="n"/>
      <c r="BF16" s="984" t="n"/>
      <c r="BG16" s="984" t="n"/>
      <c r="BH16" s="984" t="n"/>
      <c r="BI16" s="984" t="n"/>
      <c r="BJ16" s="984" t="n"/>
      <c r="BK16" s="984" t="n"/>
      <c r="BL16" s="986" t="n"/>
      <c r="BM16" s="984" t="n"/>
      <c r="BN16" s="984" t="n"/>
      <c r="BO16" s="984" t="n"/>
      <c r="BP16" s="984" t="n"/>
      <c r="BQ16" s="984" t="n"/>
      <c r="BR16" s="984" t="n"/>
      <c r="BS16" s="984" t="n"/>
      <c r="BT16" s="986" t="n">
        <v>14452671</v>
      </c>
      <c r="BU16" s="986">
        <f>24175007+27645383+114447061</f>
        <v/>
      </c>
      <c r="BV16" s="986">
        <f>1096498+1311375+545659</f>
        <v/>
      </c>
      <c r="BW16" s="986">
        <f>3873867+1491760+2759146+1309527+196415+746588+371387</f>
        <v/>
      </c>
      <c r="BX16" s="986" t="n"/>
      <c r="BY16" s="986" t="n"/>
      <c r="BZ16" s="986" t="n"/>
      <c r="CA16" s="986" t="n"/>
      <c r="CB16" s="986" t="n"/>
      <c r="CC16" s="984" t="n"/>
      <c r="CD16" s="984" t="n"/>
      <c r="CE16" s="984" t="n"/>
      <c r="CF16" s="984" t="n"/>
      <c r="CG16" s="984" t="n"/>
      <c r="CH16" s="984" t="n"/>
      <c r="CI16" s="984" t="n"/>
      <c r="CJ16" s="984" t="n"/>
      <c r="CK16" s="984" t="n"/>
      <c r="CL16" s="984" t="n"/>
      <c r="CM16" s="984" t="n"/>
      <c r="CN16" s="985" t="n"/>
      <c r="CO16" s="984" t="n"/>
      <c r="CP16" s="984" t="n"/>
      <c r="CQ16" s="985" t="n"/>
      <c r="CR16" s="984" t="n"/>
      <c r="CS16" s="984" t="n"/>
      <c r="CT16" s="984" t="n"/>
      <c r="CU16" s="984" t="n"/>
      <c r="CV16" s="984" t="n"/>
      <c r="CW16" s="984" t="n"/>
      <c r="CX16" s="984" t="n"/>
      <c r="CY16" s="984" t="n"/>
      <c r="CZ16" s="984" t="n"/>
      <c r="DA16" s="984" t="n"/>
      <c r="DB16" s="984" t="n"/>
      <c r="DC16" s="985" t="n"/>
      <c r="DD16" s="984" t="n"/>
      <c r="DE16" s="984" t="n"/>
      <c r="DF16" s="984" t="n"/>
      <c r="DG16" s="984" t="n"/>
      <c r="DH16" s="984" t="n"/>
      <c r="DI16" s="984" t="n"/>
      <c r="DJ16" s="984" t="n"/>
      <c r="DK16" s="984" t="n"/>
      <c r="DL16" s="984" t="n"/>
      <c r="DM16" s="984" t="n"/>
      <c r="DN16" s="984" t="n"/>
      <c r="DO16" s="984" t="n"/>
      <c r="DP16" s="984" t="n"/>
      <c r="DQ16" s="984" t="n"/>
      <c r="DR16" s="984" t="n"/>
      <c r="DS16" s="984" t="n"/>
      <c r="DT16" s="984" t="n"/>
      <c r="DU16" s="984" t="n"/>
      <c r="DV16" s="984" t="n"/>
      <c r="DW16" s="984" t="n"/>
      <c r="DX16" s="984" t="n"/>
      <c r="DY16" s="984" t="n"/>
      <c r="DZ16" s="984" t="n"/>
      <c r="EA16" s="984" t="n"/>
      <c r="EB16" s="984" t="n"/>
      <c r="EC16" s="984" t="n"/>
      <c r="ED16" s="984" t="n"/>
      <c r="EE16" s="984" t="n"/>
      <c r="EP16" s="984" t="n"/>
      <c r="EQ16" s="984" t="n"/>
      <c r="ER16" s="984" t="n"/>
      <c r="ES16" s="984" t="n"/>
      <c r="ET16" s="984" t="n"/>
      <c r="EU16" s="984" t="n"/>
      <c r="EV16" s="984" t="n"/>
      <c r="EW16" s="984" t="n"/>
      <c r="EX16" s="984" t="n"/>
      <c r="EY16" s="984" t="n"/>
      <c r="EZ16" s="984" t="n"/>
      <c r="FA16" s="984" t="n"/>
      <c r="FB16" s="984" t="n"/>
    </row>
    <row r="17" customFormat="1" s="142">
      <c r="A17" s="142">
        <f>B17&amp;C17</f>
        <v/>
      </c>
      <c r="B17" s="142" t="n">
        <v>2312</v>
      </c>
      <c r="C17" s="142" t="inlineStr">
        <is>
          <t>삼성</t>
        </is>
      </c>
      <c r="D17" s="984" t="n">
        <v>279474086</v>
      </c>
      <c r="E17" s="984" t="n">
        <v>36668457</v>
      </c>
      <c r="F17" s="984" t="n">
        <v>166226450</v>
      </c>
      <c r="G17" s="984" t="n">
        <v>49614533</v>
      </c>
      <c r="H17" s="984" t="n">
        <v>16581623</v>
      </c>
      <c r="I17" s="985">
        <f>+E17/$D17</f>
        <v/>
      </c>
      <c r="J17" s="985">
        <f>+F17/$D17</f>
        <v/>
      </c>
      <c r="K17" s="985">
        <f>+G17/$D17</f>
        <v/>
      </c>
      <c r="L17" s="984" t="n">
        <v>241946361</v>
      </c>
      <c r="M17" s="984" t="n">
        <v>189573714</v>
      </c>
      <c r="N17" s="986">
        <f>O17-P17</f>
        <v/>
      </c>
      <c r="O17" s="986" t="n">
        <v>37527725</v>
      </c>
      <c r="P17" s="986" t="n"/>
      <c r="Q17" s="986" t="n">
        <v>26354009</v>
      </c>
      <c r="R17" s="986" t="n">
        <v>13177954</v>
      </c>
      <c r="S17" s="986" t="n">
        <v>31983914</v>
      </c>
      <c r="T17" s="986">
        <f>N16</f>
        <v/>
      </c>
      <c r="U17" s="987" t="n">
        <v>251929863</v>
      </c>
      <c r="V17" s="987" t="n">
        <v>247053040</v>
      </c>
      <c r="W17" s="143" t="n">
        <v>0.9806</v>
      </c>
      <c r="X17" s="986" t="n">
        <v>26354009</v>
      </c>
      <c r="Y17" s="986" t="n">
        <v>14143090</v>
      </c>
      <c r="Z17" s="986" t="n">
        <v>12046236</v>
      </c>
      <c r="AA17" s="986" t="n">
        <v>250365</v>
      </c>
      <c r="AB17" s="986" t="n">
        <v>48957</v>
      </c>
      <c r="AC17" s="986" t="n"/>
      <c r="AD17" s="986" t="n">
        <v>-134639</v>
      </c>
      <c r="AE17" s="986">
        <f>X17-SUM(Y17:AD17)</f>
        <v/>
      </c>
      <c r="AF17" s="984" t="n">
        <v>1448544</v>
      </c>
      <c r="AG17" s="984" t="n">
        <v>8575730</v>
      </c>
      <c r="AH17" s="984" t="n">
        <v>7127186</v>
      </c>
      <c r="AI17" s="984" t="n">
        <v>-23709</v>
      </c>
      <c r="AJ17" s="984">
        <f>1404187-10593170</f>
        <v/>
      </c>
      <c r="AK17" s="984">
        <f>47678-40313</f>
        <v/>
      </c>
      <c r="AL17" s="984">
        <f>+AI17-AJ17-AK17+AM17-AN17</f>
        <v/>
      </c>
      <c r="AM17" s="984" t="n">
        <v>304503</v>
      </c>
      <c r="AN17" s="984">
        <f>21802+896362+252547+170179-160495</f>
        <v/>
      </c>
      <c r="AO17" s="984" t="n">
        <v>1424835</v>
      </c>
      <c r="AP17" s="984" t="n">
        <v>256348</v>
      </c>
      <c r="AQ17" s="986" t="n">
        <v>1681183</v>
      </c>
      <c r="AR17" s="986" t="n">
        <v>1382902</v>
      </c>
      <c r="AS17" s="986">
        <f>+AO17+AP17-AQ17</f>
        <v/>
      </c>
      <c r="AT17" s="986">
        <f>+AJ17+AK17+AL17-AM17+AN17-AI17</f>
        <v/>
      </c>
      <c r="AU17" s="986">
        <f>+AF17+AI17-AO17</f>
        <v/>
      </c>
      <c r="AV17" s="986">
        <f>+AF17</f>
        <v/>
      </c>
      <c r="AW17" s="986">
        <f>+AI17</f>
        <v/>
      </c>
      <c r="AX17" s="986">
        <f>+AP17</f>
        <v/>
      </c>
      <c r="AY17" s="986">
        <f>+SUM(AV17:AX17)</f>
        <v/>
      </c>
      <c r="AZ17" s="984" t="n"/>
      <c r="BA17" s="984" t="n"/>
      <c r="BB17" s="985">
        <f>+BF17/(BU17+BV17+BW17)</f>
        <v/>
      </c>
      <c r="BC17" s="984" t="n">
        <v>21654375</v>
      </c>
      <c r="BD17" s="984" t="n">
        <v>11217248</v>
      </c>
      <c r="BE17" s="984" t="n"/>
      <c r="BF17" s="984">
        <f>-7115273+44998</f>
        <v/>
      </c>
      <c r="BG17" s="984" t="n">
        <v>586939</v>
      </c>
      <c r="BH17" s="984" t="n"/>
      <c r="BI17" s="984" t="n">
        <v>-34278</v>
      </c>
      <c r="BJ17" s="984" t="n"/>
      <c r="BK17" s="984" t="n">
        <v>26354009</v>
      </c>
      <c r="BL17" s="986">
        <f>+BK17-BC17-SUM(BD17:BJ17)</f>
        <v/>
      </c>
      <c r="BM17" s="984" t="n">
        <v>12333777</v>
      </c>
      <c r="BN17" s="984" t="n">
        <v>-538725</v>
      </c>
      <c r="BO17" s="984" t="n"/>
      <c r="BP17" s="984" t="n">
        <v>1382902</v>
      </c>
      <c r="BQ17" s="984" t="n"/>
      <c r="BR17" s="984" t="n"/>
      <c r="BS17" s="984" t="n">
        <v>13177954</v>
      </c>
      <c r="BT17" s="986">
        <f>+BM17+SUM(BN17:BQ17)-BS17</f>
        <v/>
      </c>
      <c r="BU17" s="986">
        <f>28321364+30439276+116234474</f>
        <v/>
      </c>
      <c r="BV17" s="986">
        <f>1049744+1240618+583071</f>
        <v/>
      </c>
      <c r="BW17" s="986">
        <f>737957+1658625+2509353+986499+2672258+1924800+159624+1170723+572731</f>
        <v/>
      </c>
      <c r="BX17" s="986">
        <f>1960198+1325123+342833</f>
        <v/>
      </c>
      <c r="BY17" s="986">
        <f>105066+131468+306553+133880+186705+261263+18991+114727+125622</f>
        <v/>
      </c>
      <c r="BZ17" s="986">
        <f>-218980+265901-602604-401071+19483-518590-23200+515992-38552</f>
        <v/>
      </c>
      <c r="CA17" s="986">
        <f>33919+34365+100968+1139+249+29690+80334+70003+5400+22870+22685</f>
        <v/>
      </c>
      <c r="CB17" s="986">
        <f>1026945+1489827+1357095+1491760+2759146+1309527+196415+746588+371387</f>
        <v/>
      </c>
      <c r="CC17" s="984" t="n"/>
      <c r="CD17" s="984">
        <f>CB17+BX17-BY17+BZ17+CA17-BW17</f>
        <v/>
      </c>
      <c r="CE17" s="984" t="n">
        <v>1029970</v>
      </c>
      <c r="CF17" s="984" t="n">
        <v>1563491</v>
      </c>
      <c r="CG17" s="984" t="n">
        <v>1224812</v>
      </c>
      <c r="CH17" s="984" t="n">
        <v>8574297</v>
      </c>
      <c r="CI17" s="984" t="n"/>
      <c r="CJ17" s="984" t="n">
        <v>12392570</v>
      </c>
      <c r="CK17" s="984">
        <f>CJ17-SUM(CE17:CI17)</f>
        <v/>
      </c>
      <c r="CL17" s="984">
        <f>BW17-CJ17</f>
        <v/>
      </c>
      <c r="CM17" s="984" t="n"/>
      <c r="CN17" s="985" t="inlineStr">
        <is>
          <t>미공시</t>
        </is>
      </c>
      <c r="CO17" s="984" t="n"/>
      <c r="CP17" s="984" t="n"/>
      <c r="CQ17" s="985" t="n">
        <v>2.1883263125444</v>
      </c>
      <c r="CR17" s="984" t="n">
        <v>53372509.81006178</v>
      </c>
      <c r="CS17" s="984" t="n">
        <v>24389648.6114106</v>
      </c>
      <c r="CT17" s="984" t="n"/>
      <c r="CU17" s="984" t="n"/>
      <c r="CV17" s="984" t="n"/>
      <c r="CW17" s="984" t="n"/>
      <c r="CX17" s="984" t="n"/>
      <c r="CY17" s="984" t="n"/>
      <c r="CZ17" s="984" t="n"/>
      <c r="DA17" s="984" t="n"/>
      <c r="DB17" s="984" t="n"/>
      <c r="DC17" s="985" t="n">
        <v>0.787</v>
      </c>
      <c r="DD17" s="984" t="n">
        <v>4881615.590802</v>
      </c>
      <c r="DE17" s="984" t="n">
        <v>3839712.003586974</v>
      </c>
      <c r="DF17" s="984" t="n"/>
      <c r="DG17" s="984" t="n">
        <v>-158243.0499999996</v>
      </c>
      <c r="DH17" s="984" t="n">
        <v>51107.54300000053</v>
      </c>
      <c r="DI17" s="984" t="n">
        <v>4461543.063</v>
      </c>
      <c r="DJ17" s="984" t="n">
        <v>4410435.52</v>
      </c>
      <c r="DK17" s="984">
        <f>+DL17-DM17</f>
        <v/>
      </c>
      <c r="DL17" s="984" t="n">
        <v>1711799.288</v>
      </c>
      <c r="DM17" s="984" t="n">
        <v>1921149.881</v>
      </c>
      <c r="DN17" s="984" t="n">
        <v>436074.282</v>
      </c>
      <c r="DO17" s="984" t="n">
        <v>436074.282</v>
      </c>
      <c r="DP17" s="984" t="n"/>
      <c r="DQ17" s="984" t="n"/>
      <c r="DR17" s="984" t="n"/>
      <c r="DS17" s="984" t="n"/>
      <c r="DT17" s="984" t="n"/>
      <c r="DU17" s="984" t="n"/>
      <c r="DV17" s="984" t="n"/>
      <c r="DW17" s="984" t="n"/>
      <c r="DX17" s="984" t="n"/>
      <c r="DY17" s="984" t="n"/>
      <c r="DZ17" s="984" t="n"/>
      <c r="EA17" s="984" t="n"/>
      <c r="EB17" s="984" t="n"/>
      <c r="EC17" s="984" t="n"/>
      <c r="ED17" s="984" t="n"/>
      <c r="EE17" s="984" t="n"/>
      <c r="EF17" s="984" t="n"/>
      <c r="EP17" s="984" t="n"/>
      <c r="EQ17" s="984" t="n"/>
      <c r="ER17" s="984" t="n"/>
      <c r="ES17" s="984" t="n"/>
      <c r="ET17" s="984" t="n"/>
      <c r="EU17" s="984" t="n"/>
      <c r="EV17" s="984" t="n"/>
      <c r="EW17" s="984" t="n"/>
      <c r="EX17" s="984" t="n"/>
      <c r="EY17" s="984" t="n"/>
      <c r="EZ17" s="984" t="n"/>
      <c r="FA17" s="984" t="n"/>
      <c r="FB17" s="984" t="n"/>
    </row>
    <row r="18" customFormat="1" s="2">
      <c r="A18" s="2">
        <f>B18&amp;C18</f>
        <v/>
      </c>
      <c r="B18" s="2" t="n">
        <v>2412</v>
      </c>
      <c r="C18" s="2" t="inlineStr">
        <is>
          <t>삼성</t>
        </is>
      </c>
      <c r="D18" s="974" t="n">
        <v>275321056</v>
      </c>
      <c r="E18" s="974" t="n">
        <v>35547807</v>
      </c>
      <c r="F18" s="974" t="n">
        <v>161933749</v>
      </c>
      <c r="G18" s="974" t="n">
        <v>45371811</v>
      </c>
      <c r="H18" s="974" t="n">
        <v>21523726</v>
      </c>
      <c r="I18" s="842">
        <f>+E18/$D18</f>
        <v/>
      </c>
      <c r="J18" s="842">
        <f>+F18/$D18</f>
        <v/>
      </c>
      <c r="K18" s="842">
        <f>+G18/$D18</f>
        <v/>
      </c>
      <c r="L18" s="988" t="n">
        <v>244832559</v>
      </c>
      <c r="M18" s="974" t="n">
        <v>202156297</v>
      </c>
      <c r="N18" s="989">
        <f>O18-P18</f>
        <v/>
      </c>
      <c r="O18" s="988" t="n">
        <v>30488497</v>
      </c>
      <c r="P18" s="989" t="n"/>
      <c r="Q18" s="988" t="n">
        <v>18492149</v>
      </c>
      <c r="R18" s="989" t="n">
        <v>14000586</v>
      </c>
      <c r="S18" s="989" t="n">
        <v>37527725</v>
      </c>
      <c r="T18" s="989">
        <f>N17</f>
        <v/>
      </c>
      <c r="U18" s="975" t="n">
        <v>249325225</v>
      </c>
      <c r="V18" s="975" t="n">
        <v>243299232</v>
      </c>
      <c r="W18" s="139" t="n">
        <v>0.9758</v>
      </c>
      <c r="X18" s="988" t="n">
        <v>18492149</v>
      </c>
      <c r="Y18" s="988" t="n">
        <v>14995955</v>
      </c>
      <c r="Z18" s="989" t="n">
        <v>2949578</v>
      </c>
      <c r="AA18" s="989" t="n">
        <v>311162</v>
      </c>
      <c r="AB18" s="989" t="n">
        <v>403254</v>
      </c>
      <c r="AC18" s="989" t="n"/>
      <c r="AD18" s="989" t="n">
        <v>-167800</v>
      </c>
      <c r="AE18" s="989">
        <f>X18-SUM(Y18:AD18)</f>
        <v/>
      </c>
      <c r="AF18" s="974" t="n">
        <v>541990</v>
      </c>
      <c r="AG18" s="974" t="n">
        <v>9118505</v>
      </c>
      <c r="AH18" s="974" t="n">
        <v>8576515</v>
      </c>
      <c r="AI18" s="974" t="n">
        <v>1000936</v>
      </c>
      <c r="AJ18" s="974">
        <f>1825902-8034331</f>
        <v/>
      </c>
      <c r="AK18" s="974">
        <f>92446-41302</f>
        <v/>
      </c>
      <c r="AL18" s="974">
        <f>+AI18-AJ18-AK18+AM18-AN18</f>
        <v/>
      </c>
      <c r="AM18" s="974" t="n">
        <v>334101</v>
      </c>
      <c r="AN18" s="974">
        <f>17990+273848+112558-187039</f>
        <v/>
      </c>
      <c r="AO18" s="974" t="n">
        <v>1542926</v>
      </c>
      <c r="AP18" s="974" t="n">
        <v>278364</v>
      </c>
      <c r="AQ18" s="989" t="n">
        <v>1821290</v>
      </c>
      <c r="AR18" s="989" t="n">
        <v>1486936</v>
      </c>
      <c r="AS18" s="989">
        <f>+AO18+AP18-AQ18</f>
        <v/>
      </c>
      <c r="AT18" s="989">
        <f>+AJ18+AK18+AL18-AM18+AN18-AI18</f>
        <v/>
      </c>
      <c r="AU18" s="989">
        <f>+AF18+AI18-AO18</f>
        <v/>
      </c>
      <c r="AV18" s="989">
        <f>+AF18</f>
        <v/>
      </c>
      <c r="AW18" s="989">
        <f>+AI18</f>
        <v/>
      </c>
      <c r="AX18" s="989">
        <f>+AP18</f>
        <v/>
      </c>
      <c r="AY18" s="989">
        <f>+SUM(AV18:AX18)</f>
        <v/>
      </c>
      <c r="AZ18" s="974" t="n"/>
      <c r="BA18" s="974" t="n"/>
      <c r="BB18" s="842">
        <f>+BF18/(BU18+BV18+BW18)</f>
        <v/>
      </c>
      <c r="BC18" s="988" t="n">
        <v>34101703</v>
      </c>
      <c r="BD18" s="988" t="n">
        <v>-6894829</v>
      </c>
      <c r="BE18" s="974" t="n"/>
      <c r="BF18" s="974">
        <f>-9096658+60797</f>
        <v/>
      </c>
      <c r="BG18" s="974" t="n">
        <v>354297</v>
      </c>
      <c r="BH18" s="974" t="n"/>
      <c r="BI18" s="974" t="n">
        <v>-33161</v>
      </c>
      <c r="BJ18" s="974" t="n"/>
      <c r="BK18" s="988" t="n">
        <v>18492149</v>
      </c>
      <c r="BL18" s="989">
        <f>+BK18-BC18-SUM(BD18:BJ18)</f>
        <v/>
      </c>
      <c r="BM18" s="974" t="n">
        <v>13177954</v>
      </c>
      <c r="BN18" s="974" t="n">
        <v>-664427</v>
      </c>
      <c r="BO18" s="974" t="n"/>
      <c r="BP18" s="974" t="n">
        <v>1486936</v>
      </c>
      <c r="BQ18" s="974" t="n">
        <v>123</v>
      </c>
      <c r="BR18" s="974" t="n"/>
      <c r="BS18" s="974" t="n">
        <v>14000586</v>
      </c>
      <c r="BT18" s="989">
        <f>+BM18+SUM(BN18:BQ18)-BS18</f>
        <v/>
      </c>
      <c r="BU18" s="989">
        <f>34335846+32066306+119883089</f>
        <v/>
      </c>
      <c r="BV18" s="989">
        <f>990653+1337274+641106</f>
        <v/>
      </c>
      <c r="BW18" s="989">
        <f>416927+1480805+2862777+855873+3311090+2929952+69015+437508+538076</f>
        <v/>
      </c>
      <c r="BX18" s="989">
        <f>1186529+1885155+188920</f>
        <v/>
      </c>
      <c r="BY18" s="989">
        <f>66057+123915+359166+93057+233028+365481+5758+47060+76019</f>
        <v/>
      </c>
      <c r="BZ18" s="989">
        <f>-283600+4593-608307-57219+784003-623097-89002-656784-175346</f>
        <v/>
      </c>
      <c r="CA18" s="989">
        <f>22755+5872+34505+133237+1131+19650+87857+108575+4151+22824+27790</f>
        <v/>
      </c>
      <c r="CB18" s="989">
        <f>737957+1565622+2509353+986499+2672258+1924800+159624+1118528+572731</f>
        <v/>
      </c>
      <c r="CC18" s="199">
        <f>+BU18/BU17</f>
        <v/>
      </c>
      <c r="CD18" s="974">
        <f>CB18+BX18-BY18+BZ18+CA18-BW18</f>
        <v/>
      </c>
      <c r="CE18" s="974" t="n">
        <v>1030710</v>
      </c>
      <c r="CF18" s="974" t="n">
        <v>1620321</v>
      </c>
      <c r="CG18" s="974" t="n">
        <v>1219863</v>
      </c>
      <c r="CH18" s="974" t="n">
        <v>9031129</v>
      </c>
      <c r="CI18" s="974" t="n"/>
      <c r="CJ18" s="974" t="n">
        <v>12902023</v>
      </c>
      <c r="CK18" s="974">
        <f>CJ18-SUM(CE18:CI18)</f>
        <v/>
      </c>
      <c r="CL18" s="974">
        <f>BW18-CJ18</f>
        <v/>
      </c>
      <c r="CM18" s="974" t="n"/>
      <c r="CN18" s="842" t="n"/>
      <c r="CO18" s="974" t="n"/>
      <c r="CP18" s="974" t="n"/>
      <c r="CQ18" s="842" t="n">
        <v>1.849</v>
      </c>
      <c r="CR18" s="974" t="n">
        <v>44336081</v>
      </c>
      <c r="CS18" s="974" t="n">
        <v>23980612</v>
      </c>
      <c r="CT18" s="974" t="n"/>
      <c r="CU18" s="974" t="n"/>
      <c r="CV18" s="974" t="n"/>
      <c r="CW18" s="140" t="n">
        <v>0.908</v>
      </c>
      <c r="CX18" s="140" t="n">
        <v>0.99</v>
      </c>
      <c r="CY18" s="140" t="n">
        <v>-0.082</v>
      </c>
      <c r="CZ18" s="141">
        <f>+CX18/CW18</f>
        <v/>
      </c>
      <c r="DA18" s="974" t="n"/>
      <c r="DB18" s="974" t="n"/>
      <c r="DC18" s="842" t="n">
        <v>0.789</v>
      </c>
      <c r="DD18" s="974" t="n">
        <v>5050507.905003646</v>
      </c>
      <c r="DE18" s="974" t="n">
        <v>3986195.854126982</v>
      </c>
      <c r="DF18" s="974" t="n"/>
      <c r="DG18" s="974">
        <f>+DH18+DK18</f>
        <v/>
      </c>
      <c r="DH18" s="974">
        <f>+DI18-DJ18</f>
        <v/>
      </c>
      <c r="DI18" s="974" t="n">
        <v>4586040.789</v>
      </c>
      <c r="DJ18" s="974" t="n">
        <v>4660397.397</v>
      </c>
      <c r="DK18" s="974">
        <f>+DL18-DM18</f>
        <v/>
      </c>
      <c r="DL18" s="974" t="n">
        <v>1905906.949</v>
      </c>
      <c r="DM18" s="974" t="n">
        <v>2039465.367</v>
      </c>
      <c r="DN18" s="974" t="n"/>
      <c r="DO18" s="974" t="n"/>
      <c r="DP18" s="974" t="n"/>
      <c r="DQ18" s="974" t="n"/>
      <c r="DR18" s="974" t="n"/>
      <c r="DS18" s="974" t="n"/>
      <c r="DT18" s="974" t="n"/>
      <c r="DU18" s="974" t="n"/>
      <c r="DV18" s="974" t="n"/>
      <c r="DW18" s="974" t="n"/>
      <c r="DX18" s="974" t="n"/>
      <c r="DY18" s="974" t="n"/>
      <c r="DZ18" s="974" t="n"/>
      <c r="EA18" s="974" t="n"/>
      <c r="EB18" s="974" t="n"/>
      <c r="EC18" s="974" t="n"/>
      <c r="ED18" s="974" t="n"/>
      <c r="EE18" s="974" t="n"/>
      <c r="EF18" s="974" t="n"/>
      <c r="EI18" s="974" t="n"/>
      <c r="EJ18" s="974" t="n"/>
      <c r="EK18" s="974" t="n"/>
      <c r="EP18" s="974" t="n">
        <v>1904752</v>
      </c>
      <c r="EQ18" s="974" t="n">
        <v>1160241</v>
      </c>
      <c r="ER18" s="974" t="n">
        <v>-1756900</v>
      </c>
      <c r="ES18" s="974" t="n">
        <v>-276997</v>
      </c>
      <c r="ET18" s="974">
        <f>1077438+90634</f>
        <v/>
      </c>
      <c r="EU18" s="974" t="n"/>
      <c r="EV18" s="974" t="n"/>
      <c r="EW18" s="974" t="n">
        <v>-1904752</v>
      </c>
      <c r="EX18" s="974" t="n">
        <v>-1160241</v>
      </c>
      <c r="EY18" s="974" t="n">
        <v>1756900</v>
      </c>
      <c r="EZ18" s="974" t="n">
        <v>276997</v>
      </c>
      <c r="FA18" s="974" t="n">
        <v>-1168072</v>
      </c>
      <c r="FB18" s="974" t="n">
        <v>494409</v>
      </c>
      <c r="FC18" s="766">
        <f>SUM(EW18:FB18)-BZ18</f>
        <v/>
      </c>
    </row>
    <row r="19">
      <c r="A19" s="642">
        <f>B19&amp;C19</f>
        <v/>
      </c>
      <c r="B19" s="642" t="n">
        <v>2503</v>
      </c>
      <c r="C19" s="642" t="inlineStr">
        <is>
          <t>삼성</t>
        </is>
      </c>
      <c r="D19" s="786" t="n">
        <v>281011504</v>
      </c>
      <c r="E19" s="786" t="n">
        <v>34343581</v>
      </c>
      <c r="F19" s="786" t="n">
        <v>168070744</v>
      </c>
      <c r="G19" s="786" t="n">
        <v>45712850</v>
      </c>
      <c r="H19" s="786" t="n">
        <v>22163909</v>
      </c>
      <c r="I19" s="785">
        <f>+E19/$D19</f>
        <v/>
      </c>
      <c r="J19" s="785">
        <f>+F19/$D19</f>
        <v/>
      </c>
      <c r="K19" s="785">
        <f>+G19/$D19</f>
        <v/>
      </c>
      <c r="L19" s="786" t="n">
        <v>257067089</v>
      </c>
      <c r="M19" s="786" t="n">
        <v>208066521</v>
      </c>
      <c r="N19" s="965">
        <f>O19-P19</f>
        <v/>
      </c>
      <c r="O19" s="965" t="n">
        <v>23944415</v>
      </c>
      <c r="Q19" s="965" t="n">
        <v>11823636</v>
      </c>
      <c r="R19" s="965" t="n">
        <v>14125017</v>
      </c>
      <c r="S19" s="965" t="n">
        <v>25097358</v>
      </c>
      <c r="T19" s="978">
        <f>N18</f>
        <v/>
      </c>
      <c r="U19" s="787" t="n">
        <v>255225230</v>
      </c>
      <c r="V19" s="787" t="n">
        <v>247992743</v>
      </c>
      <c r="W19" s="144" t="n">
        <v>0.9717</v>
      </c>
      <c r="X19" s="965" t="n">
        <v>11823636</v>
      </c>
      <c r="Y19" s="965" t="n">
        <v>12262178</v>
      </c>
      <c r="Z19" s="965" t="n">
        <v>-1232241</v>
      </c>
      <c r="AA19" s="965" t="n">
        <v>332652</v>
      </c>
      <c r="AB19" s="965" t="n">
        <v>629826</v>
      </c>
      <c r="AD19" s="965" t="n">
        <v>-168779</v>
      </c>
      <c r="AE19" s="989">
        <f>X19-SUM(Y19:AD19)</f>
        <v/>
      </c>
      <c r="AF19" s="786" t="n">
        <v>277882</v>
      </c>
      <c r="AG19" s="786" t="n">
        <v>2419778</v>
      </c>
      <c r="AH19" s="786" t="n">
        <v>2141896</v>
      </c>
      <c r="AI19" s="786" t="n">
        <v>199067</v>
      </c>
      <c r="AJ19" s="786">
        <f>152373-2067375</f>
        <v/>
      </c>
      <c r="AK19" s="786">
        <f>28888-11387</f>
        <v/>
      </c>
      <c r="AL19" s="786">
        <f>+AI19-AJ19-AK19+AM19-AN19</f>
        <v/>
      </c>
      <c r="AM19" s="786" t="n">
        <v>76584</v>
      </c>
      <c r="AN19" s="786">
        <f>5212+70948+26013-44069</f>
        <v/>
      </c>
      <c r="AO19" s="786" t="n">
        <v>476949</v>
      </c>
      <c r="AP19" s="786" t="n">
        <v>331502</v>
      </c>
      <c r="AQ19" s="965" t="n">
        <v>808451</v>
      </c>
      <c r="AR19" s="965" t="n">
        <v>703719</v>
      </c>
      <c r="AS19" s="965">
        <f>+AO19+AP19-AQ19</f>
        <v/>
      </c>
      <c r="AT19" s="965">
        <f>+AJ19+AK19+AL19-AM19+AN19-AI19</f>
        <v/>
      </c>
      <c r="AU19" s="965">
        <f>+AF19+AI19-AO19</f>
        <v/>
      </c>
      <c r="AV19" s="965">
        <f>+AF19</f>
        <v/>
      </c>
      <c r="AW19" s="965">
        <f>+AI19</f>
        <v/>
      </c>
      <c r="AX19" s="965">
        <f>+AP19</f>
        <v/>
      </c>
      <c r="AY19" s="965">
        <f>+SUM(AV19:AX19)</f>
        <v/>
      </c>
      <c r="BB19" s="785" t="n"/>
      <c r="BC19" s="786" t="n">
        <v>13101010</v>
      </c>
      <c r="BD19" s="786" t="n">
        <v>2657362</v>
      </c>
      <c r="BF19" s="786">
        <f>-4181819+21490</f>
        <v/>
      </c>
      <c r="BG19" s="786" t="n">
        <v>226572</v>
      </c>
      <c r="BI19" s="786" t="n">
        <v>-979</v>
      </c>
      <c r="BK19" s="786" t="n">
        <v>11823636</v>
      </c>
      <c r="BL19" s="965">
        <f>+BK19-BC19-SUM(BD19:BJ19)</f>
        <v/>
      </c>
      <c r="BM19" s="786" t="n">
        <v>14000586</v>
      </c>
      <c r="BN19" s="786" t="n">
        <v>-808086</v>
      </c>
      <c r="BP19" s="786" t="n">
        <v>703719</v>
      </c>
      <c r="BQ19" s="786" t="n">
        <v>228798</v>
      </c>
      <c r="BS19" s="786" t="n">
        <v>14125017</v>
      </c>
      <c r="BT19" s="965">
        <f>+BM19+SUM(BN19:BQ19)-BS19</f>
        <v/>
      </c>
      <c r="BU19" s="965">
        <f>36614729+33762769+121427068</f>
        <v/>
      </c>
      <c r="BV19" s="965">
        <f>947096+1348785+657028</f>
        <v/>
      </c>
      <c r="BW19" s="965">
        <f>387839+1848911+2956794+808759+3038475+3262504+65096+397706+542962</f>
        <v/>
      </c>
      <c r="BX19" s="965">
        <f>154412+487755+15606</f>
        <v/>
      </c>
      <c r="BY19" s="965">
        <f>11715+40202+87821+18774+63507+106449+2060+11493+19059</f>
        <v/>
      </c>
      <c r="BZ19" s="965">
        <f>-20803+399886-3961-32927-235910-81243-2365-30947+2553</f>
        <v/>
      </c>
      <c r="CA19" s="965">
        <f>3538-108+8422+31406-19+4587+26802+32489+506+2638+5786</f>
        <v/>
      </c>
      <c r="CB19" s="965">
        <f>416927+1480805+2862777+855873+3311090+2929952+69015+437508+538076</f>
        <v/>
      </c>
      <c r="CD19" s="786">
        <f>CB19+BX19-BY19+BZ19+CA19-BW19</f>
        <v/>
      </c>
      <c r="CE19" s="786" t="n">
        <v>1059096</v>
      </c>
      <c r="CF19" s="786" t="n">
        <v>1657767</v>
      </c>
      <c r="CG19" s="786" t="n">
        <v>1247215</v>
      </c>
      <c r="CH19" s="786" t="n">
        <v>9344968</v>
      </c>
      <c r="CJ19" s="786" t="n">
        <v>13309046</v>
      </c>
      <c r="CK19" s="786">
        <f>CJ19-SUM(CE19:CI19)</f>
        <v/>
      </c>
      <c r="CL19" s="786">
        <f>BW19-CJ19</f>
        <v/>
      </c>
      <c r="CN19" s="785" t="n"/>
      <c r="CQ19" s="785" t="n">
        <v>1.772</v>
      </c>
      <c r="CR19" s="786" t="n">
        <v>45193535</v>
      </c>
      <c r="CS19" s="786" t="n">
        <v>25508613</v>
      </c>
      <c r="CW19" s="105" t="n"/>
      <c r="CX19" s="105" t="n"/>
      <c r="CY19" s="105" t="n"/>
      <c r="CZ19" s="106" t="n"/>
      <c r="DC19" s="785" t="n">
        <v>0.8288932887836234</v>
      </c>
      <c r="DD19" s="786" t="n">
        <v>1286236.080493</v>
      </c>
      <c r="DE19" s="786" t="n">
        <v>1066152.454912</v>
      </c>
      <c r="DG19" s="786">
        <f>+DH19+DK19</f>
        <v/>
      </c>
      <c r="DH19" s="786">
        <f>+DI19-DJ19</f>
        <v/>
      </c>
      <c r="DI19" s="786" t="n">
        <v>1188415.758</v>
      </c>
      <c r="DJ19" s="786" t="n">
        <v>1234657.153</v>
      </c>
      <c r="DK19" s="786">
        <f>+DL19-DM19</f>
        <v/>
      </c>
      <c r="DL19" s="786" t="n">
        <v>484394.497</v>
      </c>
      <c r="DM19" s="786" t="n">
        <v>444532.894</v>
      </c>
      <c r="EF19" s="786" t="n"/>
    </row>
    <row r="20">
      <c r="A20" s="642">
        <f>B20&amp;C20</f>
        <v/>
      </c>
      <c r="B20" s="642" t="n">
        <v>2506</v>
      </c>
      <c r="C20" s="642" t="inlineStr">
        <is>
          <t>삼성</t>
        </is>
      </c>
      <c r="D20" s="786" t="n">
        <v>280990354</v>
      </c>
      <c r="E20" s="786" t="n">
        <v>36026344</v>
      </c>
      <c r="F20" s="786" t="n">
        <v>168569341</v>
      </c>
      <c r="G20" s="786" t="n">
        <v>43113870</v>
      </c>
      <c r="H20" s="786" t="n">
        <v>22764496</v>
      </c>
      <c r="I20" s="785">
        <f>+E20/$D20</f>
        <v/>
      </c>
      <c r="J20" s="785">
        <f>+F20/$D20</f>
        <v/>
      </c>
      <c r="K20" s="785">
        <f>+G20/$D20</f>
        <v/>
      </c>
      <c r="L20" s="786" t="n">
        <v>255077729</v>
      </c>
      <c r="M20" s="786" t="n">
        <v>207294908</v>
      </c>
      <c r="N20" s="965">
        <f>O20-P20</f>
        <v/>
      </c>
      <c r="O20" s="965" t="n">
        <v>25912625</v>
      </c>
      <c r="Q20" s="965" t="n">
        <v>13354503</v>
      </c>
      <c r="R20" s="965" t="n">
        <v>14562360</v>
      </c>
      <c r="S20" s="965" t="n">
        <v>25097358</v>
      </c>
      <c r="T20" s="978">
        <f>T19</f>
        <v/>
      </c>
      <c r="U20" s="787" t="n">
        <v>253810400</v>
      </c>
      <c r="V20" s="787" t="n">
        <v>247654200</v>
      </c>
      <c r="W20" s="144" t="n">
        <v>0.9757</v>
      </c>
      <c r="X20" s="965" t="n">
        <v>13354503</v>
      </c>
      <c r="Y20" s="965" t="n">
        <v>12308138</v>
      </c>
      <c r="Z20" s="965" t="n">
        <v>599004</v>
      </c>
      <c r="AA20" s="965" t="n">
        <v>320128</v>
      </c>
      <c r="AB20" s="965" t="n">
        <v>296614</v>
      </c>
      <c r="AD20" s="965" t="n">
        <v>-169381</v>
      </c>
      <c r="AE20" s="989">
        <f>X20-SUM(Y20:AD20)</f>
        <v/>
      </c>
      <c r="AF20" s="786" t="n">
        <v>831345</v>
      </c>
      <c r="AG20" s="786" t="n">
        <v>4831273</v>
      </c>
      <c r="AH20" s="786" t="n">
        <v>3999928</v>
      </c>
      <c r="AI20" s="786" t="n">
        <v>289056</v>
      </c>
      <c r="AJ20" s="786">
        <f>740483-5617701</f>
        <v/>
      </c>
      <c r="AK20" s="786">
        <f>57146-22927</f>
        <v/>
      </c>
      <c r="AL20" s="786">
        <f>+AI20-AJ20-AK20+AM20-AN20</f>
        <v/>
      </c>
      <c r="AM20" s="786" t="n">
        <v>74792</v>
      </c>
      <c r="AN20" s="786">
        <f>10904+146408+45418-89826</f>
        <v/>
      </c>
      <c r="AO20" s="786" t="n">
        <v>1120401</v>
      </c>
      <c r="AP20" s="786" t="n">
        <v>342072</v>
      </c>
      <c r="AQ20" s="965" t="n">
        <v>1462473</v>
      </c>
      <c r="AR20" s="965" t="n">
        <v>1200474</v>
      </c>
      <c r="AS20" s="965">
        <f>+AO20+AP20-AQ20</f>
        <v/>
      </c>
      <c r="AT20" s="965">
        <f>+AJ20+AK20+AL20-AM20+AN20-AI20</f>
        <v/>
      </c>
      <c r="AU20" s="965">
        <f>+AF20+AI20-AO20</f>
        <v/>
      </c>
      <c r="AV20" s="965">
        <f>+AF20</f>
        <v/>
      </c>
      <c r="AW20" s="965">
        <f>+AI20</f>
        <v/>
      </c>
      <c r="AX20" s="965">
        <f>+AP20</f>
        <v/>
      </c>
      <c r="AY20" s="965">
        <f>+SUM(AV20:AX20)</f>
        <v/>
      </c>
      <c r="BB20" s="785" t="n"/>
      <c r="BC20" s="786" t="n">
        <v>13101010</v>
      </c>
      <c r="BD20" s="786" t="n">
        <v>2703322</v>
      </c>
      <c r="BF20" s="786">
        <f>-2350574+8966</f>
        <v/>
      </c>
      <c r="BG20" s="786" t="n">
        <v>-106640</v>
      </c>
      <c r="BI20" s="786" t="n">
        <v>-1581</v>
      </c>
      <c r="BK20" s="786" t="n">
        <v>13354503</v>
      </c>
      <c r="BL20" s="965">
        <f>+BK20-BC20-SUM(BD20:BJ20)</f>
        <v/>
      </c>
      <c r="BM20" s="786" t="n">
        <v>14000586</v>
      </c>
      <c r="BN20" s="786" t="n">
        <v>-808086</v>
      </c>
      <c r="BP20" s="786" t="n">
        <v>1200474</v>
      </c>
      <c r="BQ20" s="786" t="n">
        <v>169386</v>
      </c>
      <c r="BS20" s="786" t="n">
        <v>14562360</v>
      </c>
      <c r="BT20" s="965">
        <f>+BM20+SUM(BN20:BQ20)-BS20</f>
        <v/>
      </c>
      <c r="BU20" s="965">
        <f>37509301+32529742+120490531</f>
        <v/>
      </c>
      <c r="BV20" s="965">
        <f>980893+1380615+657760</f>
        <v/>
      </c>
      <c r="BW20" s="965">
        <f>380611+1777100+2906633+795854+3023956+3744908+65230+485148+566626</f>
        <v/>
      </c>
      <c r="BX20" s="965">
        <f>257024+1141007+28306</f>
        <v/>
      </c>
      <c r="BY20" s="965">
        <f>275590+395888+72183</f>
        <v/>
      </c>
      <c r="BZ20" s="965">
        <f>+-16669+354360-101571-31984-211888-163275-654+68295+31115</f>
        <v/>
      </c>
      <c r="CA20" s="965">
        <f>3169+20769+62343+8921+51376+69534+984+5013+11529</f>
        <v/>
      </c>
      <c r="CB20" s="965">
        <f>+CB19</f>
        <v/>
      </c>
      <c r="CD20" s="786">
        <f>CB20+BX20-BY20+BZ20+CA20-BW20</f>
        <v/>
      </c>
      <c r="CE20" s="786" t="n">
        <v>898810</v>
      </c>
      <c r="CF20" s="786" t="n">
        <v>1462307</v>
      </c>
      <c r="CG20" s="786" t="n">
        <v>1192750</v>
      </c>
      <c r="CH20" s="786" t="n">
        <v>10192199</v>
      </c>
      <c r="CJ20" s="786" t="n">
        <v>13746066</v>
      </c>
      <c r="CK20" s="786">
        <f>CJ20-SUM(CE20:CI20)</f>
        <v/>
      </c>
      <c r="CL20" s="786">
        <f>BW20-CJ20</f>
        <v/>
      </c>
      <c r="CN20" s="785" t="n"/>
      <c r="CQ20" s="785" t="n">
        <v>1.867</v>
      </c>
      <c r="CR20" s="786" t="n">
        <v>47793910</v>
      </c>
      <c r="CS20" s="786" t="n">
        <v>25592686</v>
      </c>
      <c r="CW20" s="105" t="n"/>
      <c r="CX20" s="105" t="n"/>
      <c r="CY20" s="105" t="n"/>
      <c r="CZ20" s="106" t="n"/>
      <c r="DC20" s="785" t="n">
        <v>0.815875033649016</v>
      </c>
      <c r="DD20" s="786" t="n">
        <v>2587797.929041999</v>
      </c>
      <c r="DE20" s="786" t="n">
        <v>2111319.722433996</v>
      </c>
      <c r="DG20" s="786">
        <f>+DH20+DK20</f>
        <v/>
      </c>
      <c r="DH20" s="786">
        <f>+DI20-DJ20</f>
        <v/>
      </c>
      <c r="DI20" s="786">
        <f>'[2]Ⅴ-4'!$R$11</f>
        <v/>
      </c>
      <c r="DJ20" s="786">
        <f>'[2]Ⅴ-4'!$R$33</f>
        <v/>
      </c>
      <c r="DK20" s="786">
        <f>+DL20-DM20</f>
        <v/>
      </c>
      <c r="DL20" s="786">
        <f>+SUM('[2]Ⅴ-4'!$R$12)</f>
        <v/>
      </c>
      <c r="DM20" s="786">
        <f>'[2]Ⅴ-4'!$R$34</f>
        <v/>
      </c>
      <c r="EF20" s="786" t="n"/>
      <c r="EK20" s="642" t="inlineStr">
        <is>
          <t>연금, 저축</t>
        </is>
      </c>
    </row>
    <row r="21">
      <c r="A21" s="642">
        <f>B21&amp;C21</f>
        <v/>
      </c>
      <c r="B21" s="642" t="n">
        <v>2509</v>
      </c>
      <c r="C21" s="642" t="inlineStr">
        <is>
          <t>삼성</t>
        </is>
      </c>
      <c r="D21" s="786" t="n">
        <v>295578120</v>
      </c>
      <c r="E21" s="786" t="n">
        <v>37991991</v>
      </c>
      <c r="F21" s="786" t="n">
        <v>183641145</v>
      </c>
      <c r="G21" s="786" t="n">
        <v>41744574</v>
      </c>
      <c r="H21" s="786" t="n">
        <v>22421361</v>
      </c>
      <c r="I21" s="785">
        <f>+E21/$D21</f>
        <v/>
      </c>
      <c r="J21" s="785">
        <f>+F21/$D21</f>
        <v/>
      </c>
      <c r="K21" s="785">
        <f>+G21/$D21</f>
        <v/>
      </c>
      <c r="L21" s="786" t="n">
        <v>262873644</v>
      </c>
      <c r="M21" s="786" t="n">
        <v>207631921</v>
      </c>
      <c r="N21" s="965">
        <f>O21-P21</f>
        <v/>
      </c>
      <c r="O21" s="965" t="n">
        <v>32704476</v>
      </c>
      <c r="Q21" s="965" t="n">
        <v>19735638</v>
      </c>
      <c r="R21" s="965" t="n">
        <v>14973076</v>
      </c>
      <c r="S21" s="965" t="n">
        <v>25097358</v>
      </c>
      <c r="T21" s="978">
        <f>T20</f>
        <v/>
      </c>
      <c r="U21" s="787" t="n">
        <v>267599194</v>
      </c>
      <c r="V21" s="787" t="n">
        <v>262018956</v>
      </c>
      <c r="W21" s="144" t="n">
        <v>0.9791</v>
      </c>
      <c r="X21" s="965" t="n">
        <v>19735638</v>
      </c>
      <c r="Y21" s="965" t="n">
        <v>17843954</v>
      </c>
      <c r="Z21" s="965" t="n">
        <v>1716945</v>
      </c>
      <c r="AA21" s="965" t="n">
        <v>314301</v>
      </c>
      <c r="AB21" s="965" t="n">
        <v>30598</v>
      </c>
      <c r="AD21" s="965" t="n">
        <v>-170160</v>
      </c>
      <c r="AE21" s="989">
        <f>X21-SUM(Y21:AD21)</f>
        <v/>
      </c>
      <c r="AF21" s="786" t="n">
        <v>1092943</v>
      </c>
      <c r="AG21" s="786" t="n">
        <v>7316460</v>
      </c>
      <c r="AH21" s="786" t="n">
        <v>6223517</v>
      </c>
      <c r="AI21" s="786" t="n">
        <v>544697</v>
      </c>
      <c r="AJ21" s="786">
        <f>1110149-8613374</f>
        <v/>
      </c>
      <c r="AK21" s="786">
        <f>84925-30928</f>
        <v/>
      </c>
      <c r="AL21" s="786">
        <f>+AI21-AJ21-AK21+AM21-AN21</f>
        <v/>
      </c>
      <c r="AM21" s="786" t="n">
        <v>233758</v>
      </c>
      <c r="AN21" s="786">
        <f>16414+217336+302889-139281</f>
        <v/>
      </c>
      <c r="AO21" s="786" t="n">
        <v>1637640</v>
      </c>
      <c r="AP21" s="786" t="n">
        <v>347934</v>
      </c>
      <c r="AQ21" s="965" t="n">
        <v>1985574</v>
      </c>
      <c r="AR21" s="965" t="n">
        <v>1609894</v>
      </c>
      <c r="AS21" s="965">
        <f>+AO21+AP21-AQ21</f>
        <v/>
      </c>
      <c r="AT21" s="965">
        <f>+AJ21+AK21+AL21-AM21+AN21-AI21</f>
        <v/>
      </c>
      <c r="AU21" s="965">
        <f>+AF21+AI21-AO21</f>
        <v/>
      </c>
      <c r="AV21" s="965">
        <f>+AF21</f>
        <v/>
      </c>
      <c r="AW21" s="965">
        <f>+AI21</f>
        <v/>
      </c>
      <c r="AX21" s="965">
        <f>+AP21</f>
        <v/>
      </c>
      <c r="AY21" s="965">
        <f>+SUM(AV21:AX21)</f>
        <v/>
      </c>
      <c r="BB21" s="785" t="n"/>
      <c r="BC21" s="786" t="n">
        <v>13101010</v>
      </c>
      <c r="BD21" s="786" t="n">
        <v>8239138</v>
      </c>
      <c r="BF21" s="786">
        <f>+-1232633+3139</f>
        <v/>
      </c>
      <c r="BG21" s="786" t="n">
        <v>-372656</v>
      </c>
      <c r="BI21" s="786" t="n">
        <v>-2360</v>
      </c>
      <c r="BK21" s="786" t="n">
        <v>19735638</v>
      </c>
      <c r="BL21" s="965">
        <f>+BK21-BC21-SUM(BD21:BJ21)</f>
        <v/>
      </c>
      <c r="BM21" s="786" t="n">
        <v>14000586</v>
      </c>
      <c r="BN21" s="786" t="n">
        <v>-808086</v>
      </c>
      <c r="BP21" s="786" t="n">
        <v>1609894</v>
      </c>
      <c r="BQ21" s="786" t="n">
        <v>170682</v>
      </c>
      <c r="BS21" s="786" t="n">
        <v>14973076</v>
      </c>
      <c r="BT21" s="965">
        <f>+BM21+SUM(BN21:BQ21)-BS21</f>
        <v/>
      </c>
      <c r="BU21" s="965" t="n">
        <v>190521472</v>
      </c>
      <c r="BV21" s="965" t="n">
        <v>3063428</v>
      </c>
      <c r="BW21" s="965" t="n">
        <v>14047021</v>
      </c>
      <c r="BX21" s="965" t="n">
        <v>2297751</v>
      </c>
      <c r="BY21" s="965" t="n">
        <v>1122023</v>
      </c>
      <c r="BZ21" s="965" t="n">
        <v>-393576</v>
      </c>
      <c r="CA21" s="965" t="n">
        <v>362846</v>
      </c>
      <c r="CB21" s="965">
        <f>+CB20</f>
        <v/>
      </c>
      <c r="CD21" s="786">
        <f>CB21+BX21-BY21+BZ21+CA21-BW21</f>
        <v/>
      </c>
      <c r="CE21" s="786">
        <f>316166+500986+89674</f>
        <v/>
      </c>
      <c r="CF21" s="786">
        <f>534702+785033+154314</f>
        <v/>
      </c>
      <c r="CG21" s="786">
        <f>460018+609247+132085</f>
        <v/>
      </c>
      <c r="CH21" s="786">
        <f>3798261+5977119+689416</f>
        <v/>
      </c>
      <c r="CJ21" s="786">
        <f>1065489+7872385+5109147</f>
        <v/>
      </c>
      <c r="CK21" s="786">
        <f>CJ21-SUM(CE21:CI21)</f>
        <v/>
      </c>
      <c r="CL21" s="786">
        <f>BW21-CJ21</f>
        <v/>
      </c>
      <c r="CN21" s="785" t="n"/>
      <c r="CQ21" s="785" t="n">
        <v>1.927</v>
      </c>
      <c r="CR21" s="786" t="n">
        <v>55722366</v>
      </c>
      <c r="CS21" s="786" t="n">
        <v>28911771</v>
      </c>
      <c r="CW21" s="105" t="n"/>
      <c r="CX21" s="105" t="n"/>
      <c r="CY21" s="105" t="n"/>
      <c r="CZ21" s="106" t="n"/>
      <c r="DC21" s="785" t="n">
        <v>0.887478918043168</v>
      </c>
      <c r="DD21" s="786" t="n">
        <v>3903653.239624999</v>
      </c>
      <c r="DE21" s="786" t="n">
        <v>3464409.953518102</v>
      </c>
      <c r="DG21" s="786">
        <f>+DH21+DK21</f>
        <v/>
      </c>
      <c r="DH21" s="786">
        <f>+DI21-DJ21</f>
        <v/>
      </c>
      <c r="DI21" s="786">
        <f>'[3]Ⅴ-4'!$R$11</f>
        <v/>
      </c>
      <c r="DJ21" s="786">
        <f>'[3]Ⅴ-4'!$R$33</f>
        <v/>
      </c>
      <c r="DK21" s="786">
        <f>+DL21-DM21</f>
        <v/>
      </c>
      <c r="DL21" s="786">
        <f>'[3]Ⅴ-4'!$R$12</f>
        <v/>
      </c>
      <c r="DM21" s="786">
        <f>'[3]Ⅴ-4'!$R$34</f>
        <v/>
      </c>
      <c r="EF21" s="786" t="n"/>
      <c r="EI21" s="642" t="n">
        <v>494485</v>
      </c>
      <c r="EJ21" s="642" t="n">
        <v>1751695</v>
      </c>
      <c r="EK21" s="642" t="n">
        <v>51571</v>
      </c>
      <c r="EN21" s="642">
        <f>SUM(EI21:EM21)</f>
        <v/>
      </c>
      <c r="EO21" s="642">
        <f>+EN21-BX21</f>
        <v/>
      </c>
    </row>
    <row r="22">
      <c r="A22" s="642">
        <f>B22&amp;C22</f>
        <v/>
      </c>
      <c r="B22" s="642" t="n">
        <v>2512</v>
      </c>
      <c r="C22" s="642" t="inlineStr">
        <is>
          <t>삼성</t>
        </is>
      </c>
      <c r="D22" s="786" t="n">
        <v>309948294</v>
      </c>
      <c r="E22" s="786" t="n">
        <v>38209635</v>
      </c>
      <c r="F22" s="786" t="n">
        <v>196888832</v>
      </c>
      <c r="G22" s="786" t="n">
        <v>41115626</v>
      </c>
      <c r="H22" s="786" t="n">
        <v>23986536</v>
      </c>
      <c r="I22" s="785">
        <f>+E22/$D22</f>
        <v/>
      </c>
      <c r="J22" s="785">
        <f>+F22/$D22</f>
        <v/>
      </c>
      <c r="K22" s="785">
        <f>+G22/$D22</f>
        <v/>
      </c>
      <c r="L22" s="786" t="n">
        <v>253531479</v>
      </c>
      <c r="M22" s="786" t="n">
        <v>200846347</v>
      </c>
      <c r="N22" s="965">
        <f>O22-P22</f>
        <v/>
      </c>
      <c r="O22" s="965" t="n">
        <v>56416815</v>
      </c>
      <c r="Q22" s="965" t="n">
        <v>43358109</v>
      </c>
      <c r="R22" s="965" t="n">
        <v>15062944</v>
      </c>
      <c r="S22" s="965" t="n">
        <v>30488497</v>
      </c>
      <c r="T22" s="978">
        <f>+T21</f>
        <v/>
      </c>
      <c r="U22" s="787" t="n">
        <v>280693700</v>
      </c>
      <c r="V22" s="787" t="n">
        <v>275325800</v>
      </c>
      <c r="W22" s="144" t="n">
        <v>0.9809</v>
      </c>
      <c r="X22" s="965">
        <f>+Q22</f>
        <v/>
      </c>
      <c r="Y22" s="965" t="n">
        <v>36260495</v>
      </c>
      <c r="Z22" s="965" t="n">
        <v>7891090</v>
      </c>
      <c r="AA22" s="965" t="n">
        <v>268370</v>
      </c>
      <c r="AB22" s="965" t="n">
        <v>-874000</v>
      </c>
      <c r="AD22" s="965" t="n">
        <v>-187846</v>
      </c>
      <c r="AE22" s="989">
        <f>X22-SUM(Y22:AD22)</f>
        <v/>
      </c>
      <c r="AF22" s="786" t="n">
        <v>974716</v>
      </c>
      <c r="AG22" s="786" t="n">
        <v>9788568</v>
      </c>
      <c r="AH22" s="786" t="n">
        <v>8813852</v>
      </c>
      <c r="AI22" s="786" t="n">
        <v>691745</v>
      </c>
      <c r="AJ22" s="786">
        <f>1672566-12218605</f>
        <v/>
      </c>
      <c r="AK22" s="786">
        <f>111918-40687</f>
        <v/>
      </c>
      <c r="AL22" s="786">
        <f>+AI22-AJ22-AK22+AM22-AN22</f>
        <v/>
      </c>
      <c r="AM22" s="786" t="n">
        <v>342173</v>
      </c>
      <c r="AN22" s="786">
        <f>23287+284151+510085-178977</f>
        <v/>
      </c>
      <c r="AO22" s="786" t="n">
        <v>1666461</v>
      </c>
      <c r="AP22" s="786" t="n">
        <v>340545</v>
      </c>
      <c r="AQ22" s="965" t="n">
        <v>2007006</v>
      </c>
      <c r="AR22" s="965" t="n">
        <v>1699762</v>
      </c>
      <c r="AS22" s="965">
        <f>+AO22+AP22-AQ22</f>
        <v/>
      </c>
      <c r="AT22" s="965">
        <f>+AJ22+AK22+AL22-AM22+AN22-AI22</f>
        <v/>
      </c>
      <c r="AU22" s="965">
        <f>+AF22+AI22-AO22</f>
        <v/>
      </c>
      <c r="AV22" s="965">
        <f>+AF22</f>
        <v/>
      </c>
      <c r="AW22" s="965">
        <f>+AI22</f>
        <v/>
      </c>
      <c r="AX22" s="965">
        <f>+AP22</f>
        <v/>
      </c>
      <c r="AY22" s="965">
        <f>+SUM(AV22:AX22)</f>
        <v/>
      </c>
      <c r="BB22" s="785" t="n"/>
      <c r="BC22" s="786" t="n">
        <v>18492149</v>
      </c>
      <c r="BD22" s="786" t="n">
        <v>21264540</v>
      </c>
      <c r="BF22" s="786">
        <f>4941512+-42792</f>
        <v/>
      </c>
      <c r="BG22" s="786" t="n">
        <v>-1277254</v>
      </c>
      <c r="BI22" s="786" t="n">
        <v>-20046</v>
      </c>
      <c r="BK22" s="786" t="n">
        <v>43358109</v>
      </c>
      <c r="BL22" s="965">
        <f>+BK22-BC22-SUM(BD22:BJ22)</f>
        <v/>
      </c>
      <c r="BM22" s="786" t="n">
        <v>14000586</v>
      </c>
      <c r="BN22" s="786" t="n">
        <v>-808086</v>
      </c>
      <c r="BP22" s="786" t="n">
        <v>1699762</v>
      </c>
      <c r="BQ22" s="786" t="n">
        <v>170682</v>
      </c>
      <c r="BS22" s="786" t="n">
        <v>15062944</v>
      </c>
      <c r="BT22" s="965">
        <f>+BM22+SUM(BN22:BQ22)-BS22</f>
        <v/>
      </c>
      <c r="BU22" s="965">
        <f>38041641+29290766+117130855</f>
        <v/>
      </c>
      <c r="BV22" s="965">
        <f>1079156+1466764+619289</f>
        <v/>
      </c>
      <c r="BW22" s="965">
        <f>332731+990506+2975156+733054+2929857+4287285+51300+368974+549011</f>
        <v/>
      </c>
      <c r="BX22" s="965">
        <f>676618+2301353+81501</f>
        <v/>
      </c>
      <c r="BY22" s="965">
        <f>522045+818895+138659</f>
        <v/>
      </c>
      <c r="BZ22" s="965">
        <f>-52714-398585-349216-69199-231224-602814-11743-29087-13193</f>
        <v/>
      </c>
      <c r="CA22" s="965">
        <f>12067+44830+126929+17367+99667+157026+1931+10293+23643</f>
        <v/>
      </c>
      <c r="CB22" s="965">
        <f>+BW18</f>
        <v/>
      </c>
      <c r="CD22" s="786">
        <f>CB22+BX22-BY22+BZ22+CA22-BW22</f>
        <v/>
      </c>
      <c r="CE22" s="786">
        <f>263327+501050+84812</f>
        <v/>
      </c>
      <c r="CF22" s="786">
        <f>446612+789359+146228</f>
        <v/>
      </c>
      <c r="CG22" s="786">
        <f>383310+616520+124198</f>
        <v/>
      </c>
      <c r="CH22" s="786">
        <f>3205144+6043267+614047</f>
        <v/>
      </c>
      <c r="CJ22" s="786">
        <f>4298393+7950196+969285</f>
        <v/>
      </c>
      <c r="CK22" s="786">
        <f>CJ22-SUM(CE22:CI22)</f>
        <v/>
      </c>
      <c r="CL22" s="786">
        <f>BW22-CJ22</f>
        <v/>
      </c>
      <c r="CN22" s="785" t="n">
        <v>1.98</v>
      </c>
      <c r="CO22" s="786" t="n">
        <v>65739719</v>
      </c>
      <c r="CP22" s="786" t="n">
        <v>33205192</v>
      </c>
      <c r="CQ22" s="990" t="n">
        <v>1.98</v>
      </c>
      <c r="CR22" s="965" t="n">
        <v>65739719</v>
      </c>
      <c r="CS22" s="965" t="n">
        <v>33205192</v>
      </c>
      <c r="CW22" s="105" t="n">
        <v>0.921</v>
      </c>
      <c r="CX22" s="105" t="n">
        <v>0.991</v>
      </c>
      <c r="CY22" s="105" t="n">
        <v>-0.07000000000000001</v>
      </c>
      <c r="CZ22" s="106">
        <f>+CX22/CW22</f>
        <v/>
      </c>
      <c r="DC22" s="785" t="n">
        <v>0.832613594377291</v>
      </c>
      <c r="DD22" s="786" t="n">
        <v>5231962.251809</v>
      </c>
      <c r="DE22" s="786" t="n">
        <v>4356202.896125</v>
      </c>
      <c r="DG22" s="786">
        <f>+DH22+DK22</f>
        <v/>
      </c>
      <c r="DH22" s="786">
        <f>+DI22-DJ22</f>
        <v/>
      </c>
      <c r="DI22" s="786">
        <f>'[4]Ⅴ-4'!$R$11</f>
        <v/>
      </c>
      <c r="DJ22" s="786">
        <f>'[4]Ⅴ-4'!$R$33</f>
        <v/>
      </c>
      <c r="DK22" s="786">
        <f>+DL22-DM22</f>
        <v/>
      </c>
      <c r="DL22" s="786">
        <f>'[4]Ⅴ-4'!$R$12</f>
        <v/>
      </c>
      <c r="DM22" s="786">
        <f>'[4]Ⅴ-4'!$R$34</f>
        <v/>
      </c>
      <c r="EF22" s="786" t="n"/>
      <c r="EP22" s="786" t="n">
        <v>258004</v>
      </c>
      <c r="EQ22" s="786" t="n">
        <v>421543</v>
      </c>
      <c r="ER22" s="786" t="n">
        <v>487958</v>
      </c>
      <c r="ES22" s="786" t="n">
        <v>-34047</v>
      </c>
      <c r="ET22" s="786">
        <f>800944+105461</f>
        <v/>
      </c>
      <c r="EW22" s="786" t="n">
        <v>-258004</v>
      </c>
      <c r="EX22" s="786" t="n">
        <v>-421543</v>
      </c>
      <c r="EY22" s="786" t="n">
        <v>-487958</v>
      </c>
      <c r="EZ22" s="786" t="n">
        <v>34047</v>
      </c>
      <c r="FA22" s="786" t="n">
        <v>-906405</v>
      </c>
      <c r="FB22" s="786" t="n">
        <v>282088</v>
      </c>
      <c r="FC22" s="766">
        <f>SUM(EW22:FB22)-BZ22</f>
        <v/>
      </c>
    </row>
    <row r="23" ht="16.5" customHeight="1" s="760">
      <c r="A23" s="696">
        <f>B23&amp;C23</f>
        <v/>
      </c>
      <c r="B23" s="696" t="n">
        <v>2603</v>
      </c>
      <c r="C23" s="696" t="inlineStr">
        <is>
          <t>삼성</t>
        </is>
      </c>
      <c r="D23" s="786" t="n">
        <v>328870240</v>
      </c>
      <c r="E23" s="786" t="n">
        <v>40432556</v>
      </c>
      <c r="F23" s="786" t="n">
        <v>213745477</v>
      </c>
      <c r="G23" s="786" t="n">
        <v>41810525</v>
      </c>
      <c r="H23" s="786" t="n">
        <v>24334797</v>
      </c>
      <c r="I23" s="785">
        <f>E23/D23</f>
        <v/>
      </c>
      <c r="J23" s="785">
        <f>F23/D23</f>
        <v/>
      </c>
      <c r="K23" s="785">
        <f>G23/D23</f>
        <v/>
      </c>
      <c r="L23" s="786" t="n">
        <v>254056469</v>
      </c>
      <c r="M23" s="786" t="n">
        <v>192270671</v>
      </c>
      <c r="N23" s="965">
        <f>O23-P23</f>
        <v/>
      </c>
      <c r="O23" s="965" t="n">
        <v>74813771</v>
      </c>
      <c r="Q23" s="965" t="n">
        <v>60684027</v>
      </c>
      <c r="R23" s="965" t="n">
        <v>16133982</v>
      </c>
      <c r="S23" s="965" t="n">
        <v>56416815</v>
      </c>
      <c r="T23" s="978" t="n">
        <v>56416815</v>
      </c>
      <c r="V23" s="787" t="n">
        <v>292733394.55</v>
      </c>
      <c r="W23" s="144" t="n"/>
      <c r="X23" s="965">
        <f>Q23</f>
        <v/>
      </c>
      <c r="Y23" s="965" t="n">
        <v>47858357</v>
      </c>
      <c r="Z23" s="965" t="n">
        <v>14332448.16</v>
      </c>
      <c r="AA23" s="965" t="n">
        <v>216688.92</v>
      </c>
      <c r="AB23" s="965" t="n">
        <v>-1669639.49</v>
      </c>
      <c r="AC23" s="965" t="n">
        <v>6131</v>
      </c>
      <c r="AD23" s="965" t="n">
        <v>-189046.69</v>
      </c>
      <c r="AE23" s="989" t="n"/>
      <c r="AF23" s="786" t="n">
        <v>256477</v>
      </c>
      <c r="AG23" s="786" t="n">
        <v>2566027</v>
      </c>
      <c r="AH23" s="786" t="n">
        <v>2309550</v>
      </c>
      <c r="AI23" s="786" t="n">
        <v>774054</v>
      </c>
      <c r="AJ23" s="786" t="n">
        <v>-2902189</v>
      </c>
      <c r="AK23" s="786" t="n">
        <v>16033</v>
      </c>
      <c r="AL23" s="786">
        <f>AI23-AJ23-AK23+AM23-AN23</f>
        <v/>
      </c>
      <c r="AM23" s="786" t="n">
        <v>88009</v>
      </c>
      <c r="AN23" s="786" t="n">
        <v>563455</v>
      </c>
      <c r="AO23" s="786" t="n">
        <v>1030531</v>
      </c>
      <c r="AP23" s="786" t="n">
        <v>366829</v>
      </c>
      <c r="AQ23" s="965" t="n">
        <v>1397360</v>
      </c>
      <c r="AR23" s="965" t="n">
        <v>1142110</v>
      </c>
      <c r="AS23" s="965" t="n"/>
      <c r="AT23" s="965" t="n"/>
      <c r="AU23" s="965" t="n"/>
      <c r="AV23" s="965">
        <f>AF23</f>
        <v/>
      </c>
      <c r="AW23" s="965">
        <f>AI23</f>
        <v/>
      </c>
      <c r="AX23" s="965">
        <f>AP23</f>
        <v/>
      </c>
      <c r="AY23" s="965">
        <f>AV23+AW23+AX23</f>
        <v/>
      </c>
      <c r="BB23" s="785" t="n"/>
      <c r="BC23" s="786" t="n">
        <v>43358109</v>
      </c>
      <c r="BD23" s="786" t="n">
        <v>11609680</v>
      </c>
      <c r="BF23" s="786" t="n">
        <v>6513078</v>
      </c>
      <c r="BG23" s="786" t="n">
        <v>-795639</v>
      </c>
      <c r="BI23" s="786" t="n">
        <v>-1201</v>
      </c>
      <c r="BK23" s="786">
        <f>Q23</f>
        <v/>
      </c>
      <c r="BL23" s="965" t="n"/>
      <c r="BM23" s="786" t="n">
        <v>15062944</v>
      </c>
      <c r="BN23" s="786" t="n">
        <v>-951747</v>
      </c>
      <c r="BP23" s="786">
        <f>AR23</f>
        <v/>
      </c>
      <c r="BQ23" s="786" t="n">
        <v>880675</v>
      </c>
      <c r="BS23" s="786">
        <f>R23</f>
        <v/>
      </c>
      <c r="BT23" s="965" t="n"/>
      <c r="BU23" s="965" t="n">
        <v>175377041</v>
      </c>
      <c r="BV23" s="965" t="n">
        <v>3246417</v>
      </c>
      <c r="BW23" s="965" t="n">
        <v>13647213</v>
      </c>
      <c r="BX23" s="965" t="n">
        <v>848566</v>
      </c>
      <c r="BY23" s="965" t="n">
        <v>367403</v>
      </c>
      <c r="BZ23" s="965" t="n">
        <v>178535</v>
      </c>
      <c r="CA23" s="965" t="n">
        <v>126711</v>
      </c>
      <c r="CB23" s="965" t="n">
        <v>13217874</v>
      </c>
      <c r="CJ23" s="786">
        <f>BW23</f>
        <v/>
      </c>
      <c r="CN23" s="785" t="n"/>
      <c r="CQ23" s="990" t="n">
        <v>2.1</v>
      </c>
      <c r="CR23" s="965" t="n">
        <v>82425849.70999999</v>
      </c>
      <c r="CS23" s="965" t="n">
        <v>39264355.98</v>
      </c>
      <c r="CU23" s="786" t="n">
        <v>1651848.94</v>
      </c>
      <c r="CW23" s="105" t="n"/>
      <c r="CX23" s="105" t="n"/>
      <c r="CY23" s="105" t="n"/>
      <c r="CZ23" s="106" t="n"/>
      <c r="EF23" s="786" t="n"/>
      <c r="FC23" s="766" t="n"/>
    </row>
    <row r="24" ht="16.5" customHeight="1" s="760">
      <c r="A24" s="696">
        <f>B24&amp;C24</f>
        <v/>
      </c>
      <c r="B24" s="696" t="n">
        <v>2606</v>
      </c>
      <c r="C24" s="696" t="inlineStr">
        <is>
          <t>삼성</t>
        </is>
      </c>
      <c r="D24" s="786" t="n">
        <v>415317491</v>
      </c>
      <c r="E24" s="786" t="n">
        <v>46175877</v>
      </c>
      <c r="F24" s="786" t="n">
        <v>295276268</v>
      </c>
      <c r="G24" s="786" t="n">
        <v>39938756</v>
      </c>
      <c r="H24" s="786" t="n">
        <v>24693241</v>
      </c>
      <c r="I24" s="785">
        <f>E24/D24</f>
        <v/>
      </c>
      <c r="J24" s="785">
        <f>F24/D24</f>
        <v/>
      </c>
      <c r="K24" s="785">
        <f>G24/D24</f>
        <v/>
      </c>
      <c r="L24" s="786" t="n">
        <v>277455876</v>
      </c>
      <c r="M24" s="786" t="n">
        <v>192024010</v>
      </c>
      <c r="N24" s="965">
        <f>O24-P24</f>
        <v/>
      </c>
      <c r="O24" s="965" t="n">
        <v>137861615</v>
      </c>
      <c r="Q24" s="965" t="n">
        <v>123555805</v>
      </c>
      <c r="R24" s="965" t="n">
        <v>16310048</v>
      </c>
      <c r="S24" s="965" t="n">
        <v>56416815</v>
      </c>
      <c r="T24" s="978" t="n">
        <v>56416815</v>
      </c>
      <c r="W24" s="144" t="n"/>
      <c r="X24" s="965">
        <f>Q24</f>
        <v/>
      </c>
      <c r="Y24" s="965" t="n">
        <v>106393406</v>
      </c>
      <c r="Z24" s="965" t="n">
        <v>19626686</v>
      </c>
      <c r="AB24" s="965" t="n">
        <v>-2448011</v>
      </c>
      <c r="AC24" s="965" t="n">
        <v>6131</v>
      </c>
      <c r="AD24" s="965" t="n">
        <v>-182601</v>
      </c>
      <c r="AE24" s="989" t="n"/>
      <c r="AF24" s="786" t="n">
        <v>533081</v>
      </c>
      <c r="AG24" s="786" t="n">
        <v>5181097</v>
      </c>
      <c r="AH24" s="786" t="n">
        <v>4648016</v>
      </c>
      <c r="AI24" s="786" t="n">
        <v>675108</v>
      </c>
      <c r="AJ24" s="786" t="n">
        <v>-12697069</v>
      </c>
      <c r="AK24" s="786" t="n">
        <v>32162</v>
      </c>
      <c r="AL24" s="786">
        <f>AI24-AJ24-AK24+AM24-AN24</f>
        <v/>
      </c>
      <c r="AM24" s="786" t="n">
        <v>177390</v>
      </c>
      <c r="AN24" s="786" t="n">
        <v>628204</v>
      </c>
      <c r="AO24" s="786" t="n">
        <v>1208189</v>
      </c>
      <c r="AP24" s="786" t="n">
        <v>398910</v>
      </c>
      <c r="AQ24" s="965" t="n">
        <v>1607099</v>
      </c>
      <c r="AR24" s="965" t="n">
        <v>1318176</v>
      </c>
      <c r="AS24" s="965" t="n"/>
      <c r="AT24" s="965" t="n"/>
      <c r="AU24" s="965" t="n"/>
      <c r="AV24" s="965">
        <f>AF24</f>
        <v/>
      </c>
      <c r="AW24" s="965">
        <f>AI24</f>
        <v/>
      </c>
      <c r="AX24" s="965">
        <f>AP24</f>
        <v/>
      </c>
      <c r="AY24" s="965">
        <f>AV24+AW24+AX24</f>
        <v/>
      </c>
      <c r="BB24" s="785" t="n"/>
      <c r="BC24" s="786" t="n">
        <v>43358109</v>
      </c>
      <c r="BD24" s="786" t="n">
        <v>70144795</v>
      </c>
      <c r="BF24" s="786" t="n">
        <v>11621667</v>
      </c>
      <c r="BG24" s="786" t="n">
        <v>-1574011</v>
      </c>
      <c r="BI24" s="786" t="n">
        <v>5245</v>
      </c>
      <c r="BK24" s="786">
        <f>Q24</f>
        <v/>
      </c>
      <c r="BL24" s="965" t="n"/>
      <c r="BM24" s="786" t="n">
        <v>15062944</v>
      </c>
      <c r="BN24" s="786" t="n">
        <v>-951747</v>
      </c>
      <c r="BP24" s="786">
        <f>AR24</f>
        <v/>
      </c>
      <c r="BQ24" s="786" t="n">
        <v>880675</v>
      </c>
      <c r="BS24" s="786">
        <f>R24</f>
        <v/>
      </c>
      <c r="BT24" s="965" t="n"/>
      <c r="BU24" s="965" t="n">
        <v>175067637</v>
      </c>
      <c r="BV24" s="965" t="n">
        <v>3215076</v>
      </c>
      <c r="BW24" s="965" t="n">
        <v>13741297</v>
      </c>
      <c r="BX24" s="965" t="n">
        <v>1717464</v>
      </c>
      <c r="BY24" s="965" t="n">
        <v>733661</v>
      </c>
      <c r="BZ24" s="965" t="n">
        <v>718835</v>
      </c>
      <c r="CA24" s="965" t="n">
        <v>258455</v>
      </c>
      <c r="CB24" s="965" t="n">
        <v>13217874</v>
      </c>
      <c r="CJ24" s="786">
        <f>BW24</f>
        <v/>
      </c>
      <c r="CN24" s="785" t="n"/>
      <c r="CQ24" s="990" t="n"/>
      <c r="CR24" s="965" t="n"/>
      <c r="CS24" s="965" t="n"/>
      <c r="CW24" s="105" t="n"/>
      <c r="CX24" s="105" t="n"/>
      <c r="CY24" s="105" t="n"/>
      <c r="CZ24" s="106" t="n"/>
      <c r="EF24" s="786" t="n"/>
      <c r="FC24" s="766" t="n"/>
    </row>
    <row r="25">
      <c r="A25" s="642">
        <f>B25&amp;C25</f>
        <v/>
      </c>
      <c r="I25" s="785" t="n"/>
      <c r="J25" s="785" t="n"/>
      <c r="K25" s="785" t="n"/>
      <c r="T25" s="978" t="n"/>
      <c r="W25" s="144" t="n"/>
      <c r="AS25" s="965" t="n"/>
      <c r="AT25" s="965" t="n"/>
      <c r="AU25" s="965" t="n"/>
      <c r="AV25" s="965" t="n"/>
      <c r="AW25" s="965" t="n"/>
      <c r="AX25" s="965" t="n"/>
      <c r="AY25" s="965" t="n"/>
      <c r="BB25" s="785" t="n"/>
      <c r="BL25" s="965" t="n"/>
      <c r="BT25" s="965" t="n"/>
      <c r="CN25" s="785" t="n"/>
      <c r="CQ25" s="785" t="n"/>
      <c r="CW25" s="105" t="n"/>
      <c r="CX25" s="105" t="n"/>
      <c r="CY25" s="105" t="n"/>
      <c r="CZ25" s="106" t="n"/>
      <c r="DH25" s="786">
        <f>+DH22-DH18</f>
        <v/>
      </c>
      <c r="DJ25" s="977">
        <f>+DJ22/DI22</f>
        <v/>
      </c>
      <c r="EF25" s="786" t="n"/>
    </row>
    <row r="26" customFormat="1" s="108">
      <c r="A26" s="108">
        <f>B26&amp;C26</f>
        <v/>
      </c>
      <c r="B26" s="108" t="n">
        <v>2212</v>
      </c>
      <c r="C26" s="108" t="inlineStr">
        <is>
          <t>교보</t>
        </is>
      </c>
      <c r="D26" s="979" t="n"/>
      <c r="E26" s="979" t="n"/>
      <c r="F26" s="979" t="n"/>
      <c r="G26" s="979" t="n"/>
      <c r="H26" s="979" t="n"/>
      <c r="I26" s="991" t="n"/>
      <c r="J26" s="991" t="n"/>
      <c r="K26" s="991" t="n"/>
      <c r="L26" s="979" t="n"/>
      <c r="M26" s="979" t="n"/>
      <c r="N26" s="978">
        <f>O26-P26</f>
        <v/>
      </c>
      <c r="O26" s="978" t="n">
        <v>9976155.280167</v>
      </c>
      <c r="P26" s="978" t="n">
        <v>1108898.948213</v>
      </c>
      <c r="Q26" s="978" t="n">
        <v>2591806.661085</v>
      </c>
      <c r="R26" s="978" t="n">
        <v>5920420.191959</v>
      </c>
      <c r="S26" s="978" t="n"/>
      <c r="T26" s="978" t="n"/>
      <c r="U26" s="979" t="n"/>
      <c r="V26" s="979" t="n"/>
      <c r="W26" s="979" t="n"/>
      <c r="X26" s="978" t="n">
        <v>2591807</v>
      </c>
      <c r="Y26" s="978">
        <f>-5866022+6867-5</f>
        <v/>
      </c>
      <c r="Z26" s="978" t="n">
        <v>7927326</v>
      </c>
      <c r="AA26" s="978" t="n">
        <v>48117</v>
      </c>
      <c r="AB26" s="978" t="n">
        <v>-92343</v>
      </c>
      <c r="AC26" s="978" t="n">
        <v>527671</v>
      </c>
      <c r="AD26" s="978" t="n">
        <v>40196</v>
      </c>
      <c r="AE26" s="978">
        <f>X26-SUM(Y26:AD26)</f>
        <v/>
      </c>
      <c r="AF26" s="979" t="n"/>
      <c r="AG26" s="979" t="n"/>
      <c r="AH26" s="979" t="n"/>
      <c r="AI26" s="979" t="n"/>
      <c r="AJ26" s="979" t="n"/>
      <c r="AK26" s="979" t="n"/>
      <c r="AL26" s="979" t="n"/>
      <c r="AM26" s="979" t="n"/>
      <c r="AN26" s="979" t="n"/>
      <c r="AO26" s="979" t="n"/>
      <c r="AP26" s="979" t="n"/>
      <c r="AQ26" s="978" t="n"/>
      <c r="AR26" s="978" t="n"/>
      <c r="AS26" s="979" t="n"/>
      <c r="AT26" s="979" t="n"/>
      <c r="AU26" s="979" t="n"/>
      <c r="AV26" s="979" t="n"/>
      <c r="AW26" s="979" t="n"/>
      <c r="AX26" s="979" t="n"/>
      <c r="AY26" s="979" t="n"/>
      <c r="AZ26" s="979" t="n"/>
      <c r="BA26" s="979" t="n"/>
      <c r="BB26" s="991" t="n"/>
      <c r="BC26" s="979" t="n"/>
      <c r="BD26" s="979" t="n"/>
      <c r="BE26" s="979" t="n"/>
      <c r="BF26" s="979" t="n"/>
      <c r="BG26" s="979" t="n"/>
      <c r="BH26" s="979" t="n"/>
      <c r="BI26" s="979" t="n"/>
      <c r="BJ26" s="979" t="n"/>
      <c r="BK26" s="979" t="n"/>
      <c r="BL26" s="979" t="n"/>
      <c r="BM26" s="979" t="n"/>
      <c r="BN26" s="979" t="n"/>
      <c r="BO26" s="979" t="n"/>
      <c r="BP26" s="979" t="n"/>
      <c r="BQ26" s="979" t="n"/>
      <c r="BR26" s="979" t="n"/>
      <c r="BS26" s="979" t="n"/>
      <c r="BT26" s="979" t="n">
        <v>7888204.802808</v>
      </c>
      <c r="BU26" s="978" t="n">
        <v>71737265</v>
      </c>
      <c r="BV26" s="978" t="n">
        <v>1320191</v>
      </c>
      <c r="BW26" s="978" t="n">
        <v>5437763</v>
      </c>
      <c r="BX26" s="978" t="n"/>
      <c r="BY26" s="978" t="n"/>
      <c r="BZ26" s="978" t="n"/>
      <c r="CA26" s="978" t="n"/>
      <c r="CB26" s="978" t="n"/>
      <c r="CC26" s="979" t="n"/>
      <c r="CD26" s="979" t="n"/>
      <c r="CE26" s="979" t="n"/>
      <c r="CF26" s="979" t="n"/>
      <c r="CG26" s="979" t="n"/>
      <c r="CH26" s="979" t="n"/>
      <c r="CI26" s="979" t="n"/>
      <c r="CJ26" s="979" t="n"/>
      <c r="CK26" s="979" t="n"/>
      <c r="CL26" s="979" t="n"/>
      <c r="CM26" s="979" t="n"/>
      <c r="CN26" s="991" t="n"/>
      <c r="CO26" s="979" t="n"/>
      <c r="CP26" s="979" t="n"/>
      <c r="CQ26" s="991" t="n"/>
      <c r="CR26" s="979" t="n"/>
      <c r="CS26" s="979" t="n"/>
      <c r="CT26" s="979" t="n"/>
      <c r="CU26" s="979" t="n"/>
      <c r="CV26" s="979" t="n"/>
      <c r="CW26" s="979" t="n"/>
      <c r="CX26" s="979" t="n"/>
      <c r="CY26" s="979" t="n"/>
      <c r="CZ26" s="979" t="n"/>
      <c r="DA26" s="979" t="n"/>
      <c r="DB26" s="979" t="n"/>
      <c r="DC26" s="991" t="n"/>
      <c r="DD26" s="979" t="n"/>
      <c r="DE26" s="979" t="n"/>
      <c r="DF26" s="979" t="n"/>
      <c r="DG26" s="979" t="n"/>
      <c r="DH26" s="979" t="n"/>
      <c r="DI26" s="979" t="n"/>
      <c r="DJ26" s="979" t="n"/>
      <c r="DK26" s="979" t="n"/>
      <c r="DL26" s="979" t="n"/>
      <c r="DM26" s="979" t="n"/>
      <c r="DN26" s="979" t="n"/>
      <c r="DO26" s="979" t="n"/>
      <c r="DP26" s="979" t="n"/>
      <c r="DQ26" s="979" t="n"/>
      <c r="DR26" s="979" t="n"/>
      <c r="DS26" s="979" t="n"/>
      <c r="DT26" s="979" t="n"/>
      <c r="DU26" s="979" t="n"/>
      <c r="DV26" s="979" t="n"/>
      <c r="DW26" s="979" t="n"/>
      <c r="DX26" s="979" t="n"/>
      <c r="DY26" s="979" t="n"/>
      <c r="DZ26" s="979" t="n"/>
      <c r="EA26" s="979" t="n"/>
      <c r="EB26" s="979" t="n"/>
      <c r="EC26" s="979" t="n"/>
      <c r="ED26" s="979" t="n"/>
      <c r="EE26" s="979" t="n"/>
      <c r="EF26" s="979" t="n"/>
      <c r="EP26" s="979" t="n"/>
      <c r="EQ26" s="979" t="n"/>
      <c r="ER26" s="979" t="n"/>
      <c r="ES26" s="979" t="n"/>
      <c r="ET26" s="979" t="n"/>
      <c r="EU26" s="979" t="n"/>
      <c r="EV26" s="979" t="n"/>
      <c r="EW26" s="979" t="n"/>
      <c r="EX26" s="979" t="n"/>
      <c r="EY26" s="979" t="n"/>
      <c r="EZ26" s="979" t="n"/>
      <c r="FA26" s="979" t="n"/>
      <c r="FB26" s="979" t="n"/>
    </row>
    <row r="27" customFormat="1" s="108">
      <c r="A27" s="108">
        <f>B27&amp;C27</f>
        <v/>
      </c>
      <c r="B27" s="108" t="n">
        <v>2312</v>
      </c>
      <c r="C27" s="108" t="inlineStr">
        <is>
          <t>교보</t>
        </is>
      </c>
      <c r="D27" s="979" t="n">
        <v>115002544.049863</v>
      </c>
      <c r="E27" s="979" t="n">
        <v>34153491.484438</v>
      </c>
      <c r="F27" s="979" t="n">
        <v>49724360.239462</v>
      </c>
      <c r="G27" s="979">
        <f>1263520.722386+19225686.060264+974297.988445</f>
        <v/>
      </c>
      <c r="H27" s="979" t="n">
        <v>2048122.40218</v>
      </c>
      <c r="I27" s="991">
        <f>+E27/$D27</f>
        <v/>
      </c>
      <c r="J27" s="991">
        <f>+F27/$D27</f>
        <v/>
      </c>
      <c r="K27" s="991">
        <f>+G27/$D27</f>
        <v/>
      </c>
      <c r="L27" s="979" t="n">
        <v>105026788.690168</v>
      </c>
      <c r="M27" s="979" t="n">
        <v>87242878.59442399</v>
      </c>
      <c r="N27" s="978">
        <f>O27-P27</f>
        <v/>
      </c>
      <c r="O27" s="978" t="n">
        <v>9975755.359695001</v>
      </c>
      <c r="P27" s="978" t="n">
        <v>1607440.428213</v>
      </c>
      <c r="Q27" s="978" t="n">
        <v>1670167.445676</v>
      </c>
      <c r="R27" s="978" t="n">
        <v>6427125.882496</v>
      </c>
      <c r="S27" s="978" t="n">
        <v>9905910.920087</v>
      </c>
      <c r="T27" s="978">
        <f>N26</f>
        <v/>
      </c>
      <c r="U27" s="979" t="n">
        <v>99399300</v>
      </c>
      <c r="V27" s="979" t="n">
        <v>97258910</v>
      </c>
      <c r="W27" s="109" t="n">
        <v>0.9785</v>
      </c>
      <c r="X27" s="978" t="n">
        <v>1670167</v>
      </c>
      <c r="Y27" s="978">
        <f>-3559631+8962</f>
        <v/>
      </c>
      <c r="Z27" s="978" t="n">
        <v>4383534</v>
      </c>
      <c r="AA27" s="978" t="n">
        <v>12004</v>
      </c>
      <c r="AB27" s="978" t="n">
        <v>265018</v>
      </c>
      <c r="AC27" s="978" t="n">
        <v>524030</v>
      </c>
      <c r="AD27" s="978" t="n">
        <v>36250</v>
      </c>
      <c r="AE27" s="978">
        <f>X27-SUM(Y27:AD27)</f>
        <v/>
      </c>
      <c r="AF27" s="979" t="n">
        <v>232681.651806</v>
      </c>
      <c r="AG27" s="979" t="n">
        <v>3895860.679517</v>
      </c>
      <c r="AH27" s="979" t="n">
        <v>3663179.027711</v>
      </c>
      <c r="AI27" s="979" t="n">
        <v>603853.458701</v>
      </c>
      <c r="AJ27" s="979" t="n">
        <v>-4283343.784214</v>
      </c>
      <c r="AK27" s="979">
        <f>2071.693076-6576.970918</f>
        <v/>
      </c>
      <c r="AL27" s="979">
        <f>+AI27-AJ27-AK27+AM27-AN27</f>
        <v/>
      </c>
      <c r="AM27" s="979" t="n">
        <v>84976.538414</v>
      </c>
      <c r="AN27" s="979">
        <f>745849.223469-71723.594841</f>
        <v/>
      </c>
      <c r="AO27" s="979" t="n">
        <v>836535.110507</v>
      </c>
      <c r="AP27" s="979" t="n">
        <v>3018.609483</v>
      </c>
      <c r="AQ27" s="978" t="n">
        <v>839553.71999</v>
      </c>
      <c r="AR27" s="978" t="n">
        <v>632200.607207</v>
      </c>
      <c r="AS27" s="979">
        <f>+AO27+AP27-AQ27</f>
        <v/>
      </c>
      <c r="AT27" s="979">
        <f>+AJ27+AK27+AL27-AM27+AN27-AI27</f>
        <v/>
      </c>
      <c r="AU27" s="979">
        <f>+AF27+AI27-AO27</f>
        <v/>
      </c>
      <c r="AV27" s="979">
        <f>+AF27</f>
        <v/>
      </c>
      <c r="AW27" s="979">
        <f>+AI27</f>
        <v/>
      </c>
      <c r="AX27" s="979">
        <f>+AP27</f>
        <v/>
      </c>
      <c r="AY27" s="979">
        <f>+SUM(AV27:AX27)</f>
        <v/>
      </c>
      <c r="AZ27" s="979" t="n"/>
      <c r="BA27" s="979" t="n"/>
      <c r="BB27" s="991">
        <f>+BF27/(BU27+BV27+BW27)</f>
        <v/>
      </c>
      <c r="BC27" s="979" t="n">
        <v>2591806.661085</v>
      </c>
      <c r="BD27" s="979">
        <f>2306391.530503</f>
        <v/>
      </c>
      <c r="BE27" s="979" t="n">
        <v>2095.38389</v>
      </c>
      <c r="BF27" s="979">
        <f>-3543792.299432-36112.798724</f>
        <v/>
      </c>
      <c r="BG27" s="979" t="n">
        <v>357360.796277</v>
      </c>
      <c r="BH27" s="979" t="n">
        <v>-3640.898588</v>
      </c>
      <c r="BI27" s="979" t="n">
        <v>-3946.2729</v>
      </c>
      <c r="BJ27" s="979" t="n">
        <v>5.343565</v>
      </c>
      <c r="BK27" s="979" t="n">
        <v>1670167.445676</v>
      </c>
      <c r="BL27" s="979">
        <f>+BK27-BC27-SUM(BD27:BJ27)</f>
        <v/>
      </c>
      <c r="BM27" s="979" t="n">
        <v>5920420.191959</v>
      </c>
      <c r="BN27" s="979">
        <f>-51250</f>
        <v/>
      </c>
      <c r="BO27" s="979" t="n"/>
      <c r="BP27" s="979" t="n">
        <v>632200.607207</v>
      </c>
      <c r="BQ27" s="979" t="n"/>
      <c r="BR27" s="979" t="n">
        <v>-74244.91667000001</v>
      </c>
      <c r="BS27" s="979" t="n">
        <v>6427125.882496</v>
      </c>
      <c r="BT27" s="979">
        <f>+BM27+SUM(BN27:BR27)-BS27</f>
        <v/>
      </c>
      <c r="BU27" s="978" t="n">
        <v>80176057</v>
      </c>
      <c r="BV27" s="978" t="n">
        <v>1241898</v>
      </c>
      <c r="BW27" s="978" t="n">
        <v>5824923</v>
      </c>
      <c r="BX27" s="978" t="n">
        <v>1372888</v>
      </c>
      <c r="BY27" s="978" t="n">
        <v>627701</v>
      </c>
      <c r="BZ27" s="978" t="n">
        <v>-1810627</v>
      </c>
      <c r="CA27" s="978" t="n">
        <v>1452600</v>
      </c>
      <c r="CB27" s="978" t="n">
        <v>5437763</v>
      </c>
      <c r="CC27" s="979" t="n"/>
      <c r="CD27" s="979">
        <f>CB27+BX27-BY27+BZ27+CA27-BW27</f>
        <v/>
      </c>
      <c r="CE27" s="979" t="n">
        <v>569652</v>
      </c>
      <c r="CF27" s="979">
        <f>492626+441124</f>
        <v/>
      </c>
      <c r="CG27" s="979">
        <f>396583+357093</f>
        <v/>
      </c>
      <c r="CH27" s="979" t="n">
        <v>1343869</v>
      </c>
      <c r="CI27" s="979" t="n">
        <v>2223977</v>
      </c>
      <c r="CJ27" s="979" t="n">
        <v>5824923</v>
      </c>
      <c r="CK27" s="979">
        <f>CJ27-SUM(CE27:CI27)</f>
        <v/>
      </c>
      <c r="CL27" s="979">
        <f>BW27-CJ27</f>
        <v/>
      </c>
      <c r="CM27" s="979" t="inlineStr">
        <is>
          <t>경과조치 전</t>
        </is>
      </c>
      <c r="CN27" s="991" t="n"/>
      <c r="CO27" s="979" t="n"/>
      <c r="CP27" s="979" t="n"/>
      <c r="CQ27" s="991" t="n">
        <v>1.9378</v>
      </c>
      <c r="CR27" s="979" t="n">
        <v>14515588</v>
      </c>
      <c r="CS27" s="979" t="n">
        <v>7490863</v>
      </c>
      <c r="CT27" s="979" t="n"/>
      <c r="CU27" s="979" t="n"/>
      <c r="CV27" s="979" t="n"/>
      <c r="CW27" s="979" t="n"/>
      <c r="CX27" s="979" t="n"/>
      <c r="CY27" s="979" t="n"/>
      <c r="CZ27" s="979" t="n"/>
      <c r="DA27" s="979" t="n"/>
      <c r="DB27" s="979" t="n"/>
      <c r="DC27" s="991" t="n"/>
      <c r="DD27" s="979" t="n"/>
      <c r="DE27" s="979" t="n"/>
      <c r="DF27" s="979" t="n"/>
      <c r="DG27" s="979" t="n"/>
      <c r="DH27" s="979" t="n"/>
      <c r="DI27" s="979" t="n"/>
      <c r="DJ27" s="979" t="n"/>
      <c r="DK27" s="979" t="n"/>
      <c r="DL27" s="979" t="n"/>
      <c r="DM27" s="979" t="n"/>
      <c r="DN27" s="979" t="n"/>
      <c r="DO27" s="979" t="n"/>
      <c r="DP27" s="979" t="n"/>
      <c r="DQ27" s="979" t="n"/>
      <c r="DR27" s="979" t="n"/>
      <c r="DS27" s="979" t="n"/>
      <c r="DT27" s="979" t="n"/>
      <c r="DU27" s="979" t="n"/>
      <c r="DV27" s="979" t="n"/>
      <c r="DW27" s="979" t="n"/>
      <c r="DX27" s="979" t="n"/>
      <c r="DY27" s="979" t="n"/>
      <c r="DZ27" s="979" t="n"/>
      <c r="EA27" s="979" t="n"/>
      <c r="EB27" s="979" t="n"/>
      <c r="EC27" s="979" t="n"/>
      <c r="ED27" s="979" t="n"/>
      <c r="EE27" s="979" t="n"/>
      <c r="EF27" s="979" t="n"/>
      <c r="EP27" s="979" t="n"/>
      <c r="EQ27" s="979" t="n"/>
      <c r="ER27" s="979" t="n"/>
      <c r="ES27" s="979" t="n"/>
      <c r="ET27" s="979" t="n"/>
      <c r="EU27" s="979" t="n"/>
      <c r="EV27" s="979" t="n"/>
      <c r="EW27" s="979" t="n"/>
      <c r="EX27" s="979" t="n"/>
      <c r="EY27" s="979" t="n"/>
      <c r="EZ27" s="979" t="n"/>
      <c r="FA27" s="979" t="n"/>
      <c r="FB27" s="979" t="n"/>
    </row>
    <row r="28" customFormat="1" s="108">
      <c r="A28" s="108">
        <f>B28&amp;C28</f>
        <v/>
      </c>
      <c r="B28" s="108" t="n">
        <v>2412</v>
      </c>
      <c r="C28" s="108" t="inlineStr">
        <is>
          <t>교보</t>
        </is>
      </c>
      <c r="D28" s="992" t="n">
        <v>122408551.533388</v>
      </c>
      <c r="E28" s="979" t="n">
        <v>32211658.924788</v>
      </c>
      <c r="F28" s="979" t="n">
        <v>58025921.849151</v>
      </c>
      <c r="G28" s="992">
        <f>1213149.160928+19081019.622872+1000590.83247</f>
        <v/>
      </c>
      <c r="H28" s="979" t="n">
        <v>2910745.314498</v>
      </c>
      <c r="I28" s="991">
        <f>+E28/$D28</f>
        <v/>
      </c>
      <c r="J28" s="991">
        <f>+F28/$D28</f>
        <v/>
      </c>
      <c r="K28" s="991">
        <f>+G28/$D28</f>
        <v/>
      </c>
      <c r="L28" s="992" t="n">
        <v>115102330.809956</v>
      </c>
      <c r="M28" s="979" t="n">
        <v>94441284.045036</v>
      </c>
      <c r="N28" s="978">
        <f>O28-P28</f>
        <v/>
      </c>
      <c r="O28" s="993" t="n">
        <v>7306220.723432</v>
      </c>
      <c r="P28" s="978" t="n">
        <v>2205726.208213</v>
      </c>
      <c r="Q28" s="993" t="n">
        <v>-2204529.204683</v>
      </c>
      <c r="R28" s="978" t="n">
        <v>7034002.116592</v>
      </c>
      <c r="S28" s="978" t="n">
        <v>9975755.359695001</v>
      </c>
      <c r="T28" s="978">
        <f>N27</f>
        <v/>
      </c>
      <c r="U28" s="979" t="n">
        <v>107601647</v>
      </c>
      <c r="V28" s="979" t="n">
        <v>104248231</v>
      </c>
      <c r="W28" s="109" t="n">
        <v>0.9688</v>
      </c>
      <c r="X28" s="993" t="n">
        <v>-2204529.204683</v>
      </c>
      <c r="Y28" s="993">
        <f>-3402589+5607</f>
        <v/>
      </c>
      <c r="Z28" s="993" t="n">
        <v>230655</v>
      </c>
      <c r="AA28" s="993" t="n">
        <v>3809</v>
      </c>
      <c r="AB28" s="993" t="n">
        <v>301368</v>
      </c>
      <c r="AC28" s="993" t="n">
        <v>613168</v>
      </c>
      <c r="AD28" s="993" t="n">
        <v>43453</v>
      </c>
      <c r="AE28" s="978">
        <f>X28-SUM(Y28:AD28)</f>
        <v/>
      </c>
      <c r="AF28" s="979" t="n">
        <v>473623.864404</v>
      </c>
      <c r="AG28" s="979" t="n">
        <v>4010999.811204</v>
      </c>
      <c r="AH28" s="979" t="n">
        <v>3537375.9468</v>
      </c>
      <c r="AI28" s="979" t="n">
        <v>671399.6277299999</v>
      </c>
      <c r="AJ28" s="979" t="n">
        <v>-2923905.728455</v>
      </c>
      <c r="AK28" s="979">
        <f>2232.319156-5609.162974</f>
        <v/>
      </c>
      <c r="AL28" s="979">
        <f>+AI28-AJ28-AK28+AM28-AN28</f>
        <v/>
      </c>
      <c r="AM28" s="979" t="n">
        <v>87499.136193</v>
      </c>
      <c r="AN28" s="979">
        <f>796856.596588-79292.882021</f>
        <v/>
      </c>
      <c r="AO28" s="979" t="n">
        <v>1145023.492134</v>
      </c>
      <c r="AP28" s="979" t="n">
        <v>-264233.609378</v>
      </c>
      <c r="AQ28" s="978" t="n">
        <v>880789.882756</v>
      </c>
      <c r="AR28" s="978" t="n">
        <v>698736.0893399999</v>
      </c>
      <c r="AS28" s="979">
        <f>+AO28+AP28-AQ28</f>
        <v/>
      </c>
      <c r="AT28" s="979">
        <f>+AJ28+AK28+AL28-AM28+AN28-AI28</f>
        <v/>
      </c>
      <c r="AU28" s="979">
        <f>+AF28+AI28-AO28</f>
        <v/>
      </c>
      <c r="AV28" s="979">
        <f>+AF28</f>
        <v/>
      </c>
      <c r="AW28" s="979">
        <f>+AI28</f>
        <v/>
      </c>
      <c r="AX28" s="979">
        <f>+AP28</f>
        <v/>
      </c>
      <c r="AY28" s="979">
        <f>+SUM(AV28:AX28)</f>
        <v/>
      </c>
      <c r="AZ28" s="979" t="n"/>
      <c r="BA28" s="979" t="n"/>
      <c r="BB28" s="991">
        <f>+BF28/(BU28+BV28+BW28)</f>
        <v/>
      </c>
      <c r="BC28" s="993" t="n">
        <v>1651401.2967891</v>
      </c>
      <c r="BD28" s="993" t="n">
        <v>264946.223344</v>
      </c>
      <c r="BE28" s="979" t="n">
        <v>-3355.361292</v>
      </c>
      <c r="BF28" s="979">
        <f>-4152878.380603-8195.428578</f>
        <v/>
      </c>
      <c r="BG28" s="979" t="n">
        <v>36349.57474</v>
      </c>
      <c r="BH28" s="979" t="n"/>
      <c r="BI28" s="979" t="n">
        <v>7202.869815</v>
      </c>
      <c r="BJ28" s="979" t="n"/>
      <c r="BK28" s="993" t="n">
        <v>-2204529.204683</v>
      </c>
      <c r="BL28" s="979">
        <f>+BK28-BC28-SUM(BD28:BJ28)</f>
        <v/>
      </c>
      <c r="BM28" s="979" t="n">
        <v>6427125.882496</v>
      </c>
      <c r="BN28" s="979" t="n">
        <v>0</v>
      </c>
      <c r="BO28" s="979" t="n"/>
      <c r="BP28" s="979" t="n">
        <v>698736.0893399999</v>
      </c>
      <c r="BQ28" s="979" t="n">
        <v>-151.74274</v>
      </c>
      <c r="BR28" s="979" t="n">
        <v>-91708.112504</v>
      </c>
      <c r="BS28" s="979" t="n">
        <v>7034002.116592</v>
      </c>
      <c r="BT28" s="979">
        <f>+BM28+SUM(BN28:BR28)-BS28</f>
        <v/>
      </c>
      <c r="BU28" s="978" t="n">
        <v>86660888</v>
      </c>
      <c r="BV28" s="978" t="n">
        <v>1342338</v>
      </c>
      <c r="BW28" s="978" t="n">
        <v>6438058</v>
      </c>
      <c r="BX28" s="978" t="n">
        <v>1371568</v>
      </c>
      <c r="BY28" s="978" t="n">
        <v>600984</v>
      </c>
      <c r="BZ28" s="978" t="n">
        <v>-260820</v>
      </c>
      <c r="CA28" s="978" t="n">
        <v>103371</v>
      </c>
      <c r="CB28" s="978" t="n">
        <v>5824923</v>
      </c>
      <c r="CC28" s="199">
        <f>+BU28/BU27</f>
        <v/>
      </c>
      <c r="CD28" s="979">
        <f>CB28+BX28-BY28+BZ28+CA28-BW28</f>
        <v/>
      </c>
      <c r="CE28" s="979" t="n">
        <v>572479</v>
      </c>
      <c r="CF28" s="979">
        <f>498800+449872</f>
        <v/>
      </c>
      <c r="CG28" s="979">
        <f>407412+368252</f>
        <v/>
      </c>
      <c r="CH28" s="979" t="n">
        <v>1421174</v>
      </c>
      <c r="CI28" s="979" t="n">
        <v>2720068</v>
      </c>
      <c r="CJ28" s="979" t="n">
        <v>6438058</v>
      </c>
      <c r="CK28" s="979">
        <f>CJ28-SUM(CE28:CI28)</f>
        <v/>
      </c>
      <c r="CL28" s="979">
        <f>BW28-CJ28</f>
        <v/>
      </c>
      <c r="CM28" s="979" t="n"/>
      <c r="CN28" s="991" t="n"/>
      <c r="CO28" s="979" t="n"/>
      <c r="CP28" s="979" t="n"/>
      <c r="CQ28" s="991" t="n">
        <v>1.6416</v>
      </c>
      <c r="CR28" s="979" t="n">
        <v>13986471</v>
      </c>
      <c r="CS28" s="979" t="n">
        <v>8520212</v>
      </c>
      <c r="CT28" s="979" t="n"/>
      <c r="CU28" s="979" t="n"/>
      <c r="CV28" s="979" t="n"/>
      <c r="CW28" s="109" t="n">
        <v>0.764</v>
      </c>
      <c r="CX28" s="109" t="n">
        <v>0.759</v>
      </c>
      <c r="CY28" s="109" t="n">
        <v>0.005</v>
      </c>
      <c r="CZ28" s="991">
        <f>+CX28/CW28</f>
        <v/>
      </c>
      <c r="DA28" s="979" t="n"/>
      <c r="DB28" s="979" t="n"/>
      <c r="DC28" s="991" t="n"/>
      <c r="DD28" s="979" t="n"/>
      <c r="DE28" s="979" t="n"/>
      <c r="DF28" s="979" t="n"/>
      <c r="DG28" s="979" t="n"/>
      <c r="DH28" s="979" t="n"/>
      <c r="DI28" s="979" t="n"/>
      <c r="DJ28" s="979" t="n"/>
      <c r="DK28" s="979" t="n"/>
      <c r="DL28" s="979" t="n"/>
      <c r="DM28" s="979" t="n"/>
      <c r="DN28" s="979" t="n"/>
      <c r="DO28" s="979" t="n"/>
      <c r="DP28" s="979" t="n"/>
      <c r="DQ28" s="979" t="n"/>
      <c r="DR28" s="979" t="n"/>
      <c r="DS28" s="979" t="n"/>
      <c r="DT28" s="979" t="n"/>
      <c r="DU28" s="979" t="n"/>
      <c r="DV28" s="979" t="n"/>
      <c r="DW28" s="979" t="n"/>
      <c r="DX28" s="979" t="n"/>
      <c r="DY28" s="979" t="n"/>
      <c r="DZ28" s="979" t="n"/>
      <c r="EA28" s="979" t="n"/>
      <c r="EB28" s="979" t="n"/>
      <c r="EC28" s="979" t="n"/>
      <c r="ED28" s="979" t="n"/>
      <c r="EE28" s="979" t="n"/>
      <c r="EP28" s="979" t="n"/>
      <c r="EQ28" s="979" t="n"/>
      <c r="ER28" s="979" t="n"/>
      <c r="ES28" s="979" t="n"/>
      <c r="ET28" s="979" t="n"/>
      <c r="EU28" s="979" t="n"/>
      <c r="EV28" s="979" t="n"/>
      <c r="EW28" s="979" t="n"/>
      <c r="EX28" s="979" t="n"/>
      <c r="EY28" s="979" t="n"/>
      <c r="EZ28" s="979" t="n"/>
      <c r="FA28" s="979" t="n"/>
      <c r="FB28" s="979" t="n"/>
    </row>
    <row r="29" customFormat="1" s="108">
      <c r="A29" s="108">
        <f>B29&amp;C29</f>
        <v/>
      </c>
      <c r="B29" s="108" t="n">
        <v>2503</v>
      </c>
      <c r="C29" s="108" t="inlineStr">
        <is>
          <t>교보</t>
        </is>
      </c>
      <c r="D29" s="979" t="n">
        <v>126859785.228232</v>
      </c>
      <c r="E29" s="979" t="n">
        <v>33157762.128662</v>
      </c>
      <c r="F29" s="979" t="n">
        <v>61122832.921236</v>
      </c>
      <c r="G29" s="979">
        <f>1190565.899626+19288617.290602+1423332.794377</f>
        <v/>
      </c>
      <c r="H29" s="979" t="n">
        <v>2962428.410329</v>
      </c>
      <c r="I29" s="991">
        <f>+E29/$D29</f>
        <v/>
      </c>
      <c r="J29" s="991">
        <f>+F29/$D29</f>
        <v/>
      </c>
      <c r="K29" s="991">
        <f>+G29/$D29</f>
        <v/>
      </c>
      <c r="L29" s="979" t="n">
        <v>120327285.76426</v>
      </c>
      <c r="M29" s="979" t="n">
        <v>98627700.36550801</v>
      </c>
      <c r="N29" s="978">
        <f>O29-P29</f>
        <v/>
      </c>
      <c r="O29" s="978" t="n">
        <v>6532499.463972</v>
      </c>
      <c r="P29" s="978" t="n">
        <v>2205726.208213</v>
      </c>
      <c r="Q29" s="978" t="n">
        <v>-3143991.714419</v>
      </c>
      <c r="R29" s="978" t="n">
        <v>7199741.36688</v>
      </c>
      <c r="S29" s="978" t="n">
        <v>7305017.718577</v>
      </c>
      <c r="T29" s="978">
        <f>N28</f>
        <v/>
      </c>
      <c r="U29" s="979" t="n">
        <v>111800317</v>
      </c>
      <c r="V29" s="979" t="n">
        <v>107824763</v>
      </c>
      <c r="W29" s="109" t="n">
        <v>0.9644</v>
      </c>
      <c r="X29" s="978" t="n">
        <v>-3143992</v>
      </c>
      <c r="Y29" s="978">
        <f>-2412430+5945</f>
        <v/>
      </c>
      <c r="Z29" s="978" t="n">
        <v>-1637077</v>
      </c>
      <c r="AA29" s="978" t="n">
        <v>-2577</v>
      </c>
      <c r="AB29" s="978" t="n">
        <v>341032</v>
      </c>
      <c r="AC29" s="978" t="n">
        <v>517878</v>
      </c>
      <c r="AD29" s="978" t="n">
        <v>43237</v>
      </c>
      <c r="AE29" s="978">
        <f>X29-SUM(Y29:AD29)</f>
        <v/>
      </c>
      <c r="AF29" s="979" t="n">
        <v>163110.340125</v>
      </c>
      <c r="AG29" s="979" t="n">
        <v>970191.269151</v>
      </c>
      <c r="AH29" s="979" t="n">
        <v>807080.929026</v>
      </c>
      <c r="AI29" s="979" t="n">
        <v>242344.822745</v>
      </c>
      <c r="AJ29" s="979" t="n">
        <v>-1128993.921725</v>
      </c>
      <c r="AK29" s="979">
        <f>666.4668-1212.544259</f>
        <v/>
      </c>
      <c r="AL29" s="979">
        <f>+AI29-AJ29-AK29+AM29-AN29</f>
        <v/>
      </c>
      <c r="AM29" s="979" t="n">
        <v>15848.336368</v>
      </c>
      <c r="AN29" s="979">
        <f>5418.049652+26592.890016+237136.855686-7944.309388</f>
        <v/>
      </c>
      <c r="AO29" s="979" t="n">
        <v>405455.16287</v>
      </c>
      <c r="AP29" s="979" t="n">
        <v>4911.592125</v>
      </c>
      <c r="AQ29" s="978" t="n">
        <v>410366.754995</v>
      </c>
      <c r="AR29" s="978" t="n">
        <v>315282.486839</v>
      </c>
      <c r="AS29" s="979">
        <f>+AO29+AP29-AQ29</f>
        <v/>
      </c>
      <c r="AT29" s="979">
        <f>+AJ29+AK29+AL29-AM29+AN29-AI29</f>
        <v/>
      </c>
      <c r="AU29" s="979">
        <f>+AF29+AI29-AO29</f>
        <v/>
      </c>
      <c r="AV29" s="979">
        <f>+AF29</f>
        <v/>
      </c>
      <c r="AW29" s="979">
        <f>+AI29</f>
        <v/>
      </c>
      <c r="AX29" s="979">
        <f>+AP29</f>
        <v/>
      </c>
      <c r="AY29" s="979">
        <f>+SUM(AV29:AX29)</f>
        <v/>
      </c>
      <c r="AZ29" s="979" t="n"/>
      <c r="BA29" s="979" t="n"/>
      <c r="BB29" s="991" t="n"/>
      <c r="BC29" s="979" t="n">
        <v>-2205732.209538</v>
      </c>
      <c r="BD29" s="979" t="n">
        <v>893186.898872</v>
      </c>
      <c r="BE29" s="979" t="n">
        <v>338.356994</v>
      </c>
      <c r="BF29" s="979">
        <f>-1867731.819741-6385.889011</f>
        <v/>
      </c>
      <c r="BG29" s="979" t="n">
        <v>39664.583682</v>
      </c>
      <c r="BH29" s="979" t="n">
        <v>2884.739417</v>
      </c>
      <c r="BI29" s="979" t="n">
        <v>-216.375094</v>
      </c>
      <c r="BJ29" s="979" t="n"/>
      <c r="BK29" s="979" t="n">
        <v>-3143991.714419</v>
      </c>
      <c r="BL29" s="979">
        <f>+BK29-BC29-SUM(BD29:BJ29)</f>
        <v/>
      </c>
      <c r="BM29" s="979" t="n">
        <v>7034002.116592</v>
      </c>
      <c r="BN29" s="979" t="n">
        <v>-120487.3068</v>
      </c>
      <c r="BO29" s="979" t="n"/>
      <c r="BP29" s="979" t="n">
        <v>315282.486839</v>
      </c>
      <c r="BQ29" s="979" t="n"/>
      <c r="BR29" s="979" t="n">
        <v>-29053.929763</v>
      </c>
      <c r="BS29" s="979" t="n">
        <v>7199743.366868</v>
      </c>
      <c r="BT29" s="979">
        <f>+BM29+SUM(BN29:BR29)-BS29</f>
        <v/>
      </c>
      <c r="BU29" s="978" t="n">
        <v>91079103</v>
      </c>
      <c r="BV29" s="978" t="n">
        <v>1350703</v>
      </c>
      <c r="BW29" s="978" t="n">
        <v>6197895</v>
      </c>
      <c r="BX29" s="978" t="n">
        <v>257298</v>
      </c>
      <c r="BY29" s="978" t="n">
        <v>147074</v>
      </c>
      <c r="BZ29" s="978" t="n">
        <v>-799311</v>
      </c>
      <c r="CA29" s="978" t="n">
        <v>448923</v>
      </c>
      <c r="CB29" s="978" t="n">
        <v>6438058</v>
      </c>
      <c r="CC29" s="979" t="n"/>
      <c r="CD29" s="979">
        <f>CB29+BX29-BY29+BZ29+CA29-BW29</f>
        <v/>
      </c>
      <c r="CE29" s="979" t="n">
        <v>549020</v>
      </c>
      <c r="CF29" s="979">
        <f>465667+420324</f>
        <v/>
      </c>
      <c r="CG29" s="979">
        <f>380779+345567</f>
        <v/>
      </c>
      <c r="CH29" s="979" t="n">
        <v>1342801</v>
      </c>
      <c r="CI29" s="979" t="n">
        <v>2693738</v>
      </c>
      <c r="CJ29" s="979" t="n">
        <v>6197895</v>
      </c>
      <c r="CK29" s="979">
        <f>CJ29-SUM(CE29:CI29)</f>
        <v/>
      </c>
      <c r="CL29" s="979">
        <f>BW29-CJ29</f>
        <v/>
      </c>
      <c r="CM29" s="979" t="n"/>
      <c r="CN29" s="991" t="n"/>
      <c r="CO29" s="979" t="n"/>
      <c r="CP29" s="979" t="n"/>
      <c r="CQ29" s="991" t="n">
        <v>1.4584</v>
      </c>
      <c r="CR29" s="979" t="n">
        <v>13086745</v>
      </c>
      <c r="CS29" s="979" t="n">
        <v>8973285</v>
      </c>
      <c r="CT29" s="979" t="n"/>
      <c r="CU29" s="979" t="n"/>
      <c r="CV29" s="979" t="n"/>
      <c r="CW29" s="109" t="n"/>
      <c r="CX29" s="109" t="n"/>
      <c r="CY29" s="109" t="n"/>
      <c r="CZ29" s="991" t="n"/>
      <c r="DA29" s="979" t="n"/>
      <c r="DB29" s="979" t="n"/>
      <c r="DC29" s="991" t="n"/>
      <c r="DD29" s="979" t="n"/>
      <c r="DE29" s="979" t="n"/>
      <c r="DF29" s="979" t="n"/>
      <c r="DG29" s="979" t="n"/>
      <c r="DH29" s="979" t="n"/>
      <c r="DI29" s="979" t="n"/>
      <c r="DJ29" s="979" t="n"/>
      <c r="DK29" s="979" t="n"/>
      <c r="DL29" s="979" t="n"/>
      <c r="DM29" s="979" t="n"/>
      <c r="DN29" s="979" t="n"/>
      <c r="DO29" s="979" t="n"/>
      <c r="DP29" s="979" t="n"/>
      <c r="DQ29" s="979" t="n"/>
      <c r="DR29" s="979" t="n"/>
      <c r="DS29" s="979" t="n"/>
      <c r="DT29" s="979" t="n"/>
      <c r="DU29" s="979" t="n"/>
      <c r="DV29" s="979" t="n"/>
      <c r="DW29" s="979" t="n"/>
      <c r="DX29" s="979" t="n"/>
      <c r="DY29" s="979" t="n"/>
      <c r="DZ29" s="979" t="n"/>
      <c r="EA29" s="979" t="n"/>
      <c r="EB29" s="979" t="n"/>
      <c r="EC29" s="979" t="n"/>
      <c r="ED29" s="979" t="n"/>
      <c r="EE29" s="979" t="n"/>
      <c r="EP29" s="979" t="n"/>
      <c r="EQ29" s="979" t="n"/>
      <c r="ER29" s="979" t="n"/>
      <c r="ES29" s="979" t="n"/>
      <c r="ET29" s="979" t="n"/>
      <c r="EU29" s="979" t="n"/>
      <c r="EV29" s="979" t="n"/>
      <c r="EW29" s="979" t="n"/>
      <c r="EX29" s="979" t="n"/>
      <c r="EY29" s="979" t="n"/>
      <c r="EZ29" s="979" t="n"/>
      <c r="FA29" s="979" t="n"/>
      <c r="FB29" s="979" t="n"/>
    </row>
    <row r="30" customFormat="1" s="108">
      <c r="A30" s="108">
        <f>B30&amp;C30</f>
        <v/>
      </c>
      <c r="B30" s="108" t="n">
        <v>2506</v>
      </c>
      <c r="C30" s="108" t="inlineStr">
        <is>
          <t>교보</t>
        </is>
      </c>
      <c r="D30" s="979" t="n">
        <v>127213347.303222</v>
      </c>
      <c r="E30" s="979" t="n">
        <v>33587374.99602</v>
      </c>
      <c r="F30" s="979" t="n">
        <v>61044087.170703</v>
      </c>
      <c r="G30" s="979" t="n">
        <v>21428384.401341</v>
      </c>
      <c r="H30" s="979" t="n">
        <v>3302882.833591</v>
      </c>
      <c r="I30" s="991">
        <f>+E30/$D30</f>
        <v/>
      </c>
      <c r="J30" s="991">
        <f>+F30/$D30</f>
        <v/>
      </c>
      <c r="K30" s="991">
        <f>+G30/$D30</f>
        <v/>
      </c>
      <c r="L30" s="979" t="n">
        <v>120412433.540692</v>
      </c>
      <c r="M30" s="979" t="n">
        <v>99364709.846058</v>
      </c>
      <c r="N30" s="978" t="n">
        <v>4595187.554316999</v>
      </c>
      <c r="O30" s="978" t="n">
        <v>6800913.76253</v>
      </c>
      <c r="P30" s="978" t="n">
        <v>2205726.208213</v>
      </c>
      <c r="Q30" s="978" t="n">
        <v>-3117696.479842</v>
      </c>
      <c r="R30" s="978" t="n">
        <v>7441652.486049</v>
      </c>
      <c r="S30" s="978" t="n">
        <v>7305017.718577</v>
      </c>
      <c r="T30" s="978" t="n">
        <v>5099291.510364</v>
      </c>
      <c r="U30" s="979" t="n">
        <v>111044640</v>
      </c>
      <c r="V30" s="979" t="n">
        <v>107214693</v>
      </c>
      <c r="W30" s="109" t="n">
        <v>0.9655</v>
      </c>
      <c r="X30" s="978" t="n">
        <v>-3117696</v>
      </c>
      <c r="Y30" s="978">
        <f>-2990548+5951</f>
        <v/>
      </c>
      <c r="Z30" s="978" t="n">
        <v>-894708</v>
      </c>
      <c r="AA30" s="978" t="n">
        <v>-1836</v>
      </c>
      <c r="AB30" s="978" t="n">
        <v>201094</v>
      </c>
      <c r="AC30" s="978" t="n">
        <v>519215</v>
      </c>
      <c r="AD30" s="978" t="n">
        <v>43136</v>
      </c>
      <c r="AE30" s="978">
        <f>X30-SUM(Y30:AD30)</f>
        <v/>
      </c>
      <c r="AF30" s="979" t="n">
        <v>253601.557184</v>
      </c>
      <c r="AG30" s="979" t="n">
        <v>2150383.316392</v>
      </c>
      <c r="AH30" s="979" t="n">
        <v>1896781.759208</v>
      </c>
      <c r="AI30" s="979" t="n">
        <v>496917.777961</v>
      </c>
      <c r="AJ30" s="979" t="n">
        <v>-2588369.498665</v>
      </c>
      <c r="AK30" s="979" t="n">
        <v>-1527.403432</v>
      </c>
      <c r="AL30" s="979">
        <f>+AI30-AJ30-AK30+AM30-AN30</f>
        <v/>
      </c>
      <c r="AM30" s="979" t="n">
        <v>33009.466964</v>
      </c>
      <c r="AN30" s="979" t="n">
        <v>470524.096537</v>
      </c>
      <c r="AO30" s="979" t="n">
        <v>750519.335145</v>
      </c>
      <c r="AP30" s="979" t="n">
        <v>15386.836193</v>
      </c>
      <c r="AQ30" s="978" t="n">
        <v>765906.171338</v>
      </c>
      <c r="AR30" s="978" t="n">
        <v>585307.486474</v>
      </c>
      <c r="AS30" s="979">
        <f>+AO30+AP30-AQ30</f>
        <v/>
      </c>
      <c r="AT30" s="979">
        <f>+AJ30+AK30+AL30-AM30+AN30-AI30</f>
        <v/>
      </c>
      <c r="AU30" s="979">
        <f>+AF30+AI30-AO30</f>
        <v/>
      </c>
      <c r="AV30" s="979">
        <f>+AF30</f>
        <v/>
      </c>
      <c r="AW30" s="979">
        <f>+AI30</f>
        <v/>
      </c>
      <c r="AX30" s="979">
        <f>+AP30</f>
        <v/>
      </c>
      <c r="AY30" s="979">
        <f>+SUM(AV30:AX30)</f>
        <v/>
      </c>
      <c r="AZ30" s="979" t="n"/>
      <c r="BA30" s="979" t="n"/>
      <c r="BB30" s="991" t="n"/>
      <c r="BC30" s="979" t="n">
        <v>-2205732.209538</v>
      </c>
      <c r="BD30" s="979" t="n">
        <v>315068.637157</v>
      </c>
      <c r="BE30" s="979" t="n">
        <v>344.045666</v>
      </c>
      <c r="BF30" s="979" t="n">
        <v>-1131008.319808</v>
      </c>
      <c r="BG30" s="979" t="n">
        <v>-100273.747007</v>
      </c>
      <c r="BH30" s="979" t="n">
        <v>4221.537825</v>
      </c>
      <c r="BI30" s="979" t="n">
        <v>-316.424137</v>
      </c>
      <c r="BJ30" s="979" t="n"/>
      <c r="BK30" s="979" t="n">
        <v>-3117696.479842</v>
      </c>
      <c r="BL30" s="979">
        <f>+BK30-BC30-SUM(BD30:BJ30)</f>
        <v/>
      </c>
      <c r="BM30" s="979" t="n">
        <v>7034002.116592</v>
      </c>
      <c r="BN30" s="979" t="n">
        <v>-120487.3068</v>
      </c>
      <c r="BO30" s="979" t="n"/>
      <c r="BP30" s="979" t="n">
        <v>585307.486474</v>
      </c>
      <c r="BQ30" s="979" t="n"/>
      <c r="BR30" s="979" t="n">
        <v>-57169.810217</v>
      </c>
      <c r="BS30" s="979" t="n">
        <v>7441652.486049</v>
      </c>
      <c r="BT30" s="979">
        <f>+BM30+SUM(BN30:BR30)-BS30</f>
        <v/>
      </c>
      <c r="BU30" s="978" t="n">
        <v>91744785</v>
      </c>
      <c r="BV30" s="978" t="n">
        <v>1378860</v>
      </c>
      <c r="BW30" s="978" t="n">
        <v>6241065</v>
      </c>
      <c r="BX30" s="978" t="n">
        <v>532009</v>
      </c>
      <c r="BY30" s="978" t="n">
        <v>291874</v>
      </c>
      <c r="BZ30" s="978" t="n">
        <v>-1656829</v>
      </c>
      <c r="CA30" s="978" t="n">
        <v>1219701</v>
      </c>
      <c r="CB30" s="978" t="n">
        <v>6438058</v>
      </c>
      <c r="CC30" s="979" t="n"/>
      <c r="CD30" s="979">
        <f>CB30+BX30-BY30+BZ30+CA30-BW30</f>
        <v/>
      </c>
      <c r="CE30" s="979" t="n">
        <v>551552</v>
      </c>
      <c r="CF30" s="979">
        <f>473674+427152</f>
        <v/>
      </c>
      <c r="CG30" s="979">
        <f>386964+351267</f>
        <v/>
      </c>
      <c r="CH30" s="979" t="n">
        <v>1365658</v>
      </c>
      <c r="CI30" s="979" t="n">
        <v>2684798</v>
      </c>
      <c r="CJ30" s="979" t="n">
        <v>6241065</v>
      </c>
      <c r="CK30" s="979">
        <f>CJ30-SUM(CE30:CI30)</f>
        <v/>
      </c>
      <c r="CL30" s="979">
        <f>BW30-CJ30</f>
        <v/>
      </c>
      <c r="CM30" s="979" t="n"/>
      <c r="CN30" s="991" t="n"/>
      <c r="CO30" s="979" t="n"/>
      <c r="CP30" s="979" t="n"/>
      <c r="CQ30" s="991" t="n">
        <v>1.5274</v>
      </c>
      <c r="CR30" s="979" t="n">
        <v>13497709</v>
      </c>
      <c r="CS30" s="979" t="n">
        <v>8837166</v>
      </c>
      <c r="CT30" s="979" t="n"/>
      <c r="CU30" s="979" t="n"/>
      <c r="CV30" s="979" t="n"/>
      <c r="CW30" s="109" t="n"/>
      <c r="CX30" s="109" t="n"/>
      <c r="CY30" s="109" t="n"/>
      <c r="CZ30" s="991" t="n"/>
      <c r="DA30" s="979" t="n"/>
      <c r="DB30" s="979" t="n"/>
      <c r="DC30" s="991" t="n"/>
      <c r="DD30" s="979" t="n"/>
      <c r="DE30" s="979" t="n"/>
      <c r="DF30" s="979" t="n"/>
      <c r="DG30" s="979" t="n"/>
      <c r="DH30" s="979" t="n"/>
      <c r="DI30" s="979" t="n"/>
      <c r="DJ30" s="979" t="n"/>
      <c r="DK30" s="979" t="n"/>
      <c r="DL30" s="979" t="n"/>
      <c r="DM30" s="979" t="n"/>
      <c r="DN30" s="979" t="n"/>
      <c r="DO30" s="979" t="n"/>
      <c r="DP30" s="979" t="n"/>
      <c r="DQ30" s="979" t="n"/>
      <c r="DR30" s="979" t="n"/>
      <c r="DS30" s="979" t="n"/>
      <c r="DT30" s="979" t="n"/>
      <c r="DU30" s="979" t="n"/>
      <c r="DV30" s="979" t="n"/>
      <c r="DW30" s="979" t="n"/>
      <c r="DX30" s="979" t="n"/>
      <c r="DY30" s="979" t="n"/>
      <c r="DZ30" s="979" t="n"/>
      <c r="EA30" s="979" t="n"/>
      <c r="EB30" s="979" t="n"/>
      <c r="EC30" s="979" t="n"/>
      <c r="ED30" s="979" t="n"/>
      <c r="EE30" s="979" t="n"/>
      <c r="EP30" s="979" t="n"/>
      <c r="EQ30" s="979" t="n"/>
      <c r="ER30" s="979" t="n"/>
      <c r="ES30" s="979" t="n"/>
      <c r="ET30" s="979" t="n"/>
      <c r="EU30" s="979" t="n"/>
      <c r="EV30" s="979" t="n"/>
      <c r="EW30" s="979" t="n"/>
      <c r="EX30" s="979" t="n"/>
      <c r="EY30" s="979" t="n"/>
      <c r="EZ30" s="979" t="n"/>
      <c r="FA30" s="979" t="n"/>
      <c r="FB30" s="979" t="n"/>
    </row>
    <row r="31" customFormat="1" s="108">
      <c r="A31" s="108">
        <f>B31&amp;C31</f>
        <v/>
      </c>
      <c r="B31" s="108" t="n">
        <v>2509</v>
      </c>
      <c r="C31" s="108" t="inlineStr">
        <is>
          <t>교보</t>
        </is>
      </c>
      <c r="D31" s="979" t="n">
        <v>128834955.558457</v>
      </c>
      <c r="E31" s="979" t="n">
        <v>34613499.508074</v>
      </c>
      <c r="F31" s="979" t="n">
        <v>62288665.739015</v>
      </c>
      <c r="G31" s="979">
        <f>1118562.108733+18677374.768524+1277827.449933</f>
        <v/>
      </c>
      <c r="H31" s="979" t="n">
        <v>3500217.621002</v>
      </c>
      <c r="I31" s="991">
        <f>+E31/$D31</f>
        <v/>
      </c>
      <c r="J31" s="991">
        <f>+F31/$D31</f>
        <v/>
      </c>
      <c r="K31" s="991">
        <f>+G31/$D31</f>
        <v/>
      </c>
      <c r="L31" s="979" t="n">
        <v>121671773.914205</v>
      </c>
      <c r="M31" s="979" t="n">
        <v>100053052.334892</v>
      </c>
      <c r="N31" s="978">
        <f>O31-P31</f>
        <v/>
      </c>
      <c r="O31" s="978" t="n">
        <v>7163181.644252</v>
      </c>
      <c r="P31" s="978" t="n">
        <v>2205726.208213</v>
      </c>
      <c r="Q31" s="978" t="n">
        <v>-2988311.663637</v>
      </c>
      <c r="R31" s="978" t="n">
        <v>7674535.551566</v>
      </c>
      <c r="S31" s="978" t="n">
        <v>7305017.718577</v>
      </c>
      <c r="T31" s="978" t="n">
        <v>5099291.510364</v>
      </c>
      <c r="U31" s="979" t="n">
        <v>112152563</v>
      </c>
      <c r="V31" s="979" t="n">
        <v>108659790</v>
      </c>
      <c r="W31" s="109" t="n">
        <v>0.9689</v>
      </c>
      <c r="X31" s="978" t="n">
        <v>-2988312</v>
      </c>
      <c r="Y31" s="978">
        <f>+-3297327+5804</f>
        <v/>
      </c>
      <c r="Z31" s="978" t="n">
        <v>-384847</v>
      </c>
      <c r="AA31" s="978" t="n">
        <v>-412</v>
      </c>
      <c r="AB31" s="978" t="n">
        <v>125125</v>
      </c>
      <c r="AC31" s="978" t="n">
        <v>520369</v>
      </c>
      <c r="AD31" s="978" t="n">
        <v>42976</v>
      </c>
      <c r="AE31" s="978">
        <f>X31-SUM(Y31:AD31)</f>
        <v/>
      </c>
      <c r="AF31" s="979" t="n">
        <v>421527.868588</v>
      </c>
      <c r="AG31" s="979" t="n">
        <v>3261117.785471</v>
      </c>
      <c r="AH31" s="979" t="n">
        <v>2839589.916883</v>
      </c>
      <c r="AI31" s="979" t="n">
        <v>670619.9822729999</v>
      </c>
      <c r="AJ31" s="979" t="n">
        <v>-3806466.568396</v>
      </c>
      <c r="AK31" s="979">
        <f>2291.615151-4410.110594</f>
        <v/>
      </c>
      <c r="AL31" s="979">
        <f>+AI31-AJ31-AK31+AM31-AN31</f>
        <v/>
      </c>
      <c r="AM31" s="979" t="n">
        <v>58810.998163</v>
      </c>
      <c r="AN31" s="979">
        <f>21301.466947+80555.093113+614012.262775-22723.052206</f>
        <v/>
      </c>
      <c r="AO31" s="979" t="n">
        <v>1092147.850861</v>
      </c>
      <c r="AP31" s="979" t="n">
        <v>17799.643272</v>
      </c>
      <c r="AQ31" s="978" t="n">
        <v>1109947.494133</v>
      </c>
      <c r="AR31" s="978" t="n">
        <v>846971.897826</v>
      </c>
      <c r="AS31" s="979">
        <f>+AO31+AP31-AQ31</f>
        <v/>
      </c>
      <c r="AT31" s="979">
        <f>+AJ31+AK31+AL31-AM31+AN31-AI31</f>
        <v/>
      </c>
      <c r="AU31" s="979">
        <f>+AF31+AI31-AO31</f>
        <v/>
      </c>
      <c r="AV31" s="979">
        <f>+AF31</f>
        <v/>
      </c>
      <c r="AW31" s="979">
        <f>+AI31</f>
        <v/>
      </c>
      <c r="AX31" s="979">
        <f>+AP31</f>
        <v/>
      </c>
      <c r="AY31" s="979">
        <f>+SUM(AV31:AX31)</f>
        <v/>
      </c>
      <c r="AZ31" s="979" t="n"/>
      <c r="BA31" s="979" t="n"/>
      <c r="BB31" s="991" t="n"/>
      <c r="BC31" s="979" t="n">
        <v>-2205732.209538</v>
      </c>
      <c r="BD31" s="979" t="n">
        <v>8289.769442999999</v>
      </c>
      <c r="BE31" s="979" t="n">
        <v>197.173577</v>
      </c>
      <c r="BF31" s="979">
        <f>+-615502.386663+-4220.275438</f>
        <v/>
      </c>
      <c r="BG31" s="979" t="n">
        <v>-176242.505061</v>
      </c>
      <c r="BH31" s="979" t="n">
        <v>5375.843892</v>
      </c>
      <c r="BI31" s="979" t="n">
        <v>-477.073849</v>
      </c>
      <c r="BJ31" s="979" t="n"/>
      <c r="BK31" s="979" t="n">
        <v>-2988311.663637</v>
      </c>
      <c r="BL31" s="979">
        <f>+BK31-BC31-SUM(BD31:BJ31)</f>
        <v/>
      </c>
      <c r="BM31" s="979" t="n">
        <v>7034002.116592</v>
      </c>
      <c r="BN31" s="979" t="n">
        <v>-120487.3068</v>
      </c>
      <c r="BO31" s="979" t="n"/>
      <c r="BP31" s="979" t="n">
        <v>846971.897826</v>
      </c>
      <c r="BQ31" s="979" t="n"/>
      <c r="BR31" s="979" t="n">
        <v>-85951.15605200001</v>
      </c>
      <c r="BS31" s="979" t="n">
        <v>7674535.551566</v>
      </c>
      <c r="BT31" s="979">
        <f>+BM31+SUM(BN31:BR31)-BS31</f>
        <v/>
      </c>
      <c r="BU31" s="978" t="n">
        <v>92264724</v>
      </c>
      <c r="BV31" s="978" t="n">
        <v>1399788</v>
      </c>
      <c r="BW31" s="978" t="n">
        <v>6388541</v>
      </c>
      <c r="BX31" s="978" t="n">
        <v>930348</v>
      </c>
      <c r="BY31" s="978" t="n">
        <v>438353</v>
      </c>
      <c r="BZ31" s="978" t="n">
        <v>-12554</v>
      </c>
      <c r="CA31" s="978" t="n">
        <v>-528958</v>
      </c>
      <c r="CB31" s="978" t="n">
        <v>6438058</v>
      </c>
      <c r="CC31" s="979" t="n"/>
      <c r="CD31" s="979">
        <f>CB31+BX31-BY31+BZ31+CA31-BW31</f>
        <v/>
      </c>
      <c r="CE31" s="979" t="n">
        <v>564199</v>
      </c>
      <c r="CF31" s="979">
        <f>487054+438287</f>
        <v/>
      </c>
      <c r="CG31" s="979">
        <f>395865+358687</f>
        <v/>
      </c>
      <c r="CH31" s="979" t="n">
        <v>1394280</v>
      </c>
      <c r="CI31" s="979" t="n">
        <v>2750170</v>
      </c>
      <c r="CJ31" s="979" t="n">
        <v>6388541</v>
      </c>
      <c r="CK31" s="979">
        <f>CJ31-SUM(CE31:CI31)</f>
        <v/>
      </c>
      <c r="CL31" s="979">
        <f>BW31-CJ31</f>
        <v/>
      </c>
      <c r="CM31" s="979" t="n"/>
      <c r="CN31" s="991" t="n"/>
      <c r="CO31" s="979" t="n"/>
      <c r="CP31" s="979" t="n"/>
      <c r="CQ31" s="991" t="n">
        <v>1.5717</v>
      </c>
      <c r="CR31" s="979" t="n">
        <v>13959223</v>
      </c>
      <c r="CS31" s="979" t="n">
        <v>8881510</v>
      </c>
      <c r="CT31" s="979" t="n"/>
      <c r="CU31" s="979" t="n"/>
      <c r="CV31" s="979" t="n"/>
      <c r="CW31" s="109" t="n"/>
      <c r="CX31" s="109" t="n"/>
      <c r="CY31" s="109" t="n"/>
      <c r="CZ31" s="991" t="n"/>
      <c r="DA31" s="979" t="n"/>
      <c r="DB31" s="979" t="n"/>
      <c r="DC31" s="991" t="n"/>
      <c r="DD31" s="979" t="n"/>
      <c r="DE31" s="979" t="n"/>
      <c r="DF31" s="979" t="n"/>
      <c r="DG31" s="979" t="n"/>
      <c r="DH31" s="979" t="n"/>
      <c r="DI31" s="979" t="n"/>
      <c r="DJ31" s="979" t="n"/>
      <c r="DK31" s="979" t="n"/>
      <c r="DL31" s="979" t="n"/>
      <c r="DM31" s="979" t="n"/>
      <c r="DN31" s="979" t="n"/>
      <c r="DO31" s="979" t="n"/>
      <c r="DP31" s="979" t="n"/>
      <c r="DQ31" s="979" t="n"/>
      <c r="DR31" s="979" t="n"/>
      <c r="DS31" s="979" t="n"/>
      <c r="DT31" s="979" t="n"/>
      <c r="DU31" s="979" t="n"/>
      <c r="DV31" s="979" t="n"/>
      <c r="DW31" s="979" t="n"/>
      <c r="DX31" s="979" t="n"/>
      <c r="DY31" s="979" t="n"/>
      <c r="DZ31" s="979" t="n"/>
      <c r="EA31" s="979" t="n"/>
      <c r="EB31" s="979" t="n"/>
      <c r="EC31" s="979" t="n"/>
      <c r="ED31" s="979" t="n"/>
      <c r="EE31" s="979" t="n"/>
      <c r="EP31" s="979" t="n"/>
      <c r="EQ31" s="979" t="n"/>
      <c r="ER31" s="979" t="n"/>
      <c r="ES31" s="979" t="n"/>
      <c r="ET31" s="979" t="n"/>
      <c r="EU31" s="979" t="n"/>
      <c r="EV31" s="979" t="n"/>
      <c r="EW31" s="979" t="n"/>
      <c r="EX31" s="979" t="n"/>
      <c r="EY31" s="979" t="n"/>
      <c r="EZ31" s="979" t="n"/>
      <c r="FA31" s="979" t="n"/>
      <c r="FB31" s="979" t="n"/>
    </row>
    <row r="32" customFormat="1" s="108">
      <c r="A32" s="108">
        <f>B32&amp;C32</f>
        <v/>
      </c>
      <c r="B32" s="108" t="n">
        <v>2512</v>
      </c>
      <c r="C32" s="108" t="inlineStr">
        <is>
          <t>교보</t>
        </is>
      </c>
      <c r="D32" s="979" t="n">
        <v>128165794.274358</v>
      </c>
      <c r="E32" s="979" t="n">
        <v>34182822.710133</v>
      </c>
      <c r="F32" s="979" t="n">
        <v>60829887.653638</v>
      </c>
      <c r="G32" s="979">
        <f>1098380.680768+19176802.292031+1271291.067817</f>
        <v/>
      </c>
      <c r="H32" s="979" t="n">
        <v>3520210.613189</v>
      </c>
      <c r="I32" s="991">
        <f>+E32/$D32</f>
        <v/>
      </c>
      <c r="J32" s="991">
        <f>+F32/$D32</f>
        <v/>
      </c>
      <c r="K32" s="991">
        <f>+G32/$D32</f>
        <v/>
      </c>
      <c r="L32" s="979" t="n">
        <v>120511035.106422</v>
      </c>
      <c r="M32" s="979" t="n">
        <v>96832758.625911</v>
      </c>
      <c r="N32" s="978">
        <f>O32-P32</f>
        <v/>
      </c>
      <c r="O32" s="978" t="n">
        <v>7654759.167916</v>
      </c>
      <c r="P32" s="978" t="n">
        <v>2205726.208213</v>
      </c>
      <c r="Q32" s="978" t="n">
        <v>-2397981.022366</v>
      </c>
      <c r="R32" s="978" t="n">
        <v>7575782.433959</v>
      </c>
      <c r="S32" s="978" t="n">
        <v>7306220.723432</v>
      </c>
      <c r="T32" s="978">
        <f>+S32-2205726.208213</f>
        <v/>
      </c>
      <c r="U32" s="979" t="n">
        <v>110514710</v>
      </c>
      <c r="V32" s="979" t="n">
        <v>107254263</v>
      </c>
      <c r="W32" s="109" t="n">
        <v>0.9705</v>
      </c>
      <c r="X32" s="978" t="n">
        <v>-2397981.022366</v>
      </c>
      <c r="Y32" s="978">
        <f>-5274811+5105</f>
        <v/>
      </c>
      <c r="Z32" s="978">
        <f>2412261</f>
        <v/>
      </c>
      <c r="AA32" s="978" t="n">
        <v>2447</v>
      </c>
      <c r="AB32" s="978" t="n">
        <v>-199080</v>
      </c>
      <c r="AC32" s="978" t="n">
        <v>604004</v>
      </c>
      <c r="AD32" s="978" t="n">
        <v>52093</v>
      </c>
      <c r="AE32" s="978">
        <f>X32-SUM(Y32:AD32)</f>
        <v/>
      </c>
      <c r="AF32" s="979" t="n">
        <v>391590.329838</v>
      </c>
      <c r="AG32" s="979" t="n">
        <v>4347131.326651</v>
      </c>
      <c r="AH32" s="979" t="n">
        <v>3955540.996813</v>
      </c>
      <c r="AI32" s="979" t="n">
        <v>670035.101553</v>
      </c>
      <c r="AJ32" s="979">
        <f>-5267918.037097</f>
        <v/>
      </c>
      <c r="AK32" s="979" t="n">
        <v>-5644.416339</v>
      </c>
      <c r="AL32" s="979">
        <f>+AI32-AJ32-AK32+AM32-AN32</f>
        <v/>
      </c>
      <c r="AM32" s="979" t="n">
        <v>88848.51794000001</v>
      </c>
      <c r="AN32" s="979">
        <f>32051.195804+107845.027907+846886.181016-30572.993947</f>
        <v/>
      </c>
      <c r="AO32" s="979" t="n">
        <v>1061625.431391</v>
      </c>
      <c r="AP32" s="979" t="n">
        <v>-99527.29597599999</v>
      </c>
      <c r="AQ32" s="978" t="n">
        <v>962098.135415</v>
      </c>
      <c r="AR32" s="978" t="n">
        <v>763210.477599</v>
      </c>
      <c r="AS32" s="979">
        <f>+AO32+AP32-AQ32</f>
        <v/>
      </c>
      <c r="AT32" s="979">
        <f>+AJ32+AK32+AL32-AM32+AN32-AI32</f>
        <v/>
      </c>
      <c r="AU32" s="979">
        <f>+AF32+AI32-AO32</f>
        <v/>
      </c>
      <c r="AV32" s="979">
        <f>+AF32</f>
        <v/>
      </c>
      <c r="AW32" s="979">
        <f>+AI32</f>
        <v/>
      </c>
      <c r="AX32" s="979">
        <f>+AP32</f>
        <v/>
      </c>
      <c r="AY32" s="979">
        <f>+SUM(AV32:AX32)</f>
        <v/>
      </c>
      <c r="AZ32" s="979" t="n"/>
      <c r="BA32" s="979" t="n"/>
      <c r="BB32" s="991" t="n"/>
      <c r="BC32" s="979" t="n">
        <v>-2204529.204683</v>
      </c>
      <c r="BD32" s="979">
        <f>-1872222.666443</f>
        <v/>
      </c>
      <c r="BE32" s="979" t="n">
        <v>-501.579554</v>
      </c>
      <c r="BF32" s="979">
        <f>2181605.630177-1361.491725</f>
        <v/>
      </c>
      <c r="BG32" s="979" t="n">
        <v>-500448.093717</v>
      </c>
      <c r="BH32" s="979" t="n">
        <v>-9164.194315999999</v>
      </c>
      <c r="BI32" s="979" t="n">
        <v>8640.577895</v>
      </c>
      <c r="BJ32" s="979" t="n"/>
      <c r="BK32" s="979" t="n">
        <v>-2397981.022366</v>
      </c>
      <c r="BL32" s="979">
        <f>+BK32-BC32-SUM(BD32:BJ32)</f>
        <v/>
      </c>
      <c r="BM32" s="979" t="n">
        <v>7034002.116592</v>
      </c>
      <c r="BN32" s="979" t="n">
        <v>-120487.3068</v>
      </c>
      <c r="BO32" s="979" t="n"/>
      <c r="BP32" s="979" t="n">
        <v>763210.477599</v>
      </c>
      <c r="BQ32" s="979">
        <f>19631.360602-4658.107779</f>
        <v/>
      </c>
      <c r="BR32" s="979" t="n">
        <v>-115916.106255</v>
      </c>
      <c r="BS32" s="979" t="n">
        <v>7575782.433959</v>
      </c>
      <c r="BT32" s="979">
        <f>+BM32+SUM(BN32:BR32)-BS32</f>
        <v/>
      </c>
      <c r="BU32" s="978">
        <f>26060459+47590390+15289119</f>
        <v/>
      </c>
      <c r="BV32" s="978">
        <f>121650+1096503+163676</f>
        <v/>
      </c>
      <c r="BW32" s="978">
        <f>152057+5703472+655432</f>
        <v/>
      </c>
      <c r="BX32" s="978">
        <f>1262+1274888+1984</f>
        <v/>
      </c>
      <c r="BY32" s="978">
        <f>19487+500373+68136</f>
        <v/>
      </c>
      <c r="BZ32" s="978">
        <f>+-3398+-592370-208016</f>
        <v/>
      </c>
      <c r="CA32" s="978">
        <f>5009+181538+0</f>
        <v/>
      </c>
      <c r="CB32" s="978">
        <f>168670+5339789+929599</f>
        <v/>
      </c>
      <c r="CC32" s="979" t="n"/>
      <c r="CD32" s="979">
        <f>CB32+BX32-BY32+BZ32+CA32-BW32</f>
        <v/>
      </c>
      <c r="CE32" s="979" t="n">
        <v>570766</v>
      </c>
      <c r="CF32" s="979">
        <f>499661+438540</f>
        <v/>
      </c>
      <c r="CG32" s="979">
        <f>395893+359973</f>
        <v/>
      </c>
      <c r="CH32" s="979" t="n">
        <v>1411319</v>
      </c>
      <c r="CI32" s="979" t="n">
        <v>2834809</v>
      </c>
      <c r="CJ32" s="979" t="n">
        <v>6510961</v>
      </c>
      <c r="CK32" s="979">
        <f>CJ32-SUM(CE32:CI32)</f>
        <v/>
      </c>
      <c r="CL32" s="979">
        <f>BW32-CJ32</f>
        <v/>
      </c>
      <c r="CM32" s="979" t="n"/>
      <c r="CN32" s="991" t="n"/>
      <c r="CO32" s="979" t="n"/>
      <c r="CP32" s="979" t="n"/>
      <c r="CQ32" s="991" t="n">
        <v>1.6566</v>
      </c>
      <c r="CR32" s="979" t="n">
        <v>14218131</v>
      </c>
      <c r="CS32" s="979" t="n">
        <v>8582488</v>
      </c>
      <c r="CT32" s="979" t="n"/>
      <c r="CU32" s="979" t="n"/>
      <c r="CV32" s="979" t="n"/>
      <c r="CW32" s="109" t="n">
        <v>0.8120000000000001</v>
      </c>
      <c r="CX32" s="109" t="n">
        <v>0.785</v>
      </c>
      <c r="CY32" s="109" t="n">
        <v>0.027</v>
      </c>
      <c r="CZ32" s="991">
        <f>+CX32/CW32</f>
        <v/>
      </c>
      <c r="DA32" s="979" t="n"/>
      <c r="DB32" s="979" t="n"/>
      <c r="DC32" s="991" t="n"/>
      <c r="DD32" s="979" t="n"/>
      <c r="DE32" s="979" t="n"/>
      <c r="DF32" s="979" t="n"/>
      <c r="DG32" s="979" t="n"/>
      <c r="DH32" s="979" t="n"/>
      <c r="DI32" s="979" t="n"/>
      <c r="DJ32" s="979" t="n"/>
      <c r="DK32" s="979" t="n"/>
      <c r="DL32" s="979" t="n"/>
      <c r="DM32" s="979" t="n"/>
      <c r="DN32" s="979" t="n"/>
      <c r="DO32" s="979" t="n"/>
      <c r="DP32" s="979" t="n"/>
      <c r="DQ32" s="979" t="n"/>
      <c r="DR32" s="979" t="n"/>
      <c r="DS32" s="979" t="n"/>
      <c r="DT32" s="979" t="n"/>
      <c r="DU32" s="979" t="n"/>
      <c r="DV32" s="979" t="n"/>
      <c r="DW32" s="979" t="n"/>
      <c r="DX32" s="979" t="n"/>
      <c r="DY32" s="979" t="n"/>
      <c r="DZ32" s="979" t="n"/>
      <c r="EA32" s="979" t="n"/>
      <c r="EB32" s="979" t="n"/>
      <c r="EC32" s="979" t="n"/>
      <c r="ED32" s="979" t="n"/>
      <c r="EE32" s="979" t="n"/>
      <c r="EP32" s="979" t="n">
        <v>278100</v>
      </c>
      <c r="EQ32" s="979" t="n">
        <v>-164400</v>
      </c>
      <c r="ER32" s="979" t="n">
        <v>-165600</v>
      </c>
      <c r="ES32" s="979" t="n">
        <v>84600</v>
      </c>
      <c r="ET32" s="979" t="n">
        <v>520800</v>
      </c>
      <c r="EU32" s="979" t="n"/>
      <c r="EV32" s="979" t="n"/>
      <c r="EW32" s="979">
        <f>-EP32</f>
        <v/>
      </c>
      <c r="EX32" s="979">
        <f>-EQ32</f>
        <v/>
      </c>
      <c r="EY32" s="979">
        <f>-ER32</f>
        <v/>
      </c>
      <c r="EZ32" s="979">
        <f>-ES32</f>
        <v/>
      </c>
      <c r="FA32" s="979">
        <f>-ET32</f>
        <v/>
      </c>
      <c r="FB32" s="979" t="n">
        <v>350100</v>
      </c>
      <c r="FC32" s="766">
        <f>SUM(EW32:FB32)-BZ32</f>
        <v/>
      </c>
    </row>
    <row r="33" ht="16.5" customFormat="1" customHeight="1" s="108">
      <c r="A33" s="696">
        <f>B33&amp;C33</f>
        <v/>
      </c>
      <c r="B33" s="696" t="n">
        <v>2603</v>
      </c>
      <c r="C33" s="696" t="inlineStr">
        <is>
          <t>교보</t>
        </is>
      </c>
      <c r="D33" s="979" t="n">
        <v>128058989.9</v>
      </c>
      <c r="E33" s="979" t="n">
        <v>36597664.65</v>
      </c>
      <c r="F33" s="979" t="n">
        <v>59064842.44</v>
      </c>
      <c r="G33" s="979" t="n">
        <v>21528000.96</v>
      </c>
      <c r="H33" s="979" t="n">
        <v>3618504.42</v>
      </c>
      <c r="I33" s="991">
        <f>E33/D33</f>
        <v/>
      </c>
      <c r="J33" s="991">
        <f>F33/D33</f>
        <v/>
      </c>
      <c r="K33" s="991">
        <f>G33/D33</f>
        <v/>
      </c>
      <c r="L33" s="979" t="n">
        <v>119820416.32</v>
      </c>
      <c r="M33" s="979" t="n">
        <v>93723307.45999999</v>
      </c>
      <c r="N33" s="978">
        <f>O33-P33</f>
        <v/>
      </c>
      <c r="O33" s="978" t="n">
        <v>8238573.58</v>
      </c>
      <c r="P33" s="978" t="n">
        <v>2205726.21</v>
      </c>
      <c r="Q33" s="978" t="n">
        <v>-1993223.11</v>
      </c>
      <c r="R33" s="978" t="n">
        <v>7754838.94</v>
      </c>
      <c r="S33" s="978" t="n">
        <v>7654759.17</v>
      </c>
      <c r="T33" s="978" t="n">
        <v>5449032.96</v>
      </c>
      <c r="U33" s="979" t="n"/>
      <c r="V33" s="979" t="n">
        <v>106113750.19</v>
      </c>
      <c r="W33" s="109" t="n"/>
      <c r="X33" s="978">
        <f>Q33</f>
        <v/>
      </c>
      <c r="Y33" s="978" t="n"/>
      <c r="Z33" s="978" t="n">
        <v>5362885.45</v>
      </c>
      <c r="AA33" s="978" t="n">
        <v>4258.86</v>
      </c>
      <c r="AB33" s="978" t="n">
        <v>-486340.05</v>
      </c>
      <c r="AC33" s="978" t="n"/>
      <c r="AD33" s="978" t="n">
        <v>51085.57</v>
      </c>
      <c r="AE33" s="978" t="n"/>
      <c r="AF33" s="979" t="n">
        <v>184786.62</v>
      </c>
      <c r="AG33" s="979" t="n">
        <v>1145094.21</v>
      </c>
      <c r="AH33" s="979" t="n">
        <v>960307.6</v>
      </c>
      <c r="AI33" s="979" t="n">
        <v>259420.2</v>
      </c>
      <c r="AJ33" s="979" t="n">
        <v>-1546393.69</v>
      </c>
      <c r="AK33" s="979" t="n">
        <v>-535.88</v>
      </c>
      <c r="AL33" s="979">
        <f>AI33-AJ33-AK33+AM33-AN33</f>
        <v/>
      </c>
      <c r="AM33" s="979" t="n">
        <v>16393.62</v>
      </c>
      <c r="AN33" s="979" t="n">
        <v>232728.86</v>
      </c>
      <c r="AO33" s="979" t="n">
        <v>444206.82</v>
      </c>
      <c r="AP33" s="979" t="n">
        <v>323.72</v>
      </c>
      <c r="AQ33" s="978" t="n">
        <v>444530.54</v>
      </c>
      <c r="AR33" s="978" t="n">
        <v>330140.41</v>
      </c>
      <c r="AS33" s="979" t="n"/>
      <c r="AT33" s="979" t="n"/>
      <c r="AU33" s="979" t="n"/>
      <c r="AV33" s="979">
        <f>AF33</f>
        <v/>
      </c>
      <c r="AW33" s="979">
        <f>AI33</f>
        <v/>
      </c>
      <c r="AX33" s="979">
        <f>AP33</f>
        <v/>
      </c>
      <c r="AY33" s="979">
        <f>AV33+AW33+AX33</f>
        <v/>
      </c>
      <c r="AZ33" s="979" t="n"/>
      <c r="BA33" s="979" t="n"/>
      <c r="BB33" s="991" t="n"/>
      <c r="BC33" s="979" t="n">
        <v>-2397981.02</v>
      </c>
      <c r="BD33" s="979" t="n">
        <v>-2259465.07</v>
      </c>
      <c r="BE33" s="979" t="n">
        <v>54.19</v>
      </c>
      <c r="BF33" s="979" t="n">
        <v>2952436.31</v>
      </c>
      <c r="BG33" s="979" t="n">
        <v>-287259.75</v>
      </c>
      <c r="BH33" s="979" t="n"/>
      <c r="BI33" s="979" t="n">
        <v>-1007.77</v>
      </c>
      <c r="BJ33" s="979" t="n"/>
      <c r="BK33" s="979">
        <f>Q33</f>
        <v/>
      </c>
      <c r="BL33" s="979" t="n"/>
      <c r="BM33" s="979" t="n">
        <v>7575782.43</v>
      </c>
      <c r="BN33" s="979" t="n">
        <v>-119488.58</v>
      </c>
      <c r="BO33" s="979" t="n"/>
      <c r="BP33" s="979">
        <f>AR33</f>
        <v/>
      </c>
      <c r="BQ33" s="979" t="n">
        <v>-2478.7</v>
      </c>
      <c r="BR33" s="979" t="n">
        <v>-29116.62</v>
      </c>
      <c r="BS33" s="979">
        <f>R33</f>
        <v/>
      </c>
      <c r="BT33" s="979" t="n"/>
      <c r="BU33" s="978" t="n"/>
      <c r="BV33" s="978" t="n">
        <v>1411745.02</v>
      </c>
      <c r="BW33" s="978" t="n">
        <v>6686948.97</v>
      </c>
      <c r="BX33" s="978" t="n"/>
      <c r="BY33" s="978" t="n"/>
      <c r="BZ33" s="978" t="n"/>
      <c r="CA33" s="978" t="n"/>
      <c r="CB33" s="978" t="n"/>
      <c r="CC33" s="979" t="n"/>
      <c r="CD33" s="979" t="n"/>
      <c r="CE33" s="979" t="n"/>
      <c r="CF33" s="979" t="n"/>
      <c r="CG33" s="979" t="n"/>
      <c r="CH33" s="979" t="n"/>
      <c r="CI33" s="979" t="n"/>
      <c r="CJ33" s="979" t="n"/>
      <c r="CK33" s="979" t="n"/>
      <c r="CL33" s="979" t="n"/>
      <c r="CM33" s="979" t="n"/>
      <c r="CN33" s="991" t="n"/>
      <c r="CO33" s="979" t="n"/>
      <c r="CP33" s="979" t="n"/>
      <c r="CQ33" s="991" t="n">
        <v>1.6</v>
      </c>
      <c r="CR33" s="979" t="n">
        <v>14955695.18</v>
      </c>
      <c r="CS33" s="979" t="n">
        <v>9323332.58</v>
      </c>
      <c r="CT33" s="979" t="n"/>
      <c r="CU33" s="979" t="n">
        <v>1861045.97</v>
      </c>
      <c r="CV33" s="979" t="n"/>
      <c r="CW33" s="109" t="n"/>
      <c r="CX33" s="109" t="n"/>
      <c r="CY33" s="109" t="n"/>
      <c r="CZ33" s="991" t="n"/>
      <c r="DA33" s="979" t="n"/>
      <c r="DB33" s="979" t="n"/>
      <c r="DC33" s="991" t="n"/>
      <c r="DD33" s="979" t="n"/>
      <c r="DE33" s="979" t="n"/>
      <c r="DF33" s="979" t="n"/>
      <c r="DG33" s="979" t="n"/>
      <c r="DH33" s="979" t="n"/>
      <c r="DI33" s="979" t="n"/>
      <c r="DJ33" s="979" t="n"/>
      <c r="DK33" s="979" t="n"/>
      <c r="DL33" s="979" t="n"/>
      <c r="DM33" s="979" t="n"/>
      <c r="DN33" s="979" t="n"/>
      <c r="DO33" s="979" t="n"/>
      <c r="DP33" s="979" t="n"/>
      <c r="DQ33" s="979" t="n"/>
      <c r="DR33" s="979" t="n"/>
      <c r="DS33" s="979" t="n"/>
      <c r="DT33" s="979" t="n"/>
      <c r="DU33" s="979" t="n"/>
      <c r="DV33" s="979" t="n"/>
      <c r="DW33" s="979" t="n"/>
      <c r="DX33" s="979" t="n"/>
      <c r="DY33" s="979" t="n"/>
      <c r="DZ33" s="979" t="n"/>
      <c r="EA33" s="979" t="n"/>
      <c r="EB33" s="979" t="n"/>
      <c r="EC33" s="979" t="n"/>
      <c r="ED33" s="979" t="n"/>
      <c r="EE33" s="979" t="n"/>
      <c r="EP33" s="979" t="n"/>
      <c r="EQ33" s="979" t="n"/>
      <c r="ER33" s="979" t="n"/>
      <c r="ES33" s="979" t="n"/>
      <c r="ET33" s="979" t="n"/>
      <c r="EU33" s="979" t="n"/>
      <c r="EV33" s="979" t="n"/>
      <c r="EW33" s="979" t="n"/>
      <c r="EX33" s="979" t="n"/>
      <c r="EY33" s="979" t="n"/>
      <c r="EZ33" s="979" t="n"/>
      <c r="FA33" s="979" t="n"/>
      <c r="FB33" s="979" t="n"/>
      <c r="FC33" s="766" t="n"/>
    </row>
    <row r="34" ht="16.5" customFormat="1" customHeight="1" s="108">
      <c r="A34" s="696">
        <f>B34&amp;C34</f>
        <v/>
      </c>
      <c r="B34" s="696" t="n">
        <v>2606</v>
      </c>
      <c r="C34" s="696" t="inlineStr">
        <is>
          <t>교보</t>
        </is>
      </c>
      <c r="D34" s="979" t="n">
        <v>130836733.59</v>
      </c>
      <c r="E34" s="979" t="n">
        <v>40258006.96</v>
      </c>
      <c r="F34" s="979" t="n">
        <v>57805675.71</v>
      </c>
      <c r="G34" s="979" t="n">
        <v>20921353.27</v>
      </c>
      <c r="H34" s="979" t="n">
        <v>4615294.54</v>
      </c>
      <c r="I34" s="991">
        <f>E34/D34</f>
        <v/>
      </c>
      <c r="J34" s="991">
        <f>F34/D34</f>
        <v/>
      </c>
      <c r="K34" s="991">
        <f>G34/D34</f>
        <v/>
      </c>
      <c r="L34" s="979" t="n">
        <v>121665902.07</v>
      </c>
      <c r="M34" s="979" t="n">
        <v>94368576.83</v>
      </c>
      <c r="N34" s="978">
        <f>O34-P34</f>
        <v/>
      </c>
      <c r="O34" s="978" t="n">
        <v>9170831.52</v>
      </c>
      <c r="P34" s="978" t="n">
        <v>2205726.21</v>
      </c>
      <c r="Q34" s="978" t="n">
        <v>-1184332.53</v>
      </c>
      <c r="R34" s="978" t="n">
        <v>7877778.63</v>
      </c>
      <c r="S34" s="978" t="n">
        <v>7654759.17</v>
      </c>
      <c r="T34" s="978" t="n">
        <v>5449032.96</v>
      </c>
      <c r="U34" s="979" t="n"/>
      <c r="V34" s="979" t="n"/>
      <c r="W34" s="109" t="n"/>
      <c r="X34" s="978">
        <f>Q34</f>
        <v/>
      </c>
      <c r="Y34" s="978" t="n"/>
      <c r="Z34" s="978" t="n"/>
      <c r="AA34" s="978" t="n"/>
      <c r="AB34" s="978" t="n"/>
      <c r="AC34" s="978" t="n"/>
      <c r="AD34" s="978" t="n"/>
      <c r="AE34" s="978" t="n"/>
      <c r="AF34" s="979" t="n">
        <v>227492.04</v>
      </c>
      <c r="AG34" s="979" t="n">
        <v>2281724.97</v>
      </c>
      <c r="AH34" s="979" t="n">
        <v>2054232.93</v>
      </c>
      <c r="AI34" s="979" t="n">
        <v>403771.81</v>
      </c>
      <c r="AJ34" s="979" t="n">
        <v>-6295358.87</v>
      </c>
      <c r="AK34" s="979" t="n">
        <v>-1057.91</v>
      </c>
      <c r="AL34" s="979">
        <f>AI34-AJ34-AK34+AM34-AN34</f>
        <v/>
      </c>
      <c r="AM34" s="979" t="n">
        <v>33738.98</v>
      </c>
      <c r="AN34" s="979" t="n">
        <v>464581.89</v>
      </c>
      <c r="AO34" s="979" t="n">
        <v>631263.85</v>
      </c>
      <c r="AP34" s="979" t="n">
        <v>2849.55</v>
      </c>
      <c r="AQ34" s="978" t="n">
        <v>634113.4</v>
      </c>
      <c r="AR34" s="978" t="n">
        <v>478627.02</v>
      </c>
      <c r="AS34" s="979" t="n"/>
      <c r="AT34" s="979" t="n"/>
      <c r="AU34" s="979" t="n"/>
      <c r="AV34" s="979">
        <f>AF34</f>
        <v/>
      </c>
      <c r="AW34" s="979">
        <f>AI34</f>
        <v/>
      </c>
      <c r="AX34" s="979">
        <f>AP34</f>
        <v/>
      </c>
      <c r="AY34" s="979">
        <f>AV34+AW34+AX34</f>
        <v/>
      </c>
      <c r="AZ34" s="979" t="n"/>
      <c r="BA34" s="979" t="n"/>
      <c r="BB34" s="991" t="n"/>
      <c r="BC34" s="979" t="n">
        <v>-2397981.02</v>
      </c>
      <c r="BD34" s="979" t="n">
        <v>-3505121.29</v>
      </c>
      <c r="BE34" s="979" t="n">
        <v>1796.63</v>
      </c>
      <c r="BF34" s="979" t="n">
        <v>5197662.73</v>
      </c>
      <c r="BG34" s="979" t="n">
        <v>-479048.48</v>
      </c>
      <c r="BH34" s="979" t="n"/>
      <c r="BI34" s="979" t="n">
        <v>-1541.13</v>
      </c>
      <c r="BJ34" s="979" t="n"/>
      <c r="BK34" s="979">
        <f>Q34</f>
        <v/>
      </c>
      <c r="BL34" s="979" t="n"/>
      <c r="BM34" s="979" t="n">
        <v>7575782.43</v>
      </c>
      <c r="BN34" s="979" t="n">
        <v>-119488.58</v>
      </c>
      <c r="BO34" s="979" t="n"/>
      <c r="BP34" s="979">
        <f>AR34</f>
        <v/>
      </c>
      <c r="BQ34" s="979" t="n">
        <v>2487.47</v>
      </c>
      <c r="BR34" s="979" t="n">
        <v>-59729.67</v>
      </c>
      <c r="BS34" s="979">
        <f>R34</f>
        <v/>
      </c>
      <c r="BT34" s="979" t="n"/>
      <c r="BU34" s="978" t="n"/>
      <c r="BV34" s="978" t="n"/>
      <c r="BW34" s="978" t="n"/>
      <c r="BX34" s="978" t="n"/>
      <c r="BY34" s="978" t="n"/>
      <c r="BZ34" s="978" t="n"/>
      <c r="CA34" s="978" t="n"/>
      <c r="CB34" s="978" t="n"/>
      <c r="CC34" s="979" t="n"/>
      <c r="CD34" s="979" t="n"/>
      <c r="CE34" s="979" t="n"/>
      <c r="CF34" s="979" t="n"/>
      <c r="CG34" s="979" t="n"/>
      <c r="CH34" s="979" t="n"/>
      <c r="CI34" s="979" t="n"/>
      <c r="CJ34" s="979" t="n"/>
      <c r="CK34" s="979" t="n"/>
      <c r="CL34" s="979" t="n"/>
      <c r="CM34" s="979" t="n"/>
      <c r="CN34" s="991" t="n"/>
      <c r="CO34" s="979" t="n"/>
      <c r="CP34" s="979" t="n"/>
      <c r="CQ34" s="991" t="n"/>
      <c r="CR34" s="979" t="n"/>
      <c r="CS34" s="979" t="n"/>
      <c r="CT34" s="979" t="n"/>
      <c r="CU34" s="979" t="n"/>
      <c r="CV34" s="979" t="n"/>
      <c r="CW34" s="109" t="n"/>
      <c r="CX34" s="109" t="n"/>
      <c r="CY34" s="109" t="n"/>
      <c r="CZ34" s="991" t="n"/>
      <c r="DA34" s="979" t="n"/>
      <c r="DB34" s="979" t="n"/>
      <c r="DC34" s="991" t="n"/>
      <c r="DD34" s="979" t="n"/>
      <c r="DE34" s="979" t="n"/>
      <c r="DF34" s="979" t="n"/>
      <c r="DG34" s="979" t="n"/>
      <c r="DH34" s="979" t="n"/>
      <c r="DI34" s="979" t="n"/>
      <c r="DJ34" s="979" t="n"/>
      <c r="DK34" s="979" t="n"/>
      <c r="DL34" s="979" t="n"/>
      <c r="DM34" s="979" t="n"/>
      <c r="DN34" s="979" t="n"/>
      <c r="DO34" s="979" t="n"/>
      <c r="DP34" s="979" t="n"/>
      <c r="DQ34" s="979" t="n"/>
      <c r="DR34" s="979" t="n"/>
      <c r="DS34" s="979" t="n"/>
      <c r="DT34" s="979" t="n"/>
      <c r="DU34" s="979" t="n"/>
      <c r="DV34" s="979" t="n"/>
      <c r="DW34" s="979" t="n"/>
      <c r="DX34" s="979" t="n"/>
      <c r="DY34" s="979" t="n"/>
      <c r="DZ34" s="979" t="n"/>
      <c r="EA34" s="979" t="n"/>
      <c r="EB34" s="979" t="n"/>
      <c r="EC34" s="979" t="n"/>
      <c r="ED34" s="979" t="n"/>
      <c r="EE34" s="979" t="n"/>
      <c r="EP34" s="979" t="n"/>
      <c r="EQ34" s="979" t="n"/>
      <c r="ER34" s="979" t="n"/>
      <c r="ES34" s="979" t="n"/>
      <c r="ET34" s="979" t="n"/>
      <c r="EU34" s="979" t="n"/>
      <c r="EV34" s="979" t="n"/>
      <c r="EW34" s="979" t="n"/>
      <c r="EX34" s="979" t="n"/>
      <c r="EY34" s="979" t="n"/>
      <c r="EZ34" s="979" t="n"/>
      <c r="FA34" s="979" t="n"/>
      <c r="FB34" s="979" t="n"/>
      <c r="FC34" s="766" t="n"/>
    </row>
    <row r="35" customFormat="1" s="108">
      <c r="A35" s="108">
        <f>B35&amp;C35</f>
        <v/>
      </c>
      <c r="D35" s="979" t="n"/>
      <c r="E35" s="979" t="n"/>
      <c r="F35" s="979" t="n"/>
      <c r="G35" s="979" t="n"/>
      <c r="H35" s="979" t="n"/>
      <c r="I35" s="991" t="n"/>
      <c r="J35" s="991" t="n"/>
      <c r="K35" s="991" t="n"/>
      <c r="L35" s="979" t="n"/>
      <c r="M35" s="979" t="n"/>
      <c r="N35" s="978" t="n"/>
      <c r="O35" s="978" t="n"/>
      <c r="P35" s="978" t="n"/>
      <c r="Q35" s="978" t="n"/>
      <c r="R35" s="978" t="n"/>
      <c r="S35" s="978" t="n"/>
      <c r="T35" s="978" t="n"/>
      <c r="U35" s="979" t="n"/>
      <c r="V35" s="979" t="n"/>
      <c r="W35" s="109" t="n"/>
      <c r="X35" s="978" t="n"/>
      <c r="Y35" s="978" t="n"/>
      <c r="Z35" s="978" t="n"/>
      <c r="AA35" s="978" t="n"/>
      <c r="AB35" s="978" t="n"/>
      <c r="AC35" s="978" t="n"/>
      <c r="AD35" s="978" t="n"/>
      <c r="AE35" s="978" t="n"/>
      <c r="AF35" s="979" t="n"/>
      <c r="AG35" s="979" t="n"/>
      <c r="AH35" s="979" t="n"/>
      <c r="AI35" s="979" t="n"/>
      <c r="AJ35" s="979" t="n"/>
      <c r="AK35" s="979" t="n"/>
      <c r="AL35" s="979" t="n"/>
      <c r="AM35" s="979" t="n"/>
      <c r="AN35" s="979" t="n"/>
      <c r="AO35" s="979" t="n"/>
      <c r="AP35" s="979" t="n"/>
      <c r="AQ35" s="978" t="n"/>
      <c r="AR35" s="978" t="n"/>
      <c r="AS35" s="979" t="n"/>
      <c r="AT35" s="979" t="n"/>
      <c r="AU35" s="979" t="n"/>
      <c r="AV35" s="979" t="n"/>
      <c r="AW35" s="979" t="n"/>
      <c r="AX35" s="979" t="n"/>
      <c r="AY35" s="979" t="n"/>
      <c r="AZ35" s="979" t="n"/>
      <c r="BA35" s="979" t="n"/>
      <c r="BB35" s="991" t="n"/>
      <c r="BC35" s="979" t="n"/>
      <c r="BD35" s="979" t="n"/>
      <c r="BE35" s="979" t="n"/>
      <c r="BF35" s="979" t="n"/>
      <c r="BG35" s="979" t="n"/>
      <c r="BH35" s="979" t="n"/>
      <c r="BI35" s="979" t="n"/>
      <c r="BJ35" s="979" t="n"/>
      <c r="BK35" s="979" t="n"/>
      <c r="BL35" s="979" t="n"/>
      <c r="BM35" s="979" t="n"/>
      <c r="BN35" s="979" t="n"/>
      <c r="BO35" s="979" t="n"/>
      <c r="BP35" s="979" t="n"/>
      <c r="BQ35" s="979" t="n"/>
      <c r="BR35" s="979" t="n"/>
      <c r="BS35" s="979" t="n"/>
      <c r="BT35" s="979" t="n"/>
      <c r="BU35" s="978" t="n"/>
      <c r="BV35" s="978" t="n"/>
      <c r="BW35" s="978" t="n"/>
      <c r="BX35" s="978" t="n"/>
      <c r="BY35" s="978" t="n"/>
      <c r="BZ35" s="978" t="n"/>
      <c r="CA35" s="978" t="n"/>
      <c r="CB35" s="978" t="n"/>
      <c r="CC35" s="979" t="n"/>
      <c r="CD35" s="979" t="n"/>
      <c r="CE35" s="979" t="n"/>
      <c r="CF35" s="979" t="n"/>
      <c r="CG35" s="979" t="n"/>
      <c r="CH35" s="979" t="n"/>
      <c r="CI35" s="979" t="n"/>
      <c r="CJ35" s="979" t="n"/>
      <c r="CK35" s="979" t="n"/>
      <c r="CL35" s="979" t="n"/>
      <c r="CM35" s="979" t="n"/>
      <c r="CN35" s="991" t="n"/>
      <c r="CO35" s="979" t="n"/>
      <c r="CP35" s="979" t="n"/>
      <c r="CQ35" s="991" t="n"/>
      <c r="CR35" s="979" t="n"/>
      <c r="CS35" s="979" t="n"/>
      <c r="CT35" s="979" t="n"/>
      <c r="CU35" s="979" t="n"/>
      <c r="CV35" s="979" t="n"/>
      <c r="CW35" s="109" t="n"/>
      <c r="CX35" s="109" t="n"/>
      <c r="CY35" s="109" t="n"/>
      <c r="CZ35" s="991" t="n"/>
      <c r="DA35" s="979" t="n"/>
      <c r="DB35" s="979" t="n"/>
      <c r="DC35" s="991" t="n"/>
      <c r="DD35" s="979" t="n"/>
      <c r="DE35" s="979" t="n"/>
      <c r="DF35" s="979" t="n"/>
      <c r="DG35" s="979" t="n"/>
      <c r="DH35" s="979" t="n"/>
      <c r="DI35" s="979" t="n"/>
      <c r="DJ35" s="979" t="n"/>
      <c r="DK35" s="979" t="n"/>
      <c r="DL35" s="979" t="n"/>
      <c r="DM35" s="979" t="n"/>
      <c r="DN35" s="979" t="n"/>
      <c r="DO35" s="979" t="n"/>
      <c r="DP35" s="979" t="n"/>
      <c r="DQ35" s="979" t="n"/>
      <c r="DR35" s="979" t="n"/>
      <c r="DS35" s="979" t="n"/>
      <c r="DT35" s="979" t="n"/>
      <c r="DU35" s="979" t="n"/>
      <c r="DV35" s="979" t="n"/>
      <c r="DW35" s="979" t="n"/>
      <c r="DX35" s="979" t="n"/>
      <c r="DY35" s="979" t="n"/>
      <c r="DZ35" s="979" t="n"/>
      <c r="EA35" s="979" t="n"/>
      <c r="EB35" s="979" t="n"/>
      <c r="EC35" s="979" t="n"/>
      <c r="ED35" s="979" t="n"/>
      <c r="EE35" s="979" t="n"/>
      <c r="EP35" s="979" t="n"/>
      <c r="EQ35" s="979" t="n"/>
      <c r="ER35" s="979" t="n"/>
      <c r="ES35" s="979" t="n"/>
      <c r="ET35" s="979" t="n"/>
      <c r="EU35" s="979" t="n"/>
      <c r="EV35" s="979" t="n"/>
      <c r="EW35" s="979" t="n"/>
      <c r="EX35" s="979" t="n"/>
      <c r="EY35" s="979" t="n"/>
      <c r="EZ35" s="979" t="n"/>
      <c r="FA35" s="979" t="n"/>
      <c r="FB35" s="979" t="n"/>
    </row>
    <row r="36">
      <c r="A36" s="642">
        <f>B36&amp;C36</f>
        <v/>
      </c>
      <c r="B36" s="642" t="n">
        <v>2212</v>
      </c>
      <c r="C36" s="642" t="inlineStr">
        <is>
          <t>한화</t>
        </is>
      </c>
      <c r="I36" s="785" t="n"/>
      <c r="J36" s="785" t="n"/>
      <c r="K36" s="785" t="n"/>
      <c r="N36" s="965">
        <f>O36-P36</f>
        <v/>
      </c>
      <c r="O36" s="965" t="n">
        <v>12379270.201598</v>
      </c>
      <c r="P36" s="965" t="n">
        <v>1558370.079138</v>
      </c>
      <c r="Q36" s="965" t="n">
        <v>1218271.482719</v>
      </c>
      <c r="R36" s="965" t="n">
        <v>5694414.281493</v>
      </c>
      <c r="AS36" s="965" t="n"/>
      <c r="AT36" s="965" t="n"/>
      <c r="AU36" s="965" t="n"/>
      <c r="AV36" s="965" t="n"/>
      <c r="AW36" s="965" t="n"/>
      <c r="AX36" s="965" t="n"/>
      <c r="AY36" s="965" t="n"/>
      <c r="BB36" s="785" t="n"/>
      <c r="BL36" s="965" t="n"/>
      <c r="BT36" s="965" t="n">
        <v>3989889.066733</v>
      </c>
      <c r="BU36" s="965" t="n">
        <v>73905720</v>
      </c>
      <c r="BV36" s="965" t="n">
        <v>1585717</v>
      </c>
      <c r="BW36" s="965" t="n">
        <v>9762946</v>
      </c>
      <c r="CN36" s="785" t="n"/>
      <c r="CQ36" s="785" t="n"/>
    </row>
    <row r="37">
      <c r="A37" s="642">
        <f>B37&amp;C37</f>
        <v/>
      </c>
      <c r="B37" s="642" t="n">
        <v>2312</v>
      </c>
      <c r="C37" s="642" t="inlineStr">
        <is>
          <t>한화</t>
        </is>
      </c>
      <c r="D37" s="786" t="n">
        <v>114793101.717269</v>
      </c>
      <c r="E37" s="786" t="n">
        <v>27980558.639955</v>
      </c>
      <c r="F37" s="786" t="n">
        <v>39461601.5549</v>
      </c>
      <c r="G37" s="786" t="n">
        <v>29363251.169466</v>
      </c>
      <c r="H37" s="786" t="n">
        <v>11644470.545863</v>
      </c>
      <c r="I37" s="785">
        <f>+E37/$D37</f>
        <v/>
      </c>
      <c r="J37" s="785">
        <f>+F37/$D37</f>
        <v/>
      </c>
      <c r="K37" s="785">
        <f>+G37/$D37</f>
        <v/>
      </c>
      <c r="L37" s="786" t="n">
        <v>103405983.844648</v>
      </c>
      <c r="M37" s="786" t="n">
        <v>89138938.063814</v>
      </c>
      <c r="N37" s="965">
        <f>O37-P37</f>
        <v/>
      </c>
      <c r="O37" s="965" t="n">
        <v>11387117.872621</v>
      </c>
      <c r="P37" s="965" t="n">
        <v>498343.80155</v>
      </c>
      <c r="Q37" s="965" t="n">
        <v>872976.355649</v>
      </c>
      <c r="R37" s="965" t="n">
        <v>6306958.210225</v>
      </c>
      <c r="S37" s="965" t="n">
        <v>12379270.201598</v>
      </c>
      <c r="T37" s="978">
        <f>N36</f>
        <v/>
      </c>
      <c r="U37" s="787" t="n">
        <v>114793102</v>
      </c>
      <c r="V37" s="787" t="n">
        <v>112257055</v>
      </c>
      <c r="W37" s="144" t="n">
        <v>0.9779</v>
      </c>
      <c r="X37" s="965" t="n">
        <v>872976</v>
      </c>
      <c r="Y37" s="965" t="n">
        <v>-3002413</v>
      </c>
      <c r="Z37" s="965" t="n">
        <v>4152718</v>
      </c>
      <c r="AA37" s="965" t="n">
        <v>3898</v>
      </c>
      <c r="AB37" s="965" t="n">
        <v>-485074</v>
      </c>
      <c r="AC37" s="965" t="n">
        <v>320896</v>
      </c>
      <c r="AD37" s="965" t="n">
        <v>-117049</v>
      </c>
      <c r="AE37" s="965">
        <f>X37-SUM(Y37:AD37)</f>
        <v/>
      </c>
      <c r="AF37" s="786" t="n">
        <v>650941.140139</v>
      </c>
      <c r="AG37" s="786" t="n">
        <v>4855904.819848</v>
      </c>
      <c r="AH37" s="786" t="n">
        <v>4204963.679709</v>
      </c>
      <c r="AI37" s="786" t="n">
        <v>15143.933153</v>
      </c>
      <c r="AJ37" s="786">
        <f>0-4327359.276337</f>
        <v/>
      </c>
      <c r="AK37" s="786">
        <f>3782.139839-2506.124401</f>
        <v/>
      </c>
      <c r="AL37" s="786">
        <f>+AI37-AJ37-AK37+AM37-AN37</f>
        <v/>
      </c>
      <c r="AM37" s="786" t="n">
        <v>125163.8471</v>
      </c>
      <c r="AN37" s="786">
        <f>165937.603231-466624.790582</f>
        <v/>
      </c>
      <c r="AO37" s="786" t="n">
        <v>666085.073292</v>
      </c>
      <c r="AP37" s="786" t="n">
        <v>87352.291101</v>
      </c>
      <c r="AQ37" s="965" t="n">
        <v>753437.364393</v>
      </c>
      <c r="AR37" s="965" t="n">
        <v>616261.567974</v>
      </c>
      <c r="AS37" s="965">
        <f>+AO37+AP37-AQ37</f>
        <v/>
      </c>
      <c r="AT37" s="965">
        <f>+AJ37+AK37+AL37-AM37+AN37-AI37</f>
        <v/>
      </c>
      <c r="AU37" s="965">
        <f>+AF37+AI37-AO37</f>
        <v/>
      </c>
      <c r="AV37" s="965">
        <f>+AF37</f>
        <v/>
      </c>
      <c r="AW37" s="965">
        <f>+AI37</f>
        <v/>
      </c>
      <c r="AX37" s="965">
        <f>+AP37</f>
        <v/>
      </c>
      <c r="AY37" s="965">
        <f>+SUM(AV37:AX37)</f>
        <v/>
      </c>
      <c r="BB37" s="785">
        <f>+BF37/(BU37+BV37+BW37)</f>
        <v/>
      </c>
      <c r="BC37" s="786" t="n">
        <v>1218271.482719</v>
      </c>
      <c r="BD37" s="786">
        <f>2384359.83423+532.213391</f>
        <v/>
      </c>
      <c r="BF37" s="786">
        <f>+-3002674.019387-16704.39689</f>
        <v/>
      </c>
      <c r="BG37" s="786" t="n">
        <v>328770.384804</v>
      </c>
      <c r="BH37" s="786" t="n">
        <v>4423.320713</v>
      </c>
      <c r="BI37" s="786" t="n">
        <v>-9954.496716</v>
      </c>
      <c r="BJ37" s="786" t="n">
        <v>-34047.967215</v>
      </c>
      <c r="BK37" s="786" t="n">
        <v>872976.355649</v>
      </c>
      <c r="BL37" s="965">
        <f>+BK37-BC37-SUM(BD37:BJ37)</f>
        <v/>
      </c>
      <c r="BM37" s="786" t="n">
        <v>5694414.281493</v>
      </c>
      <c r="BN37" s="786" t="n">
        <v>-37765.606457</v>
      </c>
      <c r="BP37" s="786" t="n">
        <v>616261.567974</v>
      </c>
      <c r="BQ37" s="786" t="n">
        <v>34047.967215</v>
      </c>
      <c r="BS37" s="786" t="n">
        <v>6306958.210225</v>
      </c>
      <c r="BT37" s="965">
        <f>+BM37+SUM(BN37:BQ37)-BS37</f>
        <v/>
      </c>
      <c r="BU37" s="965" t="n">
        <v>78252133</v>
      </c>
      <c r="BV37" s="965" t="n">
        <v>1643735</v>
      </c>
      <c r="BW37" s="965" t="n">
        <v>9238487</v>
      </c>
      <c r="BX37" s="965" t="n">
        <v>2541216</v>
      </c>
      <c r="BY37" s="965" t="n">
        <v>887709</v>
      </c>
      <c r="BZ37" s="965" t="n">
        <v>-2530821</v>
      </c>
      <c r="CA37" s="965" t="n">
        <v>352855</v>
      </c>
      <c r="CB37" s="965" t="n">
        <v>9762946</v>
      </c>
      <c r="CD37" s="786">
        <f>CB37+BX37-BY37+BZ37+CA37-BW37</f>
        <v/>
      </c>
      <c r="CE37" s="786" t="n">
        <v>511109</v>
      </c>
      <c r="CF37" s="786" t="n">
        <v>841349</v>
      </c>
      <c r="CG37" s="786" t="n">
        <v>703513</v>
      </c>
      <c r="CH37" s="786" t="n">
        <v>1439024</v>
      </c>
      <c r="CI37" s="786" t="n">
        <v>5743492</v>
      </c>
      <c r="CJ37" s="786" t="n">
        <v>9238487</v>
      </c>
      <c r="CK37" s="786" t="n">
        <v>0</v>
      </c>
      <c r="CN37" s="785" t="n">
        <v>1.830142272054898</v>
      </c>
      <c r="CO37" s="786" t="n">
        <v>20946949.1083429</v>
      </c>
      <c r="CP37" s="786" t="n">
        <v>11445530.453118</v>
      </c>
      <c r="CQ37" s="785" t="n">
        <v>1.838048344562332</v>
      </c>
      <c r="CR37" s="786" t="n">
        <v>20979262.1756595</v>
      </c>
      <c r="CS37" s="786" t="n">
        <v>11413912.96017613</v>
      </c>
      <c r="CU37" s="786" t="n">
        <v>2504752.220405</v>
      </c>
      <c r="CW37" s="107" t="n">
        <v>0.91</v>
      </c>
      <c r="CX37" s="107" t="n">
        <v>0.95</v>
      </c>
      <c r="CY37" s="107" t="n">
        <v>-0.04</v>
      </c>
      <c r="CZ37" s="785">
        <f>+CX37/CW37</f>
        <v/>
      </c>
      <c r="DC37" s="785">
        <f>DE37/DD37</f>
        <v/>
      </c>
      <c r="DD37" s="786" t="n">
        <v>2715225</v>
      </c>
      <c r="DE37" s="786" t="n">
        <v>2202086.514155</v>
      </c>
      <c r="DG37" s="786" t="n">
        <v>-53886.87165300001</v>
      </c>
      <c r="DH37" s="786" t="n">
        <v>-83768.59084700001</v>
      </c>
      <c r="DI37" s="786" t="n">
        <v>2312713.996504</v>
      </c>
      <c r="DJ37" s="786" t="n">
        <v>2396482.587351</v>
      </c>
      <c r="DK37" s="786" t="n">
        <v>29881.719194</v>
      </c>
      <c r="DL37" s="786" t="n">
        <v>607981.356605</v>
      </c>
      <c r="DM37" s="786" t="n">
        <v>578099.637411</v>
      </c>
    </row>
    <row r="38">
      <c r="A38" s="642">
        <f>B38&amp;C38</f>
        <v/>
      </c>
      <c r="B38" s="642" t="n">
        <v>2412</v>
      </c>
      <c r="C38" s="642" t="inlineStr">
        <is>
          <t>한화</t>
        </is>
      </c>
      <c r="D38" s="786" t="n">
        <v>122135032.514289</v>
      </c>
      <c r="E38" s="786" t="n">
        <v>31134350.891287</v>
      </c>
      <c r="F38" s="786" t="n">
        <v>45320455.403193</v>
      </c>
      <c r="G38" s="992" t="n">
        <v>29034491</v>
      </c>
      <c r="H38" s="786" t="n">
        <v>11749528.7774494</v>
      </c>
      <c r="I38" s="785">
        <f>+E38/$D38</f>
        <v/>
      </c>
      <c r="J38" s="785">
        <f>+F38/$D38</f>
        <v/>
      </c>
      <c r="K38" s="785">
        <f>+G38/$D38</f>
        <v/>
      </c>
      <c r="L38" s="992" t="n">
        <v>111786666</v>
      </c>
      <c r="M38" s="786" t="n">
        <v>97152188.029019</v>
      </c>
      <c r="N38" s="965">
        <f>O38-P38</f>
        <v/>
      </c>
      <c r="O38" s="992" t="n">
        <v>10348367</v>
      </c>
      <c r="P38" s="992" t="n">
        <v>1096827</v>
      </c>
      <c r="Q38" s="992" t="n">
        <v>-1349279</v>
      </c>
      <c r="R38" s="992" t="n">
        <v>6886476</v>
      </c>
      <c r="S38" s="965" t="n">
        <v>11387117.872621</v>
      </c>
      <c r="T38" s="978">
        <f>N37</f>
        <v/>
      </c>
      <c r="U38" s="787" t="n">
        <v>122135033</v>
      </c>
      <c r="V38" s="787" t="n">
        <v>119449647</v>
      </c>
      <c r="W38" s="144" t="n">
        <v>0.978</v>
      </c>
      <c r="X38" s="992" t="n">
        <v>-1349279</v>
      </c>
      <c r="Y38" s="992" t="n">
        <v>-1854717</v>
      </c>
      <c r="Z38" s="965" t="n">
        <v>536511</v>
      </c>
      <c r="AA38" s="965" t="n">
        <v>2994</v>
      </c>
      <c r="AB38" s="965" t="n">
        <v>-283968</v>
      </c>
      <c r="AC38" s="992" t="n">
        <v>376681</v>
      </c>
      <c r="AD38" s="965" t="n">
        <v>-126780</v>
      </c>
      <c r="AE38" s="965">
        <f>X38-SUM(Y38:AD38)</f>
        <v/>
      </c>
      <c r="AF38" s="786" t="n">
        <v>506304.846307</v>
      </c>
      <c r="AG38" s="786" t="n">
        <v>4921893.223166</v>
      </c>
      <c r="AH38" s="786" t="n">
        <v>4415588.376859</v>
      </c>
      <c r="AI38" s="786" t="n">
        <v>76154.032935</v>
      </c>
      <c r="AJ38" s="786" t="n">
        <v>-3043794.483377</v>
      </c>
      <c r="AK38" s="992">
        <f>4421-1086</f>
        <v/>
      </c>
      <c r="AL38" s="786">
        <f>+AI38-AJ38-AK38+AM38-AN38</f>
        <v/>
      </c>
      <c r="AM38" s="786" t="n">
        <v>125312.567078</v>
      </c>
      <c r="AN38" s="786">
        <f>144264.709227-484307.385382</f>
        <v/>
      </c>
      <c r="AO38" s="786" t="n">
        <v>582458.8792420001</v>
      </c>
      <c r="AP38" s="786" t="n">
        <v>322462.496064</v>
      </c>
      <c r="AQ38" s="965" t="n">
        <v>904921.375306</v>
      </c>
      <c r="AR38" s="965" t="n">
        <v>720569.7291690001</v>
      </c>
      <c r="AS38" s="965">
        <f>+AO38+AP38-AQ38</f>
        <v/>
      </c>
      <c r="AT38" s="965">
        <f>+AJ38+AK38+AL38-AM38+AN38-AI38</f>
        <v/>
      </c>
      <c r="AU38" s="965">
        <f>+AF38+AI38-AO38</f>
        <v/>
      </c>
      <c r="AV38" s="965">
        <f>+AF38</f>
        <v/>
      </c>
      <c r="AW38" s="965">
        <f>+AI38</f>
        <v/>
      </c>
      <c r="AX38" s="965">
        <f>+AP38</f>
        <v/>
      </c>
      <c r="AY38" s="965">
        <f>+SUM(AV38:AX38)</f>
        <v/>
      </c>
      <c r="BB38" s="785">
        <f>+BF38/(BU38+BV38+BW38)</f>
        <v/>
      </c>
      <c r="BC38" s="992" t="n">
        <v>894364</v>
      </c>
      <c r="BD38" s="992" t="n">
        <v>1182092</v>
      </c>
      <c r="BF38" s="786">
        <f>-3616207.462667-903.541964</f>
        <v/>
      </c>
      <c r="BG38" s="786" t="n">
        <v>201106.887433</v>
      </c>
      <c r="BH38" s="992" t="n">
        <v>0</v>
      </c>
      <c r="BI38" s="786" t="n">
        <v>-9730.741657</v>
      </c>
      <c r="BK38" s="992" t="n">
        <v>-1349279</v>
      </c>
      <c r="BL38" s="965">
        <f>+BK38-BC38-SUM(BD38:BJ38)</f>
        <v/>
      </c>
      <c r="BM38" s="786" t="n">
        <v>6306958.210225</v>
      </c>
      <c r="BN38" s="786" t="n">
        <v>-112708.5375</v>
      </c>
      <c r="BP38" s="786" t="n">
        <v>720569.7291690001</v>
      </c>
      <c r="BR38" s="786" t="n">
        <v>-28342.865182</v>
      </c>
      <c r="BS38" s="786" t="n">
        <v>6886476.536712</v>
      </c>
      <c r="BT38" s="965">
        <f>+BM38+SUM(BN38:BR38)-BS38</f>
        <v/>
      </c>
      <c r="BU38" s="965" t="n">
        <v>86140216</v>
      </c>
      <c r="BV38" s="965" t="n">
        <v>1898795</v>
      </c>
      <c r="BW38" s="965" t="n">
        <v>9109141</v>
      </c>
      <c r="BX38" s="965" t="n">
        <v>2123086</v>
      </c>
      <c r="BY38" s="965" t="n">
        <v>851918</v>
      </c>
      <c r="BZ38" s="965" t="n">
        <v>-1750600</v>
      </c>
      <c r="CA38" s="965" t="n">
        <v>350085</v>
      </c>
      <c r="CB38" s="965" t="n">
        <v>9238488</v>
      </c>
      <c r="CC38" s="199">
        <f>+BU38/BU37</f>
        <v/>
      </c>
      <c r="CD38" s="965">
        <f>CB38+BX38-BY38+BZ38+CA38-BW38</f>
        <v/>
      </c>
      <c r="CE38" s="786" t="n">
        <v>482165</v>
      </c>
      <c r="CF38" s="786">
        <f>424522+384073</f>
        <v/>
      </c>
      <c r="CG38" s="786">
        <f>357397+335420</f>
        <v/>
      </c>
      <c r="CH38" s="786">
        <f>316948+301133+284104+269455+258409</f>
        <v/>
      </c>
      <c r="CI38" s="786">
        <f>1152160+979210+858110+707322+1998713</f>
        <v/>
      </c>
      <c r="CJ38" s="786" t="n">
        <v>9109141</v>
      </c>
      <c r="CK38" s="786">
        <f>CJ38-SUM(CE38:CI38)</f>
        <v/>
      </c>
      <c r="CL38" s="786">
        <f>BW38-CJ38</f>
        <v/>
      </c>
      <c r="CN38" s="785" t="n"/>
      <c r="CQ38" s="785" t="n">
        <v>1.637</v>
      </c>
      <c r="CR38" s="786" t="n">
        <v>21331699</v>
      </c>
      <c r="CS38" s="786" t="n">
        <v>13027555</v>
      </c>
      <c r="CU38" s="786" t="n">
        <v>3631205.602599</v>
      </c>
      <c r="CW38" s="107" t="n">
        <v>0.9</v>
      </c>
      <c r="CX38" s="107" t="n">
        <v>0.97</v>
      </c>
      <c r="CY38" s="107" t="n">
        <v>-0.07000000000000001</v>
      </c>
      <c r="CZ38" s="785">
        <f>+CX38/CW38</f>
        <v/>
      </c>
      <c r="DC38" s="785">
        <f>DE38/DD38</f>
        <v/>
      </c>
      <c r="DD38" s="786" t="n">
        <v>2889473.22304</v>
      </c>
      <c r="DE38" s="786" t="n">
        <v>2310632.497104</v>
      </c>
      <c r="DG38" s="786">
        <f>+DH38+DK38</f>
        <v/>
      </c>
      <c r="DH38" s="786" t="n">
        <v>-206663.451158</v>
      </c>
      <c r="DI38" s="786" t="n">
        <v>2409656.109997</v>
      </c>
      <c r="DJ38" s="786">
        <f>+DI38-DH38</f>
        <v/>
      </c>
      <c r="DK38" s="786" t="n">
        <v>-17054.888021</v>
      </c>
      <c r="DL38" s="786" t="n">
        <v>644693.145558</v>
      </c>
      <c r="DM38" s="786">
        <f>+DL38-DK38</f>
        <v/>
      </c>
      <c r="EP38" s="786" t="n">
        <v>747574</v>
      </c>
      <c r="EQ38" s="786" t="n">
        <v>-519818</v>
      </c>
      <c r="ER38" s="786" t="n">
        <v>95637</v>
      </c>
      <c r="ES38" s="786" t="n">
        <v>-216328</v>
      </c>
      <c r="ET38" s="786">
        <f>1513742+137404</f>
        <v/>
      </c>
      <c r="EW38" s="786" t="n">
        <v>-747574</v>
      </c>
      <c r="EX38" s="786" t="n">
        <v>519818</v>
      </c>
      <c r="EY38" s="786" t="n">
        <v>-95637</v>
      </c>
      <c r="EZ38" s="786" t="n">
        <v>216328</v>
      </c>
      <c r="FA38" s="786" t="n">
        <v>-1651146</v>
      </c>
      <c r="FB38" s="786" t="n">
        <v>7611</v>
      </c>
      <c r="FC38" s="766">
        <f>SUM(EW38:FB38)-BZ38</f>
        <v/>
      </c>
    </row>
    <row r="39">
      <c r="A39" s="642">
        <f>B39&amp;C39</f>
        <v/>
      </c>
      <c r="B39" s="642" t="n">
        <v>2503</v>
      </c>
      <c r="C39" s="642" t="inlineStr">
        <is>
          <t>한화</t>
        </is>
      </c>
      <c r="D39" s="786" t="n">
        <v>125760878</v>
      </c>
      <c r="E39" s="786" t="n">
        <v>32387154</v>
      </c>
      <c r="F39" s="786" t="n">
        <v>47946555</v>
      </c>
      <c r="G39" s="786" t="n">
        <v>28551641</v>
      </c>
      <c r="H39" s="786" t="n">
        <v>11733211</v>
      </c>
      <c r="I39" s="785">
        <f>+E39/$D39</f>
        <v/>
      </c>
      <c r="J39" s="785">
        <f>+F39/$D39</f>
        <v/>
      </c>
      <c r="K39" s="785">
        <f>+G39/$D39</f>
        <v/>
      </c>
      <c r="L39" s="786" t="n">
        <v>115594958</v>
      </c>
      <c r="M39" s="786" t="n">
        <v>101208409</v>
      </c>
      <c r="N39" s="965">
        <f>O39-P39</f>
        <v/>
      </c>
      <c r="O39" s="965" t="n">
        <v>10165920</v>
      </c>
      <c r="P39" s="965" t="n">
        <v>1695105</v>
      </c>
      <c r="Q39" s="965" t="n">
        <v>-2241833</v>
      </c>
      <c r="R39" s="965" t="n">
        <v>6994859</v>
      </c>
      <c r="S39" s="965" t="n">
        <v>10335004</v>
      </c>
      <c r="T39" s="978">
        <f>N38</f>
        <v/>
      </c>
      <c r="U39" s="787" t="n">
        <v>125760878</v>
      </c>
      <c r="V39" s="787" t="n">
        <v>122466318</v>
      </c>
      <c r="W39" s="144" t="n">
        <v>0.9738</v>
      </c>
      <c r="X39" s="965" t="n">
        <v>-2241832</v>
      </c>
      <c r="Y39" s="965" t="n">
        <v>-835864</v>
      </c>
      <c r="Z39" s="965" t="n">
        <v>-1543106</v>
      </c>
      <c r="AA39" s="965" t="n">
        <v>2803</v>
      </c>
      <c r="AB39" s="965" t="n">
        <v>-63899</v>
      </c>
      <c r="AC39" s="965" t="n">
        <v>325014</v>
      </c>
      <c r="AD39" s="965" t="n">
        <v>-126780</v>
      </c>
      <c r="AE39" s="965">
        <f>X39-SUM(Y39:AD39)</f>
        <v/>
      </c>
      <c r="AF39" s="786" t="n">
        <v>104208</v>
      </c>
      <c r="AG39" s="786" t="n">
        <v>1277935</v>
      </c>
      <c r="AH39" s="786" t="n">
        <v>1173727</v>
      </c>
      <c r="AI39" s="786" t="n">
        <v>20871</v>
      </c>
      <c r="AJ39" s="786" t="n">
        <v>-1061434</v>
      </c>
      <c r="AK39" s="786">
        <f>1256-258</f>
        <v/>
      </c>
      <c r="AL39" s="786">
        <f>+AI39-AJ39-AK39+AM39-AN39</f>
        <v/>
      </c>
      <c r="AM39" s="786" t="n">
        <v>23808</v>
      </c>
      <c r="AN39" s="786">
        <f>28226-123850</f>
        <v/>
      </c>
      <c r="AO39" s="786" t="n">
        <v>125079</v>
      </c>
      <c r="AP39" s="786" t="n">
        <v>27052</v>
      </c>
      <c r="AQ39" s="965" t="n">
        <v>152131</v>
      </c>
      <c r="AR39" s="965" t="n">
        <v>121991</v>
      </c>
      <c r="AS39" s="965">
        <f>+AO39+AP39-AQ39</f>
        <v/>
      </c>
      <c r="AT39" s="965">
        <f>+AJ39+AK39+AL39-AM39+AN39-AI39</f>
        <v/>
      </c>
      <c r="AU39" s="965">
        <f>+AF39+AI39-AO39</f>
        <v/>
      </c>
      <c r="AV39" s="965">
        <f>+AF39</f>
        <v/>
      </c>
      <c r="AW39" s="965">
        <f>+AI39</f>
        <v/>
      </c>
      <c r="AX39" s="965">
        <f>+AP39</f>
        <v/>
      </c>
      <c r="AY39" s="965">
        <f>+SUM(AV39:AX39)</f>
        <v/>
      </c>
      <c r="BB39" s="785" t="n"/>
      <c r="BC39" s="786" t="n">
        <v>-1362643</v>
      </c>
      <c r="BD39" s="786">
        <f>-12380+990494</f>
        <v/>
      </c>
      <c r="BF39" s="786">
        <f>-2079616-192</f>
        <v/>
      </c>
      <c r="BG39" s="786" t="n">
        <v>220069</v>
      </c>
      <c r="BH39" s="786" t="n">
        <v>2435</v>
      </c>
      <c r="BK39" s="786" t="n">
        <v>-2241833</v>
      </c>
      <c r="BL39" s="965">
        <f>+BK39-BC39-SUM(BD39:BJ39)</f>
        <v/>
      </c>
      <c r="BM39" s="786" t="n">
        <v>6886477</v>
      </c>
      <c r="BN39" s="786" t="n">
        <v>0</v>
      </c>
      <c r="BP39" s="786" t="n">
        <v>121991</v>
      </c>
      <c r="BR39" s="786" t="n">
        <v>-13609</v>
      </c>
      <c r="BS39" s="786" t="n">
        <v>6994859</v>
      </c>
      <c r="BT39" s="965">
        <f>+BM39+SUM(BN39:BR39)-BS39</f>
        <v/>
      </c>
      <c r="BU39" s="965" t="n">
        <v>90472226</v>
      </c>
      <c r="BV39" s="965" t="n">
        <v>1864986</v>
      </c>
      <c r="BW39" s="965" t="n">
        <v>8865711</v>
      </c>
      <c r="BX39" s="965" t="n">
        <v>488194</v>
      </c>
      <c r="BY39" s="965" t="n">
        <v>198639</v>
      </c>
      <c r="BZ39" s="965" t="n">
        <v>-621622</v>
      </c>
      <c r="CA39" s="965" t="n">
        <v>88637</v>
      </c>
      <c r="CB39" s="965" t="n">
        <v>9109141</v>
      </c>
      <c r="CD39" s="965">
        <f>CB39+BX39-BY39+BZ39+CA39-BW39</f>
        <v/>
      </c>
      <c r="CE39" s="786" t="n">
        <v>446461</v>
      </c>
      <c r="CF39" s="786">
        <f>388269+348655</f>
        <v/>
      </c>
      <c r="CG39" s="786">
        <f>326142+308823</f>
        <v/>
      </c>
      <c r="CH39" s="786">
        <f>293313+279099+263892+254233+241646</f>
        <v/>
      </c>
      <c r="CI39" s="786">
        <f>1079196+960899+863788+724284+2087011</f>
        <v/>
      </c>
      <c r="CJ39" s="786" t="n">
        <v>8865711</v>
      </c>
      <c r="CK39" s="786">
        <f>CJ39-SUM(CE39:CI39)</f>
        <v/>
      </c>
      <c r="CL39" s="786">
        <f>BW39-CJ39</f>
        <v/>
      </c>
      <c r="CN39" s="785" t="n"/>
      <c r="CQ39" s="785" t="n">
        <v>1.651</v>
      </c>
      <c r="CR39" s="786" t="n">
        <v>21074507</v>
      </c>
      <c r="CS39" s="786" t="n">
        <v>13676442</v>
      </c>
      <c r="CU39" s="786" t="n">
        <v>3631205.602599</v>
      </c>
      <c r="CW39" s="107" t="n"/>
      <c r="CX39" s="107" t="n"/>
      <c r="CY39" s="107" t="n"/>
      <c r="CZ39" s="785" t="n"/>
      <c r="DC39" s="785">
        <f>+DE39/DD39</f>
        <v/>
      </c>
      <c r="DD39" s="786" t="n">
        <v>755634.3258690001</v>
      </c>
      <c r="DE39" s="786">
        <f>624340.832645+10776</f>
        <v/>
      </c>
      <c r="DG39" s="786">
        <f>+DH39+DK39</f>
        <v/>
      </c>
      <c r="DH39" s="786" t="n">
        <v>-48960.445182</v>
      </c>
      <c r="DI39" s="786" t="n">
        <v>605522.139386</v>
      </c>
      <c r="DJ39" s="786">
        <f>+DI39-DH39</f>
        <v/>
      </c>
      <c r="DK39" s="786" t="n">
        <v>19781.602063</v>
      </c>
      <c r="DL39" s="786" t="n">
        <v>180354.799474</v>
      </c>
      <c r="DM39" s="786">
        <f>+DL39-DK39</f>
        <v/>
      </c>
    </row>
    <row r="40">
      <c r="A40" s="642">
        <f>B40&amp;C40</f>
        <v/>
      </c>
      <c r="B40" s="642" t="n">
        <v>2506</v>
      </c>
      <c r="C40" s="642" t="inlineStr">
        <is>
          <t>한화</t>
        </is>
      </c>
      <c r="D40" s="786" t="n">
        <v>126797032</v>
      </c>
      <c r="E40" s="786" t="n">
        <v>33076346</v>
      </c>
      <c r="F40" s="786" t="n">
        <v>49324233</v>
      </c>
      <c r="G40" s="786" t="n">
        <v>27831192</v>
      </c>
      <c r="H40" s="786" t="n">
        <v>11879500</v>
      </c>
      <c r="I40" s="785">
        <f>+E40/$D40</f>
        <v/>
      </c>
      <c r="J40" s="785">
        <f>+F40/$D40</f>
        <v/>
      </c>
      <c r="K40" s="785">
        <f>+G40/$D40</f>
        <v/>
      </c>
      <c r="L40" s="786" t="n">
        <v>115121740</v>
      </c>
      <c r="M40" s="786" t="n">
        <v>101055557</v>
      </c>
      <c r="N40" s="965" t="n">
        <v>8606839</v>
      </c>
      <c r="O40" s="965" t="n">
        <v>11675292</v>
      </c>
      <c r="P40" s="965" t="n">
        <v>3068453</v>
      </c>
      <c r="Q40" s="965" t="n">
        <v>-2152928</v>
      </c>
      <c r="R40" s="965" t="n">
        <v>7038532</v>
      </c>
      <c r="S40" s="965" t="n">
        <v>10335004</v>
      </c>
      <c r="T40" s="978">
        <f>T39</f>
        <v/>
      </c>
      <c r="U40" s="787" t="n">
        <v>126797032</v>
      </c>
      <c r="V40" s="787" t="n">
        <v>123850232</v>
      </c>
      <c r="W40" s="144" t="n">
        <v>0.9768</v>
      </c>
      <c r="X40" s="965" t="n">
        <v>-2152928</v>
      </c>
      <c r="Y40" s="965" t="n">
        <v>-1526317</v>
      </c>
      <c r="Z40" s="965" t="n">
        <v>-540612</v>
      </c>
      <c r="AA40" s="965" t="n">
        <v>2302</v>
      </c>
      <c r="AB40" s="965" t="n">
        <v>-287100</v>
      </c>
      <c r="AC40" s="965" t="n">
        <v>325579</v>
      </c>
      <c r="AD40" s="965" t="n">
        <v>-126780</v>
      </c>
      <c r="AE40" s="965">
        <f>X40-SUM(Y40:AD40)</f>
        <v/>
      </c>
      <c r="AF40" s="786" t="n">
        <v>175999</v>
      </c>
      <c r="AG40" s="786" t="n">
        <v>2563295</v>
      </c>
      <c r="AH40" s="786" t="n">
        <v>2387296</v>
      </c>
      <c r="AI40" s="786" t="n">
        <v>40525</v>
      </c>
      <c r="AO40" s="786" t="n">
        <v>216524</v>
      </c>
      <c r="AP40" s="786" t="n">
        <v>6916</v>
      </c>
      <c r="AQ40" s="965" t="n">
        <v>223440</v>
      </c>
      <c r="AR40" s="965" t="n">
        <v>179701</v>
      </c>
      <c r="AS40" s="965" t="n">
        <v>0</v>
      </c>
      <c r="AT40" s="965">
        <f>+AJ40+AK40+AL40-AM40+AN40-AI40</f>
        <v/>
      </c>
      <c r="AU40" s="965">
        <f>+AF40+AI40-AO40</f>
        <v/>
      </c>
      <c r="AV40" s="965">
        <f>+AF40</f>
        <v/>
      </c>
      <c r="AW40" s="965">
        <f>+AI40</f>
        <v/>
      </c>
      <c r="AX40" s="965">
        <f>+AP40</f>
        <v/>
      </c>
      <c r="AY40" s="965">
        <f>+SUM(AV40:AX40)</f>
        <v/>
      </c>
      <c r="BB40" s="785" t="n"/>
      <c r="BC40" s="786" t="n">
        <v>-1362643</v>
      </c>
      <c r="BD40" s="786" t="n">
        <v>287662</v>
      </c>
      <c r="BE40" s="786" t="n">
        <v>0</v>
      </c>
      <c r="BF40" s="786" t="n">
        <v>-1077815</v>
      </c>
      <c r="BG40" s="786" t="n">
        <v>-3133</v>
      </c>
      <c r="BH40" s="786" t="n">
        <v>3000</v>
      </c>
      <c r="BI40" s="786" t="n">
        <v>0</v>
      </c>
      <c r="BJ40" s="786" t="n">
        <v>0</v>
      </c>
      <c r="BK40" s="786" t="n">
        <v>-2152928</v>
      </c>
      <c r="BL40" s="965" t="n">
        <v>-1</v>
      </c>
      <c r="BM40" s="786" t="n">
        <v>6886477</v>
      </c>
      <c r="BN40" s="786" t="n">
        <v>0</v>
      </c>
      <c r="BO40" s="786" t="n">
        <v>0</v>
      </c>
      <c r="BP40" s="786" t="n">
        <v>179701</v>
      </c>
      <c r="BQ40" s="786" t="n">
        <v>0</v>
      </c>
      <c r="BR40" s="786" t="n">
        <v>-27646</v>
      </c>
      <c r="BS40" s="786" t="n">
        <v>7038532</v>
      </c>
      <c r="BT40" s="965" t="n">
        <v>0</v>
      </c>
      <c r="BU40" s="965" t="n">
        <v>90289838</v>
      </c>
      <c r="BV40" s="965" t="n">
        <v>1926480</v>
      </c>
      <c r="BW40" s="965" t="n">
        <v>8833097</v>
      </c>
      <c r="BX40" s="965" t="n">
        <v>925519</v>
      </c>
      <c r="BY40" s="965" t="n">
        <v>394479</v>
      </c>
      <c r="BZ40" s="965" t="n">
        <v>-984053</v>
      </c>
      <c r="CA40" s="965" t="n">
        <v>176969</v>
      </c>
      <c r="CB40" s="965" t="n">
        <v>9109141</v>
      </c>
      <c r="CD40" s="965">
        <f>CB40+BX40-BY40+BZ40+CA40-BW40</f>
        <v/>
      </c>
      <c r="CE40" s="786" t="n">
        <v>430791</v>
      </c>
      <c r="CF40" s="786">
        <f>377563+340660</f>
        <v/>
      </c>
      <c r="CG40" s="786">
        <f>319414+301790</f>
        <v/>
      </c>
      <c r="CH40" s="786">
        <f>286575+272649+258734+249551+235796</f>
        <v/>
      </c>
      <c r="CI40" s="786">
        <f>1065918+957806+865172+730001+2140677</f>
        <v/>
      </c>
      <c r="CJ40" s="786" t="n">
        <v>8833097</v>
      </c>
      <c r="CK40" s="786">
        <f>CJ40-SUM(CE40:CI40)</f>
        <v/>
      </c>
      <c r="CL40" s="786">
        <f>BW40-CJ40</f>
        <v/>
      </c>
      <c r="CN40" s="785" t="n"/>
      <c r="CQ40" s="785" t="n">
        <v>1.6</v>
      </c>
      <c r="CR40" s="786" t="n">
        <v>21074500</v>
      </c>
      <c r="CS40" s="786" t="n">
        <v>13861400</v>
      </c>
      <c r="CU40" s="786" t="n">
        <v>3631206</v>
      </c>
      <c r="CW40" s="107" t="n"/>
      <c r="CX40" s="107" t="n"/>
      <c r="CY40" s="107" t="n"/>
      <c r="CZ40" s="785" t="n"/>
      <c r="DC40" s="785">
        <f>+DE40/DD40</f>
        <v/>
      </c>
      <c r="DD40" s="786" t="n">
        <v>1524580</v>
      </c>
      <c r="DE40" s="786">
        <f>1275341-16081</f>
        <v/>
      </c>
      <c r="DG40" s="786">
        <f>+DH40+DK40</f>
        <v/>
      </c>
      <c r="DH40" s="786">
        <f>DI40-DJ40</f>
        <v/>
      </c>
      <c r="DI40" s="786">
        <f>+'[5](볃도) 손익계산서(SAP)'!$E$8/10^6</f>
        <v/>
      </c>
      <c r="DJ40" s="786">
        <f>+'[5](볃도) 손익계산서(SAP)'!$E$20/10^6+'[5](볃도) 손익계산서(SAP)'!$E$25/10^6</f>
        <v/>
      </c>
      <c r="DK40" s="786">
        <f>'[5]요약 손익계산서'!$O$12*1000</f>
        <v/>
      </c>
      <c r="DL40" s="786">
        <f>SUM('[5](볃도) 손익계산서(SAP)'!$E$9:$E$11)/10^6</f>
        <v/>
      </c>
      <c r="DM40" s="786">
        <f>+DL40-DK40</f>
        <v/>
      </c>
    </row>
    <row r="41">
      <c r="A41" s="642">
        <f>B41&amp;C41</f>
        <v/>
      </c>
      <c r="B41" s="642" t="n">
        <v>2509</v>
      </c>
      <c r="C41" s="642" t="inlineStr">
        <is>
          <t>한화</t>
        </is>
      </c>
      <c r="D41" s="786" t="n">
        <v>127199674</v>
      </c>
      <c r="E41" s="786" t="n">
        <v>33271737</v>
      </c>
      <c r="F41" s="786" t="n">
        <v>49717845</v>
      </c>
      <c r="G41" s="786" t="n">
        <v>27477086</v>
      </c>
      <c r="H41" s="786" t="n">
        <v>12026567</v>
      </c>
      <c r="I41" s="785">
        <f>+E41/$D41</f>
        <v/>
      </c>
      <c r="J41" s="785">
        <f>+F41/$D41</f>
        <v/>
      </c>
      <c r="K41" s="785">
        <f>+G41/$D41</f>
        <v/>
      </c>
      <c r="L41" s="786" t="n">
        <v>115486058</v>
      </c>
      <c r="M41" s="786" t="n">
        <v>101157820</v>
      </c>
      <c r="N41" s="965">
        <f>O41-P41</f>
        <v/>
      </c>
      <c r="O41" s="965" t="n">
        <v>11713616</v>
      </c>
      <c r="P41" s="965" t="n">
        <v>3068453</v>
      </c>
      <c r="Q41" s="965" t="n">
        <v>-2230603</v>
      </c>
      <c r="R41" s="965" t="n">
        <v>7154531</v>
      </c>
      <c r="S41" s="965" t="n">
        <v>10335004</v>
      </c>
      <c r="T41" s="978">
        <f>T40</f>
        <v/>
      </c>
      <c r="U41" s="787" t="n">
        <v>127199674</v>
      </c>
      <c r="V41" s="787" t="n">
        <v>124483036</v>
      </c>
      <c r="W41" s="144" t="n">
        <v>0.9786</v>
      </c>
      <c r="X41" s="965" t="n">
        <v>-2230603</v>
      </c>
      <c r="Y41" s="965" t="n">
        <v>-2034299</v>
      </c>
      <c r="Z41" s="965" t="n">
        <v>16625</v>
      </c>
      <c r="AA41" s="965" t="n">
        <v>939</v>
      </c>
      <c r="AB41" s="965" t="n">
        <v>-413047</v>
      </c>
      <c r="AC41" s="965" t="n">
        <v>325959</v>
      </c>
      <c r="AD41" s="965" t="n">
        <v>-126780</v>
      </c>
      <c r="AE41" s="965">
        <f>X41-SUM(Y41:AD41)</f>
        <v/>
      </c>
      <c r="AF41" s="786" t="n">
        <v>139423</v>
      </c>
      <c r="AG41" s="786" t="n">
        <v>3917278</v>
      </c>
      <c r="AH41" s="786" t="n">
        <v>3777855</v>
      </c>
      <c r="AI41" s="786" t="n">
        <v>221778</v>
      </c>
      <c r="AJ41" s="786" t="n">
        <v>-3359456</v>
      </c>
      <c r="AK41" s="786">
        <f>5166-892</f>
        <v/>
      </c>
      <c r="AL41" s="786">
        <f>+AI41-AJ41-AK41+AM41-AN41</f>
        <v/>
      </c>
      <c r="AM41" s="786" t="n">
        <v>89123</v>
      </c>
      <c r="AN41" s="786">
        <f>83668-385966</f>
        <v/>
      </c>
      <c r="AO41" s="786" t="n">
        <v>361201</v>
      </c>
      <c r="AP41" s="786" t="n">
        <v>32565</v>
      </c>
      <c r="AQ41" s="965" t="n">
        <v>393766</v>
      </c>
      <c r="AR41" s="965" t="n">
        <v>315816</v>
      </c>
      <c r="AS41" s="965" t="n">
        <v>0</v>
      </c>
      <c r="AT41" s="965">
        <f>+AJ41+AK41+AL41-AM41+AN41-AI41</f>
        <v/>
      </c>
      <c r="AU41" s="965">
        <f>+AF41+AI41-AO41</f>
        <v/>
      </c>
      <c r="AV41" s="965">
        <f>+AF41</f>
        <v/>
      </c>
      <c r="AW41" s="965">
        <f>+AI41</f>
        <v/>
      </c>
      <c r="AX41" s="965">
        <f>+AP41</f>
        <v/>
      </c>
      <c r="AY41" s="965">
        <f>+SUM(AV41:AX41)</f>
        <v/>
      </c>
      <c r="BB41" s="785" t="n"/>
      <c r="BC41" s="786" t="n">
        <v>-1362643</v>
      </c>
      <c r="BD41" s="786">
        <f>+-220321</f>
        <v/>
      </c>
      <c r="BF41" s="786">
        <f>+-519886+-2056</f>
        <v/>
      </c>
      <c r="BG41" s="786" t="n">
        <v>-129079</v>
      </c>
      <c r="BH41" s="786" t="n">
        <v>3382</v>
      </c>
      <c r="BK41" s="786" t="n">
        <v>-2230603</v>
      </c>
      <c r="BL41" s="989">
        <f>+BK41-BC41-SUM(BD41:BJ41)</f>
        <v/>
      </c>
      <c r="BM41" s="786" t="n">
        <v>6886477</v>
      </c>
      <c r="BP41" s="786" t="n">
        <v>315816</v>
      </c>
      <c r="BR41" s="786" t="n">
        <v>-47762</v>
      </c>
      <c r="BS41" s="786" t="n">
        <v>7154531</v>
      </c>
      <c r="BT41" s="965">
        <f>+BM41+SUM(BN41:BR41)-BS41</f>
        <v/>
      </c>
      <c r="BU41" s="965" t="n">
        <v>90134103</v>
      </c>
      <c r="BV41" s="965" t="n">
        <v>1956420</v>
      </c>
      <c r="BW41" s="965" t="n">
        <v>9059401</v>
      </c>
      <c r="BX41" s="965" t="n">
        <v>1489814</v>
      </c>
      <c r="BY41" s="965" t="n">
        <v>590479</v>
      </c>
      <c r="BZ41" s="965" t="n">
        <v>-1215329</v>
      </c>
      <c r="CA41" s="965" t="n">
        <v>266254</v>
      </c>
      <c r="CB41" s="965" t="n">
        <v>9109141</v>
      </c>
      <c r="CD41" s="965">
        <f>CB41+BX41-BY41+BZ41+CA41-BW41</f>
        <v/>
      </c>
      <c r="CE41" s="786" t="n">
        <v>425672</v>
      </c>
      <c r="CF41" s="786">
        <f>375073+338700</f>
        <v/>
      </c>
      <c r="CG41" s="786">
        <f>317819+300253</f>
        <v/>
      </c>
      <c r="CH41" s="786">
        <f>285375+271930+259680+250161+236007</f>
        <v/>
      </c>
      <c r="CI41" s="786">
        <f>1082590+984626+896603+763241+2271671</f>
        <v/>
      </c>
      <c r="CJ41" s="786" t="n">
        <v>9059401</v>
      </c>
      <c r="CK41" s="786">
        <f>CJ41-SUM(CE41:CI41)</f>
        <v/>
      </c>
      <c r="CL41" s="786">
        <f>BW41-CJ41</f>
        <v/>
      </c>
      <c r="CN41" s="785" t="n"/>
      <c r="CQ41" s="785" t="n">
        <v>1.582</v>
      </c>
      <c r="CR41" s="786" t="n">
        <v>22542639</v>
      </c>
      <c r="CS41" s="786" t="n">
        <v>14245459</v>
      </c>
      <c r="CU41" s="786" t="n">
        <v>3631206</v>
      </c>
      <c r="CW41" s="107" t="n"/>
      <c r="CX41" s="107" t="n"/>
      <c r="CY41" s="107" t="n"/>
      <c r="CZ41" s="785" t="n"/>
      <c r="DC41" s="785">
        <f>+DE41/DD41</f>
        <v/>
      </c>
      <c r="DD41" s="786" t="n">
        <v>2305250.029139</v>
      </c>
      <c r="DE41" s="786" t="n">
        <v>1940068.848653</v>
      </c>
      <c r="DG41" s="786">
        <f>+DH41+DK41</f>
        <v/>
      </c>
      <c r="DH41" s="786">
        <f>DI41-DJ41</f>
        <v/>
      </c>
      <c r="DI41" s="786">
        <f>'[6](볃도) 손익계산서(SAP)'!$E$8/10^6</f>
        <v/>
      </c>
      <c r="DJ41" s="786">
        <f>'[6](볃도) 손익계산서(SAP)'!$E$20/10^6+'[6](볃도) 손익계산서(SAP)'!$E$25/10^6</f>
        <v/>
      </c>
      <c r="DK41" s="786">
        <f>'[6]요약 손익계산서'!$O$12*1000</f>
        <v/>
      </c>
      <c r="DL41" s="786">
        <f>SUM('[6](볃도) 손익계산서(SAP)'!$E$9:$E$11)/10^6</f>
        <v/>
      </c>
      <c r="DM41" s="786">
        <f>+DL41-DK41</f>
        <v/>
      </c>
    </row>
    <row r="42">
      <c r="A42" s="642">
        <f>B42&amp;C42</f>
        <v/>
      </c>
      <c r="B42" s="642" t="n">
        <v>2512</v>
      </c>
      <c r="C42" s="642" t="inlineStr">
        <is>
          <t>한화</t>
        </is>
      </c>
      <c r="D42" s="786" t="n">
        <v>125776582</v>
      </c>
      <c r="E42" s="786" t="n">
        <v>32320124</v>
      </c>
      <c r="F42" s="786" t="n">
        <v>48218133</v>
      </c>
      <c r="G42" s="786" t="n">
        <v>28071420</v>
      </c>
      <c r="H42" s="786" t="n">
        <v>12141725</v>
      </c>
      <c r="I42" s="785">
        <f>+E42/$D42</f>
        <v/>
      </c>
      <c r="J42" s="785">
        <f>+F42/$D42</f>
        <v/>
      </c>
      <c r="K42" s="785">
        <f>+G42/$D42</f>
        <v/>
      </c>
      <c r="L42" s="786" t="n">
        <v>113307806</v>
      </c>
      <c r="M42" s="786" t="n">
        <v>96935830</v>
      </c>
      <c r="N42" s="965">
        <f>O42-P42</f>
        <v/>
      </c>
      <c r="O42" s="965" t="n">
        <v>12468776</v>
      </c>
      <c r="P42" s="965" t="n">
        <v>3068453</v>
      </c>
      <c r="Q42" s="965" t="n">
        <v>-1406135</v>
      </c>
      <c r="R42" s="965" t="n">
        <v>7085336</v>
      </c>
      <c r="S42" s="965" t="n">
        <v>10348367</v>
      </c>
      <c r="T42" s="978">
        <f>10348367-1096827</f>
        <v/>
      </c>
      <c r="U42" s="787" t="n">
        <v>125776582</v>
      </c>
      <c r="V42" s="787" t="n">
        <v>122982197</v>
      </c>
      <c r="W42" s="144" t="n">
        <v>0.9776</v>
      </c>
      <c r="X42" s="965" t="n">
        <v>-1406135</v>
      </c>
      <c r="Y42" s="965" t="n">
        <v>-4000815</v>
      </c>
      <c r="Z42" s="965" t="n">
        <v>3221381</v>
      </c>
      <c r="AA42" s="965" t="n">
        <v>10437</v>
      </c>
      <c r="AB42" s="965" t="n">
        <v>-882553</v>
      </c>
      <c r="AC42" s="965" t="n">
        <v>376681</v>
      </c>
      <c r="AD42" s="965" t="n">
        <v>-131266</v>
      </c>
      <c r="AE42" s="965">
        <f>X42-SUM(Y42:AD42)</f>
        <v/>
      </c>
      <c r="AF42" s="786" t="n">
        <v>344419</v>
      </c>
      <c r="AG42" s="786" t="n">
        <v>5248088</v>
      </c>
      <c r="AH42" s="786" t="n">
        <v>4903669</v>
      </c>
      <c r="AI42" s="786" t="n">
        <v>57018</v>
      </c>
      <c r="AJ42" s="786" t="n">
        <v>-4359164</v>
      </c>
      <c r="AK42" s="786">
        <f>10245-1185</f>
        <v/>
      </c>
      <c r="AL42" s="786">
        <f>+AI42-AJ42-AK42+AM42-AN42</f>
        <v/>
      </c>
      <c r="AM42" s="786" t="n">
        <v>117846</v>
      </c>
      <c r="AN42" s="786">
        <f>119673-513548</f>
        <v/>
      </c>
      <c r="AO42" s="786" t="n">
        <v>401437</v>
      </c>
      <c r="AP42" s="786" t="n">
        <v>11213</v>
      </c>
      <c r="AQ42" s="965" t="n">
        <v>412650</v>
      </c>
      <c r="AR42" s="965" t="n">
        <v>313320</v>
      </c>
      <c r="AS42" s="965" t="n">
        <v>0</v>
      </c>
      <c r="AT42" s="965">
        <f>+AJ42+AK42+AL42-AM42+AN42-AI42</f>
        <v/>
      </c>
      <c r="AU42" s="965">
        <f>+AF42+AI42-AO42</f>
        <v/>
      </c>
      <c r="AV42" s="965">
        <f>+AF42</f>
        <v/>
      </c>
      <c r="AW42" s="965">
        <f>+AI42</f>
        <v/>
      </c>
      <c r="AX42" s="965">
        <f>+AP42</f>
        <v/>
      </c>
      <c r="AY42" s="965">
        <f>+SUM(AV42:AX42)</f>
        <v/>
      </c>
      <c r="BB42" s="785" t="n"/>
      <c r="BC42" s="786" t="n">
        <v>-1349279</v>
      </c>
      <c r="BD42" s="786" t="n">
        <v>-2146099</v>
      </c>
      <c r="BF42" s="786">
        <f>2684870+7442</f>
        <v/>
      </c>
      <c r="BG42" s="786" t="n">
        <v>-598584</v>
      </c>
      <c r="BI42" s="786" t="n">
        <v>-4485</v>
      </c>
      <c r="BK42" s="786" t="n">
        <v>-1406135</v>
      </c>
      <c r="BL42" s="965">
        <f>+BK42-BC42-SUM(BD42:BJ42)</f>
        <v/>
      </c>
      <c r="BM42" s="786" t="n">
        <v>6886476</v>
      </c>
      <c r="BP42" s="786" t="n">
        <v>313320</v>
      </c>
      <c r="BR42" s="786" t="n">
        <v>-114460</v>
      </c>
      <c r="BS42" s="786" t="n">
        <v>7085336</v>
      </c>
      <c r="BT42" s="965">
        <f>+BM42+SUM(BN42:BR42)-BS42</f>
        <v/>
      </c>
      <c r="BU42" s="965" t="n">
        <v>86222489</v>
      </c>
      <c r="BV42" s="965" t="n">
        <v>1993903</v>
      </c>
      <c r="BW42" s="965" t="n">
        <v>8713652</v>
      </c>
      <c r="BX42" s="965" t="n">
        <v>2066258</v>
      </c>
      <c r="BY42" s="965" t="n">
        <v>787290</v>
      </c>
      <c r="BZ42" s="965" t="n">
        <v>-2032224</v>
      </c>
      <c r="CA42" s="965" t="n">
        <v>357767</v>
      </c>
      <c r="CB42" s="965" t="n">
        <v>9109141</v>
      </c>
      <c r="CD42" s="965">
        <f>CB42+BX42-BY42+BZ42+CA42-BW42</f>
        <v/>
      </c>
      <c r="CE42" s="786" t="n">
        <v>424411</v>
      </c>
      <c r="CF42" s="786">
        <f>376228+343346</f>
        <v/>
      </c>
      <c r="CG42" s="786">
        <f>318350+295326</f>
        <v/>
      </c>
      <c r="CH42" s="786">
        <f>279032+264805+252322+240739+227200</f>
        <v/>
      </c>
      <c r="CI42" s="786">
        <f>1038153+940166+850751+722344+2140479</f>
        <v/>
      </c>
      <c r="CJ42" s="786" t="n">
        <v>8713652</v>
      </c>
      <c r="CK42" s="786">
        <f>CJ42-SUM(CE42:CI42)</f>
        <v/>
      </c>
      <c r="CL42" s="786">
        <f>BW42-CJ42</f>
        <v/>
      </c>
      <c r="CN42" s="785" t="n"/>
      <c r="CQ42" s="990" t="n">
        <v>1.575</v>
      </c>
      <c r="CR42" s="965" t="n">
        <v>22901084</v>
      </c>
      <c r="CS42" s="965" t="n">
        <v>14538834</v>
      </c>
      <c r="CU42" s="786">
        <f>+CU38+2876584</f>
        <v/>
      </c>
      <c r="CW42" s="107" t="n">
        <v>0.86</v>
      </c>
      <c r="CX42" s="107" t="n">
        <v>1</v>
      </c>
      <c r="CY42" s="107" t="n">
        <v>-0.13</v>
      </c>
      <c r="CZ42" s="785">
        <f>+CX42/CW42</f>
        <v/>
      </c>
      <c r="DC42" s="785">
        <f>+DE42/DD42</f>
        <v/>
      </c>
      <c r="DD42" s="786" t="n">
        <v>3097987.94868</v>
      </c>
      <c r="DE42" s="786" t="n">
        <v>2693656.595331</v>
      </c>
      <c r="DG42" s="786">
        <f>+DH42+DK42</f>
        <v/>
      </c>
      <c r="DH42" s="786">
        <f>DI42-DJ42</f>
        <v/>
      </c>
      <c r="DI42" s="786">
        <f>'[7](볃도) 손익계산서(SAP)'!$E$8/10^6</f>
        <v/>
      </c>
      <c r="DJ42" s="786">
        <f>'[7](볃도) 손익계산서(SAP)'!$E$20/10^6+'[7](볃도) 손익계산서(SAP)'!$E$25/10^6</f>
        <v/>
      </c>
      <c r="DK42" s="786">
        <f>'[7]요약 손익계산서'!$O$12*1000</f>
        <v/>
      </c>
      <c r="DL42" s="786">
        <f>SUM('[7](볃도) 손익계산서(SAP)'!$E$9:$E$11)/10^6</f>
        <v/>
      </c>
      <c r="DM42" s="786">
        <f>+DL42-DK42</f>
        <v/>
      </c>
      <c r="EP42" s="786" t="n">
        <v>605152</v>
      </c>
      <c r="EQ42" s="786" t="n">
        <v>74021</v>
      </c>
      <c r="ER42" s="786" t="n">
        <v>-137201</v>
      </c>
      <c r="ES42" s="786" t="n">
        <v>55586</v>
      </c>
      <c r="ET42" s="786">
        <f>1560536-24225</f>
        <v/>
      </c>
      <c r="EW42" s="786" t="n">
        <v>-605152</v>
      </c>
      <c r="EX42" s="786" t="n">
        <v>-74021</v>
      </c>
      <c r="EY42" s="786" t="n">
        <v>137201</v>
      </c>
      <c r="EZ42" s="786" t="n">
        <v>55586</v>
      </c>
      <c r="FA42" s="786" t="n">
        <v>-1536311</v>
      </c>
      <c r="FB42" s="786" t="n">
        <v>-9527</v>
      </c>
      <c r="FC42" s="766">
        <f>SUM(EW42:FB42)-BZ42</f>
        <v/>
      </c>
    </row>
    <row r="43" ht="16.5" customHeight="1" s="760">
      <c r="A43" s="696">
        <f>B43&amp;C43</f>
        <v/>
      </c>
      <c r="B43" s="696" t="n">
        <v>2603</v>
      </c>
      <c r="C43" s="696" t="inlineStr">
        <is>
          <t>한화</t>
        </is>
      </c>
      <c r="D43" s="786" t="n">
        <v>124017691</v>
      </c>
      <c r="E43" s="786" t="n">
        <v>33449941</v>
      </c>
      <c r="F43" s="786" t="n">
        <v>46287683</v>
      </c>
      <c r="G43" s="786" t="n">
        <v>27466231</v>
      </c>
      <c r="H43" s="786" t="n">
        <v>12316018</v>
      </c>
      <c r="I43" s="785">
        <f>E43/D43</f>
        <v/>
      </c>
      <c r="J43" s="785">
        <f>F43/D43</f>
        <v/>
      </c>
      <c r="K43" s="785">
        <f>G43/D43</f>
        <v/>
      </c>
      <c r="L43" s="786" t="n">
        <v>110609536</v>
      </c>
      <c r="M43" s="786" t="n">
        <v>92651527</v>
      </c>
      <c r="N43" s="965">
        <f>O43-P43</f>
        <v/>
      </c>
      <c r="O43" s="965" t="n">
        <v>13408155</v>
      </c>
      <c r="P43" s="965" t="n">
        <v>3068453</v>
      </c>
      <c r="Q43" s="965" t="n">
        <v>-705811</v>
      </c>
      <c r="R43" s="965" t="n">
        <v>7313064</v>
      </c>
      <c r="S43" s="965" t="n">
        <v>12468776</v>
      </c>
      <c r="T43" s="978" t="n">
        <v>9400323</v>
      </c>
      <c r="U43" s="787" t="n">
        <v>124017691</v>
      </c>
      <c r="W43" s="144" t="n"/>
      <c r="X43" s="965">
        <f>Q43</f>
        <v/>
      </c>
      <c r="Y43" s="965" t="n">
        <v>-12308114</v>
      </c>
      <c r="Z43" s="965" t="n">
        <v>6568740.67</v>
      </c>
      <c r="AA43" s="965" t="n">
        <v>12058.5</v>
      </c>
      <c r="AB43" s="965" t="n">
        <v>-1378003.27</v>
      </c>
      <c r="AC43" s="965" t="n">
        <v>376680</v>
      </c>
      <c r="AD43" s="965" t="n">
        <v>-131231.08</v>
      </c>
      <c r="AF43" s="786" t="n">
        <v>62394</v>
      </c>
      <c r="AG43" s="786" t="n">
        <v>1393738</v>
      </c>
      <c r="AH43" s="786" t="n">
        <v>1331344</v>
      </c>
      <c r="AI43" s="786" t="n">
        <v>217580</v>
      </c>
      <c r="AJ43" s="786" t="n">
        <v>-840093</v>
      </c>
      <c r="AK43" s="786" t="n">
        <v>2493</v>
      </c>
      <c r="AL43" s="786">
        <f>AI43-AJ43-AK43+AM43-AN43</f>
        <v/>
      </c>
      <c r="AM43" s="786" t="n">
        <v>30634</v>
      </c>
      <c r="AN43" s="786" t="n">
        <v>-95296</v>
      </c>
      <c r="AO43" s="786" t="n">
        <v>279974</v>
      </c>
      <c r="AP43" s="786" t="n">
        <v>28362</v>
      </c>
      <c r="AQ43" s="965" t="n">
        <v>308336</v>
      </c>
      <c r="AR43" s="965" t="n">
        <v>247844</v>
      </c>
      <c r="AS43" s="965" t="n"/>
      <c r="AT43" s="965" t="n"/>
      <c r="AU43" s="965" t="n"/>
      <c r="AV43" s="965">
        <f>AF43</f>
        <v/>
      </c>
      <c r="AW43" s="965">
        <f>AI43</f>
        <v/>
      </c>
      <c r="AX43" s="965">
        <f>AP43</f>
        <v/>
      </c>
      <c r="AY43" s="965">
        <f>AV43+AW43+AX43</f>
        <v/>
      </c>
      <c r="BB43" s="785" t="n"/>
      <c r="BC43" s="786" t="n">
        <v>-1406135</v>
      </c>
      <c r="BD43" s="786" t="n">
        <v>-2153242</v>
      </c>
      <c r="BF43" s="786" t="n">
        <v>3348982</v>
      </c>
      <c r="BG43" s="786" t="n">
        <v>-495451</v>
      </c>
      <c r="BI43" s="786" t="n">
        <v>34</v>
      </c>
      <c r="BK43" s="786">
        <f>Q43</f>
        <v/>
      </c>
      <c r="BL43" s="965" t="n"/>
      <c r="BM43" s="786" t="n">
        <v>7085336</v>
      </c>
      <c r="BP43" s="786">
        <f>AR43</f>
        <v/>
      </c>
      <c r="BS43" s="786">
        <f>R43</f>
        <v/>
      </c>
      <c r="BT43" s="965" t="n"/>
      <c r="BU43" s="965" t="n">
        <v>81670525</v>
      </c>
      <c r="BV43" s="965" t="n">
        <v>2053629</v>
      </c>
      <c r="BW43" s="965" t="n">
        <v>8920939</v>
      </c>
      <c r="BX43" s="965" t="n">
        <v>610934</v>
      </c>
      <c r="BY43" s="965" t="n">
        <v>191440</v>
      </c>
      <c r="BZ43" s="965" t="n">
        <v>-300750</v>
      </c>
      <c r="CA43" s="965" t="n">
        <v>88542</v>
      </c>
      <c r="CB43" s="965" t="n">
        <v>8713652</v>
      </c>
      <c r="CD43" s="965" t="n"/>
      <c r="CJ43" s="786">
        <f>BW43</f>
        <v/>
      </c>
      <c r="CN43" s="785" t="n"/>
      <c r="CQ43" s="990" t="n">
        <v>1.62</v>
      </c>
      <c r="CR43" s="965" t="n">
        <v>24041506.41</v>
      </c>
      <c r="CS43" s="965" t="n">
        <v>14829357.42</v>
      </c>
      <c r="CU43" s="786" t="n">
        <v>7108699.87</v>
      </c>
      <c r="CW43" s="107" t="n"/>
      <c r="CX43" s="107" t="n"/>
      <c r="CY43" s="107" t="n"/>
      <c r="CZ43" s="785" t="n"/>
      <c r="FC43" s="766" t="n"/>
    </row>
    <row r="44" ht="16.5" customHeight="1" s="760">
      <c r="A44" s="696">
        <f>B44&amp;C44</f>
        <v/>
      </c>
      <c r="B44" s="696" t="n">
        <v>2606</v>
      </c>
      <c r="C44" s="696" t="inlineStr">
        <is>
          <t>한화</t>
        </is>
      </c>
      <c r="D44" s="786" t="n">
        <v>124570989</v>
      </c>
      <c r="E44" s="786" t="n">
        <v>33664443</v>
      </c>
      <c r="F44" s="786" t="n">
        <v>46077796</v>
      </c>
      <c r="G44" s="786" t="n">
        <v>28148751</v>
      </c>
      <c r="H44" s="786" t="n">
        <v>12289472</v>
      </c>
      <c r="I44" s="785">
        <f>E44/D44</f>
        <v/>
      </c>
      <c r="J44" s="785">
        <f>F44/D44</f>
        <v/>
      </c>
      <c r="K44" s="785">
        <f>G44/D44</f>
        <v/>
      </c>
      <c r="L44" s="786" t="n">
        <v>110238362</v>
      </c>
      <c r="M44" s="786" t="n">
        <v>91160749</v>
      </c>
      <c r="N44" s="965">
        <f>O44-P44</f>
        <v/>
      </c>
      <c r="O44" s="965" t="n">
        <v>14332627</v>
      </c>
      <c r="P44" s="965" t="n">
        <v>3068468</v>
      </c>
      <c r="Q44" s="965" t="n">
        <v>13440</v>
      </c>
      <c r="R44" s="965" t="n">
        <v>7506942</v>
      </c>
      <c r="S44" s="965" t="n">
        <v>12468776</v>
      </c>
      <c r="T44" s="978" t="n">
        <v>9400323</v>
      </c>
      <c r="U44" s="787" t="n">
        <v>124570989</v>
      </c>
      <c r="W44" s="144" t="n"/>
      <c r="X44" s="965">
        <f>Q44</f>
        <v/>
      </c>
      <c r="Y44" s="965" t="n">
        <v>-15326130</v>
      </c>
      <c r="Z44" s="965" t="n">
        <v>9357470</v>
      </c>
      <c r="AA44" s="965" t="n">
        <v>4479</v>
      </c>
      <c r="AB44" s="965" t="n">
        <v>-1930893</v>
      </c>
      <c r="AC44" s="965" t="n">
        <v>376680</v>
      </c>
      <c r="AD44" s="965" t="n">
        <v>-131231</v>
      </c>
      <c r="AF44" s="786" t="n">
        <v>285293</v>
      </c>
      <c r="AG44" s="786" t="n">
        <v>2791187</v>
      </c>
      <c r="AH44" s="786" t="n">
        <v>2505894</v>
      </c>
      <c r="AI44" s="786" t="n">
        <v>328378</v>
      </c>
      <c r="AJ44" s="786" t="n">
        <v>-3716749</v>
      </c>
      <c r="AK44" s="786" t="n">
        <v>4913</v>
      </c>
      <c r="AL44" s="786">
        <f>AI44-AJ44-AK44+AM44-AN44</f>
        <v/>
      </c>
      <c r="AM44" s="786" t="n">
        <v>80697</v>
      </c>
      <c r="AN44" s="786" t="n">
        <v>-197650</v>
      </c>
      <c r="AO44" s="786" t="n">
        <v>613671</v>
      </c>
      <c r="AP44" s="786" t="n">
        <v>14938</v>
      </c>
      <c r="AQ44" s="965" t="n">
        <v>628609</v>
      </c>
      <c r="AR44" s="965" t="n">
        <v>510212</v>
      </c>
      <c r="AS44" s="965" t="n"/>
      <c r="AT44" s="965" t="n"/>
      <c r="AU44" s="965" t="n"/>
      <c r="AV44" s="965">
        <f>AF44</f>
        <v/>
      </c>
      <c r="AW44" s="965">
        <f>AI44</f>
        <v/>
      </c>
      <c r="AX44" s="965">
        <f>AP44</f>
        <v/>
      </c>
      <c r="AY44" s="965">
        <f>AV44+AW44+AX44</f>
        <v/>
      </c>
      <c r="BB44" s="785" t="n"/>
      <c r="BC44" s="786" t="n">
        <v>-1406135</v>
      </c>
      <c r="BD44" s="786" t="n">
        <v>-3668360</v>
      </c>
      <c r="BF44" s="786" t="n">
        <v>6130132</v>
      </c>
      <c r="BG44" s="786" t="n">
        <v>-1048341</v>
      </c>
      <c r="BI44" s="786" t="n">
        <v>34</v>
      </c>
      <c r="BK44" s="786">
        <f>Q44</f>
        <v/>
      </c>
      <c r="BL44" s="965" t="n"/>
      <c r="BM44" s="786" t="n">
        <v>7085336</v>
      </c>
      <c r="BP44" s="786">
        <f>AR44</f>
        <v/>
      </c>
      <c r="BR44" s="786" t="n">
        <v>-88605</v>
      </c>
      <c r="BS44" s="786">
        <f>R44</f>
        <v/>
      </c>
      <c r="BT44" s="965" t="n"/>
      <c r="BU44" s="965" t="n">
        <v>80033955</v>
      </c>
      <c r="BV44" s="965" t="n">
        <v>2191896</v>
      </c>
      <c r="BW44" s="965" t="n">
        <v>8928465</v>
      </c>
      <c r="BX44" s="965" t="n">
        <v>1300115</v>
      </c>
      <c r="BY44" s="965" t="n">
        <v>373025</v>
      </c>
      <c r="BZ44" s="965" t="n">
        <v>-892724</v>
      </c>
      <c r="CA44" s="965" t="n">
        <v>180444</v>
      </c>
      <c r="CB44" s="965" t="n">
        <v>8713652</v>
      </c>
      <c r="CD44" s="965" t="n"/>
      <c r="CJ44" s="786">
        <f>BW44</f>
        <v/>
      </c>
      <c r="CN44" s="785" t="n"/>
      <c r="CQ44" s="990" t="n"/>
      <c r="CR44" s="965" t="n"/>
      <c r="CS44" s="965" t="n"/>
      <c r="CW44" s="107" t="n"/>
      <c r="CX44" s="107" t="n"/>
      <c r="CY44" s="107" t="n"/>
      <c r="CZ44" s="785" t="n"/>
      <c r="FC44" s="766" t="n"/>
    </row>
    <row r="45">
      <c r="I45" s="785" t="n"/>
      <c r="J45" s="785" t="n"/>
      <c r="K45" s="785" t="n"/>
      <c r="T45" s="978" t="n"/>
      <c r="W45" s="144" t="n"/>
      <c r="X45" s="994" t="n"/>
      <c r="Y45" s="994" t="n"/>
      <c r="Z45" s="994" t="n"/>
      <c r="AA45" s="994" t="n"/>
      <c r="AB45" s="994" t="n"/>
      <c r="AC45" s="994" t="n"/>
      <c r="AD45" s="994" t="n"/>
      <c r="AS45" s="965" t="n"/>
      <c r="AT45" s="965" t="n"/>
      <c r="AU45" s="965" t="n"/>
      <c r="AV45" s="965" t="n"/>
      <c r="AW45" s="965" t="n"/>
      <c r="AX45" s="965" t="n"/>
      <c r="AY45" s="965" t="n"/>
      <c r="BB45" s="785" t="n"/>
      <c r="BL45" s="965" t="n"/>
      <c r="BT45" s="965" t="n"/>
      <c r="CD45" s="965" t="n"/>
      <c r="CN45" s="785" t="n"/>
      <c r="CQ45" s="990" t="n"/>
      <c r="CR45" s="965" t="n"/>
      <c r="CS45" s="965" t="n"/>
      <c r="CW45" s="107" t="n"/>
      <c r="CX45" s="107" t="n"/>
      <c r="CY45" s="107" t="n"/>
      <c r="CZ45" s="785" t="n"/>
      <c r="DJ45" s="977">
        <f>+DJ42/DI42</f>
        <v/>
      </c>
    </row>
    <row r="46" customFormat="1" s="108">
      <c r="A46" s="108">
        <f>B46&amp;C46</f>
        <v/>
      </c>
      <c r="B46" s="108" t="n">
        <v>2212</v>
      </c>
      <c r="C46" s="108" t="inlineStr">
        <is>
          <t>신한라이프</t>
        </is>
      </c>
      <c r="D46" s="979" t="n"/>
      <c r="E46" s="979" t="n"/>
      <c r="F46" s="979" t="n"/>
      <c r="G46" s="979" t="n"/>
      <c r="H46" s="979" t="n"/>
      <c r="I46" s="991" t="n"/>
      <c r="J46" s="991" t="n"/>
      <c r="K46" s="991" t="n"/>
      <c r="L46" s="979" t="n"/>
      <c r="M46" s="979" t="n"/>
      <c r="N46" s="978">
        <f>O46-P46</f>
        <v/>
      </c>
      <c r="O46" s="978" t="n">
        <v>8134009</v>
      </c>
      <c r="P46" s="978" t="n">
        <v>299452</v>
      </c>
      <c r="Q46" s="978" t="n">
        <v>113667</v>
      </c>
      <c r="R46" s="978" t="n">
        <v>6321129</v>
      </c>
      <c r="S46" s="978" t="n"/>
      <c r="T46" s="978" t="n"/>
      <c r="U46" s="979" t="n"/>
      <c r="V46" s="979" t="n"/>
      <c r="W46" s="979" t="n"/>
      <c r="X46" s="978" t="n">
        <v>113667</v>
      </c>
      <c r="Y46" s="978">
        <f>-4578272-10102</f>
        <v/>
      </c>
      <c r="Z46" s="978" t="n">
        <v>4734969</v>
      </c>
      <c r="AA46" s="978" t="n">
        <v>34045</v>
      </c>
      <c r="AB46" s="978" t="n">
        <v>-60015</v>
      </c>
      <c r="AC46" s="978" t="n"/>
      <c r="AD46" s="978" t="n">
        <v>-6958</v>
      </c>
      <c r="AE46" s="978">
        <f>X46-SUM(Y46:AD46)</f>
        <v/>
      </c>
      <c r="AF46" s="979" t="n"/>
      <c r="AG46" s="979" t="n"/>
      <c r="AH46" s="979" t="n"/>
      <c r="AI46" s="979" t="n"/>
      <c r="AJ46" s="979" t="n"/>
      <c r="AK46" s="979" t="n"/>
      <c r="AL46" s="979" t="n"/>
      <c r="AM46" s="979" t="n"/>
      <c r="AN46" s="979" t="n"/>
      <c r="AO46" s="979" t="n"/>
      <c r="AP46" s="979" t="n"/>
      <c r="AQ46" s="978" t="n"/>
      <c r="AR46" s="978" t="n"/>
      <c r="AS46" s="979" t="n"/>
      <c r="AT46" s="979" t="n"/>
      <c r="AU46" s="979" t="n"/>
      <c r="AV46" s="979" t="n"/>
      <c r="AW46" s="979" t="n"/>
      <c r="AX46" s="979" t="n"/>
      <c r="AY46" s="979" t="n"/>
      <c r="AZ46" s="979" t="n"/>
      <c r="BA46" s="979" t="n"/>
      <c r="BB46" s="991" t="n"/>
      <c r="BC46" s="979" t="n"/>
      <c r="BD46" s="979" t="n"/>
      <c r="BE46" s="979" t="n"/>
      <c r="BF46" s="979" t="n"/>
      <c r="BG46" s="979" t="n"/>
      <c r="BH46" s="979" t="n"/>
      <c r="BI46" s="979" t="n"/>
      <c r="BJ46" s="979" t="n"/>
      <c r="BK46" s="979" t="n"/>
      <c r="BL46" s="979" t="n"/>
      <c r="BM46" s="979" t="n"/>
      <c r="BN46" s="979" t="n"/>
      <c r="BO46" s="979" t="n"/>
      <c r="BP46" s="979" t="n"/>
      <c r="BQ46" s="979" t="n"/>
      <c r="BR46" s="979" t="n"/>
      <c r="BS46" s="979" t="n"/>
      <c r="BT46" s="979" t="n">
        <v>3869188</v>
      </c>
      <c r="BU46" s="978" t="n">
        <v>34850352</v>
      </c>
      <c r="BV46" s="978" t="n">
        <v>1151709</v>
      </c>
      <c r="BW46" s="978" t="n">
        <v>6924913</v>
      </c>
      <c r="BX46" s="978" t="n"/>
      <c r="BY46" s="978" t="n"/>
      <c r="BZ46" s="978" t="n"/>
      <c r="CA46" s="978" t="n"/>
      <c r="CB46" s="978" t="n"/>
      <c r="CC46" s="979" t="n"/>
      <c r="CD46" s="979" t="n"/>
      <c r="CE46" s="979" t="n"/>
      <c r="CF46" s="979" t="n"/>
      <c r="CG46" s="979" t="n"/>
      <c r="CH46" s="979" t="n"/>
      <c r="CI46" s="979" t="n"/>
      <c r="CJ46" s="979" t="n"/>
      <c r="CK46" s="979" t="n"/>
      <c r="CL46" s="979" t="n"/>
      <c r="CM46" s="979" t="n"/>
      <c r="CN46" s="991" t="n"/>
      <c r="CO46" s="979" t="n"/>
      <c r="CP46" s="979" t="n"/>
      <c r="CQ46" s="991" t="n"/>
      <c r="CR46" s="979" t="n"/>
      <c r="CS46" s="979" t="n"/>
      <c r="CT46" s="979" t="n"/>
      <c r="CU46" s="979" t="n"/>
      <c r="CV46" s="979" t="n"/>
      <c r="CW46" s="979" t="n"/>
      <c r="CX46" s="979" t="n"/>
      <c r="CY46" s="979" t="n"/>
      <c r="CZ46" s="979" t="n"/>
      <c r="DA46" s="979" t="n"/>
      <c r="DB46" s="979" t="n"/>
      <c r="DC46" s="991" t="n"/>
      <c r="DD46" s="979" t="n"/>
      <c r="DE46" s="979" t="n"/>
      <c r="DF46" s="979" t="n"/>
      <c r="DG46" s="979" t="n"/>
      <c r="DH46" s="979" t="n"/>
      <c r="DI46" s="979" t="n"/>
      <c r="DJ46" s="979" t="n"/>
      <c r="DK46" s="979" t="n"/>
      <c r="DL46" s="979" t="n"/>
      <c r="DM46" s="979" t="n"/>
      <c r="DN46" s="979" t="n"/>
      <c r="DO46" s="979" t="n"/>
      <c r="DP46" s="979" t="n"/>
      <c r="DQ46" s="979" t="n"/>
      <c r="DR46" s="979" t="n"/>
      <c r="DS46" s="979" t="n"/>
      <c r="DT46" s="979" t="n"/>
      <c r="DU46" s="979" t="n"/>
      <c r="DV46" s="979" t="n"/>
      <c r="DW46" s="979" t="n"/>
      <c r="DX46" s="979" t="n"/>
      <c r="DY46" s="979" t="n"/>
      <c r="DZ46" s="979" t="n"/>
      <c r="EA46" s="979" t="n"/>
      <c r="EB46" s="979" t="n"/>
      <c r="EC46" s="979" t="n"/>
      <c r="ED46" s="979" t="n"/>
      <c r="EE46" s="979" t="n"/>
      <c r="EP46" s="979" t="n"/>
      <c r="EQ46" s="979" t="n"/>
      <c r="ER46" s="979" t="n"/>
      <c r="ES46" s="979" t="n"/>
      <c r="ET46" s="979" t="n"/>
      <c r="EU46" s="979" t="n"/>
      <c r="EV46" s="979" t="n"/>
      <c r="EW46" s="979" t="n"/>
      <c r="EX46" s="979" t="n"/>
      <c r="EY46" s="979" t="n"/>
      <c r="EZ46" s="979" t="n"/>
      <c r="FA46" s="979" t="n"/>
      <c r="FB46" s="979" t="n"/>
    </row>
    <row r="47" customFormat="1" s="108">
      <c r="A47" s="108">
        <f>B47&amp;C47</f>
        <v/>
      </c>
      <c r="B47" s="108" t="n">
        <v>2312</v>
      </c>
      <c r="C47" s="108" t="inlineStr">
        <is>
          <t>신한라이프</t>
        </is>
      </c>
      <c r="D47" s="979" t="n">
        <v>58508315</v>
      </c>
      <c r="E47" s="979" t="n">
        <v>11478700</v>
      </c>
      <c r="F47" s="979" t="n">
        <v>35345575</v>
      </c>
      <c r="G47" s="979">
        <f>4348023+4707291</f>
        <v/>
      </c>
      <c r="H47" s="979" t="n">
        <v>274581</v>
      </c>
      <c r="I47" s="991">
        <f>+E47/$D47</f>
        <v/>
      </c>
      <c r="J47" s="991">
        <f>+F47/$D47</f>
        <v/>
      </c>
      <c r="K47" s="991">
        <f>+G47/$D47</f>
        <v/>
      </c>
      <c r="L47" s="979" t="n">
        <v>50061766</v>
      </c>
      <c r="M47" s="979" t="n">
        <v>45528986</v>
      </c>
      <c r="N47" s="978">
        <f>O47-P47</f>
        <v/>
      </c>
      <c r="O47" s="978" t="n">
        <v>8446549</v>
      </c>
      <c r="P47" s="978" t="n">
        <v>299452</v>
      </c>
      <c r="Q47" s="978" t="n">
        <v>117417</v>
      </c>
      <c r="R47" s="978" t="n">
        <v>6629922</v>
      </c>
      <c r="S47" s="978" t="n">
        <v>8134009</v>
      </c>
      <c r="T47" s="978">
        <f>N46</f>
        <v/>
      </c>
      <c r="U47" s="979" t="n">
        <v>52552500</v>
      </c>
      <c r="V47" s="979" t="n">
        <v>50931900</v>
      </c>
      <c r="W47" s="109" t="n">
        <v>0.969</v>
      </c>
      <c r="X47" s="978" t="n">
        <v>117417</v>
      </c>
      <c r="Y47" s="978">
        <f>-2491054-6206</f>
        <v/>
      </c>
      <c r="Z47" s="978" t="n">
        <v>2572059</v>
      </c>
      <c r="AA47" s="978" t="n">
        <v>13280</v>
      </c>
      <c r="AB47" s="978" t="n">
        <v>45462</v>
      </c>
      <c r="AC47" s="978" t="n"/>
      <c r="AD47" s="978" t="n">
        <v>-16124</v>
      </c>
      <c r="AE47" s="978">
        <f>X47-SUM(Y47:AD47)</f>
        <v/>
      </c>
      <c r="AF47" s="979" t="n">
        <v>663624</v>
      </c>
      <c r="AG47" s="979" t="n">
        <v>2669499</v>
      </c>
      <c r="AH47" s="979">
        <f>1881746-124129</f>
        <v/>
      </c>
      <c r="AI47" s="979" t="n">
        <v>2693</v>
      </c>
      <c r="AJ47" s="979">
        <f>364541-2500731</f>
        <v/>
      </c>
      <c r="AK47" s="979">
        <f>71631-19095</f>
        <v/>
      </c>
      <c r="AL47" s="979">
        <f>+AI47-AJ47-AK47+AM47-AN47</f>
        <v/>
      </c>
      <c r="AM47" s="979" t="n">
        <v>16925</v>
      </c>
      <c r="AN47" s="979">
        <f>30483+12489+10924-80773</f>
        <v/>
      </c>
      <c r="AO47" s="979" t="n">
        <v>666317</v>
      </c>
      <c r="AP47" s="979" t="n">
        <v>-23943</v>
      </c>
      <c r="AQ47" s="978" t="n">
        <v>642374</v>
      </c>
      <c r="AR47" s="978" t="n">
        <v>481851</v>
      </c>
      <c r="AS47" s="979">
        <f>+AO47+AP47-AQ47</f>
        <v/>
      </c>
      <c r="AT47" s="979">
        <f>+AJ47+AK47+AL47-AM47+AN47-AI47</f>
        <v/>
      </c>
      <c r="AU47" s="979">
        <f>+AF47+AI47-AO47</f>
        <v/>
      </c>
      <c r="AV47" s="979">
        <f>+AF47</f>
        <v/>
      </c>
      <c r="AW47" s="979">
        <f>+AI47</f>
        <v/>
      </c>
      <c r="AX47" s="979">
        <f>+AP47</f>
        <v/>
      </c>
      <c r="AY47" s="979">
        <f>+SUM(AV47:AX47)</f>
        <v/>
      </c>
      <c r="AZ47" s="979" t="n"/>
      <c r="BA47" s="979" t="n"/>
      <c r="BB47" s="991">
        <f>+BF47/(BU47+BV47+BW47)</f>
        <v/>
      </c>
      <c r="BC47" s="979" t="n">
        <v>113667</v>
      </c>
      <c r="BD47" s="979" t="n">
        <v>2091114</v>
      </c>
      <c r="BE47" s="979" t="n"/>
      <c r="BF47" s="979">
        <f>+-2162910-20765</f>
        <v/>
      </c>
      <c r="BG47" s="979" t="n">
        <v>105477</v>
      </c>
      <c r="BH47" s="979" t="n"/>
      <c r="BI47" s="979" t="n">
        <v>-9166</v>
      </c>
      <c r="BJ47" s="979" t="n"/>
      <c r="BK47" s="979" t="n">
        <v>117417</v>
      </c>
      <c r="BL47" s="979">
        <f>+BK47-BC47-SUM(BD47:BJ47)</f>
        <v/>
      </c>
      <c r="BM47" s="979" t="n">
        <v>6321129</v>
      </c>
      <c r="BN47" s="979" t="n">
        <v>-162257</v>
      </c>
      <c r="BO47" s="979" t="n"/>
      <c r="BP47" s="979" t="n">
        <v>481851</v>
      </c>
      <c r="BQ47" s="979" t="n">
        <v>-10801</v>
      </c>
      <c r="BR47" s="979" t="n"/>
      <c r="BS47" s="979" t="n">
        <v>6629922</v>
      </c>
      <c r="BT47" s="979">
        <f>+BM47+SUM(BN47:BR47)-BS47</f>
        <v/>
      </c>
      <c r="BU47" s="978" t="n">
        <v>37208495</v>
      </c>
      <c r="BV47" s="978" t="n">
        <v>1151534</v>
      </c>
      <c r="BW47" s="978" t="n">
        <v>7168725</v>
      </c>
      <c r="BX47" s="978" t="n">
        <v>901777</v>
      </c>
      <c r="BY47" s="978" t="n">
        <v>696825</v>
      </c>
      <c r="BZ47" s="978" t="n">
        <v>-200846</v>
      </c>
      <c r="CA47" s="978" t="n">
        <v>239706</v>
      </c>
      <c r="CB47" s="978" t="n">
        <v>6924913</v>
      </c>
      <c r="CC47" s="979" t="n"/>
      <c r="CD47" s="979">
        <f>CB47+BX47-BY47+BZ47+CA47-BW47</f>
        <v/>
      </c>
      <c r="CE47" s="979" t="n">
        <v>445732</v>
      </c>
      <c r="CF47" s="979">
        <f>386402+345588</f>
        <v/>
      </c>
      <c r="CG47" s="979">
        <f>317901+296020</f>
        <v/>
      </c>
      <c r="CH47" s="979">
        <f>276423+259809+245309+233483+222606</f>
        <v/>
      </c>
      <c r="CI47" s="979">
        <f>978568+778000+609381+479845+1293657</f>
        <v/>
      </c>
      <c r="CJ47" s="979" t="n">
        <v>7168725</v>
      </c>
      <c r="CK47" s="979" t="n">
        <v>0</v>
      </c>
      <c r="CL47" s="979" t="n"/>
      <c r="CM47" s="979" t="n"/>
      <c r="CN47" s="991" t="n">
        <v>2.532</v>
      </c>
      <c r="CO47" s="979" t="n">
        <v>10973700</v>
      </c>
      <c r="CP47" s="979" t="n">
        <v>4333800</v>
      </c>
      <c r="CQ47" s="991" t="n">
        <v>2.508</v>
      </c>
      <c r="CR47" s="979" t="n">
        <v>10922400</v>
      </c>
      <c r="CS47" s="979" t="n">
        <v>4354200</v>
      </c>
      <c r="CT47" s="979" t="n"/>
      <c r="CU47" s="979" t="n">
        <v>3449210</v>
      </c>
      <c r="CV47" s="979" t="n"/>
      <c r="CW47" s="109" t="n">
        <v>0.9224</v>
      </c>
      <c r="CX47" s="109" t="n">
        <v>0.9232</v>
      </c>
      <c r="CY47" s="109" t="n">
        <v>-0.0008</v>
      </c>
      <c r="CZ47" s="991">
        <f>+CX47/CW47</f>
        <v/>
      </c>
      <c r="DA47" s="979" t="n"/>
      <c r="DB47" s="979" t="n"/>
      <c r="DC47" s="991" t="n"/>
      <c r="DD47" s="979" t="n"/>
      <c r="DE47" s="979" t="n"/>
      <c r="DF47" s="979" t="n"/>
      <c r="DG47" s="979" t="n"/>
      <c r="DH47" s="979" t="n"/>
      <c r="DI47" s="979" t="n"/>
      <c r="DJ47" s="979" t="n"/>
      <c r="DK47" s="979" t="n"/>
      <c r="DL47" s="979" t="n"/>
      <c r="DM47" s="979" t="n"/>
      <c r="DN47" s="979" t="n"/>
      <c r="DO47" s="979" t="n"/>
      <c r="DP47" s="979" t="n"/>
      <c r="DQ47" s="979" t="n"/>
      <c r="DR47" s="979" t="n"/>
      <c r="DS47" s="979" t="n"/>
      <c r="DT47" s="979" t="n"/>
      <c r="DU47" s="979" t="n"/>
      <c r="DV47" s="979" t="n"/>
      <c r="DW47" s="979" t="n"/>
      <c r="DX47" s="979" t="n"/>
      <c r="DY47" s="979" t="n"/>
      <c r="DZ47" s="979" t="n"/>
      <c r="EA47" s="979" t="n"/>
      <c r="EB47" s="979" t="n"/>
      <c r="EC47" s="979" t="n"/>
      <c r="ED47" s="979" t="n"/>
      <c r="EE47" s="979" t="n"/>
      <c r="EP47" s="979" t="n"/>
      <c r="EQ47" s="979" t="n"/>
      <c r="ER47" s="979" t="n"/>
      <c r="ES47" s="979" t="n"/>
      <c r="ET47" s="979" t="n"/>
      <c r="EU47" s="979" t="n"/>
      <c r="EV47" s="979" t="n"/>
      <c r="EW47" s="979" t="n"/>
      <c r="EX47" s="979" t="n"/>
      <c r="EY47" s="979" t="n"/>
      <c r="EZ47" s="979" t="n"/>
      <c r="FA47" s="979" t="n"/>
      <c r="FB47" s="979" t="n"/>
    </row>
    <row r="48" customFormat="1" s="108">
      <c r="A48" s="108">
        <f>B48&amp;C48</f>
        <v/>
      </c>
      <c r="B48" s="108" t="n">
        <v>2412</v>
      </c>
      <c r="C48" s="108" t="inlineStr">
        <is>
          <t>신한라이프</t>
        </is>
      </c>
      <c r="D48" s="979" t="n">
        <v>59617796</v>
      </c>
      <c r="E48" s="979" t="n">
        <v>11579983</v>
      </c>
      <c r="F48" s="979" t="n">
        <v>37647435</v>
      </c>
      <c r="G48" s="979">
        <f>3931915+3954379</f>
        <v/>
      </c>
      <c r="H48" s="979" t="n">
        <v>274581</v>
      </c>
      <c r="I48" s="991">
        <f>+E48/$D48</f>
        <v/>
      </c>
      <c r="J48" s="991">
        <f>+F48/$D48</f>
        <v/>
      </c>
      <c r="K48" s="991">
        <f>+G48/$D48</f>
        <v/>
      </c>
      <c r="L48" s="979" t="n">
        <v>52555228</v>
      </c>
      <c r="M48" s="979" t="n">
        <v>48419650</v>
      </c>
      <c r="N48" s="978">
        <f>O48-P48</f>
        <v/>
      </c>
      <c r="O48" s="980" t="n">
        <v>7062302</v>
      </c>
      <c r="P48" s="978" t="n">
        <v>299452</v>
      </c>
      <c r="Q48" s="980" t="n">
        <v>-1474328</v>
      </c>
      <c r="R48" s="978" t="n">
        <v>6837420</v>
      </c>
      <c r="S48" s="978" t="n">
        <v>8446549</v>
      </c>
      <c r="T48" s="978">
        <f>N47</f>
        <v/>
      </c>
      <c r="U48" s="979" t="n">
        <v>54103400</v>
      </c>
      <c r="V48" s="979" t="n">
        <v>52418100</v>
      </c>
      <c r="W48" s="109" t="n">
        <v>0.969</v>
      </c>
      <c r="X48" s="978" t="n">
        <v>-1474062</v>
      </c>
      <c r="Y48" s="978">
        <f>-1761100-5317</f>
        <v/>
      </c>
      <c r="Z48" s="978" t="n">
        <v>218656</v>
      </c>
      <c r="AA48" s="978" t="n">
        <v>11736</v>
      </c>
      <c r="AB48" s="978" t="n">
        <v>90681</v>
      </c>
      <c r="AC48" s="978" t="n"/>
      <c r="AD48" s="978" t="n">
        <v>-28718</v>
      </c>
      <c r="AE48" s="978">
        <f>X48-SUM(Y48:AD48)</f>
        <v/>
      </c>
      <c r="AF48" s="979" t="n">
        <v>658381</v>
      </c>
      <c r="AG48" s="979" t="n">
        <v>2900268</v>
      </c>
      <c r="AH48" s="979">
        <f>2126852-115035</f>
        <v/>
      </c>
      <c r="AI48" s="979" t="n">
        <v>80188</v>
      </c>
      <c r="AJ48" s="979">
        <f>397712-2103148</f>
        <v/>
      </c>
      <c r="AK48" s="979">
        <f>24101-24045</f>
        <v/>
      </c>
      <c r="AL48" s="979">
        <f>+AI48-AJ48-AK48+AM48-AN48</f>
        <v/>
      </c>
      <c r="AM48" s="979" t="n">
        <v>16291</v>
      </c>
      <c r="AN48" s="979">
        <f>12563+8677-81105</f>
        <v/>
      </c>
      <c r="AO48" s="979" t="n">
        <v>738569</v>
      </c>
      <c r="AP48" s="979" t="n">
        <v>-2961</v>
      </c>
      <c r="AQ48" s="978" t="n">
        <v>735608</v>
      </c>
      <c r="AR48" s="978" t="n">
        <v>533681</v>
      </c>
      <c r="AS48" s="979">
        <f>+AO48+AP48-AQ48</f>
        <v/>
      </c>
      <c r="AT48" s="979">
        <f>+AJ48+AK48+AL48-AM48+AN48-AI48</f>
        <v/>
      </c>
      <c r="AU48" s="979">
        <f>+AF48+AI48-AO48</f>
        <v/>
      </c>
      <c r="AV48" s="979">
        <f>+AF48</f>
        <v/>
      </c>
      <c r="AW48" s="979">
        <f>+AI48</f>
        <v/>
      </c>
      <c r="AX48" s="979">
        <f>+AP48</f>
        <v/>
      </c>
      <c r="AY48" s="979">
        <f>+SUM(AV48:AX48)</f>
        <v/>
      </c>
      <c r="AZ48" s="979" t="n"/>
      <c r="BA48" s="979" t="n"/>
      <c r="BB48" s="991">
        <f>+BF48/(BU48+BV48+BW48)</f>
        <v/>
      </c>
      <c r="BC48" s="980">
        <f>117417-754</f>
        <v/>
      </c>
      <c r="BD48" s="980" t="n">
        <v>731291</v>
      </c>
      <c r="BE48" s="979" t="n"/>
      <c r="BF48" s="979">
        <f>-2353403-1544</f>
        <v/>
      </c>
      <c r="BG48" s="979" t="n">
        <v>45219</v>
      </c>
      <c r="BH48" s="979" t="n">
        <v>41</v>
      </c>
      <c r="BI48" s="979" t="n">
        <v>-12594</v>
      </c>
      <c r="BJ48" s="979" t="n"/>
      <c r="BK48" s="980" t="n">
        <v>-1474328</v>
      </c>
      <c r="BL48" s="979">
        <f>+BK48-BC48-SUM(BD48:BJ48)</f>
        <v/>
      </c>
      <c r="BM48" s="979" t="n">
        <v>6629922</v>
      </c>
      <c r="BN48" s="979">
        <f>-165338-150004</f>
        <v/>
      </c>
      <c r="BO48" s="979" t="n"/>
      <c r="BP48" s="979" t="n">
        <v>533681</v>
      </c>
      <c r="BQ48" s="979" t="n">
        <v>-41</v>
      </c>
      <c r="BR48" s="979" t="n">
        <v>-10800</v>
      </c>
      <c r="BS48" s="979" t="n">
        <v>6837420</v>
      </c>
      <c r="BT48" s="979">
        <f>+BM48+SUM(BN48:BR48)-BS48</f>
        <v/>
      </c>
      <c r="BU48" s="978" t="n">
        <v>39849028</v>
      </c>
      <c r="BV48" s="978" t="n">
        <v>1346089</v>
      </c>
      <c r="BW48" s="978" t="n">
        <v>7224114</v>
      </c>
      <c r="BX48" s="978" t="n">
        <v>1264682</v>
      </c>
      <c r="BY48" s="978" t="n">
        <v>732650</v>
      </c>
      <c r="BZ48" s="978" t="n">
        <v>-732472</v>
      </c>
      <c r="CA48" s="978" t="n">
        <v>255829</v>
      </c>
      <c r="CB48" s="978" t="n">
        <v>7168725</v>
      </c>
      <c r="CC48" s="199">
        <f>+BU48/BU47</f>
        <v/>
      </c>
      <c r="CD48" s="979">
        <f>CB48+BX48-BY48+BZ48+CA48-BW48</f>
        <v/>
      </c>
      <c r="CE48" s="979" t="n">
        <v>437202</v>
      </c>
      <c r="CF48" s="979">
        <f>366019+327558</f>
        <v/>
      </c>
      <c r="CG48" s="979">
        <f>302210+279384</f>
        <v/>
      </c>
      <c r="CH48" s="979">
        <f>251445+233759+220836+209966+200534</f>
        <v/>
      </c>
      <c r="CI48" s="979">
        <f>893848+745159+621030+513795+1621366</f>
        <v/>
      </c>
      <c r="CJ48" s="979" t="n">
        <v>7224111</v>
      </c>
      <c r="CK48" s="976" t="n">
        <v>0</v>
      </c>
      <c r="CL48" s="979" t="n"/>
      <c r="CM48" s="979" t="n"/>
      <c r="CN48" s="991" t="n"/>
      <c r="CO48" s="979" t="n"/>
      <c r="CP48" s="979" t="n"/>
      <c r="CQ48" s="991" t="n">
        <v>2.057</v>
      </c>
      <c r="CR48" s="979" t="n">
        <v>9623800</v>
      </c>
      <c r="CS48" s="979" t="n">
        <v>4677600</v>
      </c>
      <c r="CT48" s="979" t="n"/>
      <c r="CU48" s="979" t="n">
        <v>3638116</v>
      </c>
      <c r="CV48" s="979" t="n"/>
      <c r="CW48" s="109" t="n">
        <v>0.9311</v>
      </c>
      <c r="CX48" s="109" t="n">
        <v>0.9626</v>
      </c>
      <c r="CY48" s="109" t="n">
        <v>-0.0315</v>
      </c>
      <c r="CZ48" s="991">
        <f>+CX48/CW48</f>
        <v/>
      </c>
      <c r="DA48" s="979" t="n"/>
      <c r="DB48" s="979" t="n"/>
      <c r="DC48" s="991" t="n"/>
      <c r="DD48" s="979" t="n"/>
      <c r="DE48" s="979" t="n"/>
      <c r="DF48" s="979" t="n"/>
      <c r="DG48" s="979" t="n"/>
      <c r="DH48" s="979" t="n"/>
      <c r="DI48" s="979" t="n"/>
      <c r="DJ48" s="979" t="n"/>
      <c r="DK48" s="979" t="n"/>
      <c r="DL48" s="979" t="n"/>
      <c r="DM48" s="979" t="n"/>
      <c r="DN48" s="979" t="n"/>
      <c r="DO48" s="979" t="n"/>
      <c r="DP48" s="979" t="n"/>
      <c r="DQ48" s="979" t="n"/>
      <c r="DR48" s="979" t="n"/>
      <c r="DS48" s="979" t="n"/>
      <c r="DT48" s="979" t="n"/>
      <c r="DU48" s="979" t="n"/>
      <c r="DV48" s="979" t="n"/>
      <c r="DW48" s="979" t="n"/>
      <c r="DX48" s="979" t="n"/>
      <c r="DY48" s="979" t="n"/>
      <c r="DZ48" s="979" t="n"/>
      <c r="EA48" s="979" t="n"/>
      <c r="EB48" s="979" t="n"/>
      <c r="EC48" s="979" t="n"/>
      <c r="ED48" s="979" t="n"/>
      <c r="EE48" s="979" t="n"/>
      <c r="EP48" s="979" t="n">
        <v>282107</v>
      </c>
      <c r="EQ48" s="979" t="n">
        <v>-468866</v>
      </c>
      <c r="ER48" s="979" t="n">
        <v>-245474</v>
      </c>
      <c r="ES48" s="979" t="n">
        <v>219456</v>
      </c>
      <c r="ET48" s="979">
        <f>904700+90800</f>
        <v/>
      </c>
      <c r="EU48" s="979" t="n"/>
      <c r="EV48" s="979" t="n"/>
      <c r="EW48" s="979" t="n">
        <v>-408712</v>
      </c>
      <c r="EX48" s="979" t="n">
        <v>455092</v>
      </c>
      <c r="EY48" s="979" t="n">
        <v>258604</v>
      </c>
      <c r="EZ48" s="979" t="n">
        <v>-217764</v>
      </c>
      <c r="FA48" s="979" t="n">
        <v>-869943</v>
      </c>
      <c r="FB48" s="979" t="n">
        <v>50251</v>
      </c>
      <c r="FC48" s="766">
        <f>SUM(EW48:FB48)-BZ48</f>
        <v/>
      </c>
    </row>
    <row r="49" customFormat="1" s="108">
      <c r="A49" s="108">
        <f>B49&amp;C49</f>
        <v/>
      </c>
      <c r="B49" s="108" t="n">
        <v>2503</v>
      </c>
      <c r="C49" s="108" t="inlineStr">
        <is>
          <t>신한라이프</t>
        </is>
      </c>
      <c r="D49" s="979" t="n">
        <v>60193893</v>
      </c>
      <c r="E49" s="979" t="n">
        <v>11699546</v>
      </c>
      <c r="F49" s="979" t="n">
        <v>38140765</v>
      </c>
      <c r="G49" s="979">
        <f>3936399+3703652</f>
        <v/>
      </c>
      <c r="H49" s="979" t="n">
        <v>314581</v>
      </c>
      <c r="I49" s="991">
        <f>+E49/$D49</f>
        <v/>
      </c>
      <c r="J49" s="991">
        <f>+F49/$D49</f>
        <v/>
      </c>
      <c r="K49" s="991">
        <f>+G49/$D49</f>
        <v/>
      </c>
      <c r="L49" s="979" t="n">
        <v>54035219</v>
      </c>
      <c r="M49" s="979" t="n">
        <v>50191711</v>
      </c>
      <c r="N49" s="978">
        <f>O49-P49</f>
        <v/>
      </c>
      <c r="O49" s="978" t="n">
        <v>6158674</v>
      </c>
      <c r="P49" s="978" t="n">
        <v>299452</v>
      </c>
      <c r="Q49" s="978" t="n">
        <v>-2162591</v>
      </c>
      <c r="R49" s="978" t="n">
        <v>6622055</v>
      </c>
      <c r="S49" s="978" t="n">
        <v>7062568</v>
      </c>
      <c r="T49" s="978">
        <f>N48</f>
        <v/>
      </c>
      <c r="U49" s="979" t="n">
        <v>54727500</v>
      </c>
      <c r="V49" s="979" t="n">
        <v>52946800</v>
      </c>
      <c r="W49" s="109" t="n">
        <v>0.967</v>
      </c>
      <c r="X49" s="978" t="n">
        <v>-2162591</v>
      </c>
      <c r="Y49" s="978" t="n">
        <v>-1079336</v>
      </c>
      <c r="Z49" s="978" t="n">
        <v>-1195742</v>
      </c>
      <c r="AA49" s="978" t="n">
        <v>5381</v>
      </c>
      <c r="AB49" s="978" t="n">
        <v>135824</v>
      </c>
      <c r="AC49" s="978" t="n"/>
      <c r="AD49" s="978" t="n">
        <v>-28718</v>
      </c>
      <c r="AE49" s="978">
        <f>X49-SUM(Y49:AD49)</f>
        <v/>
      </c>
      <c r="AF49" s="979" t="n">
        <v>189026</v>
      </c>
      <c r="AG49" s="979" t="n">
        <v>764463</v>
      </c>
      <c r="AH49" s="979" t="n">
        <v>555284</v>
      </c>
      <c r="AI49" s="979" t="n">
        <v>41220</v>
      </c>
      <c r="AJ49" s="979">
        <f>58911-511387</f>
        <v/>
      </c>
      <c r="AK49" s="979">
        <f>11155-10726</f>
        <v/>
      </c>
      <c r="AL49" s="979">
        <f>+AI49-AJ49-AK49+AM49-AN49</f>
        <v/>
      </c>
      <c r="AM49" s="979" t="n">
        <v>3646</v>
      </c>
      <c r="AN49" s="979">
        <f>2289+696-20233</f>
        <v/>
      </c>
      <c r="AO49" s="979" t="n">
        <v>230246</v>
      </c>
      <c r="AP49" s="979" t="n">
        <v>-6961</v>
      </c>
      <c r="AQ49" s="978" t="n">
        <v>223285</v>
      </c>
      <c r="AR49" s="978" t="n">
        <v>165632</v>
      </c>
      <c r="AS49" s="979">
        <f>+AO49+AP49-AQ49</f>
        <v/>
      </c>
      <c r="AT49" s="979">
        <f>+AJ49+AK49+AL49-AM49+AN49-AI49</f>
        <v/>
      </c>
      <c r="AU49" s="979">
        <f>+AF49+AI49-AO49</f>
        <v/>
      </c>
      <c r="AV49" s="979">
        <f>+AF49</f>
        <v/>
      </c>
      <c r="AW49" s="979">
        <f>+AI49</f>
        <v/>
      </c>
      <c r="AX49" s="979">
        <f>+AP49</f>
        <v/>
      </c>
      <c r="AY49" s="979">
        <f>+SUM(AV49:AX49)</f>
        <v/>
      </c>
      <c r="AZ49" s="979" t="n"/>
      <c r="BA49" s="979" t="n"/>
      <c r="BB49" s="991" t="n"/>
      <c r="BC49" s="979" t="n">
        <v>-1474062</v>
      </c>
      <c r="BD49" s="979" t="n">
        <v>687081</v>
      </c>
      <c r="BE49" s="979" t="n"/>
      <c r="BF49" s="979">
        <f>-1414398-6355</f>
        <v/>
      </c>
      <c r="BG49" s="979" t="n">
        <v>45143</v>
      </c>
      <c r="BH49" s="979" t="n"/>
      <c r="BI49" s="979" t="n"/>
      <c r="BJ49" s="979" t="n"/>
      <c r="BK49" s="979" t="n">
        <v>-2162591</v>
      </c>
      <c r="BL49" s="979">
        <f>+BK49-BC49-SUM(BD49:BJ49)</f>
        <v/>
      </c>
      <c r="BM49" s="979" t="n">
        <v>6837420</v>
      </c>
      <c r="BN49" s="979" t="n">
        <v>-378307</v>
      </c>
      <c r="BO49" s="979" t="n"/>
      <c r="BP49" s="979" t="n">
        <v>165632</v>
      </c>
      <c r="BQ49" s="979" t="n"/>
      <c r="BR49" s="979" t="n">
        <v>-2690</v>
      </c>
      <c r="BS49" s="979" t="n">
        <v>6622055</v>
      </c>
      <c r="BT49" s="979">
        <f>+BM49+SUM(BN49:BR49)-BS49</f>
        <v/>
      </c>
      <c r="BU49" s="978" t="n">
        <v>41392217</v>
      </c>
      <c r="BV49" s="978" t="n">
        <v>1374274</v>
      </c>
      <c r="BW49" s="978" t="n">
        <v>7424312</v>
      </c>
      <c r="BX49" s="978" t="n">
        <v>366893</v>
      </c>
      <c r="BY49" s="978" t="n">
        <v>183598</v>
      </c>
      <c r="BZ49" s="978" t="n">
        <v>-47799</v>
      </c>
      <c r="CA49" s="978" t="n">
        <v>64702</v>
      </c>
      <c r="CB49" s="978" t="n">
        <v>7224114</v>
      </c>
      <c r="CC49" s="979" t="n"/>
      <c r="CD49" s="979">
        <f>CB49+BX49-BY49+BZ49+CA49-BW49</f>
        <v/>
      </c>
      <c r="CE49" s="979" t="n">
        <v>437133</v>
      </c>
      <c r="CF49" s="979">
        <f>372044+334823</f>
        <v/>
      </c>
      <c r="CG49" s="979">
        <f>309490+284289</f>
        <v/>
      </c>
      <c r="CH49" s="979">
        <f>254657+236923+224178+213772+204103</f>
        <v/>
      </c>
      <c r="CI49" s="979">
        <f>914449+767032+642758+533144+1695517</f>
        <v/>
      </c>
      <c r="CJ49" s="979" t="n">
        <v>7424312</v>
      </c>
      <c r="CK49" s="976" t="n">
        <v>0</v>
      </c>
      <c r="CL49" s="979" t="n"/>
      <c r="CM49" s="979" t="n"/>
      <c r="CN49" s="991" t="n"/>
      <c r="CO49" s="979" t="n"/>
      <c r="CP49" s="979" t="n"/>
      <c r="CQ49" s="991" t="n">
        <v>1.883</v>
      </c>
      <c r="CR49" s="979" t="n">
        <v>9206600</v>
      </c>
      <c r="CS49" s="979" t="n">
        <v>4888200</v>
      </c>
      <c r="CT49" s="979" t="n"/>
      <c r="CU49" s="979" t="n">
        <v>3904563</v>
      </c>
      <c r="CV49" s="979" t="n"/>
      <c r="CW49" s="109" t="n"/>
      <c r="CX49" s="109" t="n"/>
      <c r="CY49" s="109" t="n"/>
      <c r="CZ49" s="991" t="n"/>
      <c r="DA49" s="979" t="n"/>
      <c r="DB49" s="979" t="n"/>
      <c r="DC49" s="991" t="n"/>
      <c r="DD49" s="979" t="n"/>
      <c r="DE49" s="979" t="n"/>
      <c r="DF49" s="979" t="n"/>
      <c r="DG49" s="979" t="n"/>
      <c r="DH49" s="979" t="n"/>
      <c r="DI49" s="979" t="n"/>
      <c r="DJ49" s="979" t="n"/>
      <c r="DK49" s="979" t="n"/>
      <c r="DL49" s="979" t="n"/>
      <c r="DM49" s="979" t="n"/>
      <c r="DN49" s="979" t="n"/>
      <c r="DO49" s="979" t="n"/>
      <c r="DP49" s="979" t="n"/>
      <c r="DQ49" s="979" t="n"/>
      <c r="DR49" s="979" t="n"/>
      <c r="DS49" s="979" t="n"/>
      <c r="DT49" s="979" t="n"/>
      <c r="DU49" s="979" t="n"/>
      <c r="DV49" s="979" t="n"/>
      <c r="DW49" s="979" t="n"/>
      <c r="DX49" s="979" t="n"/>
      <c r="DY49" s="979" t="n"/>
      <c r="DZ49" s="979" t="n"/>
      <c r="EA49" s="979" t="n"/>
      <c r="EB49" s="979" t="n"/>
      <c r="EC49" s="979" t="n"/>
      <c r="ED49" s="979" t="n"/>
      <c r="EE49" s="979" t="n"/>
      <c r="EP49" s="979" t="n"/>
      <c r="EQ49" s="979" t="n"/>
      <c r="ER49" s="979" t="n"/>
      <c r="ES49" s="979" t="n"/>
      <c r="ET49" s="979" t="n"/>
      <c r="EU49" s="979" t="n"/>
      <c r="EV49" s="979" t="n"/>
      <c r="EW49" s="979" t="n"/>
      <c r="EX49" s="979" t="n"/>
      <c r="EY49" s="979" t="n"/>
      <c r="EZ49" s="979" t="n"/>
      <c r="FA49" s="979" t="n"/>
      <c r="FB49" s="979" t="n"/>
      <c r="FC49" s="979" t="n"/>
    </row>
    <row r="50" customFormat="1" s="108">
      <c r="A50" s="108">
        <f>B50&amp;C50</f>
        <v/>
      </c>
      <c r="B50" s="108" t="n">
        <v>2506</v>
      </c>
      <c r="C50" s="108" t="inlineStr">
        <is>
          <t>신한라이프</t>
        </is>
      </c>
      <c r="D50" s="979" t="n">
        <v>60224722</v>
      </c>
      <c r="E50" s="979" t="n">
        <v>12155002</v>
      </c>
      <c r="F50" s="979" t="n">
        <v>37152644</v>
      </c>
      <c r="G50" s="979" t="n">
        <v>7604021</v>
      </c>
      <c r="H50" s="979" t="n">
        <v>314581</v>
      </c>
      <c r="I50" s="991">
        <f>+E50/$D50</f>
        <v/>
      </c>
      <c r="J50" s="991">
        <f>+F50/$D50</f>
        <v/>
      </c>
      <c r="K50" s="991">
        <f>+G50/$D50</f>
        <v/>
      </c>
      <c r="L50" s="979" t="n">
        <v>53792250</v>
      </c>
      <c r="M50" s="979" t="n">
        <v>49900166</v>
      </c>
      <c r="N50" s="978" t="n">
        <v>6133020</v>
      </c>
      <c r="O50" s="978" t="n">
        <v>6432472</v>
      </c>
      <c r="P50" s="978" t="n">
        <v>299452</v>
      </c>
      <c r="Q50" s="978" t="n">
        <v>-2065718</v>
      </c>
      <c r="R50" s="978" t="n">
        <v>6798980</v>
      </c>
      <c r="S50" s="978" t="n">
        <v>7062568</v>
      </c>
      <c r="T50" s="978">
        <f>T49</f>
        <v/>
      </c>
      <c r="U50" s="979" t="n">
        <v>54377600</v>
      </c>
      <c r="V50" s="979" t="n">
        <v>52072200</v>
      </c>
      <c r="W50" s="109" t="n">
        <v>0.958</v>
      </c>
      <c r="X50" s="978" t="n">
        <v>-2065718</v>
      </c>
      <c r="Y50" s="978">
        <f>-1502478-4996</f>
        <v/>
      </c>
      <c r="Z50" s="978">
        <f>-575782</f>
        <v/>
      </c>
      <c r="AA50" s="978" t="n">
        <v>-13873</v>
      </c>
      <c r="AB50" s="978" t="n">
        <v>63624</v>
      </c>
      <c r="AC50" s="978" t="n"/>
      <c r="AD50" s="978" t="n">
        <v>-32213</v>
      </c>
      <c r="AE50" s="978">
        <f>X50-SUM(Y50:AD50)</f>
        <v/>
      </c>
      <c r="AF50" s="979" t="n">
        <v>375476</v>
      </c>
      <c r="AG50" s="979" t="n">
        <v>1561218</v>
      </c>
      <c r="AH50" s="979" t="n">
        <v>1185742</v>
      </c>
      <c r="AI50" s="979" t="n">
        <v>90948</v>
      </c>
      <c r="AJ50" s="979" t="n"/>
      <c r="AK50" s="979" t="n"/>
      <c r="AL50" s="979" t="n"/>
      <c r="AM50" s="979" t="n">
        <v>0</v>
      </c>
      <c r="AN50" s="979" t="n">
        <v>0</v>
      </c>
      <c r="AO50" s="979" t="n">
        <v>466424</v>
      </c>
      <c r="AP50" s="979" t="n">
        <v>-10445</v>
      </c>
      <c r="AQ50" s="978" t="n">
        <v>455979</v>
      </c>
      <c r="AR50" s="978" t="n">
        <v>345267</v>
      </c>
      <c r="AS50" s="979">
        <f>+AO50+AP50-AQ50</f>
        <v/>
      </c>
      <c r="AT50" s="979">
        <f>+AJ50+AK50+AL50-AM50+AN50-AI50</f>
        <v/>
      </c>
      <c r="AU50" s="979">
        <f>+AF50+AI50-AO50</f>
        <v/>
      </c>
      <c r="AV50" s="979">
        <f>+AF50</f>
        <v/>
      </c>
      <c r="AW50" s="979">
        <f>+AI50</f>
        <v/>
      </c>
      <c r="AX50" s="979">
        <f>+AP50</f>
        <v/>
      </c>
      <c r="AY50" s="979">
        <f>+SUM(AV50:AX50)</f>
        <v/>
      </c>
      <c r="AZ50" s="979" t="n"/>
      <c r="BA50" s="979" t="n"/>
      <c r="BB50" s="991" t="n"/>
      <c r="BC50" s="979" t="n">
        <v>-1474062</v>
      </c>
      <c r="BD50" s="979" t="n">
        <v>258943</v>
      </c>
      <c r="BE50" s="979" t="n">
        <v>0</v>
      </c>
      <c r="BF50" s="979" t="n">
        <v>-820048</v>
      </c>
      <c r="BG50" s="979" t="n">
        <v>-27057</v>
      </c>
      <c r="BH50" s="979" t="n">
        <v>-3494</v>
      </c>
      <c r="BI50" s="979" t="n">
        <v>0</v>
      </c>
      <c r="BJ50" s="979" t="n">
        <v>0</v>
      </c>
      <c r="BK50" s="979" t="n">
        <v>-2065718</v>
      </c>
      <c r="BL50" s="979" t="n">
        <v>0</v>
      </c>
      <c r="BM50" s="979" t="n">
        <v>6837420</v>
      </c>
      <c r="BN50" s="979" t="n">
        <v>-378307</v>
      </c>
      <c r="BO50" s="979" t="n">
        <v>0</v>
      </c>
      <c r="BP50" s="979" t="n">
        <v>345267</v>
      </c>
      <c r="BQ50" s="979" t="n">
        <v>0</v>
      </c>
      <c r="BR50" s="979" t="n">
        <v>-5400</v>
      </c>
      <c r="BS50" s="979" t="n">
        <v>6798980</v>
      </c>
      <c r="BT50" s="979">
        <f>+BM50+SUM(BN50:BR50)-BS50</f>
        <v/>
      </c>
      <c r="BU50" s="978" t="n">
        <v>41241097</v>
      </c>
      <c r="BV50" s="978" t="n">
        <v>1396083</v>
      </c>
      <c r="BW50" s="978" t="n">
        <v>7262137</v>
      </c>
      <c r="BX50" s="978" t="n">
        <v>704497</v>
      </c>
      <c r="BY50" s="978" t="n">
        <v>364712</v>
      </c>
      <c r="BZ50" s="978" t="n">
        <v>-431318</v>
      </c>
      <c r="CA50" s="978" t="n">
        <v>129556</v>
      </c>
      <c r="CB50" s="978" t="n">
        <v>7224114</v>
      </c>
      <c r="CC50" s="979" t="n"/>
      <c r="CD50" s="979">
        <f>CB50+BX50-BY50+BZ50+CA50-BW50</f>
        <v/>
      </c>
      <c r="CE50" s="979" t="n">
        <v>422984</v>
      </c>
      <c r="CF50" s="979">
        <f>363420+328644</f>
        <v/>
      </c>
      <c r="CG50" s="979">
        <f>303623+275855</f>
        <v/>
      </c>
      <c r="CH50" s="979">
        <f>247608+231222+219044+209044+199415</f>
        <v/>
      </c>
      <c r="CI50" s="979">
        <f>895180+751208+627403+518972+1668515</f>
        <v/>
      </c>
      <c r="CJ50" s="979" t="n">
        <v>7262137</v>
      </c>
      <c r="CK50" s="976" t="n">
        <v>0</v>
      </c>
      <c r="CL50" s="979" t="n"/>
      <c r="CM50" s="979" t="n"/>
      <c r="CN50" s="991" t="n"/>
      <c r="CO50" s="979" t="n"/>
      <c r="CP50" s="979" t="n"/>
      <c r="CQ50" s="991" t="n">
        <v>1.996</v>
      </c>
      <c r="CR50" s="979" t="n">
        <v>9824600</v>
      </c>
      <c r="CS50" s="979" t="n">
        <v>4922200</v>
      </c>
      <c r="CT50" s="979" t="n"/>
      <c r="CU50" s="979" t="n">
        <v>4156050</v>
      </c>
      <c r="CV50" s="979" t="n"/>
      <c r="CW50" s="109" t="n"/>
      <c r="CX50" s="109" t="n"/>
      <c r="CY50" s="109" t="n"/>
      <c r="CZ50" s="991" t="n"/>
      <c r="DA50" s="979" t="n"/>
      <c r="DB50" s="979" t="n"/>
      <c r="DC50" s="991" t="n"/>
      <c r="DD50" s="979" t="n"/>
      <c r="DE50" s="979" t="n"/>
      <c r="DF50" s="979" t="n"/>
      <c r="DG50" s="979" t="n"/>
      <c r="DH50" s="979" t="n"/>
      <c r="DI50" s="979" t="n"/>
      <c r="DJ50" s="979" t="n"/>
      <c r="DK50" s="979" t="n"/>
      <c r="DL50" s="979" t="n"/>
      <c r="DM50" s="979" t="n"/>
      <c r="DN50" s="979" t="n"/>
      <c r="DO50" s="979" t="n"/>
      <c r="DP50" s="979" t="n"/>
      <c r="DQ50" s="979" t="n"/>
      <c r="DR50" s="979" t="n"/>
      <c r="DS50" s="979" t="n"/>
      <c r="DT50" s="979" t="n"/>
      <c r="DU50" s="979" t="n"/>
      <c r="DV50" s="979" t="n"/>
      <c r="DW50" s="979" t="n"/>
      <c r="DX50" s="979" t="n"/>
      <c r="DY50" s="979" t="n"/>
      <c r="DZ50" s="979" t="n"/>
      <c r="EA50" s="979" t="n"/>
      <c r="EB50" s="979" t="n"/>
      <c r="EC50" s="979" t="n"/>
      <c r="ED50" s="979" t="n"/>
      <c r="EE50" s="979" t="n"/>
      <c r="EP50" s="979" t="n"/>
      <c r="EQ50" s="979" t="n"/>
      <c r="ER50" s="979" t="n"/>
      <c r="ES50" s="979" t="n"/>
      <c r="ET50" s="979" t="n"/>
      <c r="EU50" s="979" t="n"/>
      <c r="EV50" s="979" t="n"/>
      <c r="EW50" s="979" t="n"/>
      <c r="EX50" s="979" t="n"/>
      <c r="EY50" s="979" t="n"/>
      <c r="EZ50" s="979" t="n"/>
      <c r="FA50" s="979" t="n"/>
      <c r="FB50" s="979" t="n"/>
      <c r="FC50" s="979" t="n"/>
    </row>
    <row r="51" customFormat="1" s="108">
      <c r="A51" s="108">
        <f>B51&amp;C51</f>
        <v/>
      </c>
      <c r="B51" s="108" t="n">
        <v>2509</v>
      </c>
      <c r="C51" s="108" t="inlineStr">
        <is>
          <t>신한라이프</t>
        </is>
      </c>
      <c r="D51" s="979" t="n">
        <v>60171813</v>
      </c>
      <c r="E51" s="979" t="n">
        <v>12903089</v>
      </c>
      <c r="F51" s="979" t="n">
        <v>36968359</v>
      </c>
      <c r="G51" s="979" t="n">
        <v>3945885</v>
      </c>
      <c r="H51" s="979" t="n">
        <v>339581</v>
      </c>
      <c r="I51" s="991">
        <f>+E51/$D51</f>
        <v/>
      </c>
      <c r="J51" s="991">
        <f>+F51/$D51</f>
        <v/>
      </c>
      <c r="K51" s="991">
        <f>+G51/$D51</f>
        <v/>
      </c>
      <c r="L51" s="979" t="n">
        <v>54020222</v>
      </c>
      <c r="M51" s="979" t="n">
        <v>49760283</v>
      </c>
      <c r="N51" s="978">
        <f>O51-P51</f>
        <v/>
      </c>
      <c r="O51" s="978" t="n">
        <v>6151591</v>
      </c>
      <c r="P51" s="978" t="n">
        <v>0</v>
      </c>
      <c r="Q51" s="978" t="n">
        <v>-2219352</v>
      </c>
      <c r="R51" s="978" t="n">
        <v>6971741</v>
      </c>
      <c r="S51" s="978" t="n">
        <v>7062568</v>
      </c>
      <c r="T51" s="978">
        <f>T50</f>
        <v/>
      </c>
      <c r="U51" s="979" t="n">
        <v>54151200</v>
      </c>
      <c r="V51" s="979" t="n">
        <v>52019500</v>
      </c>
      <c r="W51" s="109" t="n">
        <v>0.961</v>
      </c>
      <c r="X51" s="978" t="n">
        <v>-2219352</v>
      </c>
      <c r="Y51" s="978" t="n">
        <v>-1837805</v>
      </c>
      <c r="Z51" s="978" t="n">
        <v>-303928</v>
      </c>
      <c r="AA51" s="978" t="n">
        <v>-49198</v>
      </c>
      <c r="AB51" s="978" t="n">
        <v>3791</v>
      </c>
      <c r="AC51" s="978" t="n"/>
      <c r="AD51" s="978" t="n">
        <v>-32212</v>
      </c>
      <c r="AE51" s="978">
        <f>X51-SUM(Y51:AD51)</f>
        <v/>
      </c>
      <c r="AF51" s="979" t="n">
        <v>579358</v>
      </c>
      <c r="AG51" s="979" t="n">
        <v>2386344</v>
      </c>
      <c r="AH51" s="979" t="n">
        <v>1742361</v>
      </c>
      <c r="AI51" s="979" t="n">
        <v>124322</v>
      </c>
      <c r="AJ51" s="979">
        <f>159176-2092551</f>
        <v/>
      </c>
      <c r="AK51" s="979">
        <f>49125-40126</f>
        <v/>
      </c>
      <c r="AL51" s="979">
        <f>+AI51-AJ51-AK51+AM51-AN51</f>
        <v/>
      </c>
      <c r="AM51" s="979" t="n">
        <v>12608</v>
      </c>
      <c r="AN51" s="979">
        <f>7141+1970-58991</f>
        <v/>
      </c>
      <c r="AO51" s="979" t="n">
        <v>703680</v>
      </c>
      <c r="AP51" s="979" t="n">
        <v>-11464</v>
      </c>
      <c r="AQ51" s="978" t="n">
        <v>692216</v>
      </c>
      <c r="AR51" s="978" t="n">
        <v>519261</v>
      </c>
      <c r="AS51" s="979">
        <f>+AO51+AP51-AQ51</f>
        <v/>
      </c>
      <c r="AT51" s="979">
        <f>+AJ51+AK51+AL51-AM51+AN51-AI51</f>
        <v/>
      </c>
      <c r="AU51" s="979">
        <f>+AF51+AI51-AO51</f>
        <v/>
      </c>
      <c r="AV51" s="979">
        <f>+AF51</f>
        <v/>
      </c>
      <c r="AW51" s="979">
        <f>+AI51</f>
        <v/>
      </c>
      <c r="AX51" s="979">
        <f>+AP51</f>
        <v/>
      </c>
      <c r="AY51" s="979">
        <f>+SUM(AV51:AX51)</f>
        <v/>
      </c>
      <c r="AZ51" s="979" t="n"/>
      <c r="BA51" s="979" t="n"/>
      <c r="BB51" s="991" t="n"/>
      <c r="BC51" s="979" t="n">
        <v>-1474062</v>
      </c>
      <c r="BD51" s="979" t="n">
        <v>-71388</v>
      </c>
      <c r="BE51" s="979" t="n"/>
      <c r="BF51" s="979">
        <f>+-522584+-60934</f>
        <v/>
      </c>
      <c r="BG51" s="979" t="n">
        <v>-86890</v>
      </c>
      <c r="BH51" s="979" t="n"/>
      <c r="BI51" s="979" t="n">
        <v>-3494</v>
      </c>
      <c r="BJ51" s="979" t="n"/>
      <c r="BK51" s="979" t="n">
        <v>-2219352</v>
      </c>
      <c r="BL51" s="978">
        <f>+BK51-BC51-SUM(BD51:BJ51)</f>
        <v/>
      </c>
      <c r="BM51" s="979" t="n">
        <v>6837420</v>
      </c>
      <c r="BN51" s="979" t="n">
        <v>-378307</v>
      </c>
      <c r="BO51" s="979" t="n"/>
      <c r="BP51" s="979" t="n">
        <v>519261</v>
      </c>
      <c r="BQ51" s="979" t="n"/>
      <c r="BR51" s="979" t="n">
        <v>-6633</v>
      </c>
      <c r="BS51" s="979" t="n">
        <v>6971741</v>
      </c>
      <c r="BT51" s="979">
        <f>+BM51+SUM(BN51:BR51)-BS51</f>
        <v/>
      </c>
      <c r="BU51" s="978" t="n">
        <v>40729320</v>
      </c>
      <c r="BV51" s="978" t="n">
        <v>1423792</v>
      </c>
      <c r="BW51" s="978" t="n">
        <v>7606162</v>
      </c>
      <c r="BX51" s="978" t="n">
        <v>1200711</v>
      </c>
      <c r="BY51" s="978" t="n">
        <v>549620</v>
      </c>
      <c r="BZ51" s="978" t="n">
        <v>-465618</v>
      </c>
      <c r="CA51" s="978" t="n">
        <v>196575</v>
      </c>
      <c r="CB51" s="978" t="n">
        <v>7224114</v>
      </c>
      <c r="CC51" s="979" t="n"/>
      <c r="CD51" s="979">
        <f>CB51+BX51-BY51+BZ51+CA51-BW51</f>
        <v/>
      </c>
      <c r="CE51" s="979" t="n">
        <v>434842</v>
      </c>
      <c r="CF51" s="979">
        <f>377338+341934</f>
        <v/>
      </c>
      <c r="CG51" s="979">
        <f>314993+283543</f>
        <v/>
      </c>
      <c r="CH51" s="979">
        <f>256223+239997+227899+217824+208156</f>
        <v/>
      </c>
      <c r="CI51" s="979">
        <f>936168+790049+661689+547667+1767840</f>
        <v/>
      </c>
      <c r="CJ51" s="979" t="n">
        <v>7606162</v>
      </c>
      <c r="CK51" s="979">
        <f>CJ51-SUM(CE51:CI51)</f>
        <v/>
      </c>
      <c r="CL51" s="979" t="n"/>
      <c r="CM51" s="979" t="n"/>
      <c r="CN51" s="991" t="n"/>
      <c r="CO51" s="979" t="n"/>
      <c r="CP51" s="979" t="n"/>
      <c r="CQ51" s="991" t="n">
        <v>1.897</v>
      </c>
      <c r="CR51" s="979" t="n">
        <v>9644100</v>
      </c>
      <c r="CS51" s="979" t="n">
        <v>5085100</v>
      </c>
      <c r="CT51" s="979" t="n"/>
      <c r="CU51" s="979" t="n">
        <v>4572593</v>
      </c>
      <c r="CV51" s="979" t="n"/>
      <c r="CW51" s="109" t="n"/>
      <c r="CX51" s="109" t="n"/>
      <c r="CY51" s="109" t="n"/>
      <c r="CZ51" s="991" t="n"/>
      <c r="DA51" s="979" t="n"/>
      <c r="DB51" s="979" t="n"/>
      <c r="DC51" s="991" t="n"/>
      <c r="DD51" s="979" t="n"/>
      <c r="DE51" s="979" t="n"/>
      <c r="DF51" s="979" t="n"/>
      <c r="DG51" s="979" t="n"/>
      <c r="DH51" s="979" t="n"/>
      <c r="DI51" s="979" t="n"/>
      <c r="DJ51" s="979" t="n"/>
      <c r="DK51" s="979" t="n"/>
      <c r="DL51" s="979" t="n"/>
      <c r="DM51" s="979" t="n"/>
      <c r="DN51" s="979" t="n"/>
      <c r="DO51" s="979" t="n"/>
      <c r="DP51" s="979" t="n"/>
      <c r="DQ51" s="979" t="n"/>
      <c r="DR51" s="979" t="n"/>
      <c r="DS51" s="979" t="n"/>
      <c r="DT51" s="979" t="n"/>
      <c r="DU51" s="979" t="n"/>
      <c r="DV51" s="979" t="n"/>
      <c r="DW51" s="979" t="n"/>
      <c r="DX51" s="979" t="n"/>
      <c r="DY51" s="979" t="n"/>
      <c r="DZ51" s="979" t="n"/>
      <c r="EA51" s="979" t="n"/>
      <c r="EB51" s="979" t="n"/>
      <c r="EC51" s="979" t="n"/>
      <c r="ED51" s="979" t="n"/>
      <c r="EE51" s="979" t="n"/>
      <c r="EP51" s="979" t="n"/>
      <c r="EQ51" s="979" t="n"/>
      <c r="ER51" s="979" t="n"/>
      <c r="ES51" s="979" t="n"/>
      <c r="ET51" s="979" t="n"/>
      <c r="EU51" s="979" t="n"/>
      <c r="EV51" s="979" t="n"/>
      <c r="EW51" s="979" t="n"/>
      <c r="EX51" s="979" t="n"/>
      <c r="EY51" s="979" t="n"/>
      <c r="EZ51" s="979" t="n"/>
      <c r="FA51" s="979" t="n"/>
      <c r="FB51" s="979" t="n"/>
      <c r="FC51" s="979" t="n"/>
    </row>
    <row r="52" customFormat="1" s="108">
      <c r="A52" s="108">
        <f>B52&amp;C52</f>
        <v/>
      </c>
      <c r="B52" s="108" t="n">
        <v>2512</v>
      </c>
      <c r="C52" s="108" t="inlineStr">
        <is>
          <t>신한라이프</t>
        </is>
      </c>
      <c r="D52" s="979" t="n">
        <v>59448032</v>
      </c>
      <c r="E52" s="979" t="n">
        <v>13265276</v>
      </c>
      <c r="F52" s="979" t="n">
        <v>35288458</v>
      </c>
      <c r="G52" s="979" t="n">
        <v>3950344</v>
      </c>
      <c r="H52" s="979" t="n">
        <v>339581</v>
      </c>
      <c r="I52" s="991">
        <f>+E52/$D52</f>
        <v/>
      </c>
      <c r="J52" s="991">
        <f>+F52/$D52</f>
        <v/>
      </c>
      <c r="K52" s="991">
        <f>+G52/$D52</f>
        <v/>
      </c>
      <c r="L52" s="979" t="n">
        <v>53208738</v>
      </c>
      <c r="M52" s="979" t="n">
        <v>47912623</v>
      </c>
      <c r="N52" s="978">
        <f>O52-P52</f>
        <v/>
      </c>
      <c r="O52" s="978" t="n">
        <v>6239294</v>
      </c>
      <c r="P52" s="978" t="n"/>
      <c r="Q52" s="978" t="n">
        <v>-2128291</v>
      </c>
      <c r="R52" s="978" t="n">
        <v>6968397</v>
      </c>
      <c r="S52" s="978" t="n">
        <v>7062302</v>
      </c>
      <c r="T52" s="978">
        <f>+N48</f>
        <v/>
      </c>
      <c r="U52" s="979" t="n">
        <v>53086900</v>
      </c>
      <c r="V52" s="979" t="n">
        <v>51175100</v>
      </c>
      <c r="W52" s="109" t="n">
        <v>0.964</v>
      </c>
      <c r="X52" s="978" t="n">
        <v>-2128291</v>
      </c>
      <c r="Y52" s="978">
        <f>+-3238354+-5936</f>
        <v/>
      </c>
      <c r="Z52" s="978" t="n">
        <v>1497528</v>
      </c>
      <c r="AA52" s="978" t="n">
        <v>-141935</v>
      </c>
      <c r="AB52" s="978" t="n">
        <v>-209393</v>
      </c>
      <c r="AC52" s="978" t="n"/>
      <c r="AD52" s="978" t="n">
        <v>-30201</v>
      </c>
      <c r="AE52" s="978">
        <f>X52-SUM(Y52:AD52)</f>
        <v/>
      </c>
      <c r="AF52" s="979" t="n">
        <v>704153</v>
      </c>
      <c r="AG52" s="979" t="n">
        <v>3236219</v>
      </c>
      <c r="AH52" s="979" t="n">
        <v>2433089</v>
      </c>
      <c r="AI52" s="979" t="n">
        <v>92533</v>
      </c>
      <c r="AJ52" s="979">
        <f>204421-2990559</f>
        <v/>
      </c>
      <c r="AK52" s="979">
        <f>68751-57872</f>
        <v/>
      </c>
      <c r="AL52" s="979">
        <f>+AI52-AJ52-AK52+AM52-AN52</f>
        <v/>
      </c>
      <c r="AM52" s="979" t="n">
        <v>18342</v>
      </c>
      <c r="AN52" s="979">
        <f>9481+2771-115310</f>
        <v/>
      </c>
      <c r="AO52" s="979" t="n">
        <v>796686</v>
      </c>
      <c r="AP52" s="979" t="n">
        <v>-148</v>
      </c>
      <c r="AQ52" s="978" t="n">
        <v>796538</v>
      </c>
      <c r="AR52" s="978" t="n">
        <v>515916</v>
      </c>
      <c r="AS52" s="979">
        <f>+AO52+AP52-AQ52</f>
        <v/>
      </c>
      <c r="AT52" s="979">
        <f>+AJ52+AK52+AL52-AM52+AN52-AI52</f>
        <v/>
      </c>
      <c r="AU52" s="979">
        <f>+AF52+AI52-AO52</f>
        <v/>
      </c>
      <c r="AV52" s="979">
        <f>+AF52</f>
        <v/>
      </c>
      <c r="AW52" s="979">
        <f>+AI52</f>
        <v/>
      </c>
      <c r="AX52" s="979">
        <f>+AP52</f>
        <v/>
      </c>
      <c r="AY52" s="979">
        <f>+SUM(AV52:AX52)</f>
        <v/>
      </c>
      <c r="AZ52" s="979" t="n"/>
      <c r="BA52" s="979" t="n"/>
      <c r="BB52" s="991" t="n"/>
      <c r="BC52" s="979" t="n">
        <v>-1474328</v>
      </c>
      <c r="BD52" s="979" t="n">
        <v>-1477607</v>
      </c>
      <c r="BE52" s="979" t="n"/>
      <c r="BF52" s="979">
        <f>1278873+-153671</f>
        <v/>
      </c>
      <c r="BG52" s="979" t="n">
        <v>-300075</v>
      </c>
      <c r="BH52" s="979" t="n"/>
      <c r="BI52" s="979" t="n">
        <v>-1483</v>
      </c>
      <c r="BJ52" s="979" t="n"/>
      <c r="BK52" s="979" t="n">
        <v>-2128291</v>
      </c>
      <c r="BL52" s="978">
        <f>+BK52-BC52-SUM(BD52:BJ52)</f>
        <v/>
      </c>
      <c r="BM52" s="979" t="n">
        <v>6837420</v>
      </c>
      <c r="BN52" s="979" t="n">
        <v>-378307</v>
      </c>
      <c r="BO52" s="979" t="n"/>
      <c r="BP52" s="979" t="n">
        <v>515916</v>
      </c>
      <c r="BQ52" s="979" t="n"/>
      <c r="BR52" s="979" t="n">
        <v>-6632</v>
      </c>
      <c r="BS52" s="979" t="n">
        <v>6968397</v>
      </c>
      <c r="BT52" s="979">
        <f>+BM52+SUM(BN52:BR52)-BS52</f>
        <v/>
      </c>
      <c r="BU52" s="978">
        <f>4939822+28507505+5512825</f>
        <v/>
      </c>
      <c r="BV52" s="978">
        <f>19239+1300007+78339</f>
        <v/>
      </c>
      <c r="BW52" s="978">
        <f>130866+7199650+223218</f>
        <v/>
      </c>
      <c r="BX52" s="978">
        <f>1+1641786+4211</f>
        <v/>
      </c>
      <c r="BY52" s="978">
        <f>12101+703064+20064</f>
        <v/>
      </c>
      <c r="BZ52" s="978">
        <f>20594-967991+100382</f>
        <v/>
      </c>
      <c r="CA52" s="978">
        <f>3838+259247+2780</f>
        <v/>
      </c>
      <c r="CB52" s="978">
        <f>+CB51</f>
        <v/>
      </c>
      <c r="CC52" s="979" t="n"/>
      <c r="CD52" s="979">
        <f>CB52+BX52-BY52+BZ52+CA52-BW52</f>
        <v/>
      </c>
      <c r="CE52" s="979" t="n">
        <v>441523</v>
      </c>
      <c r="CF52" s="979">
        <f>387405+351168</f>
        <v/>
      </c>
      <c r="CG52" s="979">
        <f>321321+286391</f>
        <v/>
      </c>
      <c r="CH52" s="979">
        <f>259104+241487+228406+217248+207231</f>
        <v/>
      </c>
      <c r="CI52" s="979">
        <f>927134+779213+650417+536269+1719419</f>
        <v/>
      </c>
      <c r="CJ52" s="979" t="n">
        <v>7553736</v>
      </c>
      <c r="CK52" s="979">
        <f>CJ52-SUM(CE52:CI52)</f>
        <v/>
      </c>
      <c r="CL52" s="979" t="n"/>
      <c r="CM52" s="979" t="n"/>
      <c r="CN52" s="991" t="n">
        <v>2.06</v>
      </c>
      <c r="CO52" s="979" t="n">
        <v>9876500</v>
      </c>
      <c r="CP52" s="979" t="n">
        <v>4793400</v>
      </c>
      <c r="CQ52" s="995" t="n">
        <v>2.06</v>
      </c>
      <c r="CR52" s="978" t="n">
        <v>9873800</v>
      </c>
      <c r="CS52" s="978" t="n">
        <v>4793500</v>
      </c>
      <c r="CT52" s="979" t="n"/>
      <c r="CU52" s="979" t="n">
        <v>4918355</v>
      </c>
      <c r="CV52" s="979" t="n"/>
      <c r="CW52" s="109" t="n">
        <v>0.9312</v>
      </c>
      <c r="CX52" s="109" t="n">
        <v>0.9939</v>
      </c>
      <c r="CY52" s="109" t="n">
        <v>-0.06270000000000001</v>
      </c>
      <c r="CZ52" s="991">
        <f>+CX52/CW52</f>
        <v/>
      </c>
      <c r="DA52" s="979" t="n"/>
      <c r="DB52" s="979" t="n"/>
      <c r="DC52" s="991" t="n"/>
      <c r="DD52" s="979" t="n"/>
      <c r="DE52" s="979" t="n"/>
      <c r="DF52" s="979" t="n"/>
      <c r="DG52" s="979" t="n"/>
      <c r="DH52" s="979" t="n"/>
      <c r="DI52" s="979" t="n"/>
      <c r="DJ52" s="979" t="n"/>
      <c r="DK52" s="979" t="n"/>
      <c r="DL52" s="979" t="n"/>
      <c r="DM52" s="979" t="n"/>
      <c r="DN52" s="979" t="n"/>
      <c r="DO52" s="979" t="n"/>
      <c r="DP52" s="979" t="n"/>
      <c r="DQ52" s="979" t="n"/>
      <c r="DR52" s="979" t="n"/>
      <c r="DS52" s="979" t="n"/>
      <c r="DT52" s="979" t="n"/>
      <c r="DU52" s="979" t="n"/>
      <c r="DV52" s="979" t="n"/>
      <c r="DW52" s="979" t="n"/>
      <c r="DX52" s="979" t="n"/>
      <c r="DY52" s="979" t="n"/>
      <c r="DZ52" s="979" t="n"/>
      <c r="EA52" s="979" t="n"/>
      <c r="EB52" s="979" t="n"/>
      <c r="EC52" s="979" t="n"/>
      <c r="ED52" s="979" t="n"/>
      <c r="EE52" s="979" t="n"/>
      <c r="EP52" s="979" t="n">
        <v>494068</v>
      </c>
      <c r="EQ52" s="979" t="n">
        <v>377457</v>
      </c>
      <c r="ER52" s="979" t="n">
        <v>-150236</v>
      </c>
      <c r="ES52" s="979" t="n">
        <v>-123488</v>
      </c>
      <c r="ET52" s="979">
        <f>296240-14436</f>
        <v/>
      </c>
      <c r="EU52" s="979">
        <f>SUM(EP52:ET52)</f>
        <v/>
      </c>
      <c r="EV52" s="979" t="n"/>
      <c r="EW52" s="979" t="n">
        <v>-472651</v>
      </c>
      <c r="EX52" s="979" t="n">
        <v>-380902</v>
      </c>
      <c r="EY52" s="979" t="n">
        <v>157884</v>
      </c>
      <c r="EZ52" s="979" t="n">
        <v>119033</v>
      </c>
      <c r="FA52" s="979" t="n">
        <v>-302970</v>
      </c>
      <c r="FB52" s="979" t="n">
        <v>32591</v>
      </c>
      <c r="FC52" s="766">
        <f>SUM(EW52:FB52)-BZ52</f>
        <v/>
      </c>
    </row>
    <row r="53" ht="16.5" customFormat="1" customHeight="1" s="108">
      <c r="A53" s="696">
        <f>B53&amp;C53</f>
        <v/>
      </c>
      <c r="B53" s="696" t="n">
        <v>2603</v>
      </c>
      <c r="C53" s="696" t="inlineStr">
        <is>
          <t>신한라이프</t>
        </is>
      </c>
      <c r="D53" s="979" t="n">
        <v>57725150</v>
      </c>
      <c r="E53" s="979" t="n">
        <v>13722907</v>
      </c>
      <c r="F53" s="979" t="n">
        <v>34894563</v>
      </c>
      <c r="G53" s="979" t="n">
        <v>6574452</v>
      </c>
      <c r="H53" s="979" t="n">
        <v>339581</v>
      </c>
      <c r="I53" s="991">
        <f>E53/D53</f>
        <v/>
      </c>
      <c r="J53" s="991">
        <f>F53/D53</f>
        <v/>
      </c>
      <c r="K53" s="991">
        <f>G53/D53</f>
        <v/>
      </c>
      <c r="L53" s="979" t="n">
        <v>51173547</v>
      </c>
      <c r="M53" s="979" t="n">
        <v>45501659</v>
      </c>
      <c r="N53" s="978">
        <f>O53-P53</f>
        <v/>
      </c>
      <c r="O53" s="978" t="n">
        <v>6551603</v>
      </c>
      <c r="P53" s="978" t="n"/>
      <c r="Q53" s="978" t="n">
        <v>-1928009</v>
      </c>
      <c r="R53" s="978" t="n">
        <v>7080424</v>
      </c>
      <c r="S53" s="978" t="n">
        <v>6239294</v>
      </c>
      <c r="T53" s="978" t="n">
        <v>6239294</v>
      </c>
      <c r="U53" s="979" t="n"/>
      <c r="V53" s="979" t="n">
        <v>49272208.16</v>
      </c>
      <c r="W53" s="109" t="n"/>
      <c r="X53" s="978">
        <f>Q53</f>
        <v/>
      </c>
      <c r="Y53" s="978" t="n"/>
      <c r="Z53" s="978" t="n">
        <v>3535369.18</v>
      </c>
      <c r="AA53" s="978" t="n">
        <v>-220550.85</v>
      </c>
      <c r="AB53" s="978" t="n">
        <v>-415948.74</v>
      </c>
      <c r="AC53" s="978" t="n"/>
      <c r="AD53" s="978" t="n">
        <v>-30200.73</v>
      </c>
      <c r="AE53" s="978" t="n"/>
      <c r="AF53" s="979" t="n">
        <v>161305</v>
      </c>
      <c r="AG53" s="979" t="n">
        <v>849240</v>
      </c>
      <c r="AH53" s="979" t="n">
        <v>670648</v>
      </c>
      <c r="AI53" s="979" t="n">
        <v>-6378</v>
      </c>
      <c r="AJ53" s="979" t="n">
        <v>-828849</v>
      </c>
      <c r="AK53" s="979" t="n">
        <v>-131</v>
      </c>
      <c r="AL53" s="979">
        <f>AI53-AJ53-AK53+AM53-AN53</f>
        <v/>
      </c>
      <c r="AM53" s="979" t="n">
        <v>5494</v>
      </c>
      <c r="AN53" s="979" t="n">
        <v>-15593</v>
      </c>
      <c r="AO53" s="979" t="n">
        <v>154927</v>
      </c>
      <c r="AP53" s="979" t="n">
        <v>-4863</v>
      </c>
      <c r="AQ53" s="978" t="n">
        <v>150064</v>
      </c>
      <c r="AR53" s="978" t="n">
        <v>112027</v>
      </c>
      <c r="AS53" s="979" t="n"/>
      <c r="AT53" s="979" t="n"/>
      <c r="AU53" s="979" t="n"/>
      <c r="AV53" s="979">
        <f>AF53</f>
        <v/>
      </c>
      <c r="AW53" s="979">
        <f>AI53</f>
        <v/>
      </c>
      <c r="AX53" s="979">
        <f>AP53</f>
        <v/>
      </c>
      <c r="AY53" s="979">
        <f>AV53+AW53+AX53</f>
        <v/>
      </c>
      <c r="AZ53" s="979" t="n"/>
      <c r="BA53" s="979" t="n"/>
      <c r="BB53" s="991" t="n"/>
      <c r="BC53" s="979" t="n">
        <v>-2128291</v>
      </c>
      <c r="BD53" s="979" t="n">
        <v>-1550815</v>
      </c>
      <c r="BE53" s="979" t="n"/>
      <c r="BF53" s="979" t="n">
        <v>1959223</v>
      </c>
      <c r="BG53" s="979" t="n">
        <v>-206555</v>
      </c>
      <c r="BH53" s="979" t="n"/>
      <c r="BI53" s="979" t="n"/>
      <c r="BJ53" s="979" t="n"/>
      <c r="BK53" s="979">
        <f>Q53</f>
        <v/>
      </c>
      <c r="BL53" s="978" t="n"/>
      <c r="BM53" s="979" t="n">
        <v>6968397</v>
      </c>
      <c r="BN53" s="979" t="n"/>
      <c r="BO53" s="979" t="n"/>
      <c r="BP53" s="979">
        <f>AR53</f>
        <v/>
      </c>
      <c r="BQ53" s="979" t="n"/>
      <c r="BR53" s="979" t="n"/>
      <c r="BS53" s="979">
        <f>R53</f>
        <v/>
      </c>
      <c r="BT53" s="979" t="n"/>
      <c r="BU53" s="978" t="n"/>
      <c r="BV53" s="978" t="n">
        <v>1387755.78</v>
      </c>
      <c r="BW53" s="978" t="n">
        <v>7722407.01</v>
      </c>
      <c r="BX53" s="978" t="n"/>
      <c r="BY53" s="978" t="n"/>
      <c r="BZ53" s="978" t="n"/>
      <c r="CA53" s="978" t="n"/>
      <c r="CB53" s="978" t="n"/>
      <c r="CC53" s="979" t="n"/>
      <c r="CD53" s="979" t="n"/>
      <c r="CE53" s="979" t="n"/>
      <c r="CF53" s="979" t="n"/>
      <c r="CG53" s="979" t="n"/>
      <c r="CH53" s="979" t="n"/>
      <c r="CI53" s="979" t="n"/>
      <c r="CJ53" s="979" t="n"/>
      <c r="CK53" s="979" t="n"/>
      <c r="CL53" s="979" t="n"/>
      <c r="CM53" s="979" t="n"/>
      <c r="CN53" s="991" t="n"/>
      <c r="CO53" s="979" t="n"/>
      <c r="CP53" s="979" t="n"/>
      <c r="CQ53" s="995" t="n">
        <v>2.01</v>
      </c>
      <c r="CR53" s="978" t="n">
        <v>10106825.97</v>
      </c>
      <c r="CS53" s="978" t="n">
        <v>5024819.46</v>
      </c>
      <c r="CT53" s="979" t="n"/>
      <c r="CU53" s="979" t="n">
        <v>5205187.92</v>
      </c>
      <c r="CV53" s="979" t="n"/>
      <c r="CW53" s="109" t="n"/>
      <c r="CX53" s="109" t="n"/>
      <c r="CY53" s="109" t="n"/>
      <c r="CZ53" s="991" t="n"/>
      <c r="DA53" s="979" t="n"/>
      <c r="DB53" s="979" t="n"/>
      <c r="DC53" s="991" t="n"/>
      <c r="DD53" s="979" t="n"/>
      <c r="DE53" s="979" t="n"/>
      <c r="DF53" s="979" t="n"/>
      <c r="DG53" s="979" t="n"/>
      <c r="DH53" s="979" t="n"/>
      <c r="DI53" s="979" t="n"/>
      <c r="DJ53" s="979" t="n"/>
      <c r="DK53" s="979" t="n"/>
      <c r="DL53" s="979" t="n"/>
      <c r="DM53" s="979" t="n"/>
      <c r="DN53" s="979" t="n"/>
      <c r="DO53" s="979" t="n"/>
      <c r="DP53" s="979" t="n"/>
      <c r="DQ53" s="979" t="n"/>
      <c r="DR53" s="979" t="n"/>
      <c r="DS53" s="979" t="n"/>
      <c r="DT53" s="979" t="n"/>
      <c r="DU53" s="979" t="n"/>
      <c r="DV53" s="979" t="n"/>
      <c r="DW53" s="979" t="n"/>
      <c r="DX53" s="979" t="n"/>
      <c r="DY53" s="979" t="n"/>
      <c r="DZ53" s="979" t="n"/>
      <c r="EA53" s="979" t="n"/>
      <c r="EB53" s="979" t="n"/>
      <c r="EC53" s="979" t="n"/>
      <c r="ED53" s="979" t="n"/>
      <c r="EE53" s="979" t="n"/>
      <c r="EP53" s="979" t="n"/>
      <c r="EQ53" s="979" t="n"/>
      <c r="ER53" s="979" t="n"/>
      <c r="ES53" s="979" t="n"/>
      <c r="ET53" s="979" t="n"/>
      <c r="EU53" s="979" t="n"/>
      <c r="EV53" s="979" t="n"/>
      <c r="EW53" s="979" t="n"/>
      <c r="EX53" s="979" t="n"/>
      <c r="EY53" s="979" t="n"/>
      <c r="EZ53" s="979" t="n"/>
      <c r="FA53" s="979" t="n"/>
      <c r="FB53" s="979" t="n"/>
      <c r="FC53" s="766" t="n"/>
    </row>
    <row r="54" ht="16.5" customFormat="1" customHeight="1" s="108">
      <c r="A54" s="696">
        <f>B54&amp;C54</f>
        <v/>
      </c>
      <c r="B54" s="696" t="n">
        <v>2606</v>
      </c>
      <c r="C54" s="696" t="inlineStr">
        <is>
          <t>신한라이프</t>
        </is>
      </c>
      <c r="D54" s="979" t="n">
        <v>59078872</v>
      </c>
      <c r="E54" s="979" t="n">
        <v>15490003</v>
      </c>
      <c r="F54" s="979" t="n">
        <v>33928203</v>
      </c>
      <c r="G54" s="979" t="n">
        <v>3188733</v>
      </c>
      <c r="H54" s="979" t="n">
        <v>339581</v>
      </c>
      <c r="I54" s="991">
        <f>E54/D54</f>
        <v/>
      </c>
      <c r="J54" s="991">
        <f>F54/D54</f>
        <v/>
      </c>
      <c r="K54" s="991">
        <f>G54/D54</f>
        <v/>
      </c>
      <c r="L54" s="979" t="n">
        <v>51810614</v>
      </c>
      <c r="M54" s="979" t="n">
        <v>45346996</v>
      </c>
      <c r="N54" s="978">
        <f>O54-P54</f>
        <v/>
      </c>
      <c r="O54" s="978" t="n">
        <v>7268258</v>
      </c>
      <c r="P54" s="978" t="n"/>
      <c r="Q54" s="978" t="n">
        <v>-1403311</v>
      </c>
      <c r="R54" s="978" t="n">
        <v>7271838</v>
      </c>
      <c r="S54" s="978" t="n">
        <v>6239294</v>
      </c>
      <c r="T54" s="978" t="n">
        <v>6239294</v>
      </c>
      <c r="U54" s="979" t="n"/>
      <c r="V54" s="979" t="n"/>
      <c r="W54" s="109" t="n"/>
      <c r="X54" s="978">
        <f>Q54</f>
        <v/>
      </c>
      <c r="Y54" s="978" t="n"/>
      <c r="Z54" s="978" t="n"/>
      <c r="AA54" s="978" t="n"/>
      <c r="AB54" s="978" t="n"/>
      <c r="AC54" s="978" t="n"/>
      <c r="AD54" s="978" t="n"/>
      <c r="AE54" s="978" t="n"/>
      <c r="AF54" s="979" t="n">
        <v>308598</v>
      </c>
      <c r="AG54" s="979" t="n">
        <v>1730321</v>
      </c>
      <c r="AH54" s="979" t="n">
        <v>1381508</v>
      </c>
      <c r="AI54" s="979" t="n">
        <v>118227</v>
      </c>
      <c r="AJ54" s="979" t="n">
        <v>-3217175</v>
      </c>
      <c r="AK54" s="979" t="n">
        <v>-1031</v>
      </c>
      <c r="AL54" s="979">
        <f>AI54-AJ54-AK54+AM54-AN54</f>
        <v/>
      </c>
      <c r="AM54" s="979" t="n">
        <v>10618</v>
      </c>
      <c r="AN54" s="979" t="n">
        <v>-31734</v>
      </c>
      <c r="AO54" s="979" t="n">
        <v>426825</v>
      </c>
      <c r="AP54" s="979" t="n">
        <v>-13591</v>
      </c>
      <c r="AQ54" s="978" t="n">
        <v>413234</v>
      </c>
      <c r="AR54" s="978" t="n">
        <v>303989</v>
      </c>
      <c r="AS54" s="979" t="n"/>
      <c r="AT54" s="979" t="n"/>
      <c r="AU54" s="979" t="n"/>
      <c r="AV54" s="979">
        <f>AF54</f>
        <v/>
      </c>
      <c r="AW54" s="979">
        <f>AI54</f>
        <v/>
      </c>
      <c r="AX54" s="979">
        <f>AP54</f>
        <v/>
      </c>
      <c r="AY54" s="979">
        <f>AV54+AW54+AX54</f>
        <v/>
      </c>
      <c r="AZ54" s="979" t="n"/>
      <c r="BA54" s="979" t="n"/>
      <c r="BB54" s="991" t="n"/>
      <c r="BC54" s="979" t="n">
        <v>-2128291</v>
      </c>
      <c r="BD54" s="979" t="n">
        <v>-2454561</v>
      </c>
      <c r="BE54" s="979" t="n"/>
      <c r="BF54" s="979" t="n">
        <v>3575851</v>
      </c>
      <c r="BG54" s="979" t="n">
        <v>-401428</v>
      </c>
      <c r="BH54" s="979" t="n"/>
      <c r="BI54" s="979" t="n">
        <v>6570</v>
      </c>
      <c r="BJ54" s="979" t="n"/>
      <c r="BK54" s="979">
        <f>Q54</f>
        <v/>
      </c>
      <c r="BL54" s="978" t="n"/>
      <c r="BM54" s="979" t="n">
        <v>6968397</v>
      </c>
      <c r="BN54" s="979" t="n"/>
      <c r="BO54" s="979" t="n"/>
      <c r="BP54" s="979">
        <f>AR54</f>
        <v/>
      </c>
      <c r="BQ54" s="979" t="n"/>
      <c r="BR54" s="979" t="n"/>
      <c r="BS54" s="979">
        <f>R54</f>
        <v/>
      </c>
      <c r="BT54" s="979" t="n"/>
      <c r="BU54" s="978" t="n"/>
      <c r="BV54" s="978" t="n"/>
      <c r="BW54" s="978" t="n"/>
      <c r="BX54" s="978" t="n"/>
      <c r="BY54" s="978" t="n"/>
      <c r="BZ54" s="978" t="n"/>
      <c r="CA54" s="978" t="n"/>
      <c r="CB54" s="978" t="n"/>
      <c r="CC54" s="979" t="n"/>
      <c r="CD54" s="979" t="n"/>
      <c r="CE54" s="979" t="n"/>
      <c r="CF54" s="979" t="n"/>
      <c r="CG54" s="979" t="n"/>
      <c r="CH54" s="979" t="n"/>
      <c r="CI54" s="979" t="n"/>
      <c r="CJ54" s="979" t="n"/>
      <c r="CK54" s="979" t="n"/>
      <c r="CL54" s="979" t="n"/>
      <c r="CM54" s="979" t="n"/>
      <c r="CN54" s="991" t="n"/>
      <c r="CO54" s="979" t="n"/>
      <c r="CP54" s="979" t="n"/>
      <c r="CQ54" s="995" t="n"/>
      <c r="CR54" s="978" t="n"/>
      <c r="CS54" s="978" t="n"/>
      <c r="CT54" s="979" t="n"/>
      <c r="CU54" s="979" t="n"/>
      <c r="CV54" s="979" t="n"/>
      <c r="CW54" s="109" t="n"/>
      <c r="CX54" s="109" t="n"/>
      <c r="CY54" s="109" t="n"/>
      <c r="CZ54" s="991" t="n"/>
      <c r="DA54" s="979" t="n"/>
      <c r="DB54" s="979" t="n"/>
      <c r="DC54" s="991" t="n"/>
      <c r="DD54" s="979" t="n"/>
      <c r="DE54" s="979" t="n"/>
      <c r="DF54" s="979" t="n"/>
      <c r="DG54" s="979" t="n"/>
      <c r="DH54" s="979" t="n"/>
      <c r="DI54" s="979" t="n"/>
      <c r="DJ54" s="979" t="n"/>
      <c r="DK54" s="979" t="n"/>
      <c r="DL54" s="979" t="n"/>
      <c r="DM54" s="979" t="n"/>
      <c r="DN54" s="979" t="n"/>
      <c r="DO54" s="979" t="n"/>
      <c r="DP54" s="979" t="n"/>
      <c r="DQ54" s="979" t="n"/>
      <c r="DR54" s="979" t="n"/>
      <c r="DS54" s="979" t="n"/>
      <c r="DT54" s="979" t="n"/>
      <c r="DU54" s="979" t="n"/>
      <c r="DV54" s="979" t="n"/>
      <c r="DW54" s="979" t="n"/>
      <c r="DX54" s="979" t="n"/>
      <c r="DY54" s="979" t="n"/>
      <c r="DZ54" s="979" t="n"/>
      <c r="EA54" s="979" t="n"/>
      <c r="EB54" s="979" t="n"/>
      <c r="EC54" s="979" t="n"/>
      <c r="ED54" s="979" t="n"/>
      <c r="EE54" s="979" t="n"/>
      <c r="EP54" s="979" t="n"/>
      <c r="EQ54" s="979" t="n"/>
      <c r="ER54" s="979" t="n"/>
      <c r="ES54" s="979" t="n"/>
      <c r="ET54" s="979" t="n"/>
      <c r="EU54" s="979" t="n"/>
      <c r="EV54" s="979" t="n"/>
      <c r="EW54" s="979" t="n"/>
      <c r="EX54" s="979" t="n"/>
      <c r="EY54" s="979" t="n"/>
      <c r="EZ54" s="979" t="n"/>
      <c r="FA54" s="979" t="n"/>
      <c r="FB54" s="979" t="n"/>
      <c r="FC54" s="766" t="n"/>
    </row>
    <row r="55" customFormat="1" s="108">
      <c r="A55" s="108">
        <f>B55&amp;C55</f>
        <v/>
      </c>
      <c r="D55" s="979" t="n"/>
      <c r="E55" s="979" t="n"/>
      <c r="F55" s="979" t="n"/>
      <c r="G55" s="979" t="n"/>
      <c r="H55" s="979" t="n"/>
      <c r="I55" s="991" t="n"/>
      <c r="J55" s="991" t="n"/>
      <c r="K55" s="991" t="n"/>
      <c r="L55" s="979" t="n"/>
      <c r="M55" s="979" t="n"/>
      <c r="N55" s="978" t="n"/>
      <c r="O55" s="978" t="n"/>
      <c r="P55" s="978" t="n"/>
      <c r="Q55" s="978" t="n"/>
      <c r="R55" s="978" t="n"/>
      <c r="S55" s="978" t="n"/>
      <c r="T55" s="978" t="n"/>
      <c r="U55" s="979" t="n"/>
      <c r="V55" s="979" t="n"/>
      <c r="W55" s="109" t="n"/>
      <c r="X55" s="978" t="n"/>
      <c r="Y55" s="978" t="n"/>
      <c r="Z55" s="978" t="n"/>
      <c r="AA55" s="978" t="n"/>
      <c r="AB55" s="978" t="n"/>
      <c r="AC55" s="978" t="n"/>
      <c r="AD55" s="978" t="n"/>
      <c r="AE55" s="978" t="n"/>
      <c r="AF55" s="979" t="n"/>
      <c r="AG55" s="979" t="n"/>
      <c r="AH55" s="979" t="n"/>
      <c r="AI55" s="979" t="n"/>
      <c r="AJ55" s="979" t="n"/>
      <c r="AK55" s="979" t="n"/>
      <c r="AL55" s="979" t="n"/>
      <c r="AM55" s="979" t="n"/>
      <c r="AN55" s="979" t="n"/>
      <c r="AO55" s="979" t="n"/>
      <c r="AP55" s="979" t="n"/>
      <c r="AQ55" s="978" t="n"/>
      <c r="AR55" s="978" t="n"/>
      <c r="AS55" s="979" t="n"/>
      <c r="AT55" s="979" t="n"/>
      <c r="AU55" s="979" t="n"/>
      <c r="AV55" s="979" t="n"/>
      <c r="AW55" s="979" t="n"/>
      <c r="AX55" s="979" t="n"/>
      <c r="AY55" s="979" t="n"/>
      <c r="AZ55" s="979" t="n"/>
      <c r="BA55" s="979" t="n"/>
      <c r="BB55" s="991" t="n"/>
      <c r="BC55" s="979" t="n"/>
      <c r="BD55" s="979" t="n"/>
      <c r="BE55" s="979" t="n"/>
      <c r="BF55" s="979" t="n"/>
      <c r="BG55" s="979" t="n"/>
      <c r="BH55" s="979" t="n"/>
      <c r="BI55" s="979" t="n"/>
      <c r="BJ55" s="979" t="n"/>
      <c r="BK55" s="979" t="n"/>
      <c r="BL55" s="979" t="n"/>
      <c r="BM55" s="979" t="n"/>
      <c r="BN55" s="979" t="n"/>
      <c r="BO55" s="979" t="n"/>
      <c r="BP55" s="979" t="n"/>
      <c r="BQ55" s="979" t="n"/>
      <c r="BR55" s="979" t="n"/>
      <c r="BS55" s="979" t="n"/>
      <c r="BT55" s="979" t="n"/>
      <c r="BU55" s="978" t="n"/>
      <c r="BV55" s="978" t="n"/>
      <c r="BW55" s="978" t="n"/>
      <c r="BX55" s="978" t="n"/>
      <c r="BY55" s="978" t="n"/>
      <c r="BZ55" s="978" t="n"/>
      <c r="CA55" s="978" t="n"/>
      <c r="CB55" s="978" t="n"/>
      <c r="CC55" s="979" t="n"/>
      <c r="CD55" s="979" t="n"/>
      <c r="CE55" s="979" t="n"/>
      <c r="CF55" s="979" t="n"/>
      <c r="CG55" s="979" t="n"/>
      <c r="CH55" s="979" t="n"/>
      <c r="CI55" s="979" t="n"/>
      <c r="CJ55" s="979" t="n"/>
      <c r="CK55" s="979" t="n"/>
      <c r="CL55" s="979" t="n"/>
      <c r="CM55" s="979" t="n"/>
      <c r="CN55" s="991" t="n"/>
      <c r="CO55" s="979" t="n"/>
      <c r="CP55" s="979" t="n"/>
      <c r="CQ55" s="991" t="n"/>
      <c r="CR55" s="979" t="n"/>
      <c r="CS55" s="979" t="n"/>
      <c r="CT55" s="979" t="n"/>
      <c r="CU55" s="979" t="n"/>
      <c r="CV55" s="979" t="n"/>
      <c r="CW55" s="109" t="n"/>
      <c r="CX55" s="109" t="n"/>
      <c r="CY55" s="109" t="n"/>
      <c r="CZ55" s="991" t="n"/>
      <c r="DA55" s="979" t="n"/>
      <c r="DB55" s="979" t="n"/>
      <c r="DC55" s="991" t="n"/>
      <c r="DD55" s="979" t="n"/>
      <c r="DE55" s="979" t="n"/>
      <c r="DF55" s="979" t="n"/>
      <c r="DG55" s="979" t="n"/>
      <c r="DH55" s="979" t="n"/>
      <c r="DI55" s="979" t="n"/>
      <c r="DJ55" s="979" t="n"/>
      <c r="DK55" s="979" t="n"/>
      <c r="DL55" s="979" t="n"/>
      <c r="DM55" s="979" t="n"/>
      <c r="DN55" s="979" t="n"/>
      <c r="DO55" s="979" t="n"/>
      <c r="DP55" s="979" t="n"/>
      <c r="DQ55" s="979" t="n"/>
      <c r="DR55" s="979" t="n"/>
      <c r="DS55" s="979" t="n"/>
      <c r="DT55" s="979" t="n"/>
      <c r="DU55" s="979" t="n"/>
      <c r="DV55" s="979" t="n"/>
      <c r="DW55" s="979" t="n"/>
      <c r="DX55" s="979" t="n"/>
      <c r="DY55" s="979" t="n"/>
      <c r="DZ55" s="979" t="n"/>
      <c r="EA55" s="979" t="n"/>
      <c r="EB55" s="979" t="n"/>
      <c r="EC55" s="979" t="n"/>
      <c r="ED55" s="979" t="n"/>
      <c r="EE55" s="979" t="n"/>
      <c r="EP55" s="979" t="n"/>
      <c r="EQ55" s="979" t="n"/>
      <c r="ER55" s="979" t="n"/>
      <c r="ES55" s="979" t="n"/>
      <c r="ET55" s="979" t="n"/>
      <c r="EU55" s="979" t="n"/>
      <c r="EV55" s="979" t="n"/>
      <c r="EW55" s="979" t="n"/>
      <c r="EX55" s="979" t="n"/>
      <c r="EY55" s="979" t="n"/>
      <c r="EZ55" s="979" t="n"/>
      <c r="FA55" s="979" t="n"/>
      <c r="FB55" s="979" t="n"/>
      <c r="FC55" s="979" t="n"/>
    </row>
    <row r="56">
      <c r="A56" s="642">
        <f>B56&amp;C56</f>
        <v/>
      </c>
      <c r="B56" s="642" t="n">
        <v>2212</v>
      </c>
      <c r="C56" s="642" t="inlineStr">
        <is>
          <t>동양</t>
        </is>
      </c>
      <c r="I56" s="785" t="n"/>
      <c r="J56" s="785" t="n"/>
      <c r="K56" s="785" t="n"/>
      <c r="N56" s="965">
        <f>O56-P56</f>
        <v/>
      </c>
      <c r="O56" s="965" t="n">
        <v>3015202.515829</v>
      </c>
      <c r="P56" s="965" t="n">
        <v>344572.058588</v>
      </c>
      <c r="Q56" s="965" t="n">
        <v>364171.241495</v>
      </c>
      <c r="R56" s="965" t="n">
        <v>1096791.902187</v>
      </c>
      <c r="AS56" s="965" t="n"/>
      <c r="AT56" s="965" t="n"/>
      <c r="AU56" s="965" t="n"/>
      <c r="AV56" s="965" t="n"/>
      <c r="AW56" s="965" t="n"/>
      <c r="AX56" s="965" t="n"/>
      <c r="AY56" s="965" t="n"/>
      <c r="BB56" s="785" t="n"/>
      <c r="BL56" s="965" t="n"/>
      <c r="BT56" s="965" t="n">
        <v>1292477.232511</v>
      </c>
      <c r="BU56" s="965" t="n">
        <v>23421169</v>
      </c>
      <c r="BV56" s="965" t="n">
        <v>444972</v>
      </c>
      <c r="BW56" s="965" t="n">
        <v>2374228</v>
      </c>
      <c r="CN56" s="785" t="n"/>
      <c r="CQ56" s="785" t="n"/>
    </row>
    <row r="57">
      <c r="A57" s="642">
        <f>B57&amp;C57</f>
        <v/>
      </c>
      <c r="B57" s="642" t="n">
        <v>2312</v>
      </c>
      <c r="C57" s="642" t="inlineStr">
        <is>
          <t>동양</t>
        </is>
      </c>
      <c r="D57" s="786" t="n">
        <v>32895665.240515</v>
      </c>
      <c r="E57" s="786" t="n">
        <v>5401652.920025</v>
      </c>
      <c r="F57" s="786" t="n">
        <v>18570667.309792</v>
      </c>
      <c r="G57" s="786" t="n">
        <v>7203997.089818</v>
      </c>
      <c r="H57" s="786" t="n">
        <v>161104.415388</v>
      </c>
      <c r="I57" s="785">
        <f>+E57/$D57</f>
        <v/>
      </c>
      <c r="J57" s="785">
        <f>+F57/$D57</f>
        <v/>
      </c>
      <c r="K57" s="785">
        <f>+G57/$D57</f>
        <v/>
      </c>
      <c r="L57" s="786" t="n">
        <v>29943918.422754</v>
      </c>
      <c r="M57" s="786" t="n">
        <v>26417000.323931</v>
      </c>
      <c r="N57" s="965">
        <f>O57-P57</f>
        <v/>
      </c>
      <c r="O57" s="965" t="n">
        <v>2951746.817761</v>
      </c>
      <c r="P57" s="965" t="n">
        <v>344567.360747</v>
      </c>
      <c r="Q57" s="965" t="n">
        <v>56405.467597</v>
      </c>
      <c r="R57" s="965" t="n">
        <v>1340967.332608</v>
      </c>
      <c r="S57" s="965" t="n">
        <v>3015202.515829</v>
      </c>
      <c r="T57" s="978">
        <f>N56</f>
        <v/>
      </c>
      <c r="U57" s="787" t="n">
        <v>31720164</v>
      </c>
      <c r="V57" s="787" t="n">
        <v>31152844</v>
      </c>
      <c r="W57" s="144" t="n">
        <v>0.982</v>
      </c>
      <c r="X57" s="965" t="n">
        <v>56406</v>
      </c>
      <c r="Y57" s="965">
        <f>-1256539+3302</f>
        <v/>
      </c>
      <c r="Z57" s="965" t="n">
        <v>1309152</v>
      </c>
      <c r="AA57" s="965" t="n">
        <v>-22747</v>
      </c>
      <c r="AB57" s="965" t="n">
        <v>19317</v>
      </c>
      <c r="AC57" s="965" t="n">
        <v>15594</v>
      </c>
      <c r="AD57" s="965" t="n">
        <v>-11673</v>
      </c>
      <c r="AE57" s="965">
        <f>X57-SUM(Y57:AD57)</f>
        <v/>
      </c>
      <c r="AF57" s="786" t="n">
        <v>234128.262211</v>
      </c>
      <c r="AG57" s="786" t="n">
        <v>1131389.699633</v>
      </c>
      <c r="AH57" s="786" t="n">
        <v>897261.437422</v>
      </c>
      <c r="AI57" s="786" t="n">
        <v>84954.043343</v>
      </c>
      <c r="AJ57" s="786">
        <f>647.468881-1105915.137106</f>
        <v/>
      </c>
      <c r="AK57" s="786" t="n">
        <v>315.44184</v>
      </c>
      <c r="AL57" s="786">
        <f>+AI57-AJ57-AK57+AM57-AN57</f>
        <v/>
      </c>
      <c r="AM57" s="786" t="n">
        <v>4496.061064</v>
      </c>
      <c r="AN57" s="786">
        <f>14666.871697+169880.403739-22867.857229</f>
        <v/>
      </c>
      <c r="AO57" s="786" t="n">
        <v>319082.305554</v>
      </c>
      <c r="AP57" s="786">
        <f>14517.822297-843.122324</f>
        <v/>
      </c>
      <c r="AQ57" s="965" t="n">
        <v>332757.005527</v>
      </c>
      <c r="AR57" s="965" t="n">
        <v>264926.926598</v>
      </c>
      <c r="AS57" s="965">
        <f>+AO57+AP57-AQ57</f>
        <v/>
      </c>
      <c r="AT57" s="965">
        <f>+AJ57+AK57+AL57-AM57+AN57-AI57</f>
        <v/>
      </c>
      <c r="AU57" s="965">
        <f>+AF57+AI57-AO57</f>
        <v/>
      </c>
      <c r="AV57" s="965">
        <f>+AF57</f>
        <v/>
      </c>
      <c r="AW57" s="965">
        <f>+AI57</f>
        <v/>
      </c>
      <c r="AX57" s="965">
        <f>+AP57</f>
        <v/>
      </c>
      <c r="AY57" s="965">
        <f>+SUM(AV57:AX57)</f>
        <v/>
      </c>
      <c r="BB57" s="785">
        <f>+BF57/(BU57+BV57+BW57)</f>
        <v/>
      </c>
      <c r="BC57" s="786" t="n">
        <v>364171.241495</v>
      </c>
      <c r="BD57" s="786">
        <f>769899.834859+22717.920717</f>
        <v/>
      </c>
      <c r="BF57" s="786">
        <f>-1121304.812252-22942.109059</f>
        <v/>
      </c>
      <c r="BG57" s="786" t="n">
        <v>51027.058227</v>
      </c>
      <c r="BH57" s="786" t="n">
        <v>0.009225000000000001</v>
      </c>
      <c r="BI57" s="786" t="n">
        <v>-7163.675615</v>
      </c>
      <c r="BK57" s="786" t="n">
        <v>56405.467597</v>
      </c>
      <c r="BL57" s="965">
        <f>+BK57-BC57-SUM(BD57:BJ57)</f>
        <v/>
      </c>
      <c r="BM57" s="786" t="n">
        <v>1096791.902187</v>
      </c>
      <c r="BP57" s="786" t="n">
        <v>264926.926598</v>
      </c>
      <c r="BR57" s="786" t="n">
        <v>-20751.496177</v>
      </c>
      <c r="BS57" s="786" t="n">
        <v>1340967.332608</v>
      </c>
      <c r="BT57" s="965">
        <f>+BM57+SUM(BN57:BR57)-BS57</f>
        <v/>
      </c>
      <c r="BU57" s="965" t="n">
        <v>23437807</v>
      </c>
      <c r="BV57" s="965" t="n">
        <v>437393</v>
      </c>
      <c r="BW57" s="965" t="n">
        <v>2541803</v>
      </c>
      <c r="BX57" s="965" t="n">
        <v>760162</v>
      </c>
      <c r="BY57" s="965" t="n">
        <v>257715</v>
      </c>
      <c r="BZ57" s="965" t="n">
        <v>-405781</v>
      </c>
      <c r="CA57" s="965" t="n">
        <v>70909</v>
      </c>
      <c r="CB57" s="965" t="n">
        <v>2374228</v>
      </c>
      <c r="CD57" s="786">
        <f>CB57+BX57-BY57+BZ57+CA57-BW57</f>
        <v/>
      </c>
      <c r="CE57" s="786" t="n">
        <v>132882</v>
      </c>
      <c r="CF57" s="786">
        <f>118867+105024</f>
        <v/>
      </c>
      <c r="CG57" s="786">
        <f>93494+84653</f>
        <v/>
      </c>
      <c r="CH57" s="786">
        <f>78434+72948+67780+64363+61419</f>
        <v/>
      </c>
      <c r="CI57" s="786">
        <f>273737+243359+221435+197289+726118</f>
        <v/>
      </c>
      <c r="CJ57" s="786" t="n">
        <v>2541802</v>
      </c>
      <c r="CK57" s="786" t="n">
        <v>-1</v>
      </c>
      <c r="CN57" s="785" t="n">
        <v>1.919</v>
      </c>
      <c r="CO57" s="786" t="n">
        <v>4214682</v>
      </c>
      <c r="CP57" s="786" t="n">
        <v>2195906</v>
      </c>
      <c r="CQ57" s="785" t="n">
        <v>1.934</v>
      </c>
      <c r="CR57" s="786" t="n">
        <v>4189755</v>
      </c>
      <c r="CS57" s="786" t="n">
        <v>2166822</v>
      </c>
      <c r="CT57" s="786" t="inlineStr">
        <is>
          <t>* 비금 포함</t>
        </is>
      </c>
      <c r="CU57" s="786" t="n">
        <v>640201</v>
      </c>
      <c r="DC57" s="785">
        <f>+DE57/DD57</f>
        <v/>
      </c>
      <c r="DD57" s="786" t="n">
        <v>570770.6697619995</v>
      </c>
      <c r="DE57" s="786" t="n">
        <v>473307</v>
      </c>
      <c r="DG57" s="786" t="n">
        <v>11133.641798</v>
      </c>
      <c r="DH57" s="786" t="n">
        <v>11315.38476099999</v>
      </c>
      <c r="DI57" s="786" t="n">
        <v>524176.153231</v>
      </c>
      <c r="DJ57" s="786" t="n">
        <v>512860.76847</v>
      </c>
      <c r="DK57" s="786" t="n">
        <v>-181.742962999997</v>
      </c>
      <c r="DL57" s="786" t="n">
        <v>179602.902729</v>
      </c>
      <c r="DM57" s="786">
        <f>180909.002588-1124.356896</f>
        <v/>
      </c>
      <c r="DQ57" s="786" t="n">
        <v>-1124.356896</v>
      </c>
      <c r="DR57" s="786" t="inlineStr">
        <is>
          <t>* IR자료와 안맞음..</t>
        </is>
      </c>
    </row>
    <row r="58">
      <c r="A58" s="642">
        <f>B58&amp;C58</f>
        <v/>
      </c>
      <c r="B58" s="642" t="n">
        <v>2412</v>
      </c>
      <c r="C58" s="642" t="inlineStr">
        <is>
          <t>동양</t>
        </is>
      </c>
      <c r="D58" s="992" t="n">
        <v>34576849</v>
      </c>
      <c r="E58" s="786" t="n">
        <v>5857335.621093</v>
      </c>
      <c r="F58" s="786" t="n">
        <v>20037393.225611</v>
      </c>
      <c r="G58" s="786" t="n">
        <v>7063305.228962</v>
      </c>
      <c r="H58" s="786" t="n">
        <v>121642.754136</v>
      </c>
      <c r="I58" s="785">
        <f>+E58/$D58</f>
        <v/>
      </c>
      <c r="J58" s="785">
        <f>+F58/$D58</f>
        <v/>
      </c>
      <c r="K58" s="785">
        <f>+G58/$D58</f>
        <v/>
      </c>
      <c r="L58" s="992" t="n">
        <v>32563891</v>
      </c>
      <c r="M58" s="786" t="n">
        <v>28221455.749061</v>
      </c>
      <c r="N58" s="965">
        <f>O58-P58</f>
        <v/>
      </c>
      <c r="O58" s="992" t="n">
        <v>2012958</v>
      </c>
      <c r="P58" s="965" t="n">
        <v>344567.360747</v>
      </c>
      <c r="Q58" s="992" t="n">
        <v>-1103320</v>
      </c>
      <c r="R58" s="965" t="n">
        <v>1561498.237695</v>
      </c>
      <c r="S58" s="965" t="n">
        <v>2951746.817761</v>
      </c>
      <c r="T58" s="978">
        <f>N57</f>
        <v/>
      </c>
      <c r="U58" s="787" t="n">
        <v>33398431</v>
      </c>
      <c r="V58" s="787" t="n">
        <v>32314193</v>
      </c>
      <c r="W58" s="144" t="n">
        <v>0.968</v>
      </c>
      <c r="X58" s="965" t="n">
        <v>-1105738</v>
      </c>
      <c r="Y58" s="965">
        <f>-1064154+4845</f>
        <v/>
      </c>
      <c r="Z58" s="965" t="n">
        <v>-133478</v>
      </c>
      <c r="AA58" s="965" t="n">
        <v>10551</v>
      </c>
      <c r="AB58" s="965" t="n">
        <v>82084</v>
      </c>
      <c r="AC58" s="965" t="n">
        <v>15602</v>
      </c>
      <c r="AD58" s="965" t="n">
        <v>-21188</v>
      </c>
      <c r="AE58" s="965">
        <f>X58-SUM(Y58:AD58)</f>
        <v/>
      </c>
      <c r="AF58" s="786" t="n">
        <v>274408.160826</v>
      </c>
      <c r="AG58" s="786" t="n">
        <v>1233613.962236</v>
      </c>
      <c r="AH58" s="786" t="n">
        <v>959205.80141</v>
      </c>
      <c r="AI58" s="786" t="n">
        <v>104644.860142</v>
      </c>
      <c r="AJ58" s="786">
        <f>514.922806-954222.661894</f>
        <v/>
      </c>
      <c r="AK58" s="786" t="n">
        <v>7142.640596</v>
      </c>
      <c r="AL58" s="786">
        <f>+AI58-AJ58-AK58+AM58-AN58</f>
        <v/>
      </c>
      <c r="AM58" s="786" t="n">
        <v>4454.766395</v>
      </c>
      <c r="AN58" s="786">
        <f>16701.74472+149150.490995-23000.085422</f>
        <v/>
      </c>
      <c r="AO58" s="786" t="n">
        <v>379053.020968</v>
      </c>
      <c r="AP58" s="786">
        <f>29158.761779-26238.820112</f>
        <v/>
      </c>
      <c r="AQ58" s="965" t="n">
        <v>381972.962635</v>
      </c>
      <c r="AR58" s="965" t="n">
        <v>310158.029898</v>
      </c>
      <c r="AS58" s="965">
        <f>+AO58+AP58-AQ58</f>
        <v/>
      </c>
      <c r="AT58" s="965">
        <f>+AJ58+AK58+AL58-AM58+AN58-AI58</f>
        <v/>
      </c>
      <c r="AU58" s="965">
        <f>+AF58+AI58-AO58</f>
        <v/>
      </c>
      <c r="AV58" s="965">
        <f>+AF58</f>
        <v/>
      </c>
      <c r="AW58" s="965">
        <f>+AI58</f>
        <v/>
      </c>
      <c r="AX58" s="965">
        <f>+AP58</f>
        <v/>
      </c>
      <c r="AY58" s="965">
        <f>+SUM(AV58:AX58)</f>
        <v/>
      </c>
      <c r="BB58" s="785">
        <f>+BF58/(BU58+BV58+BW58)</f>
        <v/>
      </c>
      <c r="BC58" s="992" t="n">
        <v>55115</v>
      </c>
      <c r="BD58" s="992">
        <f>178336+19261</f>
        <v/>
      </c>
      <c r="BF58" s="786">
        <f>-1442630.160241+33296.961351</f>
        <v/>
      </c>
      <c r="BG58" s="786" t="n">
        <v>62766.693835</v>
      </c>
      <c r="BH58" s="992" t="n">
        <v>0</v>
      </c>
      <c r="BI58" s="992" t="n">
        <v>-9513</v>
      </c>
      <c r="BJ58" s="965" t="n">
        <v>46.934073</v>
      </c>
      <c r="BK58" s="992" t="n">
        <v>-1103320</v>
      </c>
      <c r="BL58" s="965">
        <f>+BK58-BC58-SUM(BD58:BJ58)</f>
        <v/>
      </c>
      <c r="BM58" s="786" t="n">
        <v>1340967.332608</v>
      </c>
      <c r="BN58" s="786" t="n">
        <v>-62378.1052</v>
      </c>
      <c r="BP58" s="786" t="n">
        <v>310158.029898</v>
      </c>
      <c r="BQ58" s="786">
        <f>-6176.066825-46.934073</f>
        <v/>
      </c>
      <c r="BR58" s="786">
        <f>-21026.018713</f>
        <v/>
      </c>
      <c r="BS58" s="786" t="n">
        <v>1561498.237695</v>
      </c>
      <c r="BT58" s="965">
        <f>+BM58+SUM(BN58:BR58)-BS58</f>
        <v/>
      </c>
      <c r="BU58" s="965" t="n">
        <v>25078965</v>
      </c>
      <c r="BV58" s="965" t="n">
        <v>471402</v>
      </c>
      <c r="BW58" s="965" t="n">
        <v>2671088</v>
      </c>
      <c r="BX58" s="965" t="n">
        <v>731976</v>
      </c>
      <c r="BY58" s="965" t="n">
        <v>259987</v>
      </c>
      <c r="BZ58" s="965" t="n">
        <v>-456139</v>
      </c>
      <c r="CA58" s="965" t="n">
        <v>113437</v>
      </c>
      <c r="CB58" s="965" t="n">
        <v>2541801</v>
      </c>
      <c r="CC58" s="199">
        <f>+BU58/BU57</f>
        <v/>
      </c>
      <c r="CD58" s="786">
        <f>CB58+BX58-BY58+BZ58+CA58-BW58</f>
        <v/>
      </c>
      <c r="CE58" s="786" t="n">
        <v>159538</v>
      </c>
      <c r="CF58" s="786">
        <f>124376+109301</f>
        <v/>
      </c>
      <c r="CG58" s="786">
        <f>98918+91759</f>
        <v/>
      </c>
      <c r="CH58" s="786">
        <f>85263+79112+74829+71257+66964</f>
        <v/>
      </c>
      <c r="CI58" s="786">
        <f>297191+262256+236898+204722+728705</f>
        <v/>
      </c>
      <c r="CJ58" s="786" t="n">
        <v>2671089</v>
      </c>
      <c r="CK58" s="786" t="n">
        <v>-1</v>
      </c>
      <c r="CN58" s="785" t="n"/>
      <c r="CQ58" s="785" t="n">
        <v>1.555</v>
      </c>
      <c r="CR58" s="786" t="n">
        <v>3875304</v>
      </c>
      <c r="CS58" s="786" t="n">
        <v>2491824</v>
      </c>
      <c r="CU58" s="786" t="n">
        <v>918835</v>
      </c>
      <c r="CW58" s="105" t="n">
        <v>0.853</v>
      </c>
      <c r="CX58" s="105" t="n">
        <v>0.867</v>
      </c>
      <c r="CY58" s="105" t="n">
        <v>-0.014</v>
      </c>
      <c r="CZ58" s="785">
        <f>+CX58/CW58</f>
        <v/>
      </c>
      <c r="DC58" s="785">
        <f>+DE58/DD58</f>
        <v/>
      </c>
      <c r="DD58" s="786" t="n">
        <v>605911</v>
      </c>
      <c r="DE58" s="786" t="n">
        <v>505211</v>
      </c>
      <c r="DG58" s="786">
        <f>+DH58+DK58</f>
        <v/>
      </c>
      <c r="DH58" s="786">
        <f>+DI58-DJ58</f>
        <v/>
      </c>
      <c r="DI58" s="786" t="n">
        <v>563420.052699</v>
      </c>
      <c r="DJ58" s="786">
        <f>545943.617115+22425.020191</f>
        <v/>
      </c>
      <c r="DK58" s="786">
        <f>+DL58-DM58</f>
        <v/>
      </c>
      <c r="DL58" s="786" t="n">
        <v>196650.798281</v>
      </c>
      <c r="DM58" s="786">
        <f>193435.983615-18550.286142</f>
        <v/>
      </c>
      <c r="EP58" s="786" t="n">
        <v>614976</v>
      </c>
      <c r="EQ58" s="786" t="n">
        <v>-271515</v>
      </c>
      <c r="ER58" s="786" t="n">
        <v>23981</v>
      </c>
      <c r="ES58" s="786" t="n">
        <v>54278</v>
      </c>
      <c r="ET58" s="786">
        <f>211494-3829</f>
        <v/>
      </c>
      <c r="EW58" s="786" t="n">
        <v>-614976</v>
      </c>
      <c r="EX58" s="786" t="n">
        <v>271515</v>
      </c>
      <c r="EY58" s="786" t="n">
        <v>23981</v>
      </c>
      <c r="EZ58" s="786" t="n">
        <v>54278</v>
      </c>
      <c r="FA58" s="786" t="n">
        <v>-195166</v>
      </c>
      <c r="FB58" s="786" t="n">
        <v>4228</v>
      </c>
      <c r="FC58" s="766">
        <f>SUM(EW58:FB58)-BZ58</f>
        <v/>
      </c>
    </row>
    <row r="59">
      <c r="A59" s="642">
        <f>B59&amp;C59</f>
        <v/>
      </c>
      <c r="B59" s="642" t="n">
        <v>2503</v>
      </c>
      <c r="C59" s="642" t="inlineStr">
        <is>
          <t>동양</t>
        </is>
      </c>
      <c r="D59" s="786" t="n">
        <v>35191700.89598</v>
      </c>
      <c r="E59" s="786" t="n">
        <v>5927777.722747</v>
      </c>
      <c r="F59" s="786" t="n">
        <v>20858794.351852</v>
      </c>
      <c r="G59" s="786" t="n">
        <v>6559862.106122</v>
      </c>
      <c r="H59" s="786" t="n">
        <v>115233.888909</v>
      </c>
      <c r="I59" s="785">
        <f>+E59/$D59</f>
        <v/>
      </c>
      <c r="J59" s="785">
        <f>+F59/$D59</f>
        <v/>
      </c>
      <c r="K59" s="785">
        <f>+G59/$D59</f>
        <v/>
      </c>
      <c r="L59" s="786" t="n">
        <v>33666177.100012</v>
      </c>
      <c r="M59" s="786" t="n">
        <v>29330677.006867</v>
      </c>
      <c r="N59" s="965">
        <f>O59-P59</f>
        <v/>
      </c>
      <c r="O59" s="965" t="n">
        <v>1525523.795986</v>
      </c>
      <c r="P59" s="965" t="n">
        <v>344567.360747</v>
      </c>
      <c r="Q59" s="965" t="n">
        <v>-1626743.836739</v>
      </c>
      <c r="R59" s="965" t="n">
        <v>1596767.530773</v>
      </c>
      <c r="S59" s="965" t="n">
        <v>2010539.027552</v>
      </c>
      <c r="T59" s="978">
        <f>N58</f>
        <v/>
      </c>
      <c r="U59" s="787" t="n">
        <v>34100683</v>
      </c>
      <c r="V59" s="787" t="n">
        <v>32635579</v>
      </c>
      <c r="W59" s="144" t="n">
        <v>0.957</v>
      </c>
      <c r="X59" s="965" t="n">
        <v>-1626744</v>
      </c>
      <c r="Y59" s="965">
        <f>-886297+4585</f>
        <v/>
      </c>
      <c r="Z59" s="965" t="n">
        <v>-882337</v>
      </c>
      <c r="AA59" s="965" t="n">
        <v>21677</v>
      </c>
      <c r="AB59" s="965" t="n">
        <v>123435</v>
      </c>
      <c r="AC59" s="965" t="n">
        <v>15612</v>
      </c>
      <c r="AD59" s="965" t="n">
        <v>-23419</v>
      </c>
      <c r="AE59" s="965">
        <f>X59-SUM(Y59:AD59)</f>
        <v/>
      </c>
      <c r="AF59" s="786" t="n">
        <v>4071.067425</v>
      </c>
      <c r="AG59" s="786" t="n">
        <v>319287.703901</v>
      </c>
      <c r="AH59" s="786" t="n">
        <v>315216.636476</v>
      </c>
      <c r="AI59" s="786" t="n">
        <v>55389.596159</v>
      </c>
      <c r="AJ59" s="786">
        <f>95712.605-270650.346963</f>
        <v/>
      </c>
      <c r="AK59" s="786" t="n">
        <v>3628.655164</v>
      </c>
      <c r="AL59" s="786">
        <f>+AI59-AJ59-AK59+AM59-AN59</f>
        <v/>
      </c>
      <c r="AM59" s="786" t="n">
        <v>869.929963</v>
      </c>
      <c r="AN59" s="786">
        <f>35759.45624-4059.501778</f>
        <v/>
      </c>
      <c r="AO59" s="786" t="n">
        <v>59460.663584</v>
      </c>
      <c r="AP59" s="786">
        <f>222.937234-5249.782997</f>
        <v/>
      </c>
      <c r="AQ59" s="965" t="n">
        <v>54433.817821</v>
      </c>
      <c r="AR59" s="965" t="n">
        <v>46739.82659</v>
      </c>
      <c r="AS59" s="965">
        <f>+AO59+AP59-AQ59</f>
        <v/>
      </c>
      <c r="AT59" s="965">
        <f>+AJ59+AK59+AL59-AM59+AN59-AI59</f>
        <v/>
      </c>
      <c r="AU59" s="965">
        <f>+AF59+AI59-AO59</f>
        <v/>
      </c>
      <c r="AV59" s="965">
        <f>+AF59</f>
        <v/>
      </c>
      <c r="AW59" s="965">
        <f>+AI59</f>
        <v/>
      </c>
      <c r="AX59" s="965">
        <f>+AP59</f>
        <v/>
      </c>
      <c r="AY59" s="965">
        <f>+SUM(AV59:AX59)</f>
        <v/>
      </c>
      <c r="BB59" s="785" t="n"/>
      <c r="BC59" s="786" t="n">
        <v>-1105739.275686</v>
      </c>
      <c r="BD59" s="786">
        <f>174740.859051+2856.877887</f>
        <v/>
      </c>
      <c r="BF59" s="786">
        <f>-748859.145437+11127.2174</f>
        <v/>
      </c>
      <c r="BG59" s="786" t="n">
        <v>41351.162062</v>
      </c>
      <c r="BH59" s="786" t="n">
        <v>9.573212</v>
      </c>
      <c r="BI59" s="786" t="n">
        <v>-2231.105228</v>
      </c>
      <c r="BK59" s="786" t="n">
        <v>-1626743.836739</v>
      </c>
      <c r="BL59" s="965">
        <f>+BK59-BC59-SUM(BD59:BJ59)</f>
        <v/>
      </c>
      <c r="BM59" s="786" t="n">
        <v>1561498.237695</v>
      </c>
      <c r="BP59" s="786" t="n">
        <v>46739.82659</v>
      </c>
      <c r="BR59" s="786" t="n">
        <v>-11470.533512</v>
      </c>
      <c r="BS59" s="786" t="n">
        <v>1596767.530773</v>
      </c>
      <c r="BT59" s="965">
        <f>+BM59+SUM(BN59:BR59)-BS59</f>
        <v/>
      </c>
      <c r="BU59" s="965" t="n">
        <v>26191211</v>
      </c>
      <c r="BV59" s="965" t="n">
        <v>478289</v>
      </c>
      <c r="BW59" s="965" t="n">
        <v>2661177</v>
      </c>
      <c r="BX59" s="965" t="n">
        <v>190381</v>
      </c>
      <c r="BY59" s="965" t="n">
        <v>62318</v>
      </c>
      <c r="BZ59" s="965" t="n">
        <v>-165780</v>
      </c>
      <c r="CA59" s="965" t="n">
        <v>27805</v>
      </c>
      <c r="CB59" s="965" t="n">
        <v>2671089</v>
      </c>
      <c r="CD59" s="786">
        <f>CB59+BX59-BY59+BZ59+CA59-BW59</f>
        <v/>
      </c>
      <c r="CN59" s="785" t="n"/>
      <c r="CQ59" s="785" t="n">
        <v>1.272</v>
      </c>
      <c r="CR59" s="786" t="n">
        <v>3386157</v>
      </c>
      <c r="CS59" s="786" t="n">
        <v>2662845</v>
      </c>
      <c r="CU59" s="786" t="n">
        <v>957628</v>
      </c>
      <c r="CW59" s="105" t="n"/>
      <c r="CX59" s="105" t="n"/>
      <c r="CY59" s="105" t="n"/>
      <c r="CZ59" s="785" t="n"/>
      <c r="DC59" s="785">
        <f>+DE59/DD59</f>
        <v/>
      </c>
      <c r="DD59" s="786" t="n">
        <v>155968.256382</v>
      </c>
      <c r="DE59" s="786" t="n">
        <v>143561.749682</v>
      </c>
      <c r="DG59" s="786">
        <f>+DH59+DK59</f>
        <v/>
      </c>
      <c r="DH59" s="786">
        <f>+DI59-DJ59</f>
        <v/>
      </c>
      <c r="DI59" s="786" t="n">
        <v>141838.088817</v>
      </c>
      <c r="DJ59" s="786" t="n">
        <v>161255.183009</v>
      </c>
      <c r="DK59" s="786">
        <f>+DL59-DM59</f>
        <v/>
      </c>
      <c r="DL59" s="786" t="n">
        <v>50773.859978</v>
      </c>
      <c r="DM59" s="786" t="n">
        <v>49005.848666</v>
      </c>
    </row>
    <row r="60">
      <c r="A60" s="642">
        <f>B60&amp;C60</f>
        <v/>
      </c>
      <c r="B60" s="642" t="n">
        <v>2506</v>
      </c>
      <c r="C60" s="642" t="inlineStr">
        <is>
          <t>동양</t>
        </is>
      </c>
      <c r="D60" s="786" t="n">
        <v>35647471.326781</v>
      </c>
      <c r="E60" s="786" t="n">
        <v>5799448.636205</v>
      </c>
      <c r="F60" s="786" t="n">
        <v>21635551.140032</v>
      </c>
      <c r="G60" s="786" t="n">
        <v>6437918.571102</v>
      </c>
      <c r="H60" s="786" t="n">
        <v>98520.989412</v>
      </c>
      <c r="I60" s="785">
        <f>+E60/$D60</f>
        <v/>
      </c>
      <c r="J60" s="785">
        <f>+F60/$D60</f>
        <v/>
      </c>
      <c r="K60" s="785">
        <f>+G60/$D60</f>
        <v/>
      </c>
      <c r="L60" s="786" t="n">
        <v>33949684.811107</v>
      </c>
      <c r="M60" s="786" t="n">
        <v>29166616.193315</v>
      </c>
      <c r="N60" s="965" t="n">
        <v>1353219.154927</v>
      </c>
      <c r="O60" s="965" t="n">
        <v>1697786.515674</v>
      </c>
      <c r="P60" s="965" t="n">
        <v>344567.360747</v>
      </c>
      <c r="Q60" s="965" t="n">
        <v>-1494513.592612</v>
      </c>
      <c r="R60" s="965" t="n">
        <v>1636800.006334</v>
      </c>
      <c r="S60" s="965" t="n">
        <v>2010539.027552</v>
      </c>
      <c r="T60" s="978">
        <f>+T59</f>
        <v/>
      </c>
      <c r="U60" s="787" t="n">
        <v>34443482</v>
      </c>
      <c r="V60" s="787" t="n">
        <v>33074927</v>
      </c>
      <c r="W60" s="144" t="n">
        <v>0.96</v>
      </c>
      <c r="X60" s="965" t="n">
        <v>-1494513.592612</v>
      </c>
      <c r="Y60" s="965">
        <f>-1000647+4641</f>
        <v/>
      </c>
      <c r="Z60" s="965" t="n">
        <v>-585723</v>
      </c>
      <c r="AA60" s="965" t="n">
        <v>14274</v>
      </c>
      <c r="AB60" s="965" t="n">
        <v>79959</v>
      </c>
      <c r="AC60" s="965" t="n">
        <v>15613</v>
      </c>
      <c r="AD60" s="965" t="n">
        <v>-22630</v>
      </c>
      <c r="AE60" s="965">
        <f>X60-SUM(Y60:AD60)</f>
        <v/>
      </c>
      <c r="AF60" s="786" t="n">
        <v>70419</v>
      </c>
      <c r="AG60" s="786" t="n">
        <v>629541</v>
      </c>
      <c r="AH60" s="786" t="n">
        <v>559122</v>
      </c>
      <c r="AI60" s="786" t="n">
        <v>30963</v>
      </c>
      <c r="AO60" s="786" t="n">
        <v>101382</v>
      </c>
      <c r="AP60" s="786" t="n">
        <v>-341</v>
      </c>
      <c r="AQ60" s="965" t="n">
        <v>101041</v>
      </c>
      <c r="AR60" s="965" t="n">
        <v>86772</v>
      </c>
      <c r="AS60" s="965" t="n">
        <v>0</v>
      </c>
      <c r="AT60" s="965">
        <f>+AJ60+AK60+AL60-AM60+AN60-AI60</f>
        <v/>
      </c>
      <c r="AU60" s="965">
        <f>+AF60+AI60-AO60</f>
        <v/>
      </c>
      <c r="AV60" s="965">
        <f>+AF60</f>
        <v/>
      </c>
      <c r="AW60" s="965">
        <f>+AI60</f>
        <v/>
      </c>
      <c r="AX60" s="965">
        <f>+AP60</f>
        <v/>
      </c>
      <c r="AY60" s="965">
        <f>+SUM(AV60:AX60)</f>
        <v/>
      </c>
      <c r="BB60" s="785" t="n"/>
      <c r="BC60" s="786" t="n">
        <v>-1105739.275686</v>
      </c>
      <c r="BD60" s="786" t="n">
        <v>63304.070646</v>
      </c>
      <c r="BE60" s="786" t="n">
        <v>0</v>
      </c>
      <c r="BF60" s="786" t="n">
        <v>-448522.263028</v>
      </c>
      <c r="BG60" s="786" t="n">
        <v>-2125.207227</v>
      </c>
      <c r="BH60" s="786" t="n">
        <v>11.079939</v>
      </c>
      <c r="BI60" s="786" t="n">
        <v>-1441.997256</v>
      </c>
      <c r="BJ60" s="786" t="n">
        <v>0</v>
      </c>
      <c r="BK60" s="786" t="n">
        <v>-1494513.592612</v>
      </c>
      <c r="BL60" s="965" t="n">
        <v>0</v>
      </c>
      <c r="BM60" s="786" t="n">
        <v>1561498.237695</v>
      </c>
      <c r="BN60" s="786" t="n">
        <v>0</v>
      </c>
      <c r="BO60" s="786" t="n">
        <v>0</v>
      </c>
      <c r="BP60" s="786" t="n">
        <v>86772.302151</v>
      </c>
      <c r="BQ60" s="786" t="n">
        <v>0</v>
      </c>
      <c r="BR60" s="786" t="n">
        <v>-11470.533512</v>
      </c>
      <c r="BS60" s="786" t="n">
        <v>1636800.006334</v>
      </c>
      <c r="BT60" s="965" t="n">
        <v>0</v>
      </c>
      <c r="BU60" s="965">
        <f>5393958+3737719+16790301+5800</f>
        <v/>
      </c>
      <c r="BV60" s="965">
        <f>161913+297879+34810+0</f>
        <v/>
      </c>
      <c r="BW60" s="965">
        <f>228194+53443+448607+505698+120861+1030436+73407+211660+71458+473</f>
        <v/>
      </c>
      <c r="BX60" s="965">
        <f>45164+256770+952</f>
        <v/>
      </c>
      <c r="BY60" s="965">
        <f>9174+1758+19437+21865+5340+43623+5141+14424+5278+24</f>
        <v/>
      </c>
      <c r="BZ60" s="965">
        <f>16287+53787+28352-67755-48564-159306+2247+8144+8183-45</f>
        <v/>
      </c>
      <c r="CA60" s="965">
        <f>4016+322+9113+11175+2438+21942+1051+3411+1518+8</f>
        <v/>
      </c>
      <c r="CB60" s="965">
        <f>217064+1092+385414+584143+172327+954652+75250+214529+66083+534</f>
        <v/>
      </c>
      <c r="CD60" s="786">
        <f>CB60+BX60-BY60+BZ60+CA60-BW60</f>
        <v/>
      </c>
      <c r="CE60" s="786">
        <f>22604+74381+3146+4863+38+31995+32+1537+198</f>
        <v/>
      </c>
      <c r="CF60" s="786">
        <f>20252+19286+68185+59788+2850+592+4105+3539+36+35+28355+25898+33+33+1424+1325+173+153</f>
        <v/>
      </c>
      <c r="CG60" s="786">
        <f>19259+19430+53996+49814+151+133+3112+2806+33+31+24157+21039+34+34+1232+1145+136+120</f>
        <v/>
      </c>
      <c r="CH60" s="786">
        <f>18309+17059+16359+16045+14648+46681+44303+42316+40691+39163+125+121+103+21+3+2583+2411+2280+2182+2103+30+29+28+27+27+18545+17050+15944+13794+11530+34+34+34+34+34+1065+987+913+845+783+107+93+80+69+59</f>
        <v/>
      </c>
      <c r="CI60" s="786">
        <f>63927+59063+55800+52507+204587+182307+169282+156531+134022+495159+14+6+9600+8559+8129+7662+26633+61+44975+30528+21584+15136+27142+125+12+3159+2196+1530+1029+1373+199+99+52+27+25</f>
        <v/>
      </c>
      <c r="CJ60" s="786">
        <f>619134+1656621+7266+90566+374+347670+472+20543+1589</f>
        <v/>
      </c>
      <c r="CK60" s="786">
        <f>CJ60-SUM(CE60:CI60)</f>
        <v/>
      </c>
      <c r="CL60" s="786">
        <f>BW60-CJ60</f>
        <v/>
      </c>
      <c r="CN60" s="785" t="n"/>
      <c r="CQ60" s="785" t="n">
        <v>1.721</v>
      </c>
      <c r="CR60" s="786" t="n">
        <v>4166200</v>
      </c>
      <c r="CS60" s="786" t="n">
        <v>2421410</v>
      </c>
      <c r="CU60" s="786" t="n">
        <v>1146824</v>
      </c>
      <c r="CW60" s="105" t="n"/>
      <c r="CX60" s="105" t="n"/>
      <c r="CY60" s="105" t="n"/>
      <c r="CZ60" s="785" t="n"/>
      <c r="DC60" s="785">
        <f>+DE60/DD60</f>
        <v/>
      </c>
      <c r="DD60" s="786" t="n">
        <v>313996.4589619996</v>
      </c>
      <c r="DE60" s="786" t="n">
        <v>282451.679927</v>
      </c>
      <c r="DG60" s="786">
        <f>+DH60+DK60</f>
        <v/>
      </c>
      <c r="DH60" s="786">
        <f>+DI60-DJ60</f>
        <v/>
      </c>
      <c r="DI60" s="786">
        <f>'[8]IS(Insurance Acct.)'!$B$10/1000000</f>
        <v/>
      </c>
      <c r="DJ60" s="786">
        <f>(+'[8]IS(Insurance Acct.)'!$B$19+'[8]IS(Insurance Acct.)'!$B$24)/10^6</f>
        <v/>
      </c>
      <c r="DK60" s="786">
        <f>+DL60-DM60</f>
        <v/>
      </c>
      <c r="DL60" s="786">
        <f>SUM('[8]IS  K-IFRS'!$B$12/10^6)</f>
        <v/>
      </c>
      <c r="DM60" s="786">
        <f>'[8]IS  K-IFRS'!$B$19/10^6</f>
        <v/>
      </c>
      <c r="FC60" s="786" t="n"/>
      <c r="FD60" s="786" t="n"/>
    </row>
    <row r="61">
      <c r="A61" s="642">
        <f>B61&amp;C61</f>
        <v/>
      </c>
      <c r="B61" s="642" t="n">
        <v>2509</v>
      </c>
      <c r="C61" s="642" t="inlineStr">
        <is>
          <t>동양</t>
        </is>
      </c>
      <c r="D61" s="786" t="n">
        <v>35727983</v>
      </c>
      <c r="E61" s="786" t="n">
        <v>5507528</v>
      </c>
      <c r="F61" s="786" t="n">
        <v>22988363</v>
      </c>
      <c r="G61" s="786" t="n">
        <v>5574981</v>
      </c>
      <c r="H61" s="786" t="n">
        <v>70000</v>
      </c>
      <c r="I61" s="785">
        <f>+E61/$D61</f>
        <v/>
      </c>
      <c r="J61" s="785">
        <f>+F61/$D61</f>
        <v/>
      </c>
      <c r="K61" s="785">
        <f>+G61/$D61</f>
        <v/>
      </c>
      <c r="L61" s="786" t="n">
        <v>34339205</v>
      </c>
      <c r="M61" s="786" t="n">
        <v>29392006</v>
      </c>
      <c r="N61" s="965">
        <f>+O61-P61</f>
        <v/>
      </c>
      <c r="O61" s="965" t="n">
        <v>1388778</v>
      </c>
      <c r="P61" s="965" t="n">
        <v>0</v>
      </c>
      <c r="Q61" s="965" t="n">
        <v>-1415498</v>
      </c>
      <c r="R61" s="965" t="n">
        <v>1651794</v>
      </c>
      <c r="S61" s="965" t="n">
        <v>2010539.027552</v>
      </c>
      <c r="T61" s="978">
        <f>+T60</f>
        <v/>
      </c>
      <c r="U61" s="787" t="n">
        <v>34474250</v>
      </c>
      <c r="V61" s="787" t="n">
        <v>33174995</v>
      </c>
      <c r="W61" s="144" t="n">
        <v>0.962</v>
      </c>
      <c r="X61" s="965" t="n">
        <v>-1415498</v>
      </c>
      <c r="Y61" s="965">
        <f>+-1060236+5694</f>
        <v/>
      </c>
      <c r="Z61" s="965" t="n">
        <v>-415791</v>
      </c>
      <c r="AA61" s="965" t="n">
        <v>10179</v>
      </c>
      <c r="AB61" s="965" t="n">
        <v>53991</v>
      </c>
      <c r="AC61" s="965" t="n">
        <v>15581</v>
      </c>
      <c r="AD61" s="965" t="n">
        <v>-24916</v>
      </c>
      <c r="AE61" s="965">
        <f>X61-SUM(Y61:AD61)</f>
        <v/>
      </c>
      <c r="AF61" s="786" t="n">
        <v>94982</v>
      </c>
      <c r="AG61" s="786" t="n">
        <v>949693</v>
      </c>
      <c r="AH61" s="786" t="n">
        <v>854711</v>
      </c>
      <c r="AI61" s="786" t="n">
        <v>57137</v>
      </c>
      <c r="AJ61" s="786">
        <f>159-959382</f>
        <v/>
      </c>
      <c r="AK61" s="786" t="n">
        <v>11719</v>
      </c>
      <c r="AL61" s="786">
        <f>+AI61-AJ61-AK61+AM61-AN61</f>
        <v/>
      </c>
      <c r="AM61" s="786" t="n">
        <v>2594</v>
      </c>
      <c r="AN61" s="786">
        <f>4884+90595-16862</f>
        <v/>
      </c>
      <c r="AO61" s="786" t="n">
        <v>152119</v>
      </c>
      <c r="AP61" s="786">
        <f>4465-25868</f>
        <v/>
      </c>
      <c r="AQ61" s="965" t="n">
        <v>130716</v>
      </c>
      <c r="AR61" s="965" t="n">
        <v>113213</v>
      </c>
      <c r="AS61" s="965" t="n">
        <v>0</v>
      </c>
      <c r="AT61" s="965">
        <f>+AJ61+AK61+AL61-AM61+AN61-AI61</f>
        <v/>
      </c>
      <c r="AU61" s="965">
        <f>+AF61+AI61-AO61</f>
        <v/>
      </c>
      <c r="AV61" s="965">
        <f>+AF61</f>
        <v/>
      </c>
      <c r="AW61" s="965">
        <f>+AI61</f>
        <v/>
      </c>
      <c r="AX61" s="965">
        <f>+AP61</f>
        <v/>
      </c>
      <c r="AY61" s="965">
        <f>+SUM(AV61:AX61)</f>
        <v/>
      </c>
      <c r="BB61" s="785" t="n"/>
      <c r="BC61" s="786" t="n">
        <v>-1105739</v>
      </c>
      <c r="BD61" s="786">
        <f>3862+419+485</f>
        <v/>
      </c>
      <c r="BF61" s="786">
        <f>+-282313+-372</f>
        <v/>
      </c>
      <c r="BG61" s="786" t="n">
        <v>-28093</v>
      </c>
      <c r="BH61" s="786">
        <f>13+-34</f>
        <v/>
      </c>
      <c r="BI61" s="786" t="n">
        <v>-3726</v>
      </c>
      <c r="BK61" s="786" t="n">
        <v>-1415498</v>
      </c>
      <c r="BL61" s="965">
        <f>+BK61-BC61-SUM(BD61:BJ61)</f>
        <v/>
      </c>
      <c r="BM61" s="786" t="n">
        <v>1561498</v>
      </c>
      <c r="BP61" s="786" t="n">
        <v>113213</v>
      </c>
      <c r="BQ61" s="786">
        <f>+-485+34</f>
        <v/>
      </c>
      <c r="BR61" s="786" t="n">
        <v>-22466</v>
      </c>
      <c r="BS61" s="786" t="n">
        <v>1651794</v>
      </c>
      <c r="BT61" s="965">
        <f>+BM61+SUM(BN61:BR61)-BS61</f>
        <v/>
      </c>
      <c r="BU61" s="965" t="n">
        <v>26094230</v>
      </c>
      <c r="BV61" s="965" t="n">
        <v>500796</v>
      </c>
      <c r="BW61" s="965">
        <f>787677+387381+1621922</f>
        <v/>
      </c>
      <c r="BX61" s="965" t="n">
        <v>425848</v>
      </c>
      <c r="BY61" s="965">
        <f>53518+32602+103741</f>
        <v/>
      </c>
      <c r="BZ61" s="965">
        <f>-59219+22347-155915</f>
        <v/>
      </c>
      <c r="CA61" s="965">
        <f>23957+9154+49580</f>
        <v/>
      </c>
      <c r="CB61" s="965">
        <f>217064+1092+385414+584143+172327+954652+75250+214529+66083+534</f>
        <v/>
      </c>
      <c r="CD61" s="786">
        <f>CB61+BX61-BY61+BZ61+CA61-BW61</f>
        <v/>
      </c>
      <c r="CE61" s="786" t="n">
        <v>139874</v>
      </c>
      <c r="CF61" s="786">
        <f>126485+112631</f>
        <v/>
      </c>
      <c r="CG61" s="786">
        <f>104162+96245</f>
        <v/>
      </c>
      <c r="CH61" s="786">
        <f>88946+83828+79837+74794+69617</f>
        <v/>
      </c>
      <c r="CI61" s="786">
        <f>311767+276805+249750+215049+767190</f>
        <v/>
      </c>
      <c r="CJ61" s="786" t="n">
        <v>2796980</v>
      </c>
      <c r="CK61" s="786">
        <f>CJ61-SUM(CE61:CI61)</f>
        <v/>
      </c>
      <c r="CL61" s="786">
        <f>BW61-CJ61</f>
        <v/>
      </c>
      <c r="CN61" s="785" t="n"/>
      <c r="CQ61" s="785" t="n">
        <v>1.736</v>
      </c>
      <c r="CR61" s="786" t="n">
        <v>4020040</v>
      </c>
      <c r="CS61" s="786" t="n">
        <v>2315761</v>
      </c>
      <c r="CU61" s="786" t="n">
        <v>1026174</v>
      </c>
      <c r="CW61" s="105" t="n"/>
      <c r="CX61" s="105" t="n"/>
      <c r="CY61" s="105" t="n"/>
      <c r="CZ61" s="785" t="n"/>
      <c r="DC61" s="785">
        <f>+DE61/DD61</f>
        <v/>
      </c>
      <c r="DD61" s="786" t="n">
        <v>473713.808401</v>
      </c>
      <c r="DE61" s="786" t="n">
        <v>435235.976511</v>
      </c>
      <c r="DG61" s="786">
        <f>[9]FS!$T$37*1000</f>
        <v/>
      </c>
      <c r="DH61" s="786">
        <f>+DI61-DJ61</f>
        <v/>
      </c>
      <c r="DI61" s="786">
        <f>'[9]IS(Insurance Acct.)'!$B$10/10^6</f>
        <v/>
      </c>
      <c r="DJ61" s="786">
        <f>('[9]IS(Insurance Acct.)'!$B$19+'[9]IS(Insurance Acct.)'!$B$24)/10^6</f>
        <v/>
      </c>
      <c r="DK61" s="786">
        <f>DG61-DH61</f>
        <v/>
      </c>
      <c r="DL61" s="786">
        <f>'[9]IS(Insurance Acct.)'!$B$12/1000000</f>
        <v/>
      </c>
      <c r="DM61" s="786">
        <f>+DL61-DK61</f>
        <v/>
      </c>
      <c r="DR61" s="786" t="inlineStr">
        <is>
          <t>* ir자료와 기준 맞춤</t>
        </is>
      </c>
      <c r="FC61" s="786" t="n"/>
      <c r="FD61" s="786" t="n"/>
    </row>
    <row r="62">
      <c r="A62" s="642">
        <f>B62&amp;C62</f>
        <v/>
      </c>
      <c r="B62" s="642" t="n">
        <v>2512</v>
      </c>
      <c r="C62" s="642" t="inlineStr">
        <is>
          <t>동양</t>
        </is>
      </c>
      <c r="D62" s="786" t="n">
        <v>35315258</v>
      </c>
      <c r="E62" s="786" t="n">
        <v>5375104</v>
      </c>
      <c r="F62" s="786" t="n">
        <v>22837835</v>
      </c>
      <c r="G62" s="786" t="n">
        <v>5622603</v>
      </c>
      <c r="I62" s="785">
        <f>+E62/$D62</f>
        <v/>
      </c>
      <c r="J62" s="785">
        <f>+F62/$D62</f>
        <v/>
      </c>
      <c r="K62" s="785">
        <f>+G62/$D62</f>
        <v/>
      </c>
      <c r="L62" s="786" t="n">
        <v>33781287</v>
      </c>
      <c r="M62" s="786" t="n">
        <v>28145079</v>
      </c>
      <c r="N62" s="965">
        <f>+O62-P62</f>
        <v/>
      </c>
      <c r="O62" s="965" t="n">
        <v>1533971</v>
      </c>
      <c r="Q62" s="965" t="n">
        <v>-1224013</v>
      </c>
      <c r="R62" s="965" t="n">
        <v>1604417</v>
      </c>
      <c r="S62" s="965" t="n">
        <v>2012958</v>
      </c>
      <c r="T62" s="978">
        <f>+N58</f>
        <v/>
      </c>
      <c r="U62" s="787" t="n">
        <v>33940882</v>
      </c>
      <c r="V62" s="787" t="n">
        <v>32695593</v>
      </c>
      <c r="W62" s="144" t="n">
        <v>0.963</v>
      </c>
      <c r="X62" s="965" t="n">
        <v>-1224013</v>
      </c>
      <c r="Y62" s="965">
        <f>+-1704158+4550</f>
        <v/>
      </c>
      <c r="Z62" s="965" t="n">
        <v>575901</v>
      </c>
      <c r="AA62" s="965" t="n">
        <v>-4705</v>
      </c>
      <c r="AB62" s="965" t="n">
        <v>-98248</v>
      </c>
      <c r="AC62" s="965" t="n">
        <v>15958</v>
      </c>
      <c r="AD62" s="965" t="n">
        <v>-13311</v>
      </c>
      <c r="AE62" s="965">
        <f>X62-SUM(Y62:AD62)</f>
        <v/>
      </c>
      <c r="AF62" s="786" t="n">
        <v>113771</v>
      </c>
      <c r="AG62" s="786" t="n">
        <v>1263501</v>
      </c>
      <c r="AH62" s="786" t="n">
        <v>1149730</v>
      </c>
      <c r="AI62" s="786" t="n">
        <v>91164</v>
      </c>
      <c r="AJ62" s="786">
        <f>185-1299401</f>
        <v/>
      </c>
      <c r="AK62" s="786" t="n">
        <v>16114</v>
      </c>
      <c r="AL62" s="786">
        <f>+AI62-AJ62-AK62+AM62-AN62</f>
        <v/>
      </c>
      <c r="AM62" s="786" t="n">
        <v>3546</v>
      </c>
      <c r="AN62" s="786">
        <f>6287+19017-21950</f>
        <v/>
      </c>
      <c r="AO62" s="786" t="n">
        <v>204935</v>
      </c>
      <c r="AP62" s="786">
        <f>14675-108222</f>
        <v/>
      </c>
      <c r="AQ62" s="965" t="n">
        <v>111388</v>
      </c>
      <c r="AR62" s="965" t="n">
        <v>65837</v>
      </c>
      <c r="AS62" s="965">
        <f>+AO62+AP62-AQ62</f>
        <v/>
      </c>
      <c r="AT62" s="965">
        <f>+AJ62+AK62+AL62-AM62+AN62-AI62</f>
        <v/>
      </c>
      <c r="AU62" s="965">
        <f>+AF62+AI62-AO62</f>
        <v/>
      </c>
      <c r="AV62" s="965">
        <f>+AF62</f>
        <v/>
      </c>
      <c r="AW62" s="965">
        <f>+AI62</f>
        <v/>
      </c>
      <c r="AX62" s="965">
        <f>+AP62</f>
        <v/>
      </c>
      <c r="AY62" s="965">
        <f>+SUM(AV62:AX62)</f>
        <v/>
      </c>
      <c r="BB62" s="785" t="n"/>
      <c r="BC62" s="786" t="n">
        <v>-1103320</v>
      </c>
      <c r="BD62" s="786">
        <f>+-633053+-9528</f>
        <v/>
      </c>
      <c r="BF62" s="786">
        <f>709379+-15255</f>
        <v/>
      </c>
      <c r="BG62" s="786" t="n">
        <v>-180332</v>
      </c>
      <c r="BH62" s="786">
        <f>+-231+-34</f>
        <v/>
      </c>
      <c r="BI62" s="786" t="n">
        <v>7875</v>
      </c>
      <c r="BJ62" s="965" t="n">
        <v>486</v>
      </c>
      <c r="BK62" s="786" t="n">
        <v>-1224013</v>
      </c>
      <c r="BL62" s="965">
        <f>+BK62-BC62-SUM(BD62:BJ62)</f>
        <v/>
      </c>
      <c r="BM62" s="786" t="n">
        <v>1561498</v>
      </c>
      <c r="BP62" s="786" t="n">
        <v>65837</v>
      </c>
      <c r="BQ62" s="786">
        <f>+-486+34</f>
        <v/>
      </c>
      <c r="BR62" s="786" t="n">
        <v>-22466</v>
      </c>
      <c r="BS62" s="786" t="n">
        <v>1604417</v>
      </c>
      <c r="BT62" s="965">
        <f>+BM62+SUM(BN62:BR62)-BS62</f>
        <v/>
      </c>
      <c r="BU62" s="965">
        <f>2849757+20925551+1435962</f>
        <v/>
      </c>
      <c r="BV62" s="965">
        <f>15182+444218+17314</f>
        <v/>
      </c>
      <c r="BW62" s="965">
        <f>5721+54342+869+748220+268415+1369462+852+9115+99</f>
        <v/>
      </c>
      <c r="BX62" s="965" t="n">
        <v>529132</v>
      </c>
      <c r="BY62" s="965">
        <f>395+5025+60+70314+36759+132530+115+1534+19</f>
        <v/>
      </c>
      <c r="BZ62" s="965">
        <f>-603+10729-555-81537-46304-498596-185+10260-89</f>
        <v/>
      </c>
      <c r="CA62" s="965">
        <f>250+1468+72+31234+10555+66926</f>
        <v/>
      </c>
      <c r="CB62" s="965">
        <f>+CB61</f>
        <v/>
      </c>
      <c r="CD62" s="786">
        <f>CB62+BX62-BY62+BZ62+CA62-BW62</f>
        <v/>
      </c>
      <c r="CN62" s="842" t="n">
        <v>1.773</v>
      </c>
      <c r="CO62" s="974" t="n">
        <v>4015166</v>
      </c>
      <c r="CP62" s="974" t="n">
        <v>2264745</v>
      </c>
      <c r="CQ62" s="996" t="n">
        <v>1.798</v>
      </c>
      <c r="CR62" s="989" t="n">
        <v>4059496</v>
      </c>
      <c r="CS62" s="989" t="n">
        <v>2257298</v>
      </c>
      <c r="CU62" s="974">
        <f>918835+187779</f>
        <v/>
      </c>
      <c r="CW62" s="140" t="n">
        <v>0.839</v>
      </c>
      <c r="CX62" s="140" t="n">
        <v>0.952</v>
      </c>
      <c r="CY62" s="140" t="n">
        <v>-0.113</v>
      </c>
      <c r="CZ62" s="785">
        <f>+CX62/CW62</f>
        <v/>
      </c>
      <c r="DC62" s="785">
        <f>+DE62/DD62</f>
        <v/>
      </c>
      <c r="DD62" s="786" t="n">
        <v>634733.190497999</v>
      </c>
      <c r="DE62" s="786" t="n">
        <v>579648.2236421</v>
      </c>
      <c r="DG62" s="786">
        <f>[10]FS!$T$40*1000</f>
        <v/>
      </c>
      <c r="DH62" s="786">
        <f>+DI62-DJ62</f>
        <v/>
      </c>
      <c r="DI62" s="786">
        <f>'[10]IS  K-IFRS'!$B$11/10^6</f>
        <v/>
      </c>
      <c r="DJ62" s="786">
        <f>('[10]IS  K-IFRS'!$B$22+'[10]IS  K-IFRS'!$B$27)/10^6</f>
        <v/>
      </c>
      <c r="DK62" s="786">
        <f>DG62-DH62</f>
        <v/>
      </c>
      <c r="DL62" s="786">
        <f>SUM('[10]IS  K-IFRS'!$B$12:$B$14)/10^6</f>
        <v/>
      </c>
      <c r="DM62" s="786">
        <f>+DL62-DK62</f>
        <v/>
      </c>
      <c r="EP62" s="786" t="n">
        <v>248623</v>
      </c>
      <c r="EQ62" s="786" t="n">
        <v>433359</v>
      </c>
      <c r="ER62" s="786" t="n">
        <v>-27458</v>
      </c>
      <c r="ES62" s="786" t="n">
        <v>7459</v>
      </c>
      <c r="ET62" s="786">
        <f>68073-29270</f>
        <v/>
      </c>
      <c r="EU62" s="786">
        <f>SUM(EP62:ET62)</f>
        <v/>
      </c>
      <c r="EW62" s="786" t="n">
        <v>-248623</v>
      </c>
      <c r="EX62" s="786" t="n">
        <v>-433359</v>
      </c>
      <c r="EY62" s="786" t="n">
        <v>27458</v>
      </c>
      <c r="EZ62" s="786" t="n">
        <v>7459</v>
      </c>
      <c r="FA62" s="786" t="n">
        <v>-68612</v>
      </c>
      <c r="FB62" s="786" t="n">
        <v>108797</v>
      </c>
      <c r="FC62" s="766">
        <f>SUM(EW62:FB62)-BZ62</f>
        <v/>
      </c>
      <c r="FD62" s="786" t="n"/>
    </row>
    <row r="63" ht="16.5" customHeight="1" s="760">
      <c r="A63" s="696">
        <f>B63&amp;C63</f>
        <v/>
      </c>
      <c r="B63" s="696" t="n">
        <v>2603</v>
      </c>
      <c r="C63" s="696" t="inlineStr">
        <is>
          <t>동양</t>
        </is>
      </c>
      <c r="D63" s="786" t="n">
        <v>34461410</v>
      </c>
      <c r="E63" s="786" t="n">
        <v>5177276</v>
      </c>
      <c r="F63" s="786" t="n">
        <v>22414696</v>
      </c>
      <c r="G63" s="786" t="n">
        <v>5387697</v>
      </c>
      <c r="I63" s="785">
        <f>E63/D63</f>
        <v/>
      </c>
      <c r="J63" s="785">
        <f>F63/D63</f>
        <v/>
      </c>
      <c r="K63" s="785">
        <f>G63/D63</f>
        <v/>
      </c>
      <c r="L63" s="786" t="n">
        <v>32635103</v>
      </c>
      <c r="M63" s="786" t="n">
        <v>26584371</v>
      </c>
      <c r="N63" s="965">
        <f>O63-P63</f>
        <v/>
      </c>
      <c r="O63" s="965" t="n">
        <v>1826307</v>
      </c>
      <c r="Q63" s="965" t="n">
        <v>-958677</v>
      </c>
      <c r="R63" s="965" t="n">
        <v>1631417</v>
      </c>
      <c r="S63" s="965" t="n">
        <v>1533971</v>
      </c>
      <c r="T63" s="978" t="n">
        <v>1533971</v>
      </c>
      <c r="V63" s="787" t="n">
        <v>31840413.75</v>
      </c>
      <c r="W63" s="144" t="n"/>
      <c r="X63" s="965">
        <f>Q63</f>
        <v/>
      </c>
      <c r="Y63" s="965" t="n">
        <v>-2401548</v>
      </c>
      <c r="Z63" s="965" t="n">
        <v>1675021.7</v>
      </c>
      <c r="AA63" s="965" t="n">
        <v>-29465.76</v>
      </c>
      <c r="AB63" s="965" t="n">
        <v>-212729.54</v>
      </c>
      <c r="AC63" s="965" t="n">
        <v>15958</v>
      </c>
      <c r="AD63" s="965" t="n">
        <v>-17220.65</v>
      </c>
      <c r="AF63" s="786" t="n">
        <v>22385</v>
      </c>
      <c r="AG63" s="786" t="n">
        <v>330044</v>
      </c>
      <c r="AH63" s="786" t="n">
        <v>307659</v>
      </c>
      <c r="AI63" s="786" t="n">
        <v>12225</v>
      </c>
      <c r="AJ63" s="786" t="n">
        <v>-354498</v>
      </c>
      <c r="AK63" s="786" t="n">
        <v>4172</v>
      </c>
      <c r="AL63" s="786">
        <f>AI63-AJ63-AK63+AM63-AN63</f>
        <v/>
      </c>
      <c r="AM63" s="786" t="n">
        <v>906</v>
      </c>
      <c r="AN63" s="786" t="n">
        <v>3371</v>
      </c>
      <c r="AO63" s="786" t="n">
        <v>34610</v>
      </c>
      <c r="AP63" s="786" t="n">
        <v>-77</v>
      </c>
      <c r="AQ63" s="965" t="n">
        <v>34533</v>
      </c>
      <c r="AR63" s="965" t="n">
        <v>26692</v>
      </c>
      <c r="AS63" s="965" t="n"/>
      <c r="AT63" s="965" t="n"/>
      <c r="AU63" s="965" t="n"/>
      <c r="AV63" s="965">
        <f>AF63</f>
        <v/>
      </c>
      <c r="AW63" s="965">
        <f>AI63</f>
        <v/>
      </c>
      <c r="AX63" s="965">
        <f>AP63</f>
        <v/>
      </c>
      <c r="AY63" s="965">
        <f>AV63+AW63+AX63</f>
        <v/>
      </c>
      <c r="BB63" s="785" t="n"/>
      <c r="BC63" s="786" t="n">
        <v>-1224013</v>
      </c>
      <c r="BD63" s="786" t="n">
        <v>-701633</v>
      </c>
      <c r="BF63" s="786" t="n">
        <v>1074360</v>
      </c>
      <c r="BG63" s="786" t="n">
        <v>-114481</v>
      </c>
      <c r="BH63" s="786" t="n">
        <v>10999</v>
      </c>
      <c r="BI63" s="786" t="n">
        <v>-3909</v>
      </c>
      <c r="BJ63" s="965" t="n"/>
      <c r="BK63" s="786">
        <f>Q63</f>
        <v/>
      </c>
      <c r="BL63" s="965" t="n"/>
      <c r="BM63" s="786" t="n">
        <v>1604417</v>
      </c>
      <c r="BP63" s="786">
        <f>AR63</f>
        <v/>
      </c>
      <c r="BQ63" s="786" t="n">
        <v>308</v>
      </c>
      <c r="BS63" s="786">
        <f>R63</f>
        <v/>
      </c>
      <c r="BT63" s="965" t="n"/>
      <c r="BU63" s="965" t="n">
        <v>23577842</v>
      </c>
      <c r="BV63" s="965" t="n">
        <v>495695</v>
      </c>
      <c r="BW63" s="965" t="n">
        <v>2510834</v>
      </c>
      <c r="BX63" s="965" t="n">
        <v>94465</v>
      </c>
      <c r="BZ63" s="965" t="n">
        <v>-3358</v>
      </c>
      <c r="CB63" s="965" t="n">
        <v>2457095</v>
      </c>
      <c r="CJ63" s="786">
        <f>BW63</f>
        <v/>
      </c>
      <c r="CN63" s="842" t="n"/>
      <c r="CO63" s="974" t="n"/>
      <c r="CP63" s="974" t="n"/>
      <c r="CQ63" s="996" t="n">
        <v>1.9</v>
      </c>
      <c r="CR63" s="989" t="n">
        <v>4345725.62</v>
      </c>
      <c r="CS63" s="989" t="n">
        <v>2292632</v>
      </c>
      <c r="CU63" s="974" t="n">
        <v>1202854.17</v>
      </c>
      <c r="CW63" s="140" t="n"/>
      <c r="CX63" s="140" t="n"/>
      <c r="CY63" s="140" t="n"/>
      <c r="CZ63" s="785" t="n"/>
      <c r="FC63" s="766" t="n"/>
      <c r="FD63" s="786" t="n"/>
    </row>
    <row r="64" ht="16.5" customHeight="1" s="760">
      <c r="A64" s="696">
        <f>B64&amp;C64</f>
        <v/>
      </c>
      <c r="B64" s="696" t="n">
        <v>2606</v>
      </c>
      <c r="C64" s="696" t="inlineStr">
        <is>
          <t>동양</t>
        </is>
      </c>
      <c r="D64" s="786" t="n">
        <v>35264923</v>
      </c>
      <c r="E64" s="786" t="n">
        <v>6576623</v>
      </c>
      <c r="F64" s="786" t="n">
        <v>22307750</v>
      </c>
      <c r="G64" s="786" t="n">
        <v>5099437</v>
      </c>
      <c r="I64" s="785">
        <f>E64/D64</f>
        <v/>
      </c>
      <c r="J64" s="785">
        <f>F64/D64</f>
        <v/>
      </c>
      <c r="K64" s="785">
        <f>G64/D64</f>
        <v/>
      </c>
      <c r="L64" s="786" t="n">
        <v>32943800</v>
      </c>
      <c r="M64" s="786" t="n">
        <v>25971370</v>
      </c>
      <c r="N64" s="965">
        <f>O64-P64</f>
        <v/>
      </c>
      <c r="O64" s="965" t="n">
        <v>2321123</v>
      </c>
      <c r="Q64" s="965" t="n">
        <v>-535301</v>
      </c>
      <c r="R64" s="965" t="n">
        <v>1644306</v>
      </c>
      <c r="S64" s="965" t="n">
        <v>1533971</v>
      </c>
      <c r="T64" s="978" t="n">
        <v>1533971</v>
      </c>
      <c r="W64" s="144" t="n"/>
      <c r="X64" s="965">
        <f>Q64</f>
        <v/>
      </c>
      <c r="Y64" s="965" t="n">
        <v>-2734963</v>
      </c>
      <c r="Z64" s="965" t="n">
        <v>2557272</v>
      </c>
      <c r="AA64" s="965" t="n">
        <v>-46190</v>
      </c>
      <c r="AB64" s="965" t="n">
        <v>-319818</v>
      </c>
      <c r="AC64" s="965" t="n">
        <v>15958</v>
      </c>
      <c r="AD64" s="965" t="n">
        <v>-15369</v>
      </c>
      <c r="AF64" s="786" t="n">
        <v>97012</v>
      </c>
      <c r="AG64" s="786" t="n">
        <v>664106</v>
      </c>
      <c r="AH64" s="786" t="n">
        <v>567094</v>
      </c>
      <c r="AI64" s="786" t="n">
        <v>26082</v>
      </c>
      <c r="AJ64" s="786" t="n">
        <v>-1150090</v>
      </c>
      <c r="AK64" s="786" t="n">
        <v>8388</v>
      </c>
      <c r="AL64" s="786">
        <f>AI64-AJ64-AK64+AM64-AN64</f>
        <v/>
      </c>
      <c r="AM64" s="786" t="n">
        <v>1927</v>
      </c>
      <c r="AN64" s="786" t="n">
        <v>19949</v>
      </c>
      <c r="AO64" s="786" t="n">
        <v>123094</v>
      </c>
      <c r="AP64" s="786" t="n">
        <v>2671</v>
      </c>
      <c r="AQ64" s="965" t="n">
        <v>125765</v>
      </c>
      <c r="AR64" s="965" t="n">
        <v>95827</v>
      </c>
      <c r="AS64" s="965" t="n"/>
      <c r="AT64" s="965" t="n"/>
      <c r="AU64" s="965" t="n"/>
      <c r="AV64" s="965">
        <f>AF64</f>
        <v/>
      </c>
      <c r="AW64" s="965">
        <f>AI64</f>
        <v/>
      </c>
      <c r="AX64" s="965">
        <f>AP64</f>
        <v/>
      </c>
      <c r="AY64" s="965">
        <f>AV64+AW64+AX64</f>
        <v/>
      </c>
      <c r="BB64" s="785" t="n"/>
      <c r="BC64" s="786" t="n">
        <v>-1224013</v>
      </c>
      <c r="BD64" s="786" t="n">
        <v>-1035048</v>
      </c>
      <c r="BF64" s="786" t="n">
        <v>1939886</v>
      </c>
      <c r="BG64" s="786" t="n">
        <v>-221570</v>
      </c>
      <c r="BH64" s="786" t="n">
        <v>7502</v>
      </c>
      <c r="BI64" s="786" t="n">
        <v>-2058</v>
      </c>
      <c r="BJ64" s="965" t="n"/>
      <c r="BK64" s="786">
        <f>Q64</f>
        <v/>
      </c>
      <c r="BL64" s="965" t="n"/>
      <c r="BM64" s="786" t="n">
        <v>1604417</v>
      </c>
      <c r="BO64" s="786" t="n">
        <v>-58551</v>
      </c>
      <c r="BP64" s="786">
        <f>AR64</f>
        <v/>
      </c>
      <c r="BQ64" s="786" t="n">
        <v>2613</v>
      </c>
      <c r="BS64" s="786">
        <f>R64</f>
        <v/>
      </c>
      <c r="BT64" s="965" t="n"/>
      <c r="BU64" s="965" t="n">
        <v>22795344</v>
      </c>
      <c r="BV64" s="965" t="n">
        <v>530319</v>
      </c>
      <c r="BW64" s="965" t="n">
        <v>2645707</v>
      </c>
      <c r="BX64" s="965" t="n">
        <v>242487</v>
      </c>
      <c r="BZ64" s="965" t="n">
        <v>21292</v>
      </c>
      <c r="CB64" s="965" t="n">
        <v>2457095</v>
      </c>
      <c r="CJ64" s="786">
        <f>BW64</f>
        <v/>
      </c>
      <c r="CN64" s="842" t="n"/>
      <c r="CO64" s="974" t="n"/>
      <c r="CP64" s="974" t="n"/>
      <c r="CQ64" s="996" t="n"/>
      <c r="CR64" s="989" t="n"/>
      <c r="CS64" s="989" t="n"/>
      <c r="CU64" s="974" t="n">
        <v>1357824</v>
      </c>
      <c r="CW64" s="140" t="n"/>
      <c r="CX64" s="140" t="n"/>
      <c r="CY64" s="140" t="n"/>
      <c r="CZ64" s="785" t="n"/>
      <c r="FC64" s="766" t="n"/>
      <c r="FD64" s="786" t="n"/>
    </row>
    <row r="65">
      <c r="A65" s="642">
        <f>B65&amp;C65</f>
        <v/>
      </c>
      <c r="I65" s="785" t="n"/>
      <c r="J65" s="785" t="n"/>
      <c r="K65" s="785" t="n"/>
      <c r="T65" s="978" t="n"/>
      <c r="W65" s="144" t="n"/>
      <c r="AS65" s="965" t="n"/>
      <c r="AT65" s="965" t="n"/>
      <c r="AU65" s="965" t="n"/>
      <c r="AV65" s="965">
        <f>+AF65</f>
        <v/>
      </c>
      <c r="AW65" s="965">
        <f>+AI65</f>
        <v/>
      </c>
      <c r="AX65" s="965">
        <f>+AP65</f>
        <v/>
      </c>
      <c r="AY65" s="965">
        <f>+SUM(AV65:AX65)</f>
        <v/>
      </c>
      <c r="BB65" s="785" t="n"/>
      <c r="BL65" s="965" t="n"/>
      <c r="BT65" s="965" t="n"/>
      <c r="CN65" s="785" t="n"/>
      <c r="CQ65" s="785" t="n"/>
      <c r="CW65" s="105" t="n"/>
      <c r="CX65" s="105" t="n"/>
      <c r="CY65" s="105" t="n"/>
      <c r="CZ65" s="785" t="n"/>
      <c r="DJ65" s="977">
        <f>+DJ62/DI62</f>
        <v/>
      </c>
      <c r="FC65" s="786" t="n"/>
      <c r="FD65" s="786" t="n"/>
    </row>
    <row r="66" customFormat="1" s="103">
      <c r="A66" s="103">
        <f>B66&amp;C66</f>
        <v/>
      </c>
      <c r="B66" s="103" t="n">
        <v>2212</v>
      </c>
      <c r="C66" s="103" t="inlineStr">
        <is>
          <t>KB라이프</t>
        </is>
      </c>
      <c r="D66" s="976" t="n"/>
      <c r="E66" s="976" t="n"/>
      <c r="F66" s="976" t="n"/>
      <c r="G66" s="976" t="n"/>
      <c r="H66" s="976" t="n"/>
      <c r="I66" s="977" t="n"/>
      <c r="J66" s="977" t="n"/>
      <c r="K66" s="977" t="n"/>
      <c r="L66" s="976" t="n"/>
      <c r="M66" s="976" t="n"/>
      <c r="N66" s="978">
        <f>O66-P66</f>
        <v/>
      </c>
      <c r="O66" s="978" t="n">
        <v>5103670</v>
      </c>
      <c r="P66" s="978" t="n">
        <v>0</v>
      </c>
      <c r="Q66" s="978" t="n">
        <v>1210325</v>
      </c>
      <c r="R66" s="978" t="n">
        <v>2865248</v>
      </c>
      <c r="S66" s="978" t="n"/>
      <c r="T66" s="978" t="n"/>
      <c r="U66" s="979" t="n"/>
      <c r="V66" s="979" t="n"/>
      <c r="W66" s="979" t="n"/>
      <c r="X66" s="978" t="n"/>
      <c r="Y66" s="978" t="n"/>
      <c r="Z66" s="978" t="n"/>
      <c r="AA66" s="978" t="n"/>
      <c r="AB66" s="978" t="n"/>
      <c r="AC66" s="978" t="n"/>
      <c r="AD66" s="978" t="n"/>
      <c r="AE66" s="978" t="n"/>
      <c r="AF66" s="997" t="n"/>
      <c r="AG66" s="997" t="n"/>
      <c r="AH66" s="997" t="n"/>
      <c r="AI66" s="997" t="n"/>
      <c r="AJ66" s="976" t="n"/>
      <c r="AK66" s="976" t="n"/>
      <c r="AL66" s="976" t="n"/>
      <c r="AM66" s="976" t="n"/>
      <c r="AN66" s="976" t="n"/>
      <c r="AO66" s="997" t="n"/>
      <c r="AP66" s="976" t="n"/>
      <c r="AQ66" s="978" t="n"/>
      <c r="AR66" s="978" t="n"/>
      <c r="AS66" s="978" t="n"/>
      <c r="AT66" s="978" t="n"/>
      <c r="AU66" s="978" t="n"/>
      <c r="AV66" s="978">
        <f>+AF66</f>
        <v/>
      </c>
      <c r="AW66" s="978">
        <f>+AI66</f>
        <v/>
      </c>
      <c r="AX66" s="978">
        <f>+AP66</f>
        <v/>
      </c>
      <c r="AY66" s="978">
        <f>+SUM(AV66:AX66)</f>
        <v/>
      </c>
      <c r="AZ66" s="976" t="n"/>
      <c r="BA66" s="976" t="n"/>
      <c r="BB66" s="977" t="n"/>
      <c r="BC66" s="976" t="n"/>
      <c r="BD66" s="976" t="n"/>
      <c r="BE66" s="976" t="n"/>
      <c r="BF66" s="976" t="n"/>
      <c r="BG66" s="976" t="n"/>
      <c r="BH66" s="976" t="n"/>
      <c r="BI66" s="976" t="n"/>
      <c r="BJ66" s="976" t="n"/>
      <c r="BK66" s="976" t="n"/>
      <c r="BL66" s="978" t="n"/>
      <c r="BM66" s="976" t="n"/>
      <c r="BN66" s="976" t="n"/>
      <c r="BO66" s="976" t="n"/>
      <c r="BP66" s="976" t="n"/>
      <c r="BQ66" s="976" t="n"/>
      <c r="BR66" s="976" t="n"/>
      <c r="BS66" s="976" t="n"/>
      <c r="BT66" s="978">
        <f>2342388+11903</f>
        <v/>
      </c>
      <c r="BU66" s="978">
        <f>11664310+6501483</f>
        <v/>
      </c>
      <c r="BV66" s="978">
        <f>309350+121508</f>
        <v/>
      </c>
      <c r="BW66" s="978">
        <f>2600655+758915</f>
        <v/>
      </c>
      <c r="BX66" s="978" t="n"/>
      <c r="BY66" s="978" t="n"/>
      <c r="BZ66" s="978" t="n"/>
      <c r="CA66" s="978" t="n"/>
      <c r="CB66" s="978" t="n"/>
      <c r="CC66" s="976" t="n"/>
      <c r="CD66" s="976" t="n"/>
      <c r="CE66" s="976" t="n"/>
      <c r="CF66" s="976" t="n"/>
      <c r="CG66" s="976" t="n"/>
      <c r="CH66" s="976" t="n"/>
      <c r="CI66" s="976" t="n"/>
      <c r="CJ66" s="976" t="n"/>
      <c r="CK66" s="976" t="n"/>
      <c r="CL66" s="976" t="n"/>
      <c r="CM66" s="976" t="n"/>
      <c r="CN66" s="977" t="n"/>
      <c r="CO66" s="976" t="n"/>
      <c r="CP66" s="976" t="n"/>
      <c r="CQ66" s="977" t="n"/>
      <c r="CR66" s="976" t="n"/>
      <c r="CS66" s="976" t="n"/>
      <c r="CT66" s="976" t="n"/>
      <c r="CU66" s="976" t="n"/>
      <c r="CV66" s="976" t="n"/>
      <c r="CW66" s="976" t="n"/>
      <c r="CX66" s="976" t="n"/>
      <c r="CY66" s="976" t="n"/>
      <c r="CZ66" s="976" t="n"/>
      <c r="DA66" s="976" t="n"/>
      <c r="DB66" s="976" t="n"/>
      <c r="DC66" s="977" t="n"/>
      <c r="DD66" s="976" t="n"/>
      <c r="DE66" s="976" t="n"/>
      <c r="DF66" s="976" t="n"/>
      <c r="DG66" s="976" t="n"/>
      <c r="DH66" s="976" t="n"/>
      <c r="DI66" s="976" t="n"/>
      <c r="DJ66" s="976" t="n"/>
      <c r="DK66" s="976" t="n"/>
      <c r="DL66" s="976" t="n"/>
      <c r="DM66" s="976" t="n"/>
      <c r="DN66" s="976" t="n"/>
      <c r="DO66" s="976" t="n"/>
      <c r="DP66" s="976" t="n"/>
      <c r="DQ66" s="976" t="n"/>
      <c r="DR66" s="976" t="n"/>
      <c r="DS66" s="976" t="n"/>
      <c r="DT66" s="976" t="n"/>
      <c r="DU66" s="976" t="n"/>
      <c r="DV66" s="976" t="n"/>
      <c r="DW66" s="976" t="n"/>
      <c r="DX66" s="976" t="n"/>
      <c r="DY66" s="976" t="n"/>
      <c r="DZ66" s="976" t="n"/>
      <c r="EA66" s="976" t="n"/>
      <c r="EB66" s="976" t="n"/>
      <c r="EC66" s="976" t="n"/>
      <c r="ED66" s="976" t="n"/>
      <c r="EE66" s="976" t="n"/>
      <c r="EP66" s="976" t="n"/>
      <c r="EQ66" s="976" t="n"/>
      <c r="ER66" s="976" t="n"/>
      <c r="ES66" s="976" t="n"/>
      <c r="ET66" s="976" t="n"/>
      <c r="EU66" s="976" t="n"/>
      <c r="EV66" s="976" t="n"/>
      <c r="EW66" s="976" t="n"/>
      <c r="EX66" s="976" t="n"/>
      <c r="EY66" s="976" t="n"/>
      <c r="EZ66" s="976" t="n"/>
      <c r="FA66" s="976" t="n"/>
      <c r="FB66" s="976" t="n"/>
      <c r="FC66" s="976" t="n"/>
      <c r="FD66" s="976" t="n"/>
    </row>
    <row r="67" customFormat="1" s="103">
      <c r="A67" s="103">
        <f>B67&amp;C67</f>
        <v/>
      </c>
      <c r="B67" s="103" t="n">
        <v>2312</v>
      </c>
      <c r="C67" s="103" t="inlineStr">
        <is>
          <t>KB라이프</t>
        </is>
      </c>
      <c r="D67" s="976" t="n">
        <v>31634138</v>
      </c>
      <c r="E67" s="976" t="n">
        <v>8297751</v>
      </c>
      <c r="F67" s="976" t="n">
        <v>19466521</v>
      </c>
      <c r="G67" s="976">
        <f>647242+1267665</f>
        <v/>
      </c>
      <c r="H67" s="976" t="n">
        <v>143262</v>
      </c>
      <c r="I67" s="977">
        <f>+E67/$D67</f>
        <v/>
      </c>
      <c r="J67" s="977">
        <f>+F67/$D67</f>
        <v/>
      </c>
      <c r="K67" s="977">
        <f>+G67/$D67</f>
        <v/>
      </c>
      <c r="L67" s="976" t="n">
        <v>24031927</v>
      </c>
      <c r="M67" s="976" t="n">
        <v>24031927</v>
      </c>
      <c r="N67" s="978">
        <f>O67-P67</f>
        <v/>
      </c>
      <c r="O67" s="978" t="n">
        <v>5363506</v>
      </c>
      <c r="P67" s="978" t="n">
        <v>49800</v>
      </c>
      <c r="Q67" s="978" t="n">
        <v>1336551</v>
      </c>
      <c r="R67" s="978" t="n">
        <v>2998852</v>
      </c>
      <c r="S67" s="978" t="n">
        <v>4482904</v>
      </c>
      <c r="T67" s="978">
        <f>N66</f>
        <v/>
      </c>
      <c r="U67" s="979" t="n">
        <v>25849700</v>
      </c>
      <c r="V67" s="979" t="n">
        <v>25260900</v>
      </c>
      <c r="W67" s="991" t="n">
        <v>0.9772</v>
      </c>
      <c r="X67" s="978" t="n">
        <v>1336551</v>
      </c>
      <c r="Y67" s="978" t="n">
        <v>-566920</v>
      </c>
      <c r="Z67" s="978" t="n">
        <v>1907143</v>
      </c>
      <c r="AA67" s="978" t="n">
        <v>5516</v>
      </c>
      <c r="AB67" s="978" t="n">
        <v>-2813</v>
      </c>
      <c r="AC67" s="978" t="n"/>
      <c r="AD67" s="978" t="n">
        <v>-6375</v>
      </c>
      <c r="AE67" s="978">
        <f>X67-SUM(Y67:AD67)</f>
        <v/>
      </c>
      <c r="AF67" s="976" t="n">
        <v>249794</v>
      </c>
      <c r="AG67" s="976" t="n">
        <v>781478</v>
      </c>
      <c r="AH67" s="976" t="n">
        <v>531684</v>
      </c>
      <c r="AI67" s="976" t="n">
        <v>76008</v>
      </c>
      <c r="AJ67" s="976">
        <f>5582-1275667</f>
        <v/>
      </c>
      <c r="AK67" s="976">
        <f>112-471</f>
        <v/>
      </c>
      <c r="AL67" s="976">
        <f>+AI67-AJ67-AK67-AN67</f>
        <v/>
      </c>
      <c r="AM67" s="976" t="n"/>
      <c r="AN67" s="976">
        <f>150236-56888</f>
        <v/>
      </c>
      <c r="AO67" s="976" t="n">
        <v>325802</v>
      </c>
      <c r="AP67" s="976" t="n">
        <v>-5767</v>
      </c>
      <c r="AQ67" s="978" t="n">
        <v>320035</v>
      </c>
      <c r="AR67" s="978" t="n">
        <v>236403</v>
      </c>
      <c r="AS67" s="978">
        <f>+AO67+AP67-AQ67</f>
        <v/>
      </c>
      <c r="AT67" s="978">
        <f>+AJ67+AK67+AL67-AM67+AN67-AI67</f>
        <v/>
      </c>
      <c r="AU67" s="978">
        <f>+AF67+AI67-AO67</f>
        <v/>
      </c>
      <c r="AV67" s="978">
        <f>+AF67</f>
        <v/>
      </c>
      <c r="AW67" s="978">
        <f>+AI67</f>
        <v/>
      </c>
      <c r="AX67" s="978">
        <f>+AP67</f>
        <v/>
      </c>
      <c r="AY67" s="978">
        <f>+SUM(AV67:AX67)</f>
        <v/>
      </c>
      <c r="AZ67" s="976" t="n"/>
      <c r="BA67" s="976" t="n"/>
      <c r="BB67" s="977">
        <f>+BF67/(BU67+BV67+BW67)</f>
        <v/>
      </c>
      <c r="BC67" s="976">
        <f>2193782-726126</f>
        <v/>
      </c>
      <c r="BD67" s="976" t="n">
        <v>1116687</v>
      </c>
      <c r="BE67" s="976" t="n"/>
      <c r="BF67" s="976">
        <f>-990226-2364</f>
        <v/>
      </c>
      <c r="BG67" s="976" t="n">
        <v>128</v>
      </c>
      <c r="BH67" s="976" t="n"/>
      <c r="BI67" s="976" t="n">
        <v>2007</v>
      </c>
      <c r="BJ67" s="976" t="n">
        <v>-257337</v>
      </c>
      <c r="BK67" s="976" t="n">
        <v>1336551</v>
      </c>
      <c r="BL67" s="978">
        <f>+BK67-BC67-SUM(BD67:BJ67)</f>
        <v/>
      </c>
      <c r="BM67" s="976">
        <f>2815444+49804</f>
        <v/>
      </c>
      <c r="BN67" s="976" t="n">
        <v>-100000</v>
      </c>
      <c r="BO67" s="976" t="n"/>
      <c r="BP67" s="976" t="n">
        <v>236403</v>
      </c>
      <c r="BQ67" s="976">
        <f>-2799</f>
        <v/>
      </c>
      <c r="BR67" s="976" t="n"/>
      <c r="BS67" s="976" t="n">
        <v>2998852</v>
      </c>
      <c r="BT67" s="978">
        <f>+BM67+SUM(BN67:BR67)-BS67</f>
        <v/>
      </c>
      <c r="BU67" s="978" t="n">
        <v>20403538</v>
      </c>
      <c r="BV67" s="978" t="n">
        <v>448563</v>
      </c>
      <c r="BW67" s="978" t="n">
        <v>3179825</v>
      </c>
      <c r="BX67" s="978" t="n">
        <v>634668</v>
      </c>
      <c r="BY67" s="978" t="n">
        <v>300213</v>
      </c>
      <c r="BZ67" s="978" t="n">
        <v>-621380</v>
      </c>
      <c r="CA67" s="978" t="n">
        <v>107180</v>
      </c>
      <c r="CB67" s="978" t="n">
        <v>3359570</v>
      </c>
      <c r="CC67" s="976" t="n"/>
      <c r="CD67" s="976">
        <f>CB67+BX67-BY67+BZ67+CA67-BW67</f>
        <v/>
      </c>
      <c r="CE67" s="976" t="n">
        <v>143552</v>
      </c>
      <c r="CF67" s="976">
        <f>133643+126232</f>
        <v/>
      </c>
      <c r="CG67" s="976">
        <f>119946+114146</f>
        <v/>
      </c>
      <c r="CH67" s="976">
        <f>108925+104309+100281+96535+93289</f>
        <v/>
      </c>
      <c r="CI67" s="976">
        <f>394060+355898+323070+280861+685071</f>
        <v/>
      </c>
      <c r="CJ67" s="976" t="n">
        <v>3179818</v>
      </c>
      <c r="CK67" s="976" t="n">
        <v>0</v>
      </c>
      <c r="CL67" s="976">
        <f>BW67-CJ67</f>
        <v/>
      </c>
      <c r="CM67" s="976" t="n"/>
      <c r="CN67" s="977" t="n">
        <v>3.0795</v>
      </c>
      <c r="CO67" s="976" t="n">
        <v>6812893</v>
      </c>
      <c r="CP67" s="976" t="n">
        <v>2212326</v>
      </c>
      <c r="CQ67" s="977" t="n">
        <v>3.2978</v>
      </c>
      <c r="CR67" s="976" t="n">
        <v>6758937</v>
      </c>
      <c r="CS67" s="976" t="n">
        <v>2049538</v>
      </c>
      <c r="CT67" s="976" t="n"/>
      <c r="CU67" s="976" t="n">
        <v>720502</v>
      </c>
      <c r="CV67" s="976" t="n"/>
      <c r="CW67" s="976" t="n"/>
      <c r="CX67" s="976" t="n"/>
      <c r="CY67" s="976" t="n"/>
      <c r="CZ67" s="976" t="n"/>
      <c r="DA67" s="976" t="n"/>
      <c r="DB67" s="976" t="n"/>
      <c r="DC67" s="977" t="n"/>
      <c r="DD67" s="976" t="n"/>
      <c r="DE67" s="976" t="n"/>
      <c r="DF67" s="976" t="n"/>
      <c r="DG67" s="976" t="n"/>
      <c r="DH67" s="976" t="n"/>
      <c r="DI67" s="976" t="n"/>
      <c r="DJ67" s="976" t="n"/>
      <c r="DK67" s="976" t="n"/>
      <c r="DL67" s="976" t="n"/>
      <c r="DM67" s="976" t="n"/>
      <c r="DN67" s="976" t="n"/>
      <c r="DO67" s="976" t="n"/>
      <c r="DP67" s="976" t="n"/>
      <c r="DQ67" s="976" t="n"/>
      <c r="DR67" s="976" t="n"/>
      <c r="DS67" s="976" t="n"/>
      <c r="DT67" s="976" t="n"/>
      <c r="DU67" s="976" t="n"/>
      <c r="DV67" s="976" t="n"/>
      <c r="DW67" s="976" t="n"/>
      <c r="DX67" s="976" t="n"/>
      <c r="DY67" s="976" t="n"/>
      <c r="DZ67" s="976" t="n"/>
      <c r="EA67" s="976" t="n"/>
      <c r="EB67" s="976" t="n"/>
      <c r="EC67" s="976" t="n"/>
      <c r="ED67" s="976" t="n"/>
      <c r="EE67" s="976" t="n"/>
      <c r="EP67" s="976" t="n"/>
      <c r="EQ67" s="976" t="n"/>
      <c r="ER67" s="976" t="n"/>
      <c r="ES67" s="976" t="n"/>
      <c r="ET67" s="976" t="n"/>
      <c r="EU67" s="976" t="n"/>
      <c r="EV67" s="976" t="n"/>
      <c r="EW67" s="976" t="n"/>
      <c r="EX67" s="976" t="n"/>
      <c r="EY67" s="976" t="n"/>
      <c r="EZ67" s="976" t="n"/>
      <c r="FA67" s="976" t="n"/>
      <c r="FB67" s="976" t="n"/>
      <c r="FC67" s="976" t="n"/>
      <c r="FD67" s="976" t="n"/>
    </row>
    <row r="68" customFormat="1" s="103">
      <c r="A68" s="103">
        <f>B68&amp;C68</f>
        <v/>
      </c>
      <c r="B68" s="103" t="n">
        <v>2412</v>
      </c>
      <c r="C68" s="103" t="inlineStr">
        <is>
          <t>KB라이프</t>
        </is>
      </c>
      <c r="D68" s="976" t="n">
        <v>33717436</v>
      </c>
      <c r="E68" s="976" t="n">
        <v>8505252</v>
      </c>
      <c r="F68" s="976" t="n">
        <v>21575283</v>
      </c>
      <c r="G68" s="976">
        <f>712253+1092732</f>
        <v/>
      </c>
      <c r="H68" s="976" t="n">
        <v>149839</v>
      </c>
      <c r="I68" s="977">
        <f>+E68/$D68</f>
        <v/>
      </c>
      <c r="J68" s="977">
        <f>+F68/$D68</f>
        <v/>
      </c>
      <c r="K68" s="977">
        <f>+G68/$D68</f>
        <v/>
      </c>
      <c r="L68" s="976" t="n">
        <v>29180278</v>
      </c>
      <c r="M68" s="976" t="n">
        <v>27209738</v>
      </c>
      <c r="N68" s="978">
        <f>O68-P68</f>
        <v/>
      </c>
      <c r="O68" s="978" t="n">
        <v>4537158</v>
      </c>
      <c r="P68" s="978" t="n">
        <v>49800</v>
      </c>
      <c r="Q68" s="978" t="n">
        <v>363125</v>
      </c>
      <c r="R68" s="978" t="n">
        <v>3145930</v>
      </c>
      <c r="S68" s="978" t="n">
        <v>5363506</v>
      </c>
      <c r="T68" s="978">
        <f>N67</f>
        <v/>
      </c>
      <c r="U68" s="979" t="n">
        <v>27947000</v>
      </c>
      <c r="V68" s="979" t="n">
        <v>27343600</v>
      </c>
      <c r="W68" s="991" t="n">
        <v>0.9784</v>
      </c>
      <c r="X68" s="978" t="n">
        <v>363125</v>
      </c>
      <c r="Y68" s="978" t="n">
        <v>-60417</v>
      </c>
      <c r="Z68" s="978" t="n">
        <v>433955</v>
      </c>
      <c r="AA68" s="978" t="n">
        <v>1920</v>
      </c>
      <c r="AB68" s="978" t="n">
        <v>-2681</v>
      </c>
      <c r="AC68" s="978" t="n"/>
      <c r="AD68" s="978" t="n">
        <v>-9652</v>
      </c>
      <c r="AE68" s="978">
        <f>X68-SUM(Y68:AD68)</f>
        <v/>
      </c>
      <c r="AF68" s="976" t="n">
        <v>313810</v>
      </c>
      <c r="AG68" s="976" t="n">
        <v>865050</v>
      </c>
      <c r="AH68" s="976" t="n">
        <v>551240</v>
      </c>
      <c r="AI68" s="976" t="n">
        <v>87610</v>
      </c>
      <c r="AJ68" s="976">
        <f>2796-1100868</f>
        <v/>
      </c>
      <c r="AK68" s="976">
        <f>134-591</f>
        <v/>
      </c>
      <c r="AL68" s="976">
        <f>+AI68-AJ68-AK68-AN68</f>
        <v/>
      </c>
      <c r="AM68" s="976" t="n"/>
      <c r="AN68" s="976">
        <f>173952-71454</f>
        <v/>
      </c>
      <c r="AO68" s="976" t="n">
        <v>401420</v>
      </c>
      <c r="AP68" s="976" t="n">
        <v>-3515</v>
      </c>
      <c r="AQ68" s="978" t="n">
        <v>397905</v>
      </c>
      <c r="AR68" s="978" t="n">
        <v>299878</v>
      </c>
      <c r="AS68" s="978">
        <f>+AO68+AP68-AQ68</f>
        <v/>
      </c>
      <c r="AT68" s="978">
        <f>+AJ68+AK68+AL68-AM68+AN68-AI68</f>
        <v/>
      </c>
      <c r="AU68" s="978">
        <f>+AF68+AI68-AO68</f>
        <v/>
      </c>
      <c r="AV68" s="978">
        <f>+AF68</f>
        <v/>
      </c>
      <c r="AW68" s="978">
        <f>+AI68</f>
        <v/>
      </c>
      <c r="AX68" s="978">
        <f>+AP68</f>
        <v/>
      </c>
      <c r="AY68" s="978">
        <f>+SUM(AV68:AX68)</f>
        <v/>
      </c>
      <c r="AZ68" s="976" t="n"/>
      <c r="BA68" s="976" t="n"/>
      <c r="BB68" s="977">
        <f>+BF68/(BU68+BV68+BW68)</f>
        <v/>
      </c>
      <c r="BC68" s="976" t="n">
        <v>1336551</v>
      </c>
      <c r="BD68" s="976" t="n">
        <v>506502</v>
      </c>
      <c r="BE68" s="976" t="n"/>
      <c r="BF68" s="976">
        <f>-1473189-3594</f>
        <v/>
      </c>
      <c r="BG68" s="976" t="n">
        <v>132</v>
      </c>
      <c r="BH68" s="976" t="n"/>
      <c r="BI68" s="976" t="n">
        <v>-3277</v>
      </c>
      <c r="BJ68" s="976" t="n"/>
      <c r="BK68" s="976" t="n">
        <v>363125</v>
      </c>
      <c r="BL68" s="978">
        <f>+BK68-BC68-SUM(BD68:BJ68)</f>
        <v/>
      </c>
      <c r="BM68" s="976" t="n">
        <v>2998852</v>
      </c>
      <c r="BN68" s="976" t="n">
        <v>-150000</v>
      </c>
      <c r="BO68" s="976" t="n"/>
      <c r="BP68" s="976" t="n">
        <v>299878</v>
      </c>
      <c r="BQ68" s="976" t="n"/>
      <c r="BR68" s="976" t="n">
        <v>-2800</v>
      </c>
      <c r="BS68" s="976" t="n">
        <v>3145930</v>
      </c>
      <c r="BT68" s="978">
        <f>+BM68+SUM(BN68:BR68)-BS68</f>
        <v/>
      </c>
      <c r="BU68" s="978" t="n">
        <v>23688473</v>
      </c>
      <c r="BV68" s="978" t="n">
        <v>510756</v>
      </c>
      <c r="BW68" s="978" t="n">
        <v>3010509</v>
      </c>
      <c r="BX68" s="978" t="n">
        <v>501304</v>
      </c>
      <c r="BY68" s="978" t="n">
        <v>293080</v>
      </c>
      <c r="BZ68" s="978" t="n">
        <v>-500612</v>
      </c>
      <c r="CA68" s="978" t="n">
        <v>123071</v>
      </c>
      <c r="CB68" s="978" t="n">
        <v>3179826</v>
      </c>
      <c r="CC68" s="199">
        <f>+BU68/BU67</f>
        <v/>
      </c>
      <c r="CD68" s="976">
        <f>CB68+BX68-BY68+BZ68+CA68-BW68</f>
        <v/>
      </c>
      <c r="CE68" s="976" t="n">
        <v>152557</v>
      </c>
      <c r="CF68" s="976">
        <f>140434+131120</f>
        <v/>
      </c>
      <c r="CG68" s="976">
        <f>123317+115688</f>
        <v/>
      </c>
      <c r="CH68" s="976">
        <f>107951+102698+98255+94582+91402</f>
        <v/>
      </c>
      <c r="CI68" s="976">
        <f>385215+344262+305202+255046+562781</f>
        <v/>
      </c>
      <c r="CJ68" s="976" t="n">
        <v>3010510</v>
      </c>
      <c r="CK68" s="976">
        <f>CJ68-SUM(CE68:CI68)</f>
        <v/>
      </c>
      <c r="CL68" s="976">
        <f>BW68-CJ68</f>
        <v/>
      </c>
      <c r="CM68" s="976" t="n"/>
      <c r="CN68" s="977" t="n"/>
      <c r="CO68" s="976" t="n"/>
      <c r="CP68" s="976" t="n"/>
      <c r="CQ68" s="977" t="n">
        <v>2.6314</v>
      </c>
      <c r="CR68" s="976" t="n">
        <v>5898953</v>
      </c>
      <c r="CS68" s="976" t="n">
        <v>2241740</v>
      </c>
      <c r="CT68" s="976" t="n"/>
      <c r="CU68" s="976" t="n">
        <v>938343</v>
      </c>
      <c r="CV68" s="976" t="n"/>
      <c r="CW68" s="110" t="n">
        <v>0.528</v>
      </c>
      <c r="CX68" s="110" t="n">
        <v>0.538</v>
      </c>
      <c r="CY68" s="110" t="n">
        <v>-0.01</v>
      </c>
      <c r="CZ68" s="785">
        <f>+CX68/CW68</f>
        <v/>
      </c>
      <c r="DA68" s="976" t="n"/>
      <c r="DB68" s="976" t="n"/>
      <c r="DC68" s="977" t="n"/>
      <c r="DD68" s="976" t="n"/>
      <c r="DE68" s="976" t="n"/>
      <c r="DF68" s="976" t="n"/>
      <c r="DG68" s="976" t="n"/>
      <c r="DH68" s="976" t="n"/>
      <c r="DI68" s="976" t="n"/>
      <c r="DJ68" s="976" t="n"/>
      <c r="DK68" s="976" t="n"/>
      <c r="DL68" s="976" t="n"/>
      <c r="DM68" s="976" t="n"/>
      <c r="DN68" s="976" t="n"/>
      <c r="DO68" s="976" t="n"/>
      <c r="DP68" s="976" t="n"/>
      <c r="DQ68" s="976" t="n"/>
      <c r="DR68" s="976" t="n"/>
      <c r="DS68" s="976" t="n"/>
      <c r="DT68" s="976" t="n"/>
      <c r="DU68" s="976" t="n"/>
      <c r="DV68" s="976" t="n"/>
      <c r="DW68" s="976" t="n"/>
      <c r="DX68" s="976" t="n"/>
      <c r="DY68" s="976" t="n"/>
      <c r="DZ68" s="976" t="n"/>
      <c r="EA68" s="976" t="n"/>
      <c r="EB68" s="976" t="n"/>
      <c r="EC68" s="976" t="n"/>
      <c r="ED68" s="976" t="n"/>
      <c r="EE68" s="976" t="n"/>
      <c r="EP68" s="976" t="n">
        <v>509858</v>
      </c>
      <c r="EQ68" s="976" t="n">
        <v>-209016</v>
      </c>
      <c r="ER68" s="976" t="n">
        <v>-170412</v>
      </c>
      <c r="ES68" s="976" t="n">
        <v>-65410</v>
      </c>
      <c r="ET68" s="976">
        <f>427273-7496</f>
        <v/>
      </c>
      <c r="EU68" s="976" t="n"/>
      <c r="EV68" s="976" t="n"/>
      <c r="EW68" s="976" t="n">
        <v>-509858</v>
      </c>
      <c r="EX68" s="976" t="n">
        <v>209016</v>
      </c>
      <c r="EY68" s="976" t="n">
        <v>170412</v>
      </c>
      <c r="EZ68" s="976" t="n">
        <v>65410</v>
      </c>
      <c r="FA68" s="976" t="n">
        <v>-419778</v>
      </c>
      <c r="FB68" s="976" t="n">
        <v>-15814</v>
      </c>
      <c r="FC68" s="766">
        <f>SUM(EW68:FB68)-BZ68</f>
        <v/>
      </c>
    </row>
    <row r="69" customFormat="1" s="103">
      <c r="A69" s="103">
        <f>B69&amp;C69</f>
        <v/>
      </c>
      <c r="B69" s="103" t="n">
        <v>2503</v>
      </c>
      <c r="C69" s="103" t="inlineStr">
        <is>
          <t>KB라이프</t>
        </is>
      </c>
      <c r="D69" s="976" t="n">
        <v>35021300</v>
      </c>
      <c r="E69" s="976" t="n">
        <v>8556744</v>
      </c>
      <c r="F69" s="976" t="n">
        <v>22820231</v>
      </c>
      <c r="G69" s="976">
        <f>714508+1137848</f>
        <v/>
      </c>
      <c r="H69" s="976" t="n">
        <v>149744</v>
      </c>
      <c r="I69" s="977">
        <f>+E69/$D69</f>
        <v/>
      </c>
      <c r="J69" s="977">
        <f>+F69/$D69</f>
        <v/>
      </c>
      <c r="K69" s="977">
        <f>+G69/$D69</f>
        <v/>
      </c>
      <c r="L69" s="976" t="n">
        <v>30859865</v>
      </c>
      <c r="M69" s="976" t="n">
        <v>28915618</v>
      </c>
      <c r="N69" s="978">
        <f>O69-P69</f>
        <v/>
      </c>
      <c r="O69" s="978" t="n">
        <v>4161435</v>
      </c>
      <c r="P69" s="978" t="n">
        <v>49800</v>
      </c>
      <c r="Q69" s="978" t="n">
        <v>27786</v>
      </c>
      <c r="R69" s="978" t="n">
        <v>3105546</v>
      </c>
      <c r="S69" s="978" t="n">
        <v>4537158</v>
      </c>
      <c r="T69" s="978">
        <f>N68</f>
        <v/>
      </c>
      <c r="U69" s="979" t="n">
        <v>29252100</v>
      </c>
      <c r="V69" s="979" t="n">
        <v>28613900</v>
      </c>
      <c r="W69" s="991">
        <f>+V69/U69</f>
        <v/>
      </c>
      <c r="X69" s="978" t="n">
        <v>27786</v>
      </c>
      <c r="Y69" s="978" t="n">
        <v>376166</v>
      </c>
      <c r="Z69" s="978" t="n">
        <v>-338040</v>
      </c>
      <c r="AA69" s="978" t="n">
        <v>3914</v>
      </c>
      <c r="AB69" s="978" t="n">
        <v>-4564</v>
      </c>
      <c r="AC69" s="978" t="n"/>
      <c r="AD69" s="978" t="n">
        <v>-9690</v>
      </c>
      <c r="AE69" s="978">
        <f>X69-SUM(Y69:AD69)</f>
        <v/>
      </c>
      <c r="AF69" s="976" t="n">
        <v>77253</v>
      </c>
      <c r="AG69" s="976" t="n">
        <v>218286</v>
      </c>
      <c r="AH69" s="976" t="n">
        <v>141033</v>
      </c>
      <c r="AI69" s="976" t="n">
        <v>43008</v>
      </c>
      <c r="AJ69" s="976">
        <f>1665-332340</f>
        <v/>
      </c>
      <c r="AK69" s="976">
        <f>23-115</f>
        <v/>
      </c>
      <c r="AL69" s="976">
        <f>+AI69-AJ69-AK69-AN69</f>
        <v/>
      </c>
      <c r="AM69" s="976" t="n"/>
      <c r="AN69" s="976">
        <f>38264-17955</f>
        <v/>
      </c>
      <c r="AO69" s="976" t="n">
        <v>120261</v>
      </c>
      <c r="AP69" s="976" t="n">
        <v>503</v>
      </c>
      <c r="AQ69" s="978" t="n">
        <v>120764</v>
      </c>
      <c r="AR69" s="978" t="n">
        <v>90315</v>
      </c>
      <c r="AS69" s="978">
        <f>+AO69+AP69-AQ69</f>
        <v/>
      </c>
      <c r="AT69" s="978">
        <f>+AJ69+AK69+AL69-AM69+AN69-AI69</f>
        <v/>
      </c>
      <c r="AU69" s="978">
        <f>+AF69+AI69-AO69</f>
        <v/>
      </c>
      <c r="AV69" s="978">
        <f>+AF69</f>
        <v/>
      </c>
      <c r="AW69" s="978">
        <f>+AI69</f>
        <v/>
      </c>
      <c r="AX69" s="978">
        <f>+AP69</f>
        <v/>
      </c>
      <c r="AY69" s="978">
        <f>+SUM(AV69:AX69)</f>
        <v/>
      </c>
      <c r="AZ69" s="976" t="n"/>
      <c r="BA69" s="976" t="n"/>
      <c r="BB69" s="977" t="n"/>
      <c r="BC69" s="976" t="n">
        <v>363125</v>
      </c>
      <c r="BD69" s="976" t="n">
        <v>436582</v>
      </c>
      <c r="BE69" s="976" t="n"/>
      <c r="BF69" s="976">
        <f>-771993+1993</f>
        <v/>
      </c>
      <c r="BG69" s="976" t="n">
        <v>-1883</v>
      </c>
      <c r="BH69" s="976" t="n"/>
      <c r="BI69" s="976" t="n">
        <v>-38</v>
      </c>
      <c r="BJ69" s="976" t="n"/>
      <c r="BK69" s="976" t="n">
        <v>27786</v>
      </c>
      <c r="BL69" s="978">
        <f>+BK69-BC69-SUM(BD69:BJ69)</f>
        <v/>
      </c>
      <c r="BM69" s="976" t="n">
        <v>3145930</v>
      </c>
      <c r="BN69" s="976" t="n">
        <v>-130000</v>
      </c>
      <c r="BO69" s="976" t="n"/>
      <c r="BP69" s="976" t="n">
        <v>90315</v>
      </c>
      <c r="BQ69" s="976" t="n"/>
      <c r="BR69" s="976" t="n">
        <v>-699</v>
      </c>
      <c r="BS69" s="976" t="n">
        <v>3105546</v>
      </c>
      <c r="BT69" s="978">
        <f>+BM69+SUM(BN69:BR69)-BS69</f>
        <v/>
      </c>
      <c r="BU69" s="978" t="n">
        <v>25427737</v>
      </c>
      <c r="BV69" s="978" t="n">
        <v>498152</v>
      </c>
      <c r="BW69" s="978" t="n">
        <v>2989729</v>
      </c>
      <c r="BX69" s="978" t="n">
        <v>125691</v>
      </c>
      <c r="BY69" s="978" t="n">
        <v>72371</v>
      </c>
      <c r="BZ69" s="978" t="n">
        <v>-98221</v>
      </c>
      <c r="CA69" s="978" t="n">
        <v>24121</v>
      </c>
      <c r="CB69" s="978" t="n">
        <v>3010509</v>
      </c>
      <c r="CC69" s="976" t="n"/>
      <c r="CD69" s="976">
        <f>CB69+BX69-BY69+BZ69+CA69-BW69</f>
        <v/>
      </c>
      <c r="CE69" s="976" t="n">
        <v>177986</v>
      </c>
      <c r="CF69" s="976">
        <f>159700+144800</f>
        <v/>
      </c>
      <c r="CG69" s="976">
        <f>131669+120018</f>
        <v/>
      </c>
      <c r="CH69" s="976">
        <f>109134+102450+96950+92512+88754</f>
        <v/>
      </c>
      <c r="CI69" s="976">
        <f>371337+326579+283051+234072+550716</f>
        <v/>
      </c>
      <c r="CJ69" s="976" t="n">
        <v>2989728</v>
      </c>
      <c r="CK69" s="976">
        <f>CJ69-SUM(CE69:CI69)</f>
        <v/>
      </c>
      <c r="CL69" s="976">
        <f>BW69-CJ69</f>
        <v/>
      </c>
      <c r="CM69" s="976" t="n"/>
      <c r="CN69" s="977" t="n"/>
      <c r="CO69" s="976" t="n"/>
      <c r="CP69" s="976" t="n"/>
      <c r="CQ69" s="977" t="n">
        <v>2.3409</v>
      </c>
      <c r="CR69" s="976" t="n">
        <v>5544787</v>
      </c>
      <c r="CS69" s="976" t="n">
        <v>2368635</v>
      </c>
      <c r="CT69" s="976" t="n"/>
      <c r="CU69" s="976" t="n">
        <v>1133576</v>
      </c>
      <c r="CV69" s="976" t="n"/>
      <c r="CW69" s="110" t="n"/>
      <c r="CX69" s="110" t="n"/>
      <c r="CY69" s="110" t="n"/>
      <c r="CZ69" s="785" t="n"/>
      <c r="DA69" s="976" t="n"/>
      <c r="DB69" s="976" t="n"/>
      <c r="DC69" s="977" t="n"/>
      <c r="DD69" s="976" t="n"/>
      <c r="DE69" s="976" t="n"/>
      <c r="DF69" s="976" t="n"/>
      <c r="DG69" s="976" t="n"/>
      <c r="DH69" s="976" t="n"/>
      <c r="DI69" s="976" t="n"/>
      <c r="DJ69" s="976" t="n"/>
      <c r="DK69" s="976" t="n"/>
      <c r="DL69" s="976" t="n"/>
      <c r="DM69" s="976" t="n"/>
      <c r="DN69" s="976" t="n"/>
      <c r="DO69" s="976" t="n"/>
      <c r="DP69" s="976" t="n"/>
      <c r="DQ69" s="976" t="n"/>
      <c r="DR69" s="976" t="n"/>
      <c r="DS69" s="976" t="n"/>
      <c r="DT69" s="976" t="n"/>
      <c r="DU69" s="976" t="n"/>
      <c r="DV69" s="976" t="n"/>
      <c r="DW69" s="976" t="n"/>
      <c r="DX69" s="976" t="n"/>
      <c r="DY69" s="976" t="n"/>
      <c r="DZ69" s="976" t="n"/>
      <c r="EA69" s="976" t="n"/>
      <c r="EB69" s="976" t="n"/>
      <c r="EC69" s="976" t="n"/>
      <c r="ED69" s="976" t="n"/>
      <c r="EE69" s="976" t="n"/>
      <c r="EP69" s="976" t="n"/>
      <c r="EQ69" s="976" t="n"/>
      <c r="ER69" s="976" t="n"/>
      <c r="ES69" s="976" t="n"/>
      <c r="ET69" s="976" t="n"/>
      <c r="EU69" s="976" t="n"/>
      <c r="EV69" s="976" t="n"/>
      <c r="EW69" s="976" t="n"/>
      <c r="EX69" s="976" t="n"/>
      <c r="EY69" s="976" t="n"/>
      <c r="EZ69" s="976" t="n"/>
      <c r="FA69" s="976" t="n"/>
      <c r="FB69" s="976" t="n"/>
    </row>
    <row r="70" customFormat="1" s="103">
      <c r="A70" s="103">
        <f>B70&amp;C70</f>
        <v/>
      </c>
      <c r="B70" s="103" t="n">
        <v>2506</v>
      </c>
      <c r="C70" s="103" t="inlineStr">
        <is>
          <t>KB라이프</t>
        </is>
      </c>
      <c r="D70" s="976" t="n">
        <v>35423110</v>
      </c>
      <c r="E70" s="976" t="n">
        <v>8834727</v>
      </c>
      <c r="F70" s="976" t="n">
        <v>22887011</v>
      </c>
      <c r="G70" s="976" t="n">
        <v>1671739</v>
      </c>
      <c r="H70" s="976" t="n">
        <v>219936</v>
      </c>
      <c r="I70" s="977">
        <f>+E70/$D70</f>
        <v/>
      </c>
      <c r="J70" s="977">
        <f>+F70/$D70</f>
        <v/>
      </c>
      <c r="K70" s="977">
        <f>+G70/$D70</f>
        <v/>
      </c>
      <c r="L70" s="976" t="n">
        <v>31159446</v>
      </c>
      <c r="M70" s="976" t="n">
        <v>29060877</v>
      </c>
      <c r="N70" s="978" t="n">
        <v>4213864</v>
      </c>
      <c r="O70" s="978" t="n">
        <v>4263664</v>
      </c>
      <c r="P70" s="978" t="n">
        <v>49800</v>
      </c>
      <c r="Q70" s="978" t="n">
        <v>20868</v>
      </c>
      <c r="R70" s="978" t="n">
        <v>3214693</v>
      </c>
      <c r="S70" s="978" t="n">
        <v>4537158</v>
      </c>
      <c r="T70" s="978">
        <f>+T69</f>
        <v/>
      </c>
      <c r="U70" s="979" t="n"/>
      <c r="V70" s="979" t="n">
        <v>28593900</v>
      </c>
      <c r="W70" s="991" t="n">
        <v>0.975</v>
      </c>
      <c r="X70" s="978" t="n">
        <v>20868</v>
      </c>
      <c r="Y70" s="978" t="n">
        <v>42194</v>
      </c>
      <c r="Z70" s="978" t="n">
        <v>-264</v>
      </c>
      <c r="AA70" s="978" t="n">
        <v>5250</v>
      </c>
      <c r="AB70" s="978" t="n">
        <v>-16713</v>
      </c>
      <c r="AC70" s="978" t="n"/>
      <c r="AD70" s="978" t="n">
        <v>-9599</v>
      </c>
      <c r="AE70" s="978">
        <f>X70-SUM(Y70:AD70)</f>
        <v/>
      </c>
      <c r="AF70" s="976" t="n">
        <v>151727</v>
      </c>
      <c r="AG70" s="976" t="n">
        <v>431335</v>
      </c>
      <c r="AH70" s="976" t="n">
        <v>279608</v>
      </c>
      <c r="AI70" s="976" t="n">
        <v>109809</v>
      </c>
      <c r="AJ70" s="976" t="n"/>
      <c r="AK70" s="976" t="n"/>
      <c r="AL70" s="976" t="n"/>
      <c r="AM70" s="976" t="n"/>
      <c r="AN70" s="976" t="n"/>
      <c r="AO70" s="976" t="n">
        <v>261536</v>
      </c>
      <c r="AP70" s="976" t="n">
        <v>-425</v>
      </c>
      <c r="AQ70" s="978" t="n">
        <v>261111</v>
      </c>
      <c r="AR70" s="978" t="n">
        <v>200155</v>
      </c>
      <c r="AS70" s="978" t="n">
        <v>0</v>
      </c>
      <c r="AT70" s="978" t="n"/>
      <c r="AU70" s="978" t="n"/>
      <c r="AV70" s="978">
        <f>+AF70</f>
        <v/>
      </c>
      <c r="AW70" s="978">
        <f>+AI70</f>
        <v/>
      </c>
      <c r="AX70" s="978">
        <f>+AP70</f>
        <v/>
      </c>
      <c r="AY70" s="978">
        <f>+SUM(AV70:AX70)</f>
        <v/>
      </c>
      <c r="AZ70" s="976" t="n"/>
      <c r="BA70" s="976" t="n"/>
      <c r="BB70" s="977" t="n"/>
      <c r="BC70" s="976" t="n">
        <v>363125</v>
      </c>
      <c r="BD70" s="976" t="n">
        <v>102610</v>
      </c>
      <c r="BE70" s="976" t="n">
        <v>0</v>
      </c>
      <c r="BF70" s="976" t="n">
        <v>-430888</v>
      </c>
      <c r="BG70" s="976" t="n">
        <v>-14033</v>
      </c>
      <c r="BH70" s="976" t="n">
        <v>0</v>
      </c>
      <c r="BI70" s="976" t="n">
        <v>54</v>
      </c>
      <c r="BJ70" s="976" t="n">
        <v>0</v>
      </c>
      <c r="BK70" s="976" t="n">
        <v>20868</v>
      </c>
      <c r="BL70" s="978" t="n">
        <v>0</v>
      </c>
      <c r="BM70" s="976" t="n">
        <v>3145930</v>
      </c>
      <c r="BN70" s="976" t="n">
        <v>-130000</v>
      </c>
      <c r="BO70" s="976" t="n">
        <v>0</v>
      </c>
      <c r="BP70" s="976" t="n">
        <v>200155</v>
      </c>
      <c r="BQ70" s="976" t="n">
        <v>0</v>
      </c>
      <c r="BR70" s="976" t="n">
        <v>-1392</v>
      </c>
      <c r="BS70" s="976" t="n">
        <v>3214693</v>
      </c>
      <c r="BT70" s="978">
        <f>+BM70+SUM(BN70:BR70)-BS70</f>
        <v/>
      </c>
      <c r="BU70" s="978" t="n">
        <v>25450789</v>
      </c>
      <c r="BV70" s="978" t="n">
        <v>521893</v>
      </c>
      <c r="BW70" s="978" t="n">
        <v>3088195</v>
      </c>
      <c r="BX70" s="978" t="n">
        <v>233178</v>
      </c>
      <c r="BY70" s="978" t="n">
        <v>144975</v>
      </c>
      <c r="BZ70" s="978" t="n">
        <v>-51981</v>
      </c>
      <c r="CA70" s="978" t="n">
        <v>41464</v>
      </c>
      <c r="CB70" s="978" t="n">
        <v>3010509</v>
      </c>
      <c r="CC70" s="976" t="n"/>
      <c r="CD70" s="976">
        <f>CB70+BX70-BY70+BZ70+CA70-BW70</f>
        <v/>
      </c>
      <c r="CE70" s="976" t="n">
        <v>184223</v>
      </c>
      <c r="CF70" s="976">
        <f>165900+150884</f>
        <v/>
      </c>
      <c r="CG70" s="976">
        <f>137260+125165</f>
        <v/>
      </c>
      <c r="CH70" s="976">
        <f>114797+108135+102101+97507+93550</f>
        <v/>
      </c>
      <c r="CI70" s="976">
        <f>389626+339051+291101+238292+550602</f>
        <v/>
      </c>
      <c r="CJ70" s="976" t="n">
        <v>3088194</v>
      </c>
      <c r="CK70" s="976">
        <f>CJ70-SUM(CE70:CI70)</f>
        <v/>
      </c>
      <c r="CL70" s="976">
        <f>BW70-CJ70</f>
        <v/>
      </c>
      <c r="CM70" s="976" t="n"/>
      <c r="CN70" s="977" t="n"/>
      <c r="CO70" s="976" t="n"/>
      <c r="CP70" s="976" t="n"/>
      <c r="CQ70" s="977" t="n">
        <v>2.5062</v>
      </c>
      <c r="CR70" s="976" t="n">
        <v>5761374</v>
      </c>
      <c r="CS70" s="976" t="n">
        <v>2298893</v>
      </c>
      <c r="CT70" s="976" t="n"/>
      <c r="CU70" s="976" t="n">
        <v>1204455</v>
      </c>
      <c r="CV70" s="976" t="n"/>
      <c r="CW70" s="110" t="n"/>
      <c r="CX70" s="110" t="n"/>
      <c r="CY70" s="110" t="n"/>
      <c r="CZ70" s="785" t="n"/>
      <c r="DA70" s="976" t="n"/>
      <c r="DB70" s="976" t="n"/>
      <c r="DC70" s="977" t="n"/>
      <c r="DD70" s="976" t="n"/>
      <c r="DE70" s="976" t="n"/>
      <c r="DF70" s="976" t="n"/>
      <c r="DG70" s="976" t="n"/>
      <c r="DH70" s="976" t="n"/>
      <c r="DI70" s="976" t="n"/>
      <c r="DJ70" s="976" t="n"/>
      <c r="DK70" s="976" t="n"/>
      <c r="DL70" s="976" t="n"/>
      <c r="DM70" s="976" t="n"/>
      <c r="DN70" s="976" t="n"/>
      <c r="DO70" s="976" t="n"/>
      <c r="DP70" s="976" t="n"/>
      <c r="DQ70" s="976" t="n"/>
      <c r="DR70" s="976" t="n"/>
      <c r="DS70" s="976" t="n"/>
      <c r="DT70" s="976" t="n"/>
      <c r="DU70" s="976" t="n"/>
      <c r="DV70" s="976" t="n"/>
      <c r="DW70" s="976" t="n"/>
      <c r="DX70" s="976" t="n"/>
      <c r="DY70" s="976" t="n"/>
      <c r="DZ70" s="976" t="n"/>
      <c r="EA70" s="976" t="n"/>
      <c r="EB70" s="976" t="n"/>
      <c r="EC70" s="976" t="n"/>
      <c r="ED70" s="976" t="n"/>
      <c r="EE70" s="976" t="n"/>
      <c r="EP70" s="976" t="n"/>
      <c r="EQ70" s="976" t="n"/>
      <c r="ER70" s="976" t="n"/>
      <c r="ES70" s="976" t="n"/>
      <c r="ET70" s="976" t="n"/>
      <c r="EU70" s="976" t="n"/>
      <c r="EV70" s="976" t="n"/>
      <c r="EW70" s="976" t="n"/>
      <c r="EX70" s="976" t="n"/>
      <c r="EY70" s="976" t="n"/>
      <c r="EZ70" s="976" t="n"/>
      <c r="FA70" s="976" t="n"/>
      <c r="FB70" s="976" t="n"/>
    </row>
    <row r="71" customFormat="1" s="103">
      <c r="A71" s="103">
        <f>B71&amp;C71</f>
        <v/>
      </c>
      <c r="B71" s="103" t="n">
        <v>2509</v>
      </c>
      <c r="C71" s="103" t="inlineStr">
        <is>
          <t>KB라이프</t>
        </is>
      </c>
      <c r="D71" s="976" t="n">
        <v>35815391</v>
      </c>
      <c r="E71" s="976" t="n">
        <v>8955471</v>
      </c>
      <c r="F71" s="976" t="n">
        <v>23310027</v>
      </c>
      <c r="G71" s="976">
        <f>697298+998197</f>
        <v/>
      </c>
      <c r="H71" s="976" t="n">
        <v>221616</v>
      </c>
      <c r="I71" s="977">
        <f>+E71/$D71</f>
        <v/>
      </c>
      <c r="J71" s="977">
        <f>+F71/$D71</f>
        <v/>
      </c>
      <c r="K71" s="977">
        <f>+G71/$D71</f>
        <v/>
      </c>
      <c r="L71" s="976" t="n">
        <v>31535039</v>
      </c>
      <c r="M71" s="976" t="n">
        <v>29308480</v>
      </c>
      <c r="N71" s="978">
        <f>+O71-P71</f>
        <v/>
      </c>
      <c r="O71" s="978" t="n">
        <v>4280352</v>
      </c>
      <c r="P71" s="978" t="n">
        <v>49800</v>
      </c>
      <c r="Q71" s="978" t="n">
        <v>-28841</v>
      </c>
      <c r="R71" s="978" t="n">
        <v>3281090</v>
      </c>
      <c r="S71" s="978" t="n">
        <v>4537158</v>
      </c>
      <c r="T71" s="978">
        <f>+T70</f>
        <v/>
      </c>
      <c r="U71" s="979" t="n"/>
      <c r="V71" s="979" t="n">
        <v>28988200</v>
      </c>
      <c r="W71" s="991" t="n"/>
      <c r="X71" s="978" t="n">
        <v>-28841</v>
      </c>
      <c r="Y71" s="978" t="n">
        <v>-165480</v>
      </c>
      <c r="Z71" s="978" t="n">
        <v>162833</v>
      </c>
      <c r="AA71" s="978" t="n">
        <v>5429</v>
      </c>
      <c r="AB71" s="978" t="n">
        <v>-22321</v>
      </c>
      <c r="AC71" s="978" t="n"/>
      <c r="AD71" s="978" t="n">
        <v>-9302</v>
      </c>
      <c r="AE71" s="978">
        <f>X71-SUM(Y71:AD71)</f>
        <v/>
      </c>
      <c r="AF71" s="976" t="n">
        <v>215817</v>
      </c>
      <c r="AG71" s="976" t="n">
        <v>650232</v>
      </c>
      <c r="AH71" s="976" t="n">
        <v>434415</v>
      </c>
      <c r="AI71" s="976" t="n">
        <v>145213</v>
      </c>
      <c r="AJ71" s="976">
        <f>14733-1273099</f>
        <v/>
      </c>
      <c r="AK71" s="976">
        <f>64-367</f>
        <v/>
      </c>
      <c r="AL71" s="976">
        <f>+AI71-AJ71-AK71-AN71</f>
        <v/>
      </c>
      <c r="AM71" s="976" t="n"/>
      <c r="AN71" s="976">
        <f>137503-56802</f>
        <v/>
      </c>
      <c r="AO71" s="976" t="n">
        <v>361030</v>
      </c>
      <c r="AP71" s="976" t="n">
        <v>-557</v>
      </c>
      <c r="AQ71" s="978" t="n">
        <v>360473</v>
      </c>
      <c r="AR71" s="978" t="n">
        <v>267252</v>
      </c>
      <c r="AS71" s="978">
        <f>+AO71+AP71-AQ71</f>
        <v/>
      </c>
      <c r="AT71" s="978">
        <f>+AJ71+AK71+AL71-AM71+AN71-AI71</f>
        <v/>
      </c>
      <c r="AU71" s="978">
        <f>+AF71+AI71-AO71</f>
        <v/>
      </c>
      <c r="AV71" s="978">
        <f>+AF71</f>
        <v/>
      </c>
      <c r="AW71" s="978">
        <f>+AI71</f>
        <v/>
      </c>
      <c r="AX71" s="978">
        <f>+AP71</f>
        <v/>
      </c>
      <c r="AY71" s="978">
        <f>+SUM(AV71:AX71)</f>
        <v/>
      </c>
      <c r="AZ71" s="976" t="n"/>
      <c r="BA71" s="976" t="n"/>
      <c r="BB71" s="977" t="n"/>
      <c r="BC71" s="976" t="n">
        <v>363125</v>
      </c>
      <c r="BD71" s="976" t="n">
        <v>-105063</v>
      </c>
      <c r="BE71" s="976" t="n"/>
      <c r="BF71" s="976">
        <f>+-271121+3508</f>
        <v/>
      </c>
      <c r="BG71" s="976" t="n">
        <v>-19640</v>
      </c>
      <c r="BH71" s="976" t="n"/>
      <c r="BI71" s="976" t="n">
        <v>350</v>
      </c>
      <c r="BJ71" s="976" t="n"/>
      <c r="BK71" s="976" t="n">
        <v>-28841</v>
      </c>
      <c r="BL71" s="978">
        <f>+BK71-BC71-SUM(BD71:BJ71)</f>
        <v/>
      </c>
      <c r="BM71" s="976" t="n">
        <v>3145930</v>
      </c>
      <c r="BN71" s="976" t="n">
        <v>-130000</v>
      </c>
      <c r="BO71" s="976" t="n"/>
      <c r="BP71" s="976" t="n">
        <v>267252</v>
      </c>
      <c r="BQ71" s="976" t="n"/>
      <c r="BR71" s="976" t="n">
        <v>-2092</v>
      </c>
      <c r="BS71" s="976" t="n">
        <v>3281090</v>
      </c>
      <c r="BT71" s="978">
        <f>+BM71+SUM(BN71:BR71)-BS71</f>
        <v/>
      </c>
      <c r="BU71" s="978" t="n">
        <v>25587106</v>
      </c>
      <c r="BV71" s="978" t="n">
        <v>526364</v>
      </c>
      <c r="BW71" s="978" t="n">
        <v>3195010</v>
      </c>
      <c r="BX71" s="978" t="n">
        <v>383197</v>
      </c>
      <c r="BY71" s="978" t="n">
        <v>219854</v>
      </c>
      <c r="BZ71" s="978" t="n">
        <v>-48514</v>
      </c>
      <c r="CA71" s="978" t="n">
        <v>69672</v>
      </c>
      <c r="CB71" s="978" t="n">
        <v>3010509</v>
      </c>
      <c r="CC71" s="976" t="n"/>
      <c r="CD71" s="976">
        <f>CB71+BX71-BY71+BZ71+CA71-BW71</f>
        <v/>
      </c>
      <c r="CE71" s="976" t="n">
        <v>189356</v>
      </c>
      <c r="CF71" s="976">
        <f>171245+156244</f>
        <v/>
      </c>
      <c r="CG71" s="976">
        <f>142896+130517</f>
        <v/>
      </c>
      <c r="CH71" s="976">
        <f>120825+114026+107418+102633+98472</f>
        <v/>
      </c>
      <c r="CI71" s="976">
        <f>407038+350791+298762+243289+561497</f>
        <v/>
      </c>
      <c r="CJ71" s="976" t="n">
        <v>3195009</v>
      </c>
      <c r="CK71" s="976">
        <f>CJ71-SUM(CE71:CI71)</f>
        <v/>
      </c>
      <c r="CL71" s="976">
        <f>BW71-CJ71</f>
        <v/>
      </c>
      <c r="CM71" s="976" t="n"/>
      <c r="CN71" s="977" t="n"/>
      <c r="CO71" s="976" t="n"/>
      <c r="CP71" s="976" t="n"/>
      <c r="CQ71" s="977" t="n">
        <v>2.5354</v>
      </c>
      <c r="CR71" s="976" t="n">
        <v>5862925</v>
      </c>
      <c r="CS71" s="976" t="n">
        <v>2312406</v>
      </c>
      <c r="CT71" s="976" t="n"/>
      <c r="CU71" s="976" t="n">
        <v>1301706</v>
      </c>
      <c r="CV71" s="976" t="n"/>
      <c r="CW71" s="110" t="n"/>
      <c r="CX71" s="110" t="n"/>
      <c r="CY71" s="110" t="n"/>
      <c r="CZ71" s="785" t="n"/>
      <c r="DA71" s="976" t="n"/>
      <c r="DB71" s="976" t="n"/>
      <c r="DC71" s="977" t="n"/>
      <c r="DD71" s="976" t="n"/>
      <c r="DE71" s="976" t="n"/>
      <c r="DF71" s="976" t="n"/>
      <c r="DG71" s="976" t="n"/>
      <c r="DH71" s="976" t="n"/>
      <c r="DI71" s="976" t="n"/>
      <c r="DJ71" s="976" t="n"/>
      <c r="DK71" s="976" t="n"/>
      <c r="DL71" s="976" t="n"/>
      <c r="DM71" s="976" t="n"/>
      <c r="DN71" s="976" t="n"/>
      <c r="DO71" s="976" t="n"/>
      <c r="DP71" s="976" t="n"/>
      <c r="DQ71" s="976" t="n"/>
      <c r="DR71" s="976" t="n"/>
      <c r="DS71" s="976" t="n"/>
      <c r="DT71" s="976" t="n"/>
      <c r="DU71" s="976" t="n"/>
      <c r="DV71" s="976" t="n"/>
      <c r="DW71" s="976" t="n"/>
      <c r="DX71" s="976" t="n"/>
      <c r="DY71" s="976" t="n"/>
      <c r="DZ71" s="976" t="n"/>
      <c r="EA71" s="976" t="n"/>
      <c r="EB71" s="976" t="n"/>
      <c r="EC71" s="976" t="n"/>
      <c r="ED71" s="976" t="n"/>
      <c r="EE71" s="976" t="n"/>
      <c r="EP71" s="976" t="n"/>
      <c r="EQ71" s="976" t="n"/>
      <c r="ER71" s="976" t="n"/>
      <c r="ES71" s="976" t="n"/>
      <c r="ET71" s="976" t="n"/>
      <c r="EU71" s="976" t="n"/>
      <c r="EV71" s="976" t="n"/>
      <c r="EW71" s="976" t="n"/>
      <c r="EX71" s="976" t="n"/>
      <c r="EY71" s="976" t="n"/>
      <c r="EZ71" s="976" t="n"/>
      <c r="FA71" s="976" t="n"/>
      <c r="FB71" s="976" t="n"/>
    </row>
    <row r="72" customFormat="1" s="103">
      <c r="A72" s="103">
        <f>B72&amp;C72</f>
        <v/>
      </c>
      <c r="B72" s="103" t="n">
        <v>2512</v>
      </c>
      <c r="C72" s="103" t="inlineStr">
        <is>
          <t>KB라이프</t>
        </is>
      </c>
      <c r="D72" s="976" t="n">
        <v>35228934</v>
      </c>
      <c r="E72" s="976" t="n">
        <v>9242637</v>
      </c>
      <c r="F72" s="976" t="n">
        <v>22153157</v>
      </c>
      <c r="G72" s="976">
        <f>718086+977799</f>
        <v/>
      </c>
      <c r="H72" s="976" t="n">
        <v>233432</v>
      </c>
      <c r="I72" s="977">
        <f>+E72/$D72</f>
        <v/>
      </c>
      <c r="J72" s="977">
        <f>+F72/$D72</f>
        <v/>
      </c>
      <c r="K72" s="977">
        <f>+G72/$D72</f>
        <v/>
      </c>
      <c r="L72" s="976" t="n">
        <v>31010346</v>
      </c>
      <c r="M72" s="976">
        <f>841004+27636366</f>
        <v/>
      </c>
      <c r="N72" s="978">
        <f>+O72-P72</f>
        <v/>
      </c>
      <c r="O72" s="978" t="n">
        <v>4218588</v>
      </c>
      <c r="P72" s="978" t="n">
        <v>49800</v>
      </c>
      <c r="Q72" s="978" t="n">
        <v>31467</v>
      </c>
      <c r="R72" s="978" t="n">
        <v>3159018</v>
      </c>
      <c r="S72" s="978" t="n">
        <v>4537158</v>
      </c>
      <c r="T72" s="978">
        <f>+N68</f>
        <v/>
      </c>
      <c r="U72" s="975" t="n"/>
      <c r="V72" s="975" t="n"/>
      <c r="W72" s="998" t="n"/>
      <c r="X72" s="978" t="n">
        <v>31467</v>
      </c>
      <c r="Y72" s="978" t="n">
        <v>-1063957</v>
      </c>
      <c r="Z72" s="978" t="n">
        <v>1141793</v>
      </c>
      <c r="AA72" s="978" t="n">
        <v>9328</v>
      </c>
      <c r="AB72" s="978" t="n">
        <v>-48859</v>
      </c>
      <c r="AC72" s="978" t="n"/>
      <c r="AD72" s="978" t="n">
        <v>-6838</v>
      </c>
      <c r="AE72" s="978">
        <f>X72-SUM(Y72:AD72)</f>
        <v/>
      </c>
      <c r="AF72" s="976" t="n">
        <v>261885</v>
      </c>
      <c r="AG72" s="976" t="n">
        <v>872636</v>
      </c>
      <c r="AH72" s="976" t="n">
        <v>610751</v>
      </c>
      <c r="AI72" s="976" t="n">
        <v>151829</v>
      </c>
      <c r="AJ72" s="976">
        <f>7379-1834211</f>
        <v/>
      </c>
      <c r="AK72" s="976">
        <f>78-483</f>
        <v/>
      </c>
      <c r="AL72" s="976">
        <f>+AI72-AJ72-AK72-AN72</f>
        <v/>
      </c>
      <c r="AM72" s="976" t="n"/>
      <c r="AN72" s="976">
        <f>191890-76304</f>
        <v/>
      </c>
      <c r="AO72" s="976" t="n">
        <v>413714</v>
      </c>
      <c r="AP72" s="976" t="n">
        <v>4478</v>
      </c>
      <c r="AQ72" s="978" t="n">
        <v>418192</v>
      </c>
      <c r="AR72" s="978" t="n">
        <v>265888</v>
      </c>
      <c r="AS72" s="978">
        <f>+AO72+AP72-AQ72</f>
        <v/>
      </c>
      <c r="AT72" s="978">
        <f>+AJ72+AK72+AL72-AM72+AN72-AI72</f>
        <v/>
      </c>
      <c r="AU72" s="978">
        <f>+AF72+AI72-AO72</f>
        <v/>
      </c>
      <c r="AV72" s="978">
        <f>+AF72</f>
        <v/>
      </c>
      <c r="AW72" s="978">
        <f>+AI72</f>
        <v/>
      </c>
      <c r="AX72" s="978">
        <f>+AP72</f>
        <v/>
      </c>
      <c r="AY72" s="978">
        <f>+SUM(AV72:AX72)</f>
        <v/>
      </c>
      <c r="AZ72" s="976" t="n"/>
      <c r="BA72" s="976" t="n"/>
      <c r="BB72" s="977" t="n"/>
      <c r="BC72" s="976" t="n">
        <v>363125</v>
      </c>
      <c r="BD72" s="976" t="n">
        <v>-1003540</v>
      </c>
      <c r="BE72" s="976" t="n"/>
      <c r="BF72" s="976">
        <f>707839+7408</f>
        <v/>
      </c>
      <c r="BG72" s="976" t="n">
        <v>-46179</v>
      </c>
      <c r="BH72" s="976" t="n"/>
      <c r="BI72" s="976" t="n">
        <v>2814</v>
      </c>
      <c r="BJ72" s="976" t="n"/>
      <c r="BK72" s="976" t="n">
        <v>31467</v>
      </c>
      <c r="BL72" s="978">
        <f>+BK72-BC72-SUM(BD72:BJ72)</f>
        <v/>
      </c>
      <c r="BM72" s="976" t="n">
        <v>3145930</v>
      </c>
      <c r="BN72" s="976">
        <f>+-120000+-130000</f>
        <v/>
      </c>
      <c r="BO72" s="976" t="n"/>
      <c r="BP72" s="976" t="n">
        <v>265888</v>
      </c>
      <c r="BQ72" s="976" t="n"/>
      <c r="BR72" s="976" t="n">
        <v>-2800</v>
      </c>
      <c r="BS72" s="976" t="n">
        <v>3159018</v>
      </c>
      <c r="BT72" s="978">
        <f>+BM72+SUM(BN72:BR72)-BS72</f>
        <v/>
      </c>
      <c r="BU72" s="978">
        <f>803552+23859746</f>
        <v/>
      </c>
      <c r="BV72" s="978">
        <f>2547+547750</f>
        <v/>
      </c>
      <c r="BW72" s="978">
        <f>34905+3228870</f>
        <v/>
      </c>
      <c r="BX72" s="978" t="n">
        <v>504729</v>
      </c>
      <c r="BY72" s="978">
        <f>5506+292100</f>
        <v/>
      </c>
      <c r="BZ72" s="978">
        <f>-2646-48619</f>
        <v/>
      </c>
      <c r="CA72" s="978">
        <f>1066+96342</f>
        <v/>
      </c>
      <c r="CB72" s="978" t="n">
        <v>3010509</v>
      </c>
      <c r="CC72" s="976" t="n"/>
      <c r="CD72" s="976">
        <f>CB72+BX72-BY72+BZ72+CA72-BW72</f>
        <v/>
      </c>
      <c r="CE72" s="976" t="n">
        <v>204954</v>
      </c>
      <c r="CF72" s="976">
        <f>186180+169946</f>
        <v/>
      </c>
      <c r="CG72" s="976">
        <f>155724+143039</f>
        <v/>
      </c>
      <c r="CH72" s="976">
        <f>133165+124910+117301+111498+105997</f>
        <v/>
      </c>
      <c r="CI72" s="976">
        <f>426833+351793+288705+228989+514741</f>
        <v/>
      </c>
      <c r="CJ72" s="976" t="n">
        <v>3263775</v>
      </c>
      <c r="CK72" s="976">
        <f>CJ72-SUM(CE72:CI72)</f>
        <v/>
      </c>
      <c r="CL72" s="976">
        <f>BW72-CJ72</f>
        <v/>
      </c>
      <c r="CM72" s="976" t="n"/>
      <c r="CN72" s="977" t="n">
        <v>2.7206</v>
      </c>
      <c r="CO72" s="976" t="n">
        <v>5871444</v>
      </c>
      <c r="CP72" s="976" t="n">
        <v>2158114</v>
      </c>
      <c r="CQ72" s="995" t="n">
        <v>2.7219</v>
      </c>
      <c r="CR72" s="978" t="n">
        <v>5871662</v>
      </c>
      <c r="CS72" s="978" t="n">
        <v>2157159</v>
      </c>
      <c r="CT72" s="976" t="n"/>
      <c r="CU72" s="976">
        <f>+CU68+422812</f>
        <v/>
      </c>
      <c r="CV72" s="976" t="n"/>
      <c r="CW72" s="110" t="n">
        <v>0.521</v>
      </c>
      <c r="CX72" s="110" t="n">
        <v>0.572</v>
      </c>
      <c r="CY72" s="110" t="n">
        <v>-0.052</v>
      </c>
      <c r="CZ72" s="785">
        <f>+CX72/CW72</f>
        <v/>
      </c>
      <c r="DA72" s="976" t="n"/>
      <c r="DB72" s="976" t="n"/>
      <c r="DC72" s="977" t="n"/>
      <c r="DD72" s="976" t="n"/>
      <c r="DE72" s="976" t="n"/>
      <c r="DF72" s="976" t="n"/>
      <c r="DG72" s="976" t="n"/>
      <c r="DH72" s="976" t="n"/>
      <c r="DI72" s="976" t="n"/>
      <c r="DJ72" s="976" t="n"/>
      <c r="DK72" s="976" t="n"/>
      <c r="DL72" s="976" t="n"/>
      <c r="DM72" s="976" t="n"/>
      <c r="DN72" s="976" t="n"/>
      <c r="DO72" s="976" t="n"/>
      <c r="DP72" s="976" t="n"/>
      <c r="DQ72" s="976" t="n"/>
      <c r="DR72" s="976" t="n"/>
      <c r="DS72" s="976" t="n"/>
      <c r="DT72" s="976" t="n"/>
      <c r="DU72" s="976" t="n"/>
      <c r="DV72" s="976" t="n"/>
      <c r="DW72" s="976" t="n"/>
      <c r="DX72" s="976" t="n"/>
      <c r="DY72" s="976" t="n"/>
      <c r="DZ72" s="976" t="n"/>
      <c r="EA72" s="976" t="n"/>
      <c r="EB72" s="976" t="n"/>
      <c r="EC72" s="976" t="n"/>
      <c r="ED72" s="976" t="n"/>
      <c r="EE72" s="976" t="n"/>
      <c r="EP72" s="976" t="n">
        <v>328145</v>
      </c>
      <c r="EQ72" s="976" t="n">
        <v>-5289</v>
      </c>
      <c r="ER72" s="976" t="n">
        <v>-147004</v>
      </c>
      <c r="ES72" s="976" t="n">
        <v>20271</v>
      </c>
      <c r="ET72" s="976">
        <f>-101753-9344</f>
        <v/>
      </c>
      <c r="EU72" s="976" t="n"/>
      <c r="EV72" s="976" t="n"/>
      <c r="EW72" s="976" t="n">
        <v>-328145</v>
      </c>
      <c r="EX72" s="976" t="n">
        <v>5289</v>
      </c>
      <c r="EY72" s="976" t="n">
        <v>147004</v>
      </c>
      <c r="EZ72" s="976" t="n">
        <v>-20271</v>
      </c>
      <c r="FA72" s="976" t="n">
        <v>111097</v>
      </c>
      <c r="FB72" s="976" t="n">
        <v>33761</v>
      </c>
      <c r="FC72" s="766">
        <f>SUM(EW72:FB72)-BZ72</f>
        <v/>
      </c>
    </row>
    <row r="73" ht="16.5" customFormat="1" customHeight="1" s="103">
      <c r="A73" s="696">
        <f>B73&amp;C73</f>
        <v/>
      </c>
      <c r="B73" s="696" t="n">
        <v>2603</v>
      </c>
      <c r="C73" s="696" t="inlineStr">
        <is>
          <t>KB라이프</t>
        </is>
      </c>
      <c r="D73" s="976" t="n">
        <v>34615191</v>
      </c>
      <c r="E73" s="976" t="n">
        <v>9693200</v>
      </c>
      <c r="F73" s="976" t="n">
        <v>21436913</v>
      </c>
      <c r="G73" s="976" t="n">
        <v>1609004</v>
      </c>
      <c r="H73" s="976" t="n">
        <v>229733</v>
      </c>
      <c r="I73" s="977">
        <f>E73/D73</f>
        <v/>
      </c>
      <c r="J73" s="977">
        <f>F73/D73</f>
        <v/>
      </c>
      <c r="K73" s="977">
        <f>G73/D73</f>
        <v/>
      </c>
      <c r="L73" s="976" t="n">
        <v>30291203</v>
      </c>
      <c r="M73" s="976" t="n">
        <v>27717972</v>
      </c>
      <c r="N73" s="978">
        <f>O73-P73</f>
        <v/>
      </c>
      <c r="O73" s="978" t="n">
        <v>4323988</v>
      </c>
      <c r="P73" s="978" t="n">
        <v>49800</v>
      </c>
      <c r="Q73" s="978" t="n">
        <v>53878</v>
      </c>
      <c r="R73" s="978" t="n">
        <v>3242007</v>
      </c>
      <c r="S73" s="978" t="n">
        <v>4218588</v>
      </c>
      <c r="T73" s="978" t="n">
        <v>4168788</v>
      </c>
      <c r="U73" s="975" t="n"/>
      <c r="V73" s="975" t="n"/>
      <c r="W73" s="998" t="n"/>
      <c r="X73" s="978">
        <f>Q73</f>
        <v/>
      </c>
      <c r="Y73" s="978" t="n"/>
      <c r="Z73" s="978" t="n">
        <v>2203188.48</v>
      </c>
      <c r="AA73" s="978" t="n">
        <v>13796.04</v>
      </c>
      <c r="AB73" s="978" t="n">
        <v>-85738.8</v>
      </c>
      <c r="AC73" s="978" t="n"/>
      <c r="AD73" s="978" t="n">
        <v>-7038.54</v>
      </c>
      <c r="AE73" s="978" t="n"/>
      <c r="AF73" s="976" t="n">
        <v>66193</v>
      </c>
      <c r="AG73" s="976" t="n">
        <v>235846</v>
      </c>
      <c r="AH73" s="976" t="n">
        <v>169653</v>
      </c>
      <c r="AI73" s="976" t="n">
        <v>22704</v>
      </c>
      <c r="AJ73" s="976" t="n">
        <v>-583746</v>
      </c>
      <c r="AK73" s="976" t="n">
        <v>-117</v>
      </c>
      <c r="AL73" s="976">
        <f>AI73-AJ73-AK73+AM73-AN73</f>
        <v/>
      </c>
      <c r="AM73" s="976" t="n"/>
      <c r="AN73" s="976" t="n">
        <v>22097</v>
      </c>
      <c r="AO73" s="976" t="n">
        <v>88897</v>
      </c>
      <c r="AP73" s="976" t="n">
        <v>447</v>
      </c>
      <c r="AQ73" s="978" t="n">
        <v>89344</v>
      </c>
      <c r="AR73" s="978" t="n">
        <v>83689</v>
      </c>
      <c r="AS73" s="978" t="n"/>
      <c r="AT73" s="978" t="n"/>
      <c r="AU73" s="978" t="n"/>
      <c r="AV73" s="978">
        <f>AF73</f>
        <v/>
      </c>
      <c r="AW73" s="978">
        <f>AI73</f>
        <v/>
      </c>
      <c r="AX73" s="978">
        <f>AP73</f>
        <v/>
      </c>
      <c r="AY73" s="978">
        <f>AV73+AW73+AX73</f>
        <v/>
      </c>
      <c r="AZ73" s="976" t="n"/>
      <c r="BA73" s="976" t="n"/>
      <c r="BB73" s="977" t="n"/>
      <c r="BC73" s="976" t="n">
        <v>31467</v>
      </c>
      <c r="BD73" s="976" t="n">
        <v>-1006850</v>
      </c>
      <c r="BE73" s="976" t="n"/>
      <c r="BF73" s="976" t="n">
        <v>1065863</v>
      </c>
      <c r="BG73" s="976" t="n">
        <v>-36879</v>
      </c>
      <c r="BH73" s="976" t="n"/>
      <c r="BI73" s="976" t="n">
        <v>-201</v>
      </c>
      <c r="BJ73" s="976" t="n"/>
      <c r="BK73" s="976">
        <f>Q73</f>
        <v/>
      </c>
      <c r="BL73" s="978" t="n"/>
      <c r="BM73" s="976" t="n">
        <v>3159018</v>
      </c>
      <c r="BN73" s="976" t="n"/>
      <c r="BO73" s="976" t="n"/>
      <c r="BP73" s="976">
        <f>AR73</f>
        <v/>
      </c>
      <c r="BQ73" s="976" t="n"/>
      <c r="BR73" s="976" t="n">
        <v>-700</v>
      </c>
      <c r="BS73" s="976">
        <f>R73</f>
        <v/>
      </c>
      <c r="BT73" s="978" t="n"/>
      <c r="BU73" s="978" t="n"/>
      <c r="BV73" s="978" t="n">
        <v>584946.85</v>
      </c>
      <c r="BW73" s="978" t="n">
        <v>3440843.63</v>
      </c>
      <c r="BX73" s="978" t="n"/>
      <c r="BY73" s="978" t="n"/>
      <c r="BZ73" s="978" t="n"/>
      <c r="CA73" s="978" t="n"/>
      <c r="CB73" s="978" t="n"/>
      <c r="CC73" s="976" t="n"/>
      <c r="CD73" s="976" t="n"/>
      <c r="CE73" s="976" t="n"/>
      <c r="CF73" s="976" t="n"/>
      <c r="CG73" s="976" t="n"/>
      <c r="CH73" s="976" t="n"/>
      <c r="CI73" s="976" t="n"/>
      <c r="CJ73" s="976" t="n"/>
      <c r="CK73" s="976" t="n"/>
      <c r="CL73" s="976" t="n"/>
      <c r="CM73" s="976" t="n"/>
      <c r="CN73" s="977" t="n"/>
      <c r="CO73" s="976" t="n"/>
      <c r="CP73" s="976" t="n"/>
      <c r="CQ73" s="995" t="n">
        <v>2.52</v>
      </c>
      <c r="CR73" s="978" t="n">
        <v>6073588.02</v>
      </c>
      <c r="CS73" s="978" t="n">
        <v>2407526.71</v>
      </c>
      <c r="CT73" s="976" t="n"/>
      <c r="CU73" s="976" t="n">
        <v>1417783.9</v>
      </c>
      <c r="CV73" s="976" t="n"/>
      <c r="CW73" s="110" t="n"/>
      <c r="CX73" s="110" t="n"/>
      <c r="CY73" s="110" t="n"/>
      <c r="CZ73" s="785" t="n"/>
      <c r="DA73" s="976" t="n"/>
      <c r="DB73" s="976" t="n"/>
      <c r="DC73" s="977" t="n"/>
      <c r="DD73" s="976" t="n"/>
      <c r="DE73" s="976" t="n"/>
      <c r="DF73" s="976" t="n"/>
      <c r="DG73" s="976" t="n"/>
      <c r="DH73" s="976" t="n"/>
      <c r="DI73" s="976" t="n"/>
      <c r="DJ73" s="976" t="n"/>
      <c r="DK73" s="976" t="n"/>
      <c r="DL73" s="976" t="n"/>
      <c r="DM73" s="976" t="n"/>
      <c r="DN73" s="976" t="n"/>
      <c r="DO73" s="976" t="n"/>
      <c r="DP73" s="976" t="n"/>
      <c r="DQ73" s="976" t="n"/>
      <c r="DR73" s="976" t="n"/>
      <c r="DS73" s="976" t="n"/>
      <c r="DT73" s="976" t="n"/>
      <c r="DU73" s="976" t="n"/>
      <c r="DV73" s="976" t="n"/>
      <c r="DW73" s="976" t="n"/>
      <c r="DX73" s="976" t="n"/>
      <c r="DY73" s="976" t="n"/>
      <c r="DZ73" s="976" t="n"/>
      <c r="EA73" s="976" t="n"/>
      <c r="EB73" s="976" t="n"/>
      <c r="EC73" s="976" t="n"/>
      <c r="ED73" s="976" t="n"/>
      <c r="EE73" s="976" t="n"/>
      <c r="EP73" s="976" t="n"/>
      <c r="EQ73" s="976" t="n"/>
      <c r="ER73" s="976" t="n"/>
      <c r="ES73" s="976" t="n"/>
      <c r="ET73" s="976" t="n"/>
      <c r="EU73" s="976" t="n"/>
      <c r="EV73" s="976" t="n"/>
      <c r="EW73" s="976" t="n"/>
      <c r="EX73" s="976" t="n"/>
      <c r="EY73" s="976" t="n"/>
      <c r="EZ73" s="976" t="n"/>
      <c r="FA73" s="976" t="n"/>
      <c r="FB73" s="976" t="n"/>
      <c r="FC73" s="766" t="n"/>
    </row>
    <row r="74" ht="16.5" customFormat="1" customHeight="1" s="103">
      <c r="A74" s="696">
        <f>B74&amp;C74</f>
        <v/>
      </c>
      <c r="B74" s="696" t="n">
        <v>2606</v>
      </c>
      <c r="C74" s="696" t="inlineStr">
        <is>
          <t>KB라이프</t>
        </is>
      </c>
      <c r="D74" s="976" t="n">
        <v>34847703</v>
      </c>
      <c r="E74" s="976" t="n">
        <v>10365231</v>
      </c>
      <c r="F74" s="976" t="n">
        <v>20983374</v>
      </c>
      <c r="G74" s="976" t="n">
        <v>1633021</v>
      </c>
      <c r="H74" s="976" t="n">
        <v>228389</v>
      </c>
      <c r="I74" s="977">
        <f>E74/D74</f>
        <v/>
      </c>
      <c r="J74" s="977">
        <f>F74/D74</f>
        <v/>
      </c>
      <c r="K74" s="977">
        <f>G74/D74</f>
        <v/>
      </c>
      <c r="L74" s="976" t="n">
        <v>30583703</v>
      </c>
      <c r="M74" s="976" t="n">
        <v>27292959</v>
      </c>
      <c r="N74" s="978">
        <f>O74-P74</f>
        <v/>
      </c>
      <c r="O74" s="978" t="n">
        <v>4264000</v>
      </c>
      <c r="P74" s="978" t="n">
        <v>49800</v>
      </c>
      <c r="Q74" s="978" t="n">
        <v>20137</v>
      </c>
      <c r="R74" s="978" t="n">
        <v>3215760</v>
      </c>
      <c r="S74" s="978" t="n">
        <v>4218588</v>
      </c>
      <c r="T74" s="978" t="n">
        <v>4168788</v>
      </c>
      <c r="U74" s="975" t="n"/>
      <c r="V74" s="975" t="n"/>
      <c r="W74" s="998" t="n"/>
      <c r="X74" s="978">
        <f>Q74</f>
        <v/>
      </c>
      <c r="Y74" s="978" t="n"/>
      <c r="Z74" s="978" t="n"/>
      <c r="AA74" s="978" t="n"/>
      <c r="AB74" s="978" t="n"/>
      <c r="AC74" s="978" t="n"/>
      <c r="AD74" s="978" t="n"/>
      <c r="AE74" s="978" t="n"/>
      <c r="AF74" s="976" t="n">
        <v>127617</v>
      </c>
      <c r="AG74" s="976" t="n">
        <v>480887</v>
      </c>
      <c r="AH74" s="976" t="n">
        <v>353270</v>
      </c>
      <c r="AI74" s="976" t="n">
        <v>61442</v>
      </c>
      <c r="AJ74" s="976" t="n">
        <v>-2436937</v>
      </c>
      <c r="AK74" s="976" t="n">
        <v>-228</v>
      </c>
      <c r="AL74" s="976">
        <f>AI74-AJ74-AK74+AM74-AN74</f>
        <v/>
      </c>
      <c r="AM74" s="976" t="n"/>
      <c r="AN74" s="976" t="n">
        <v>53350</v>
      </c>
      <c r="AO74" s="976" t="n">
        <v>189059</v>
      </c>
      <c r="AP74" s="976" t="n">
        <v>1951</v>
      </c>
      <c r="AQ74" s="978" t="n">
        <v>191010</v>
      </c>
      <c r="AR74" s="978" t="n">
        <v>158134</v>
      </c>
      <c r="AS74" s="978" t="n"/>
      <c r="AT74" s="978" t="n"/>
      <c r="AU74" s="978" t="n"/>
      <c r="AV74" s="978">
        <f>AF74</f>
        <v/>
      </c>
      <c r="AW74" s="978">
        <f>AI74</f>
        <v/>
      </c>
      <c r="AX74" s="978">
        <f>AP74</f>
        <v/>
      </c>
      <c r="AY74" s="978">
        <f>AV74+AW74+AX74</f>
        <v/>
      </c>
      <c r="AZ74" s="976" t="n"/>
      <c r="BA74" s="976" t="n"/>
      <c r="BB74" s="977" t="n"/>
      <c r="BC74" s="976" t="n">
        <v>31467</v>
      </c>
      <c r="BD74" s="976" t="n">
        <v>-1763146</v>
      </c>
      <c r="BE74" s="976" t="n"/>
      <c r="BF74" s="976" t="n">
        <v>1841642</v>
      </c>
      <c r="BG74" s="976" t="n">
        <v>-91681</v>
      </c>
      <c r="BH74" s="976" t="n"/>
      <c r="BI74" s="976" t="n">
        <v>1377</v>
      </c>
      <c r="BJ74" s="976" t="n"/>
      <c r="BK74" s="976">
        <f>Q74</f>
        <v/>
      </c>
      <c r="BL74" s="978" t="n"/>
      <c r="BM74" s="976" t="n">
        <v>3159018</v>
      </c>
      <c r="BN74" s="976" t="n">
        <v>-100000</v>
      </c>
      <c r="BO74" s="976" t="n"/>
      <c r="BP74" s="976">
        <f>AR74</f>
        <v/>
      </c>
      <c r="BQ74" s="976" t="n"/>
      <c r="BR74" s="976" t="n">
        <v>-1392</v>
      </c>
      <c r="BS74" s="976">
        <f>R74</f>
        <v/>
      </c>
      <c r="BT74" s="978" t="n"/>
      <c r="BU74" s="978" t="n"/>
      <c r="BV74" s="978" t="n"/>
      <c r="BW74" s="978" t="n"/>
      <c r="BX74" s="978" t="n"/>
      <c r="BY74" s="978" t="n"/>
      <c r="BZ74" s="978" t="n"/>
      <c r="CA74" s="978" t="n"/>
      <c r="CB74" s="978" t="n"/>
      <c r="CC74" s="976" t="n"/>
      <c r="CD74" s="976" t="n"/>
      <c r="CE74" s="976" t="n"/>
      <c r="CF74" s="976" t="n"/>
      <c r="CG74" s="976" t="n"/>
      <c r="CH74" s="976" t="n"/>
      <c r="CI74" s="976" t="n"/>
      <c r="CJ74" s="976" t="n"/>
      <c r="CK74" s="976" t="n"/>
      <c r="CL74" s="976" t="n"/>
      <c r="CM74" s="976" t="n"/>
      <c r="CN74" s="977" t="n"/>
      <c r="CO74" s="976" t="n"/>
      <c r="CP74" s="976" t="n"/>
      <c r="CQ74" s="995" t="n"/>
      <c r="CR74" s="978" t="n"/>
      <c r="CS74" s="978" t="n"/>
      <c r="CT74" s="976" t="n"/>
      <c r="CU74" s="976" t="n"/>
      <c r="CV74" s="976" t="n"/>
      <c r="CW74" s="110" t="n"/>
      <c r="CX74" s="110" t="n"/>
      <c r="CY74" s="110" t="n"/>
      <c r="CZ74" s="785" t="n"/>
      <c r="DA74" s="976" t="n"/>
      <c r="DB74" s="976" t="n"/>
      <c r="DC74" s="977" t="n"/>
      <c r="DD74" s="976" t="n"/>
      <c r="DE74" s="976" t="n"/>
      <c r="DF74" s="976" t="n"/>
      <c r="DG74" s="976" t="n"/>
      <c r="DH74" s="976" t="n"/>
      <c r="DI74" s="976" t="n"/>
      <c r="DJ74" s="976" t="n"/>
      <c r="DK74" s="976" t="n"/>
      <c r="DL74" s="976" t="n"/>
      <c r="DM74" s="976" t="n"/>
      <c r="DN74" s="976" t="n"/>
      <c r="DO74" s="976" t="n"/>
      <c r="DP74" s="976" t="n"/>
      <c r="DQ74" s="976" t="n"/>
      <c r="DR74" s="976" t="n"/>
      <c r="DS74" s="976" t="n"/>
      <c r="DT74" s="976" t="n"/>
      <c r="DU74" s="976" t="n"/>
      <c r="DV74" s="976" t="n"/>
      <c r="DW74" s="976" t="n"/>
      <c r="DX74" s="976" t="n"/>
      <c r="DY74" s="976" t="n"/>
      <c r="DZ74" s="976" t="n"/>
      <c r="EA74" s="976" t="n"/>
      <c r="EB74" s="976" t="n"/>
      <c r="EC74" s="976" t="n"/>
      <c r="ED74" s="976" t="n"/>
      <c r="EE74" s="976" t="n"/>
      <c r="EP74" s="976" t="n"/>
      <c r="EQ74" s="976" t="n"/>
      <c r="ER74" s="976" t="n"/>
      <c r="ES74" s="976" t="n"/>
      <c r="ET74" s="976" t="n"/>
      <c r="EU74" s="976" t="n"/>
      <c r="EV74" s="976" t="n"/>
      <c r="EW74" s="976" t="n"/>
      <c r="EX74" s="976" t="n"/>
      <c r="EY74" s="976" t="n"/>
      <c r="EZ74" s="976" t="n"/>
      <c r="FA74" s="976" t="n"/>
      <c r="FB74" s="976" t="n"/>
      <c r="FC74" s="766" t="n"/>
    </row>
    <row r="75" customFormat="1" s="103">
      <c r="A75" s="103">
        <f>B75&amp;C75</f>
        <v/>
      </c>
      <c r="D75" s="976" t="n"/>
      <c r="E75" s="976" t="n"/>
      <c r="F75" s="976" t="n"/>
      <c r="G75" s="976" t="n"/>
      <c r="H75" s="976" t="n"/>
      <c r="I75" s="977" t="n"/>
      <c r="J75" s="977" t="n"/>
      <c r="K75" s="977" t="n"/>
      <c r="L75" s="976" t="n"/>
      <c r="M75" s="976" t="n"/>
      <c r="N75" s="978" t="n"/>
      <c r="O75" s="978" t="n"/>
      <c r="P75" s="978" t="n"/>
      <c r="Q75" s="978" t="n"/>
      <c r="R75" s="978" t="n"/>
      <c r="S75" s="978" t="n"/>
      <c r="T75" s="978" t="n"/>
      <c r="U75" s="979" t="n"/>
      <c r="V75" s="979" t="n"/>
      <c r="W75" s="991" t="n"/>
      <c r="X75" s="978" t="n"/>
      <c r="Y75" s="978" t="n"/>
      <c r="Z75" s="978" t="n"/>
      <c r="AA75" s="978" t="n"/>
      <c r="AB75" s="978" t="n"/>
      <c r="AC75" s="978" t="n"/>
      <c r="AD75" s="978" t="n"/>
      <c r="AE75" s="978" t="n"/>
      <c r="AF75" s="976" t="n"/>
      <c r="AG75" s="976" t="n"/>
      <c r="AH75" s="976" t="n"/>
      <c r="AI75" s="976" t="n"/>
      <c r="AJ75" s="976" t="n"/>
      <c r="AK75" s="976" t="n"/>
      <c r="AL75" s="976" t="n"/>
      <c r="AM75" s="976" t="n"/>
      <c r="AN75" s="976" t="n"/>
      <c r="AO75" s="976" t="n"/>
      <c r="AP75" s="976" t="n"/>
      <c r="AQ75" s="978" t="n"/>
      <c r="AR75" s="978" t="n"/>
      <c r="AS75" s="978" t="n"/>
      <c r="AT75" s="978" t="n"/>
      <c r="AU75" s="978" t="n"/>
      <c r="AV75" s="978" t="n"/>
      <c r="AW75" s="978" t="n"/>
      <c r="AX75" s="978" t="n"/>
      <c r="AY75" s="978" t="n"/>
      <c r="AZ75" s="976" t="n"/>
      <c r="BA75" s="976" t="n"/>
      <c r="BB75" s="977" t="n"/>
      <c r="BC75" s="976" t="n"/>
      <c r="BD75" s="976" t="n"/>
      <c r="BE75" s="976" t="n"/>
      <c r="BF75" s="976" t="n"/>
      <c r="BG75" s="976" t="n"/>
      <c r="BH75" s="976" t="n"/>
      <c r="BI75" s="976" t="n"/>
      <c r="BJ75" s="976" t="n"/>
      <c r="BK75" s="976" t="n"/>
      <c r="BL75" s="978" t="n"/>
      <c r="BM75" s="976" t="n"/>
      <c r="BN75" s="976" t="n"/>
      <c r="BO75" s="976" t="n"/>
      <c r="BP75" s="976" t="n"/>
      <c r="BQ75" s="976" t="n"/>
      <c r="BR75" s="976" t="n"/>
      <c r="BS75" s="976" t="n"/>
      <c r="BT75" s="978" t="n"/>
      <c r="BU75" s="978" t="n"/>
      <c r="BV75" s="978" t="n"/>
      <c r="BW75" s="978" t="n"/>
      <c r="BX75" s="978" t="n"/>
      <c r="BY75" s="978" t="n"/>
      <c r="BZ75" s="978" t="n"/>
      <c r="CA75" s="978" t="n"/>
      <c r="CB75" s="978" t="n"/>
      <c r="CC75" s="976" t="n"/>
      <c r="CD75" s="976" t="n"/>
      <c r="CE75" s="976" t="n"/>
      <c r="CF75" s="976" t="n"/>
      <c r="CG75" s="976" t="n"/>
      <c r="CH75" s="976" t="n"/>
      <c r="CI75" s="976" t="n"/>
      <c r="CJ75" s="976" t="n"/>
      <c r="CK75" s="976" t="n"/>
      <c r="CL75" s="976" t="n"/>
      <c r="CM75" s="976" t="n"/>
      <c r="CN75" s="977" t="n"/>
      <c r="CO75" s="976" t="n"/>
      <c r="CP75" s="976" t="n"/>
      <c r="CQ75" s="995" t="n"/>
      <c r="CR75" s="978" t="n"/>
      <c r="CS75" s="978" t="n"/>
      <c r="CT75" s="976" t="n"/>
      <c r="CU75" s="976" t="n"/>
      <c r="CV75" s="976" t="n"/>
      <c r="CW75" s="110" t="n"/>
      <c r="CX75" s="110" t="n"/>
      <c r="CY75" s="110" t="n"/>
      <c r="CZ75" s="785" t="n"/>
      <c r="DA75" s="976" t="n"/>
      <c r="DB75" s="976" t="n"/>
      <c r="DC75" s="977" t="n"/>
      <c r="DD75" s="976" t="n"/>
      <c r="DE75" s="976" t="n"/>
      <c r="DF75" s="976" t="n"/>
      <c r="DG75" s="976" t="n"/>
      <c r="DH75" s="976" t="n"/>
      <c r="DI75" s="976" t="n"/>
      <c r="DJ75" s="976" t="n"/>
      <c r="DK75" s="976" t="n"/>
      <c r="DL75" s="976" t="n"/>
      <c r="DM75" s="976" t="n"/>
      <c r="DN75" s="976" t="n"/>
      <c r="DO75" s="976" t="n"/>
      <c r="DP75" s="976" t="n"/>
      <c r="DQ75" s="976" t="n"/>
      <c r="DR75" s="976" t="n"/>
      <c r="DS75" s="976" t="n"/>
      <c r="DT75" s="976" t="n"/>
      <c r="DU75" s="976" t="n"/>
      <c r="DV75" s="976" t="n"/>
      <c r="DW75" s="976" t="n"/>
      <c r="DX75" s="976" t="n"/>
      <c r="DY75" s="976" t="n"/>
      <c r="DZ75" s="976" t="n"/>
      <c r="EA75" s="976" t="n"/>
      <c r="EB75" s="976" t="n"/>
      <c r="EC75" s="976" t="n"/>
      <c r="ED75" s="976" t="n"/>
      <c r="EE75" s="976" t="n"/>
      <c r="EP75" s="976" t="n"/>
      <c r="EQ75" s="976" t="n"/>
      <c r="ER75" s="976" t="n"/>
      <c r="ES75" s="976" t="n"/>
      <c r="ET75" s="976" t="n"/>
      <c r="EU75" s="976" t="n"/>
      <c r="EV75" s="976" t="n"/>
      <c r="EW75" s="976" t="n"/>
      <c r="EX75" s="976" t="n"/>
      <c r="EY75" s="976" t="n"/>
      <c r="EZ75" s="976" t="n"/>
      <c r="FA75" s="976" t="n"/>
      <c r="FB75" s="976" t="n"/>
    </row>
    <row r="76">
      <c r="A76" s="642">
        <f>B76&amp;C76</f>
        <v/>
      </c>
      <c r="B76" s="642" t="n">
        <v>2212</v>
      </c>
      <c r="C76" s="642" t="inlineStr">
        <is>
          <t>삼성화재</t>
        </is>
      </c>
      <c r="I76" s="785" t="n"/>
      <c r="J76" s="785" t="n"/>
      <c r="K76" s="785" t="n"/>
      <c r="N76" s="965">
        <f>O76-P76</f>
        <v/>
      </c>
      <c r="O76" s="965" t="n">
        <v>12087326.328411</v>
      </c>
      <c r="P76" s="965" t="n">
        <v>0</v>
      </c>
      <c r="Q76" s="965" t="n">
        <v>1694368.669894</v>
      </c>
      <c r="R76" s="965" t="n">
        <v>10910754.577966</v>
      </c>
      <c r="AS76" s="965" t="n"/>
      <c r="AT76" s="965" t="n"/>
      <c r="AU76" s="965" t="n"/>
      <c r="AV76" s="965">
        <f>+AF76</f>
        <v/>
      </c>
      <c r="AW76" s="965">
        <f>+AI76</f>
        <v/>
      </c>
      <c r="AX76" s="965">
        <f>+AP76</f>
        <v/>
      </c>
      <c r="AY76" s="965">
        <f>+SUM(AV76:AX76)</f>
        <v/>
      </c>
      <c r="BB76" s="785" t="n"/>
      <c r="BL76" s="965" t="n"/>
      <c r="BT76" s="965" t="n">
        <v>10705216.533996</v>
      </c>
      <c r="CD76" s="786">
        <f>CB76+BX76-BY76+BZ76+CA76-BW76</f>
        <v/>
      </c>
      <c r="CK76" s="786">
        <f>CJ76-SUM(CE76:CI76)</f>
        <v/>
      </c>
      <c r="CL76" s="786">
        <f>BW76-CJ76</f>
        <v/>
      </c>
      <c r="CN76" s="785" t="n"/>
      <c r="CQ76" s="785" t="n"/>
      <c r="DR76" s="786" t="inlineStr">
        <is>
          <t>ir 자료 기준</t>
        </is>
      </c>
    </row>
    <row r="77">
      <c r="A77" s="642">
        <f>B77&amp;C77</f>
        <v/>
      </c>
      <c r="B77" s="642" t="n">
        <v>2312</v>
      </c>
      <c r="C77" s="642" t="inlineStr">
        <is>
          <t>삼성화재</t>
        </is>
      </c>
      <c r="D77" s="786" t="n">
        <v>83617400.31856699</v>
      </c>
      <c r="E77" s="786" t="n">
        <v>11482430.335878</v>
      </c>
      <c r="F77" s="786" t="n">
        <v>37719997.078624</v>
      </c>
      <c r="G77" s="786">
        <f>1669987.493776+27231414.183783+794885.797313</f>
        <v/>
      </c>
      <c r="H77" s="786" t="n">
        <v>579396.890722</v>
      </c>
      <c r="I77" s="785">
        <f>+E77/$D77</f>
        <v/>
      </c>
      <c r="J77" s="785">
        <f>+F77/$D77</f>
        <v/>
      </c>
      <c r="K77" s="785">
        <f>+G77/$D77</f>
        <v/>
      </c>
      <c r="L77" s="786" t="n">
        <v>67712224.851601</v>
      </c>
      <c r="M77" s="786" t="n">
        <v>51620536.425094</v>
      </c>
      <c r="N77" s="965">
        <f>O77-P77</f>
        <v/>
      </c>
      <c r="O77" s="965" t="n">
        <v>15905175.466966</v>
      </c>
      <c r="P77" s="965" t="n">
        <v>0</v>
      </c>
      <c r="Q77" s="965" t="n">
        <v>4343488.248398</v>
      </c>
      <c r="R77" s="965" t="n">
        <v>12079484.138017</v>
      </c>
      <c r="S77" s="965" t="n">
        <v>12087326.328411</v>
      </c>
      <c r="T77" s="978">
        <f>N76</f>
        <v/>
      </c>
      <c r="U77" s="787" t="n">
        <v>83617400</v>
      </c>
      <c r="V77" s="787" t="n">
        <v>80508367</v>
      </c>
      <c r="W77" s="144" t="n">
        <v>0.9628</v>
      </c>
      <c r="X77" s="965" t="n">
        <v>4343488</v>
      </c>
      <c r="Y77" s="965" t="n">
        <v>3417619</v>
      </c>
      <c r="Z77" s="965" t="n">
        <v>931276</v>
      </c>
      <c r="AA77" s="965" t="n">
        <v>-22331</v>
      </c>
      <c r="AB77" s="965">
        <f>12574+99395</f>
        <v/>
      </c>
      <c r="AD77" s="965" t="n">
        <v>-95045</v>
      </c>
      <c r="AE77" s="965">
        <f>X77-SUM(Y77:AD77)</f>
        <v/>
      </c>
      <c r="AF77" s="786" t="n">
        <v>1863078.75816</v>
      </c>
      <c r="AG77" s="786" t="n">
        <v>16794121.007131</v>
      </c>
      <c r="AH77" s="786" t="n">
        <v>14931042.248971</v>
      </c>
      <c r="AI77" s="786" t="n">
        <v>513146.179233</v>
      </c>
      <c r="AJ77" s="786">
        <f>154628.887049-1572926.27309</f>
        <v/>
      </c>
      <c r="AK77" s="786">
        <f>87361.327908-4111.861203</f>
        <v/>
      </c>
      <c r="AL77" s="786">
        <f>+AI77-AJ77-AK77+AM77-AN77</f>
        <v/>
      </c>
      <c r="AM77" s="786" t="n">
        <v>29548.213026</v>
      </c>
      <c r="AN77" s="786">
        <f>271150.136197-69108.742793</f>
        <v/>
      </c>
      <c r="AO77" s="786" t="n">
        <v>2376224.937393</v>
      </c>
      <c r="AP77" s="786">
        <f>36286.217091-51454.73601</f>
        <v/>
      </c>
      <c r="AQ77" s="965" t="n">
        <v>2361056.418474</v>
      </c>
      <c r="AR77" s="965" t="n">
        <v>1755374.286951</v>
      </c>
      <c r="AS77" s="965">
        <f>+AO77+AP77-AQ77</f>
        <v/>
      </c>
      <c r="AT77" s="965">
        <f>+AJ77+AK77+AL77-AM77+AN77-AI77</f>
        <v/>
      </c>
      <c r="AU77" s="965">
        <f>+AF77+AI77-AO77</f>
        <v/>
      </c>
      <c r="AV77" s="965">
        <f>+AF77</f>
        <v/>
      </c>
      <c r="AW77" s="965">
        <f>+AI77</f>
        <v/>
      </c>
      <c r="AX77" s="965">
        <f>+AP77</f>
        <v/>
      </c>
      <c r="AY77" s="965">
        <f>+SUM(AV77:AX77)</f>
        <v/>
      </c>
      <c r="BB77" s="785">
        <f>+BF77/(BU77+BV77+BW77)</f>
        <v/>
      </c>
      <c r="BC77" s="786" t="n">
        <v>1694368.669894</v>
      </c>
      <c r="BD77" s="786" t="n">
        <v>3240092.034186</v>
      </c>
      <c r="BF77" s="786">
        <f>-592355.043137+17131.545319</f>
        <v/>
      </c>
      <c r="BG77" s="786">
        <f>2142.982758+32250.606365</f>
        <v/>
      </c>
      <c r="BI77" s="786" t="n">
        <v>-50142.546987</v>
      </c>
      <c r="BK77" s="786" t="n">
        <v>4343488.248398</v>
      </c>
      <c r="BL77" s="965">
        <f>+BK77-BC77-SUM(BD77:BJ77)</f>
        <v/>
      </c>
      <c r="BM77" s="786" t="n">
        <v>10910754.577966</v>
      </c>
      <c r="BN77" s="786" t="n">
        <v>-586644.7269</v>
      </c>
      <c r="BP77" s="786" t="n">
        <v>1755374.286951</v>
      </c>
      <c r="BS77" s="786" t="n">
        <v>12079484.138017</v>
      </c>
      <c r="BT77" s="965">
        <f>+BM77+SUM(BN77:BR77)-BS77</f>
        <v/>
      </c>
      <c r="BU77" s="965" t="n">
        <v>29570875</v>
      </c>
      <c r="BV77" s="965" t="n">
        <v>1502897</v>
      </c>
      <c r="BW77" s="965" t="n">
        <v>13302818</v>
      </c>
      <c r="BX77" s="965" t="n">
        <v>3499533</v>
      </c>
      <c r="BY77" s="965" t="n">
        <v>1538540</v>
      </c>
      <c r="BZ77" s="965" t="n">
        <v>-1200244</v>
      </c>
      <c r="CA77" s="965" t="n">
        <v>397899</v>
      </c>
      <c r="CB77" s="965" t="n">
        <v>12144170</v>
      </c>
      <c r="CD77" s="786">
        <f>CB77+BX77-BY77+BZ77+CA77-BW77</f>
        <v/>
      </c>
      <c r="CE77" s="786" t="n">
        <v>1064159</v>
      </c>
      <c r="CF77" s="786" t="n">
        <v>1691307</v>
      </c>
      <c r="CG77" s="786" t="n">
        <v>1316590</v>
      </c>
      <c r="CH77" s="786" t="n">
        <v>9230762</v>
      </c>
      <c r="CJ77" s="786" t="n">
        <v>13302818</v>
      </c>
      <c r="CK77" s="786">
        <f>CJ77-SUM(CE77:CI77)</f>
        <v/>
      </c>
      <c r="CL77" s="786">
        <f>BW77-CJ77</f>
        <v/>
      </c>
      <c r="CN77" s="785" t="n">
        <v>2.7233</v>
      </c>
      <c r="CO77" s="786" t="n">
        <v>23852200</v>
      </c>
      <c r="CP77" s="786" t="n">
        <v>8758500</v>
      </c>
      <c r="CQ77" s="785" t="n">
        <v>2.7301</v>
      </c>
      <c r="CR77" s="786" t="n">
        <v>23762200</v>
      </c>
      <c r="CS77" s="786" t="n">
        <v>8703800</v>
      </c>
      <c r="CU77" s="786" t="n">
        <v>1180012.136359</v>
      </c>
      <c r="DB77" s="786" t="inlineStr">
        <is>
          <t>ibnr 제외</t>
        </is>
      </c>
      <c r="DC77" s="785" t="n">
        <v>0.847142254909901</v>
      </c>
      <c r="DD77" s="786" t="n">
        <v>4036564.52581</v>
      </c>
      <c r="DE77" s="786">
        <f>+DD77*DC77</f>
        <v/>
      </c>
      <c r="DG77" s="786">
        <f>+DH77+DK77</f>
        <v/>
      </c>
      <c r="DH77" s="786">
        <f>+DI77-DJ77</f>
        <v/>
      </c>
      <c r="DI77" s="786" t="n">
        <v>4628567.706603</v>
      </c>
      <c r="DJ77" s="786" t="n">
        <v>4402435.584764</v>
      </c>
      <c r="DK77" s="786">
        <f>+DL77-DM77</f>
        <v/>
      </c>
      <c r="DL77" s="786" t="n">
        <v>865733.7660300001</v>
      </c>
      <c r="DM77" s="786" t="n">
        <v>950523.428306</v>
      </c>
      <c r="DR77" s="786" t="inlineStr">
        <is>
          <t>* IR자료에서는 손해조사비를 보험금예실차에 반영함</t>
        </is>
      </c>
    </row>
    <row r="78">
      <c r="A78" s="642">
        <f>B78&amp;C78</f>
        <v/>
      </c>
      <c r="B78" s="642" t="n">
        <v>2412</v>
      </c>
      <c r="C78" s="642" t="inlineStr">
        <is>
          <t>삼성화재</t>
        </is>
      </c>
      <c r="D78" s="786" t="n">
        <v>85223562.94037899</v>
      </c>
      <c r="E78" s="786" t="n">
        <v>12871140.40956</v>
      </c>
      <c r="F78" s="786" t="n">
        <v>37005933.194439</v>
      </c>
      <c r="G78" s="786">
        <f>1667014.328696+26831302.703393</f>
        <v/>
      </c>
      <c r="H78" s="786" t="n">
        <v>750180.7303920001</v>
      </c>
      <c r="I78" s="785">
        <f>+E78/$D78</f>
        <v/>
      </c>
      <c r="J78" s="785">
        <f>+F78/$D78</f>
        <v/>
      </c>
      <c r="K78" s="785">
        <f>+G78/$D78</f>
        <v/>
      </c>
      <c r="L78" s="786" t="n">
        <v>69927725.392902</v>
      </c>
      <c r="M78" s="786" t="n">
        <v>51609548.606735</v>
      </c>
      <c r="N78" s="965">
        <f>O78-P78</f>
        <v/>
      </c>
      <c r="O78" s="965" t="n">
        <v>15295837.547477</v>
      </c>
      <c r="P78" s="965" t="n">
        <v>0</v>
      </c>
      <c r="Q78" s="965" t="n">
        <v>2368463.818689</v>
      </c>
      <c r="R78" s="965" t="n">
        <v>13445170.648237</v>
      </c>
      <c r="S78" s="965" t="n">
        <v>15905175.466966</v>
      </c>
      <c r="T78" s="978">
        <f>N77</f>
        <v/>
      </c>
      <c r="U78" s="787" t="n">
        <v>85223563</v>
      </c>
      <c r="V78" s="787" t="n">
        <v>81940978</v>
      </c>
      <c r="W78" s="144" t="n">
        <v>0.9615</v>
      </c>
      <c r="X78" s="965" t="n">
        <v>2368464</v>
      </c>
      <c r="Y78" s="965" t="n">
        <v>2371798</v>
      </c>
      <c r="Z78" s="965" t="n">
        <v>-685</v>
      </c>
      <c r="AA78" s="965" t="n">
        <v>-23861</v>
      </c>
      <c r="AB78" s="965">
        <f>117358+33393</f>
        <v/>
      </c>
      <c r="AD78" s="965" t="n">
        <v>-129539</v>
      </c>
      <c r="AE78" s="965">
        <f>X78-SUM(Y78:AD78)</f>
        <v/>
      </c>
      <c r="AF78" s="786" t="n">
        <v>1780370.394335</v>
      </c>
      <c r="AG78" s="786" t="n">
        <v>17534798.454723</v>
      </c>
      <c r="AH78" s="786" t="n">
        <v>15754428.060388</v>
      </c>
      <c r="AI78" s="786" t="n">
        <v>919173.464104</v>
      </c>
      <c r="AJ78" s="786">
        <f>10013.049568-1513542.715169</f>
        <v/>
      </c>
      <c r="AK78" s="786">
        <f>107300.799703-33987.993592</f>
        <v/>
      </c>
      <c r="AL78" s="786">
        <f>+AI78-AJ78-AK78+AM78-AN78</f>
        <v/>
      </c>
      <c r="AM78" s="786" t="n">
        <v>28248.237908</v>
      </c>
      <c r="AN78" s="786">
        <f>520208.967779-71618.395666</f>
        <v/>
      </c>
      <c r="AO78" s="786" t="n">
        <v>2699543.858439</v>
      </c>
      <c r="AP78" s="786">
        <f>29579.166741-25038.650185</f>
        <v/>
      </c>
      <c r="AQ78" s="965" t="n">
        <v>2704084.374995</v>
      </c>
      <c r="AR78" s="965" t="n">
        <v>2047781.248104</v>
      </c>
      <c r="AS78" s="965">
        <f>+AO78+AP78-AQ78</f>
        <v/>
      </c>
      <c r="AT78" s="965">
        <f>+AJ78+AK78+AL78-AM78+AN78-AI78</f>
        <v/>
      </c>
      <c r="AU78" s="965">
        <f>+AF78+AI78-AO78</f>
        <v/>
      </c>
      <c r="AV78" s="965">
        <f>+AF78</f>
        <v/>
      </c>
      <c r="AW78" s="965">
        <f>+AI78</f>
        <v/>
      </c>
      <c r="AX78" s="965">
        <f>+AP78</f>
        <v/>
      </c>
      <c r="AY78" s="965">
        <f>+SUM(AV78:AX78)</f>
        <v/>
      </c>
      <c r="BB78" s="785">
        <f>+BF78/(BU78+BV78+BW78)</f>
        <v/>
      </c>
      <c r="BC78" s="786" t="n">
        <v>4343488.248398</v>
      </c>
      <c r="BD78" s="786" t="n">
        <v>-1045820.858672</v>
      </c>
      <c r="BF78" s="786">
        <f>-931960.57417-1529.385733</f>
        <v/>
      </c>
      <c r="BG78" s="786">
        <f>18752.901707-790.388542</f>
        <v/>
      </c>
      <c r="BI78" s="786" t="n">
        <v>-34495.269752</v>
      </c>
      <c r="BJ78" s="786" t="n">
        <v>20819.145453</v>
      </c>
      <c r="BK78" s="786" t="n">
        <v>2368463.818689</v>
      </c>
      <c r="BL78" s="965">
        <f>+BK78-BC78-SUM(BD78:BJ78)</f>
        <v/>
      </c>
      <c r="BM78" s="786" t="n">
        <v>12079484.138017</v>
      </c>
      <c r="BN78" s="786" t="n">
        <v>-680165.6621</v>
      </c>
      <c r="BP78" s="786" t="n">
        <v>2047781.248104</v>
      </c>
      <c r="BQ78" s="786" t="n">
        <v>-1929.075784</v>
      </c>
      <c r="BS78" s="786" t="n">
        <v>13445170.648237</v>
      </c>
      <c r="BT78" s="965">
        <f>+BM78+SUM(BN78:BR78)-BS78</f>
        <v/>
      </c>
      <c r="BU78" s="965" t="n">
        <v>28209271</v>
      </c>
      <c r="BV78" s="965" t="n">
        <v>1777482</v>
      </c>
      <c r="BW78" s="965" t="n">
        <v>14073908</v>
      </c>
      <c r="BX78" s="965" t="n">
        <v>3451183</v>
      </c>
      <c r="BY78" s="965" t="n">
        <v>1612298</v>
      </c>
      <c r="BZ78" s="965" t="n">
        <v>-1558374</v>
      </c>
      <c r="CA78" s="965" t="n">
        <v>490579</v>
      </c>
      <c r="CB78" s="965" t="n">
        <v>13302818</v>
      </c>
      <c r="CC78" s="199">
        <f>+BU78/BU77</f>
        <v/>
      </c>
      <c r="CD78" s="786">
        <f>CB78+BX78-BY78+BZ78+CA78-BW78</f>
        <v/>
      </c>
      <c r="CE78" s="786" t="n">
        <v>1058610</v>
      </c>
      <c r="CF78" s="786" t="n">
        <v>1681189</v>
      </c>
      <c r="CG78" s="786" t="n">
        <v>1288901</v>
      </c>
      <c r="CH78" s="786" t="n">
        <v>10045209</v>
      </c>
      <c r="CJ78" s="786" t="n">
        <v>14073909</v>
      </c>
      <c r="CK78" s="786">
        <f>CJ78-SUM(CE78:CI78)</f>
        <v/>
      </c>
      <c r="CL78" s="786">
        <f>BW78-CJ78</f>
        <v/>
      </c>
      <c r="CN78" s="785" t="n"/>
      <c r="CQ78" s="785" t="n">
        <v>2.6446</v>
      </c>
      <c r="CR78" s="786" t="n">
        <v>24163900</v>
      </c>
      <c r="CS78" s="786" t="n">
        <v>9137100</v>
      </c>
      <c r="CU78" s="974" t="n">
        <v>2213099.295302</v>
      </c>
      <c r="CW78" s="105" t="n">
        <v>0.9024</v>
      </c>
      <c r="CX78" s="105" t="n">
        <v>0.8756</v>
      </c>
      <c r="CY78" s="105" t="n">
        <v>0.0268</v>
      </c>
      <c r="CZ78" s="785">
        <f>+CX78/CW78</f>
        <v/>
      </c>
      <c r="DB78" s="786" t="inlineStr">
        <is>
          <t>ibnr 제외</t>
        </is>
      </c>
      <c r="DC78" s="785" t="n">
        <v>0.877100034330817</v>
      </c>
      <c r="DD78" s="786" t="n">
        <v>4423763.23552</v>
      </c>
      <c r="DE78" s="786">
        <f>+DD78*DC78</f>
        <v/>
      </c>
      <c r="DG78" s="786">
        <f>+DH78+DK78</f>
        <v/>
      </c>
      <c r="DH78" s="786">
        <f>+DI78-DJ78</f>
        <v/>
      </c>
      <c r="DI78" s="786" t="n">
        <v>4819223.792616</v>
      </c>
      <c r="DJ78" s="786" t="n">
        <v>4672787.50332</v>
      </c>
      <c r="DK78" s="786">
        <f>+DL78-DM78</f>
        <v/>
      </c>
      <c r="DL78" s="786" t="n">
        <v>975827.907178</v>
      </c>
      <c r="DM78" s="786" t="n">
        <v>1041564.939559</v>
      </c>
      <c r="EP78" s="786" t="n">
        <v>702988</v>
      </c>
      <c r="EQ78" s="786" t="n">
        <v>186850</v>
      </c>
      <c r="ER78" s="786" t="n">
        <v>-46788</v>
      </c>
      <c r="ES78" s="786" t="n">
        <v>-349516</v>
      </c>
      <c r="ET78" s="786">
        <f>1005940+132421</f>
        <v/>
      </c>
      <c r="EW78" s="786" t="n">
        <v>-702988</v>
      </c>
      <c r="EX78" s="786" t="n">
        <v>-186850</v>
      </c>
      <c r="EY78" s="786" t="n">
        <v>46788</v>
      </c>
      <c r="EZ78" s="786" t="n">
        <v>349516</v>
      </c>
      <c r="FA78" s="786" t="n">
        <v>-1138361</v>
      </c>
      <c r="FB78" s="786" t="n">
        <v>73521</v>
      </c>
      <c r="FC78" s="766">
        <f>SUM(EW78:FB78)-BZ78</f>
        <v/>
      </c>
    </row>
    <row r="79">
      <c r="A79" s="642">
        <f>B79&amp;C79</f>
        <v/>
      </c>
      <c r="B79" s="642" t="n">
        <v>2503</v>
      </c>
      <c r="C79" s="642" t="inlineStr">
        <is>
          <t>삼성화재</t>
        </is>
      </c>
      <c r="D79" s="786" t="n">
        <v>86372190.309067</v>
      </c>
      <c r="E79" s="786" t="n">
        <v>12738820.165581</v>
      </c>
      <c r="F79" s="786" t="n">
        <v>38638753.217122</v>
      </c>
      <c r="G79" s="786">
        <f>1667110.329556+26863233.548232+984873.810626</f>
        <v/>
      </c>
      <c r="H79" s="786" t="n">
        <v>750161.218737</v>
      </c>
      <c r="I79" s="785">
        <f>+E79/$D79</f>
        <v/>
      </c>
      <c r="J79" s="785">
        <f>+F79/$D79</f>
        <v/>
      </c>
      <c r="K79" s="785">
        <f>+G79/$D79</f>
        <v/>
      </c>
      <c r="L79" s="786" t="n">
        <v>71349476.57741299</v>
      </c>
      <c r="M79" s="786" t="n">
        <v>51961988.308162</v>
      </c>
      <c r="N79" s="965">
        <f>O79-P79</f>
        <v/>
      </c>
      <c r="O79" s="965" t="n">
        <v>15022713.731654</v>
      </c>
      <c r="P79" s="965" t="n">
        <v>0</v>
      </c>
      <c r="Q79" s="965" t="n">
        <v>2307195.774284</v>
      </c>
      <c r="R79" s="965" t="n">
        <v>13233314.876819</v>
      </c>
      <c r="S79" s="965" t="n">
        <v>15295837.547477</v>
      </c>
      <c r="T79" s="978">
        <f>N78</f>
        <v/>
      </c>
      <c r="U79" s="787" t="n">
        <v>86372190</v>
      </c>
      <c r="V79" s="787" t="n">
        <v>82790948</v>
      </c>
      <c r="W79" s="144" t="n">
        <v>0.9585</v>
      </c>
      <c r="X79" s="965" t="n">
        <v>2307196</v>
      </c>
      <c r="Y79" s="965" t="n">
        <v>2962361</v>
      </c>
      <c r="Z79" s="965" t="n">
        <v>-623619</v>
      </c>
      <c r="AA79" s="965" t="n">
        <v>-26880</v>
      </c>
      <c r="AB79" s="965">
        <f>95622+29810</f>
        <v/>
      </c>
      <c r="AD79" s="965" t="n">
        <v>-130098</v>
      </c>
      <c r="AE79" s="965">
        <f>X79-SUM(Y79:AD79)</f>
        <v/>
      </c>
      <c r="AF79" s="786" t="n">
        <v>481593.295456</v>
      </c>
      <c r="AG79" s="786" t="n">
        <v>4809826.336022</v>
      </c>
      <c r="AH79" s="786" t="n">
        <v>4328233.040566</v>
      </c>
      <c r="AI79" s="786" t="n">
        <v>271543.41725</v>
      </c>
      <c r="AJ79" s="786">
        <f>33727.517223-380941.162101</f>
        <v/>
      </c>
      <c r="AK79" s="786">
        <f>28191.279982-6969.172543</f>
        <v/>
      </c>
      <c r="AL79" s="786">
        <f>+AI79-AJ79-AK79+AM79-AN79</f>
        <v/>
      </c>
      <c r="AM79" s="786" t="n">
        <v>7590.385282</v>
      </c>
      <c r="AN79" s="786">
        <f>129965.048171-17885.855159</f>
        <v/>
      </c>
      <c r="AO79" s="786" t="n">
        <v>753136.712706</v>
      </c>
      <c r="AP79" s="786">
        <f>6418.825572-4598.452749</f>
        <v/>
      </c>
      <c r="AQ79" s="965" t="n">
        <v>754957.085529</v>
      </c>
      <c r="AR79" s="965" t="n">
        <v>555633.843427</v>
      </c>
      <c r="AS79" s="965">
        <f>+AO79+AP79-AQ79</f>
        <v/>
      </c>
      <c r="AT79" s="965">
        <f>+AJ79+AK79+AL79-AM79+AN79-AI79</f>
        <v/>
      </c>
      <c r="AU79" s="965">
        <f>+AF79+AI79-AO79</f>
        <v/>
      </c>
      <c r="AV79" s="965">
        <f>+AF79</f>
        <v/>
      </c>
      <c r="AW79" s="965">
        <f>+AI79</f>
        <v/>
      </c>
      <c r="AX79" s="965">
        <f>+AP79</f>
        <v/>
      </c>
      <c r="AY79" s="965">
        <f>+SUM(AV79:AX79)</f>
        <v/>
      </c>
      <c r="BB79" s="785" t="n"/>
      <c r="BC79" s="786" t="n">
        <v>2368463.818689</v>
      </c>
      <c r="BD79" s="786" t="n">
        <v>590563.053944</v>
      </c>
      <c r="BF79" s="786">
        <f>-622934.408132-3018.844003</f>
        <v/>
      </c>
      <c r="BG79" s="786">
        <f>-21165.128515-570.657381</f>
        <v/>
      </c>
      <c r="BI79" s="786" t="n">
        <v>-559.169103</v>
      </c>
      <c r="BJ79" s="786" t="n">
        <v>-3582.891215</v>
      </c>
      <c r="BK79" s="786" t="n">
        <v>2307195.774284</v>
      </c>
      <c r="BL79" s="965">
        <f>+BK79-BC79-SUM(BD79:BJ79)</f>
        <v/>
      </c>
      <c r="BM79" s="786" t="n">
        <v>13445170.648237</v>
      </c>
      <c r="BN79" s="786" t="n">
        <v>-807694.2101</v>
      </c>
      <c r="BP79" s="786" t="n">
        <v>555633.843427</v>
      </c>
      <c r="BR79" s="786" t="n">
        <v>40204.595255</v>
      </c>
      <c r="BS79" s="786" t="n">
        <v>13233314.876819</v>
      </c>
      <c r="BT79" s="965">
        <f>+BM79+SUM(BN79:BR79)-BS79</f>
        <v/>
      </c>
      <c r="BU79" s="965" t="n">
        <v>28243066</v>
      </c>
      <c r="BV79" s="965" t="n">
        <v>1836765</v>
      </c>
      <c r="BW79" s="965" t="n">
        <v>14332819</v>
      </c>
      <c r="BX79" s="965" t="n">
        <v>701517</v>
      </c>
      <c r="BY79" s="965" t="n">
        <v>406021</v>
      </c>
      <c r="BZ79" s="965" t="n">
        <v>-159055</v>
      </c>
      <c r="CA79" s="965" t="n">
        <v>122470</v>
      </c>
      <c r="CB79" s="965" t="n">
        <v>14073908</v>
      </c>
      <c r="CC79" s="199" t="n"/>
      <c r="CD79" s="786">
        <f>CB79+BX79-BY79+BZ79+CA79-BW79</f>
        <v/>
      </c>
      <c r="CE79" s="786" t="n">
        <v>1067663</v>
      </c>
      <c r="CF79" s="786" t="n">
        <v>1687001</v>
      </c>
      <c r="CG79" s="786" t="n">
        <v>1290035</v>
      </c>
      <c r="CH79" s="786" t="n">
        <v>10288121</v>
      </c>
      <c r="CJ79" s="786" t="n">
        <v>14332820</v>
      </c>
      <c r="CK79" s="786">
        <f>CJ79-SUM(CE79:CI79)</f>
        <v/>
      </c>
      <c r="CL79" s="786">
        <f>BW79-CJ79</f>
        <v/>
      </c>
      <c r="CN79" s="785" t="n"/>
      <c r="CQ79" s="785" t="n">
        <v>2.6661</v>
      </c>
      <c r="CR79" s="786" t="n">
        <v>24913500</v>
      </c>
      <c r="CS79" s="786" t="n">
        <v>9344600</v>
      </c>
      <c r="CU79" s="786">
        <f>+CU78+473747.770874</f>
        <v/>
      </c>
      <c r="CW79" s="105" t="n"/>
      <c r="CX79" s="105" t="n"/>
      <c r="CY79" s="105" t="n"/>
      <c r="CZ79" s="785" t="n"/>
      <c r="DB79" s="786" t="inlineStr">
        <is>
          <t>ibnr 제외</t>
        </is>
      </c>
      <c r="DC79" s="785" t="n">
        <v>0.9362804365191866</v>
      </c>
      <c r="DD79" s="786" t="n">
        <v>1192632.035464</v>
      </c>
      <c r="DE79" s="786">
        <f>+DD79*DC79</f>
        <v/>
      </c>
      <c r="DG79" s="786">
        <f>+DH79+DK79</f>
        <v/>
      </c>
      <c r="DH79" s="786">
        <f>+DI79-DJ79</f>
        <v/>
      </c>
      <c r="DI79" s="786" t="n">
        <v>1369460.577774</v>
      </c>
      <c r="DJ79" s="786" t="n">
        <v>1392875.894992</v>
      </c>
      <c r="DK79" s="786">
        <f>+DL79-DM79</f>
        <v/>
      </c>
      <c r="DL79" s="786" t="n">
        <v>259459.569838</v>
      </c>
      <c r="DM79" s="786" t="n">
        <v>252427.316082</v>
      </c>
    </row>
    <row r="80">
      <c r="A80" s="642">
        <f>B80&amp;C80</f>
        <v/>
      </c>
      <c r="B80" s="642" t="n">
        <v>2506</v>
      </c>
      <c r="C80" s="642">
        <f>C79</f>
        <v/>
      </c>
      <c r="D80" s="786" t="n">
        <v>86078393.878755</v>
      </c>
      <c r="E80" s="786" t="n">
        <v>11969379.353569</v>
      </c>
      <c r="F80" s="786" t="n">
        <v>38563051.136619</v>
      </c>
      <c r="G80" s="786" t="n">
        <v>29628952.175302</v>
      </c>
      <c r="H80" s="786" t="n">
        <v>750161.218737</v>
      </c>
      <c r="I80" s="785">
        <f>+E80/$D80</f>
        <v/>
      </c>
      <c r="J80" s="785">
        <f>+F80/$D80</f>
        <v/>
      </c>
      <c r="K80" s="785">
        <f>+G80/$D80</f>
        <v/>
      </c>
      <c r="L80" s="786" t="n">
        <v>70054256.140402</v>
      </c>
      <c r="M80" s="786" t="n">
        <v>50968518.224509</v>
      </c>
      <c r="N80" s="965" t="n">
        <v>16024137.738353</v>
      </c>
      <c r="O80" s="965" t="n">
        <v>16024137.738353</v>
      </c>
      <c r="P80" s="965" t="n">
        <v>0</v>
      </c>
      <c r="Q80" s="965" t="n">
        <v>2920605.105803</v>
      </c>
      <c r="R80" s="965" t="n">
        <v>13353245.747587</v>
      </c>
      <c r="S80" s="965" t="n">
        <v>15295837.547477</v>
      </c>
      <c r="T80" s="978">
        <f>T79</f>
        <v/>
      </c>
      <c r="U80" s="787" t="n">
        <v>86078394</v>
      </c>
      <c r="V80" s="787" t="n">
        <v>82430331</v>
      </c>
      <c r="W80" s="144" t="n">
        <v>0.9576</v>
      </c>
      <c r="X80" s="965" t="n">
        <v>2920605</v>
      </c>
      <c r="Y80" s="965" t="n">
        <v>3222658</v>
      </c>
      <c r="Z80" s="965" t="n">
        <v>-247275</v>
      </c>
      <c r="AA80" s="965" t="n">
        <v>-17098</v>
      </c>
      <c r="AB80" s="965">
        <f>72391+22652-1802</f>
        <v/>
      </c>
      <c r="AD80" s="965" t="n">
        <v>-130921</v>
      </c>
      <c r="AE80" s="965">
        <f>X80-SUM(Y80:AD80)</f>
        <v/>
      </c>
      <c r="AF80" s="786" t="n">
        <v>935730.895605</v>
      </c>
      <c r="AG80" s="786" t="n">
        <v>9516852.03589</v>
      </c>
      <c r="AH80" s="786" t="n">
        <v>8581121.140285</v>
      </c>
      <c r="AI80" s="786" t="n">
        <v>336858.707482</v>
      </c>
      <c r="AJ80" s="786" t="n">
        <v>0</v>
      </c>
      <c r="AK80" s="786" t="n">
        <v>0</v>
      </c>
      <c r="AL80" s="786" t="n">
        <v>0</v>
      </c>
      <c r="AM80" s="786" t="n">
        <v>0</v>
      </c>
      <c r="AN80" s="786" t="n">
        <v>0</v>
      </c>
      <c r="AO80" s="786" t="n">
        <v>1272589.603087</v>
      </c>
      <c r="AP80" s="786" t="n">
        <v>4009.434176000001</v>
      </c>
      <c r="AQ80" s="965" t="n">
        <v>1276599.037263</v>
      </c>
      <c r="AR80" s="965" t="n">
        <v>953860.485802</v>
      </c>
      <c r="AS80" s="965">
        <f>+AO80+AP80-AQ80</f>
        <v/>
      </c>
      <c r="AT80" s="965">
        <f>+AJ80+AK80+AL80-AM80+AN80-AI80</f>
        <v/>
      </c>
      <c r="AU80" s="965">
        <f>+AF80+AI80-AO80</f>
        <v/>
      </c>
      <c r="AV80" s="965">
        <f>+AF80</f>
        <v/>
      </c>
      <c r="AW80" s="965">
        <f>+AI80</f>
        <v/>
      </c>
      <c r="AX80" s="965">
        <f>+AP80</f>
        <v/>
      </c>
      <c r="AY80" s="965">
        <f>+SUM(AV80:AX80)</f>
        <v/>
      </c>
      <c r="BB80" s="785" t="n"/>
      <c r="BC80" s="786" t="n">
        <v>2368463.818689</v>
      </c>
      <c r="BD80" s="786" t="n">
        <v>850860.417962</v>
      </c>
      <c r="BE80" s="786" t="n">
        <v>0</v>
      </c>
      <c r="BF80" s="786" t="n">
        <v>-239826.992312</v>
      </c>
      <c r="BG80" s="786" t="n">
        <v>-46768.580763</v>
      </c>
      <c r="BH80" s="786" t="n">
        <v>0</v>
      </c>
      <c r="BI80" s="786" t="n">
        <v>-1382.148601</v>
      </c>
      <c r="BJ80" s="786" t="n">
        <v>-10741.409172</v>
      </c>
      <c r="BK80" s="786" t="n">
        <v>2920605.105803</v>
      </c>
      <c r="BL80" s="965" t="n">
        <v>0</v>
      </c>
      <c r="BM80" s="786" t="n">
        <v>13445170.648237</v>
      </c>
      <c r="BN80" s="786" t="n">
        <v>-807694.2101</v>
      </c>
      <c r="BO80" s="786" t="n">
        <v>-268083.804412</v>
      </c>
      <c r="BP80" s="786" t="n">
        <v>953860.485802</v>
      </c>
      <c r="BQ80" s="786" t="n">
        <v>29992.62806</v>
      </c>
      <c r="BR80" s="786" t="n">
        <v>0</v>
      </c>
      <c r="BS80" s="786" t="n">
        <v>13353245.747587</v>
      </c>
      <c r="BT80" s="965">
        <f>+BM80+SUM(BN80:BR80)-BS80</f>
        <v/>
      </c>
      <c r="BU80" s="965" t="n">
        <v>27013801</v>
      </c>
      <c r="BV80" s="965" t="n">
        <v>1873492</v>
      </c>
      <c r="BW80" s="965" t="n">
        <v>14577584</v>
      </c>
      <c r="BX80" s="965" t="n">
        <v>1421250</v>
      </c>
      <c r="BY80" s="965" t="n">
        <v>812438</v>
      </c>
      <c r="BZ80" s="965" t="n">
        <v>-352985</v>
      </c>
      <c r="CA80" s="965" t="n">
        <v>247849</v>
      </c>
      <c r="CB80" s="965" t="n">
        <v>14073908</v>
      </c>
      <c r="CD80" s="786">
        <f>CB80+BX80-BY80+BZ80+CA80-BW80</f>
        <v/>
      </c>
      <c r="CE80" s="786" t="n">
        <v>1074780</v>
      </c>
      <c r="CF80" s="786" t="n">
        <v>1687276</v>
      </c>
      <c r="CG80" s="786" t="n">
        <v>1293134</v>
      </c>
      <c r="CH80" s="786" t="n">
        <v>10522394</v>
      </c>
      <c r="CJ80" s="786" t="n">
        <v>14577584</v>
      </c>
      <c r="CK80" s="786">
        <f>CJ80-SUM(CE80:CI80)</f>
        <v/>
      </c>
      <c r="CL80" s="786">
        <f>BW80-CJ80</f>
        <v/>
      </c>
      <c r="CN80" s="785" t="n"/>
      <c r="CQ80" s="785" t="n">
        <v>2.7448</v>
      </c>
      <c r="CR80" s="786" t="n">
        <v>26341200</v>
      </c>
      <c r="CS80" s="786" t="n">
        <v>9596700</v>
      </c>
      <c r="CU80" s="786" t="n">
        <v>3191994</v>
      </c>
      <c r="CW80" s="105" t="n"/>
      <c r="CX80" s="105" t="n"/>
      <c r="CY80" s="105" t="n"/>
      <c r="CZ80" s="785" t="n"/>
      <c r="DC80" s="785" t="n">
        <v>0.915364176410762</v>
      </c>
      <c r="DD80" s="786" t="n">
        <v>2426709.378889</v>
      </c>
      <c r="DE80" s="786">
        <f>+DD80*DC80</f>
        <v/>
      </c>
      <c r="DG80" s="786">
        <f>+DH80+DK80</f>
        <v/>
      </c>
      <c r="DH80" s="786" t="n">
        <v>4073.482783000003</v>
      </c>
      <c r="DI80" s="786" t="n">
        <v>2773787.564993</v>
      </c>
      <c r="DJ80" s="786" t="n">
        <v>2769714.08221</v>
      </c>
      <c r="DK80" s="786" t="n">
        <v>-1412.523696</v>
      </c>
      <c r="DL80" s="786" t="n">
        <v>510681.033018</v>
      </c>
      <c r="DM80" s="786" t="n">
        <v>512093.556714</v>
      </c>
    </row>
    <row r="81">
      <c r="A81" s="642">
        <f>B81&amp;C81</f>
        <v/>
      </c>
      <c r="B81" s="642" t="n">
        <v>2509</v>
      </c>
      <c r="C81" s="642" t="inlineStr">
        <is>
          <t>삼성화재</t>
        </is>
      </c>
      <c r="D81" s="786" t="n">
        <v>88148171.915125</v>
      </c>
      <c r="E81" s="786" t="n">
        <v>12434155.336139</v>
      </c>
      <c r="F81" s="786" t="n">
        <v>41218580.52838</v>
      </c>
      <c r="G81" s="786">
        <f>1667856.30376+26500437.297167+888852.87871</f>
        <v/>
      </c>
      <c r="H81" s="786" t="n">
        <v>750158.488138</v>
      </c>
      <c r="I81" s="785">
        <f>+E81/$D81</f>
        <v/>
      </c>
      <c r="J81" s="785">
        <f>+F81/$D81</f>
        <v/>
      </c>
      <c r="K81" s="785">
        <f>+G81/$D81</f>
        <v/>
      </c>
      <c r="L81" s="786" t="n">
        <v>70041296.881247</v>
      </c>
      <c r="M81" s="786" t="n">
        <v>50107799.429932</v>
      </c>
      <c r="N81" s="965">
        <f>+O81-P81</f>
        <v/>
      </c>
      <c r="O81" s="965" t="n">
        <v>18106875.033878</v>
      </c>
      <c r="P81" s="965" t="n">
        <v>0</v>
      </c>
      <c r="Q81" s="965" t="n">
        <v>4494421.411275</v>
      </c>
      <c r="R81" s="965" t="n">
        <v>13862166.73764</v>
      </c>
      <c r="S81" s="965" t="n">
        <v>15295837.547477</v>
      </c>
      <c r="T81" s="978">
        <f>T80</f>
        <v/>
      </c>
      <c r="U81" s="787" t="n">
        <v>88148172</v>
      </c>
      <c r="V81" s="787" t="n">
        <v>84705710</v>
      </c>
      <c r="W81" s="144" t="n">
        <v>0.9609</v>
      </c>
      <c r="X81" s="965" t="n">
        <v>4494421</v>
      </c>
      <c r="Y81" s="965" t="n">
        <v>4683280</v>
      </c>
      <c r="Z81" s="965" t="n">
        <v>-86565</v>
      </c>
      <c r="AA81" s="965" t="n">
        <v>-14812</v>
      </c>
      <c r="AB81" s="965">
        <f>22937+23631+-2604</f>
        <v/>
      </c>
      <c r="AD81" s="965" t="n">
        <v>-131446</v>
      </c>
      <c r="AE81" s="965">
        <f>X81-SUM(Y81:AD81)</f>
        <v/>
      </c>
      <c r="AF81" s="786" t="n">
        <v>1286276.644737</v>
      </c>
      <c r="AG81" s="786" t="n">
        <v>14280562.834864</v>
      </c>
      <c r="AH81" s="786" t="n">
        <v>12994286.190127</v>
      </c>
      <c r="AI81" s="786" t="n">
        <v>650889.540267</v>
      </c>
      <c r="AJ81" s="786">
        <f>140600.087587-1119381.041328</f>
        <v/>
      </c>
      <c r="AK81" s="786">
        <f>73781.996569-51057.296652</f>
        <v/>
      </c>
      <c r="AL81" s="786">
        <f>+AI81-AJ81-AK81+AM81-AN81</f>
        <v/>
      </c>
      <c r="AM81" s="786" t="n">
        <v>22107.717014</v>
      </c>
      <c r="AN81" s="786">
        <f>794253.445204-55625.02635</f>
        <v/>
      </c>
      <c r="AO81" s="786" t="n">
        <v>1937166.185004</v>
      </c>
      <c r="AP81" s="786">
        <f>16833.073767-7961.638771</f>
        <v/>
      </c>
      <c r="AQ81" s="965" t="n">
        <v>1946037.62</v>
      </c>
      <c r="AR81" s="965" t="n">
        <v>1463183.521807</v>
      </c>
      <c r="AS81" s="965">
        <f>+AO81+AP81-AQ81</f>
        <v/>
      </c>
      <c r="AT81" s="965">
        <f>+AJ81+AK81+AL81-AM81+AN81-AI81</f>
        <v/>
      </c>
      <c r="AU81" s="965">
        <f>+AF81+AI81-AO81</f>
        <v/>
      </c>
      <c r="AV81" s="965">
        <f>+AF81</f>
        <v/>
      </c>
      <c r="AW81" s="965">
        <f>+AI81</f>
        <v/>
      </c>
      <c r="AX81" s="965">
        <f>+AP81</f>
        <v/>
      </c>
      <c r="AY81" s="965">
        <f>+SUM(AV81:AX81)</f>
        <v/>
      </c>
      <c r="BB81" s="785" t="n"/>
      <c r="BC81" s="786" t="n">
        <v>2368463.818689</v>
      </c>
      <c r="BD81" s="786" t="n">
        <v>2311482.116125</v>
      </c>
      <c r="BF81" s="786">
        <f>+-85879.903394+9049.194389</f>
        <v/>
      </c>
      <c r="BG81" s="786">
        <f>+-95665.831229+-1358.829303</f>
        <v/>
      </c>
      <c r="BI81" s="786" t="n">
        <v>-1906.781885</v>
      </c>
      <c r="BJ81" s="786" t="n">
        <v>-9762.372117000001</v>
      </c>
      <c r="BK81" s="786" t="n">
        <v>4494421.411275</v>
      </c>
      <c r="BL81" s="965">
        <f>+BK81-BC81-SUM(BD81:BJ81)</f>
        <v/>
      </c>
      <c r="BM81" s="786" t="n">
        <v>13445170.648237</v>
      </c>
      <c r="BN81" s="786" t="n">
        <v>-807694.2101</v>
      </c>
      <c r="BO81" s="786" t="n">
        <v>-268083.804412</v>
      </c>
      <c r="BP81" s="786" t="n">
        <v>1463183.521807</v>
      </c>
      <c r="BQ81" s="786" t="n">
        <v>29590.582108</v>
      </c>
      <c r="BS81" s="786" t="n">
        <v>13862166.73764</v>
      </c>
      <c r="BT81" s="965">
        <f>+BM81+SUM(BN81:BR81)-BS81</f>
        <v/>
      </c>
      <c r="BU81" s="965" t="n">
        <v>25810316</v>
      </c>
      <c r="BV81" s="965" t="n">
        <v>1892676</v>
      </c>
      <c r="BW81" s="965" t="n">
        <v>15007679</v>
      </c>
      <c r="BX81" s="965" t="n">
        <v>2188166</v>
      </c>
      <c r="BY81" s="965" t="n">
        <v>1228632</v>
      </c>
      <c r="BZ81" s="965" t="n">
        <v>-399524</v>
      </c>
      <c r="CA81" s="965" t="n">
        <v>373760</v>
      </c>
      <c r="CB81" s="965" t="n">
        <v>14073909</v>
      </c>
      <c r="CD81" s="786">
        <f>CB81+BX81-BY81+BZ81+CA81-BW81</f>
        <v/>
      </c>
      <c r="CE81" s="786" t="n">
        <v>1095965</v>
      </c>
      <c r="CF81" s="786" t="n">
        <v>1708224</v>
      </c>
      <c r="CG81" s="786" t="n">
        <v>1312222</v>
      </c>
      <c r="CH81" s="786" t="n">
        <v>10891268</v>
      </c>
      <c r="CJ81" s="786" t="n">
        <v>15007679</v>
      </c>
      <c r="CK81" s="786">
        <f>CJ81-SUM(CE81:CI81)</f>
        <v/>
      </c>
      <c r="CL81" s="786">
        <f>BW81-CJ81</f>
        <v/>
      </c>
      <c r="CN81" s="785" t="n"/>
      <c r="CQ81" s="785" t="n">
        <v>2.7592</v>
      </c>
      <c r="CR81" s="786" t="n">
        <v>28650200</v>
      </c>
      <c r="CS81" s="786" t="n">
        <v>10383300</v>
      </c>
      <c r="CU81" s="786">
        <f>+CU78+1455141.301178</f>
        <v/>
      </c>
      <c r="CW81" s="105" t="n"/>
      <c r="CX81" s="105" t="n"/>
      <c r="CY81" s="105" t="n"/>
      <c r="CZ81" s="785" t="n"/>
      <c r="DC81" s="785">
        <f>+'[11]Profit &amp; Loss Breakdown'!$N$38/100</f>
        <v/>
      </c>
      <c r="DD81" s="786">
        <f>'[11]Profit &amp; Loss Breakdown'!$N$35*100</f>
        <v/>
      </c>
      <c r="DE81" s="786">
        <f>+DD81*DC81</f>
        <v/>
      </c>
      <c r="DG81" s="786">
        <f>+DH81+DK81</f>
        <v/>
      </c>
      <c r="DH81" s="786">
        <f>+DI81-DJ81</f>
        <v/>
      </c>
      <c r="DI81" s="786" t="n">
        <v>4194289.873063</v>
      </c>
      <c r="DJ81" s="786" t="n">
        <v>4241739.284264999</v>
      </c>
      <c r="DK81" s="786">
        <f>+DL81-DM81</f>
        <v/>
      </c>
      <c r="DL81" s="786" t="n">
        <v>762866.3918229999</v>
      </c>
      <c r="DM81" s="786" t="n">
        <v>757661.6844660001</v>
      </c>
    </row>
    <row r="82">
      <c r="A82" s="642">
        <f>B82&amp;C82</f>
        <v/>
      </c>
      <c r="B82" s="642" t="n">
        <v>2512</v>
      </c>
      <c r="C82" s="642" t="inlineStr">
        <is>
          <t>삼성화재</t>
        </is>
      </c>
      <c r="D82" s="786" t="n">
        <v>93809044.479173</v>
      </c>
      <c r="E82" s="786" t="n">
        <v>12705776.538884</v>
      </c>
      <c r="F82" s="786" t="n">
        <v>43430681.364228</v>
      </c>
      <c r="G82" s="786">
        <f>1668466.766686+27421114.215978+996161.682235</f>
        <v/>
      </c>
      <c r="H82" s="786" t="n">
        <v>1613522.000876</v>
      </c>
      <c r="I82" s="785">
        <f>+E82/$D82</f>
        <v/>
      </c>
      <c r="J82" s="785">
        <f>+F82/$D82</f>
        <v/>
      </c>
      <c r="K82" s="785">
        <f>+G82/$D82</f>
        <v/>
      </c>
      <c r="L82" s="786" t="n">
        <v>73181267.24112999</v>
      </c>
      <c r="M82" s="786" t="n">
        <v>48734812.310826</v>
      </c>
      <c r="N82" s="965">
        <f>+O82-P82</f>
        <v/>
      </c>
      <c r="O82" s="965" t="n">
        <v>20627777.238043</v>
      </c>
      <c r="Q82" s="965" t="n">
        <v>6787628.922989</v>
      </c>
      <c r="R82" s="965" t="n">
        <v>14089861.430091</v>
      </c>
      <c r="S82" s="965" t="n">
        <v>15295837.547477</v>
      </c>
      <c r="T82" s="978">
        <f>+N78</f>
        <v/>
      </c>
      <c r="U82" s="975" t="n">
        <v>93809044</v>
      </c>
      <c r="V82" s="975" t="n">
        <v>90152163</v>
      </c>
      <c r="W82" s="139" t="n">
        <v>0.961</v>
      </c>
      <c r="X82" s="965" t="n">
        <v>6787628.922989</v>
      </c>
      <c r="Y82" s="965" t="n">
        <v>6316661</v>
      </c>
      <c r="Z82" s="965" t="n">
        <v>697232</v>
      </c>
      <c r="AA82" s="965" t="n">
        <v>-7749</v>
      </c>
      <c r="AB82" s="965">
        <f>+-99048+29380+-3205</f>
        <v/>
      </c>
      <c r="AD82" s="965" t="n">
        <v>-145642</v>
      </c>
      <c r="AE82" s="965">
        <f>X82-SUM(Y82:AD82)</f>
        <v/>
      </c>
      <c r="AF82" s="786" t="n">
        <v>1446696.251285</v>
      </c>
      <c r="AG82" s="786" t="n">
        <v>19136809.62963</v>
      </c>
      <c r="AH82" s="786" t="n">
        <v>17690113.378345</v>
      </c>
      <c r="AI82" s="786" t="n">
        <v>883986.4457630001</v>
      </c>
      <c r="AJ82" s="786">
        <f>177911.559602-1482494.903786</f>
        <v/>
      </c>
      <c r="AK82" s="786">
        <f>115937.905157-65905.269856</f>
        <v/>
      </c>
      <c r="AL82" s="786">
        <f>+AI82-AJ82-AK82+AM82-AN82</f>
        <v/>
      </c>
      <c r="AM82" s="786" t="n">
        <v>28410.555037</v>
      </c>
      <c r="AN82" s="786">
        <f>901429.391097-74435.589926</f>
        <v/>
      </c>
      <c r="AO82" s="786" t="n">
        <v>2330682.697048</v>
      </c>
      <c r="AP82" s="786">
        <f>26461.571931-23664.86366</f>
        <v/>
      </c>
      <c r="AQ82" s="965" t="n">
        <v>2333479.405319</v>
      </c>
      <c r="AR82" s="965" t="n">
        <v>1690878.214258</v>
      </c>
      <c r="AS82" s="965">
        <f>+AO82+AP82-AQ82</f>
        <v/>
      </c>
      <c r="AT82" s="965">
        <f>+AJ82+AK82+AL82-AM82+AN82-AI82</f>
        <v/>
      </c>
      <c r="AU82" s="965">
        <f>+AF82+AI82-AO82</f>
        <v/>
      </c>
      <c r="AV82" s="965">
        <f>+AF82</f>
        <v/>
      </c>
      <c r="AW82" s="965">
        <f>+AI82</f>
        <v/>
      </c>
      <c r="AX82" s="965">
        <f>+AP82</f>
        <v/>
      </c>
      <c r="AY82" s="965">
        <f>+SUM(AV82:AX82)</f>
        <v/>
      </c>
      <c r="BB82" s="785" t="n"/>
      <c r="BC82" s="786" t="n">
        <v>2368463.818689</v>
      </c>
      <c r="BD82" s="786" t="n">
        <v>3944863.708896</v>
      </c>
      <c r="BF82" s="786">
        <f>697916.874077+16111.501598</f>
        <v/>
      </c>
      <c r="BG82" s="786">
        <f>+-217651.358093+-1960.223683</f>
        <v/>
      </c>
      <c r="BI82" s="786" t="n">
        <v>-16102.228811</v>
      </c>
      <c r="BJ82" s="786" t="n">
        <v>-4013.169684</v>
      </c>
      <c r="BK82" s="786" t="n">
        <v>6787628.922989</v>
      </c>
      <c r="BL82" s="965">
        <f>+BK82-BC82-SUM(BD82:BJ82)</f>
        <v/>
      </c>
      <c r="BM82" s="786" t="n">
        <v>13445170.648237</v>
      </c>
      <c r="BN82" s="786" t="n">
        <v>-807694.2101</v>
      </c>
      <c r="BO82" s="786" t="n">
        <v>-268083.804412</v>
      </c>
      <c r="BP82" s="786" t="n">
        <v>1690878.214258</v>
      </c>
      <c r="BQ82" s="786" t="n">
        <v>29590.582108</v>
      </c>
      <c r="BS82" s="786" t="n">
        <v>14089861.430091</v>
      </c>
      <c r="BT82" s="965">
        <f>+BM82+SUM(BN82:BR82)-BS82</f>
        <v/>
      </c>
      <c r="BU82" s="965">
        <f>18995942+6051537</f>
        <v/>
      </c>
      <c r="BV82" s="965">
        <f>11680+1884011</f>
        <v/>
      </c>
      <c r="BW82" s="965">
        <f>525226+13642438</f>
        <v/>
      </c>
      <c r="BX82" s="965" t="n">
        <v>2898367</v>
      </c>
      <c r="BY82" s="965">
        <f>51994+1568787</f>
        <v/>
      </c>
      <c r="BZ82" s="965">
        <f>-118775-1567342</f>
        <v/>
      </c>
      <c r="CA82" s="965">
        <f>18718+483569</f>
        <v/>
      </c>
      <c r="CB82" s="965">
        <f>+CB81</f>
        <v/>
      </c>
      <c r="CD82" s="786">
        <f>CB82+BX82-BY82+BZ82+CA82-BW82</f>
        <v/>
      </c>
      <c r="CE82" s="786" t="n">
        <v>1047949</v>
      </c>
      <c r="CF82" s="786" t="n">
        <v>1619374</v>
      </c>
      <c r="CG82" s="786" t="n">
        <v>1238141</v>
      </c>
      <c r="CH82" s="786" t="n">
        <v>10262200</v>
      </c>
      <c r="CJ82" s="786" t="n">
        <v>14167664</v>
      </c>
      <c r="CK82" s="786">
        <f>CJ82-SUM(CE82:CI82)</f>
        <v/>
      </c>
      <c r="CL82" s="786">
        <f>BW82-CJ82</f>
        <v/>
      </c>
      <c r="CN82" s="785" t="n">
        <v>2.6287</v>
      </c>
      <c r="CO82" s="786" t="n">
        <v>29300000</v>
      </c>
      <c r="CP82" s="786" t="n">
        <v>11146300</v>
      </c>
      <c r="CQ82" s="785" t="n">
        <v>2.6287</v>
      </c>
      <c r="CR82" s="786" t="n">
        <v>29300000</v>
      </c>
      <c r="CS82" s="786" t="n">
        <v>11146300</v>
      </c>
      <c r="CU82" s="786">
        <f>+CU78+1916970.674228</f>
        <v/>
      </c>
      <c r="CW82" s="105" t="n">
        <v>0.9518</v>
      </c>
      <c r="CX82" s="105" t="n">
        <v>0.97546</v>
      </c>
      <c r="CY82" s="105" t="n">
        <v>-0.0237</v>
      </c>
      <c r="CZ82" s="785">
        <f>+CX82/CW82</f>
        <v/>
      </c>
      <c r="DC82" s="785">
        <f>'[12]Profit &amp; Loss Breakdown'!$N$38/100</f>
        <v/>
      </c>
      <c r="DD82" s="786">
        <f>'[12]Profit &amp; Loss Breakdown'!$N$35*100</f>
        <v/>
      </c>
      <c r="DE82" s="786">
        <f>+DD82*DC82</f>
        <v/>
      </c>
      <c r="DG82" s="786">
        <f>(+DH82+DK82)</f>
        <v/>
      </c>
      <c r="DH82" s="786" t="n">
        <v>-124729.289688</v>
      </c>
      <c r="DI82" s="786" t="n">
        <v>5638005.853658</v>
      </c>
      <c r="DJ82" s="786" t="n">
        <v>5762735.143346</v>
      </c>
      <c r="DK82" s="786" t="n">
        <v>-44366.656776</v>
      </c>
      <c r="DL82" s="786" t="n">
        <v>982610.319652</v>
      </c>
      <c r="DM82" s="786" t="n">
        <v>1026976.976428</v>
      </c>
      <c r="EP82" s="974" t="n">
        <v>467437</v>
      </c>
      <c r="EQ82" s="974" t="n">
        <v>1214514</v>
      </c>
      <c r="ER82" s="974" t="n">
        <v>-623691</v>
      </c>
      <c r="ES82" s="974" t="n">
        <v>-111475</v>
      </c>
      <c r="ET82" s="974">
        <f>696352-17524</f>
        <v/>
      </c>
      <c r="EU82" s="974" t="n">
        <v>1643136</v>
      </c>
      <c r="EV82" s="974" t="n"/>
      <c r="EW82" s="974" t="n">
        <v>-467437</v>
      </c>
      <c r="EX82" s="974" t="n">
        <v>-1214514</v>
      </c>
      <c r="EY82" s="974" t="n">
        <v>623691</v>
      </c>
      <c r="EZ82" s="974" t="n">
        <v>111475</v>
      </c>
      <c r="FA82" s="974" t="n">
        <v>-678828</v>
      </c>
      <c r="FB82" s="974" t="n">
        <v>-60506</v>
      </c>
      <c r="FC82" s="766">
        <f>SUM(EW82:FB82)-BZ82</f>
        <v/>
      </c>
    </row>
    <row r="83" ht="16.5" customHeight="1" s="760">
      <c r="A83" s="696">
        <f>B83&amp;C83</f>
        <v/>
      </c>
      <c r="B83" s="696" t="n">
        <v>2603</v>
      </c>
      <c r="C83" s="696" t="inlineStr">
        <is>
          <t>삼성화재</t>
        </is>
      </c>
      <c r="D83" s="786" t="n">
        <v>97882334.56</v>
      </c>
      <c r="E83" s="786" t="n">
        <v>12293135.43</v>
      </c>
      <c r="F83" s="786" t="n">
        <v>48610126.18</v>
      </c>
      <c r="G83" s="786" t="n">
        <v>30208694.64</v>
      </c>
      <c r="H83" s="786" t="n">
        <v>1613589.43</v>
      </c>
      <c r="I83" s="785">
        <f>E83/D83</f>
        <v/>
      </c>
      <c r="J83" s="785">
        <f>F83/D83</f>
        <v/>
      </c>
      <c r="K83" s="785">
        <f>G83/D83</f>
        <v/>
      </c>
      <c r="L83" s="786" t="n">
        <v>74480197.56999999</v>
      </c>
      <c r="M83" s="786" t="n">
        <v>46834967.97</v>
      </c>
      <c r="N83" s="965">
        <f>O83-P83</f>
        <v/>
      </c>
      <c r="O83" s="965" t="n">
        <v>23402136.99</v>
      </c>
      <c r="Q83" s="965" t="n">
        <v>9664009.91</v>
      </c>
      <c r="R83" s="965" t="n">
        <v>13719756.4</v>
      </c>
      <c r="S83" s="965" t="n">
        <v>20627777.24</v>
      </c>
      <c r="T83" s="978" t="n">
        <v>20627777.24</v>
      </c>
      <c r="U83" s="975" t="n">
        <v>97882334.56</v>
      </c>
      <c r="V83" s="975" t="n">
        <v>93974400.98</v>
      </c>
      <c r="W83" s="139" t="n"/>
      <c r="X83" s="965">
        <f>Q83</f>
        <v/>
      </c>
      <c r="Y83" s="965" t="n">
        <v>8478846</v>
      </c>
      <c r="Z83" s="965" t="n">
        <v>1483666.69</v>
      </c>
      <c r="AA83" s="965" t="n">
        <v>1421.14</v>
      </c>
      <c r="AB83" s="965" t="n">
        <v>-152399</v>
      </c>
      <c r="AC83" s="965" t="n">
        <v>123816</v>
      </c>
      <c r="AD83" s="965" t="n">
        <v>-147524.63</v>
      </c>
      <c r="AF83" s="786" t="n">
        <v>514384.37</v>
      </c>
      <c r="AG83" s="786" t="n">
        <v>4743313.51</v>
      </c>
      <c r="AH83" s="786" t="n">
        <v>4228929.13</v>
      </c>
      <c r="AI83" s="786" t="n">
        <v>323418.15</v>
      </c>
      <c r="AJ83" s="786" t="n">
        <v>-386598.93</v>
      </c>
      <c r="AK83" s="786" t="n">
        <v>38275.13</v>
      </c>
      <c r="AL83" s="786">
        <f>AI83-AJ83-AK83+AM83-AN83</f>
        <v/>
      </c>
      <c r="AM83" s="786" t="n">
        <v>8459.450000000001</v>
      </c>
      <c r="AN83" s="786" t="n">
        <v>126803.7</v>
      </c>
      <c r="AO83" s="786" t="n">
        <v>837802.53</v>
      </c>
      <c r="AP83" s="786" t="n">
        <v>-62629.81</v>
      </c>
      <c r="AQ83" s="965" t="n">
        <v>775172.72</v>
      </c>
      <c r="AR83" s="965" t="n">
        <v>573350.3199999999</v>
      </c>
      <c r="AS83" s="965" t="n"/>
      <c r="AT83" s="965" t="n"/>
      <c r="AU83" s="965" t="n"/>
      <c r="AV83" s="965">
        <f>AF83</f>
        <v/>
      </c>
      <c r="AW83" s="965">
        <f>AI83</f>
        <v/>
      </c>
      <c r="AX83" s="965">
        <f>AP83</f>
        <v/>
      </c>
      <c r="AY83" s="965">
        <f>AV83+AW83+AX83</f>
        <v/>
      </c>
      <c r="BB83" s="785" t="n"/>
      <c r="BC83" s="786" t="n">
        <v>6787628.92</v>
      </c>
      <c r="BD83" s="786" t="n">
        <v>2162184.56</v>
      </c>
      <c r="BF83" s="786" t="n">
        <v>795605.03</v>
      </c>
      <c r="BG83" s="786" t="n">
        <v>-78080.48</v>
      </c>
      <c r="BI83" s="786" t="n">
        <v>-1883.09</v>
      </c>
      <c r="BJ83" s="786" t="n">
        <v>-1445.03</v>
      </c>
      <c r="BK83" s="786">
        <f>Q83</f>
        <v/>
      </c>
      <c r="BL83" s="965" t="n"/>
      <c r="BM83" s="786" t="n">
        <v>14089861.43</v>
      </c>
      <c r="BO83" s="786" t="n">
        <v>-268083.8</v>
      </c>
      <c r="BP83" s="786">
        <f>AR83</f>
        <v/>
      </c>
      <c r="BQ83" s="786" t="n">
        <v>153577.42</v>
      </c>
      <c r="BS83" s="786">
        <f>R83</f>
        <v/>
      </c>
      <c r="BT83" s="965" t="n"/>
      <c r="BU83" s="965" t="n">
        <v>23158762</v>
      </c>
      <c r="BV83" s="965" t="n">
        <v>1711078</v>
      </c>
      <c r="BW83" s="965" t="n">
        <v>14469167</v>
      </c>
      <c r="BX83" s="965" t="n">
        <v>626732</v>
      </c>
      <c r="BY83" s="965" t="n">
        <v>399837</v>
      </c>
      <c r="BZ83" s="965" t="n">
        <v>-44254</v>
      </c>
      <c r="CA83" s="965" t="n">
        <v>118861</v>
      </c>
      <c r="CB83" s="696" t="n">
        <v>14167664</v>
      </c>
      <c r="CJ83" s="786">
        <f>BW83</f>
        <v/>
      </c>
      <c r="CN83" s="785" t="n"/>
      <c r="CQ83" s="785" t="n">
        <v>2.7</v>
      </c>
      <c r="CR83" s="786" t="n">
        <v>32948892.29</v>
      </c>
      <c r="CS83" s="786" t="n">
        <v>12197625.68</v>
      </c>
      <c r="CU83" s="786" t="n">
        <v>4665104.49</v>
      </c>
      <c r="CW83" s="105" t="n"/>
      <c r="CX83" s="105" t="n"/>
      <c r="CY83" s="105" t="n"/>
      <c r="CZ83" s="785" t="n"/>
      <c r="EP83" s="974" t="n"/>
      <c r="EQ83" s="974" t="n"/>
      <c r="ER83" s="974" t="n"/>
      <c r="ES83" s="974" t="n"/>
      <c r="ET83" s="974" t="n"/>
      <c r="EU83" s="974" t="n"/>
      <c r="EV83" s="974" t="n"/>
      <c r="EW83" s="974" t="n"/>
      <c r="EX83" s="974" t="n"/>
      <c r="EY83" s="974" t="n"/>
      <c r="EZ83" s="974" t="n"/>
      <c r="FA83" s="974" t="n"/>
      <c r="FB83" s="974" t="n"/>
      <c r="FC83" s="766" t="n"/>
    </row>
    <row r="84" ht="16.5" customHeight="1" s="760">
      <c r="A84" s="696">
        <f>B84&amp;C84</f>
        <v/>
      </c>
      <c r="B84" s="696" t="n">
        <v>2606</v>
      </c>
      <c r="C84" s="696" t="inlineStr">
        <is>
          <t>삼성화재</t>
        </is>
      </c>
      <c r="D84" s="786" t="n">
        <v>112443601.33</v>
      </c>
      <c r="E84" s="786" t="n">
        <v>12570905.72</v>
      </c>
      <c r="F84" s="786" t="n">
        <v>63187989.25</v>
      </c>
      <c r="G84" s="786" t="n">
        <v>29646684.82</v>
      </c>
      <c r="H84" s="786" t="n">
        <v>1632522.5</v>
      </c>
      <c r="I84" s="785">
        <f>E84/D84</f>
        <v/>
      </c>
      <c r="J84" s="785">
        <f>F84/D84</f>
        <v/>
      </c>
      <c r="K84" s="785">
        <f>G84/D84</f>
        <v/>
      </c>
      <c r="L84" s="786" t="n">
        <v>77098067.16</v>
      </c>
      <c r="M84" s="786" t="n">
        <v>44938844.08</v>
      </c>
      <c r="N84" s="965">
        <f>O84-P84</f>
        <v/>
      </c>
      <c r="O84" s="965" t="n">
        <v>35345534.16</v>
      </c>
      <c r="Q84" s="965" t="n">
        <v>20923501.58</v>
      </c>
      <c r="R84" s="965" t="n">
        <v>14403661.89</v>
      </c>
      <c r="S84" s="965" t="n">
        <v>20627777.24</v>
      </c>
      <c r="T84" s="978" t="n">
        <v>20627777.24</v>
      </c>
      <c r="U84" s="975" t="n">
        <v>112443601.33</v>
      </c>
      <c r="V84" s="975" t="n"/>
      <c r="W84" s="139" t="n"/>
      <c r="X84" s="965">
        <f>Q84</f>
        <v/>
      </c>
      <c r="Y84" s="965" t="n">
        <v>18869605</v>
      </c>
      <c r="Z84" s="965" t="n">
        <v>2375430</v>
      </c>
      <c r="AA84" s="965" t="n">
        <v>23905</v>
      </c>
      <c r="AB84" s="965" t="n">
        <v>-198362</v>
      </c>
      <c r="AC84" s="965" t="n">
        <v>123816</v>
      </c>
      <c r="AD84" s="965" t="n">
        <v>-147076</v>
      </c>
      <c r="AF84" s="786" t="n">
        <v>1040273.5</v>
      </c>
      <c r="AG84" s="786" t="n">
        <v>9679929.060000001</v>
      </c>
      <c r="AH84" s="786" t="n">
        <v>8639655.560000001</v>
      </c>
      <c r="AI84" s="786" t="n">
        <v>719730.65</v>
      </c>
      <c r="AJ84" s="786" t="n">
        <v>0</v>
      </c>
      <c r="AK84" s="786" t="n">
        <v>0</v>
      </c>
      <c r="AL84" s="786">
        <f>AI84-AJ84-AK84+AM84-AN84</f>
        <v/>
      </c>
      <c r="AM84" s="786" t="n">
        <v>0</v>
      </c>
      <c r="AN84" s="786" t="n">
        <v>0</v>
      </c>
      <c r="AO84" s="786" t="n">
        <v>1760004.14</v>
      </c>
      <c r="AP84" s="786" t="n">
        <v>-70106.82000000001</v>
      </c>
      <c r="AQ84" s="965" t="n">
        <v>1689897.32</v>
      </c>
      <c r="AR84" s="965" t="n">
        <v>1253442.33</v>
      </c>
      <c r="AS84" s="965" t="n"/>
      <c r="AT84" s="965" t="n"/>
      <c r="AU84" s="965" t="n"/>
      <c r="AV84" s="965">
        <f>AF84</f>
        <v/>
      </c>
      <c r="AW84" s="965">
        <f>AI84</f>
        <v/>
      </c>
      <c r="AX84" s="965">
        <f>AP84</f>
        <v/>
      </c>
      <c r="AY84" s="965">
        <f>AV84+AW84+AX84</f>
        <v/>
      </c>
      <c r="BB84" s="785" t="n"/>
      <c r="BC84" s="786" t="n">
        <v>6787628.92</v>
      </c>
      <c r="BD84" s="786" t="n">
        <v>12552943.71</v>
      </c>
      <c r="BF84" s="786" t="n">
        <v>1709852.25</v>
      </c>
      <c r="BG84" s="786" t="n">
        <v>-134476.97</v>
      </c>
      <c r="BI84" s="786" t="n">
        <v>-1434.66</v>
      </c>
      <c r="BJ84" s="786" t="n">
        <v>8988.32</v>
      </c>
      <c r="BK84" s="786">
        <f>Q84</f>
        <v/>
      </c>
      <c r="BL84" s="965" t="n"/>
      <c r="BM84" s="786" t="n">
        <v>14089861.43</v>
      </c>
      <c r="BN84" s="786" t="n">
        <v>-828929.52</v>
      </c>
      <c r="BO84" s="786" t="n">
        <v>-268083.8</v>
      </c>
      <c r="BP84" s="786">
        <f>AR84</f>
        <v/>
      </c>
      <c r="BQ84" s="786" t="n">
        <v>157390.91</v>
      </c>
      <c r="BS84" s="786">
        <f>R84</f>
        <v/>
      </c>
      <c r="BT84" s="965" t="n"/>
      <c r="BU84" s="965" t="n">
        <v>21050936</v>
      </c>
      <c r="BV84" s="965" t="n">
        <v>1759433</v>
      </c>
      <c r="BW84" s="965" t="n">
        <v>14594726</v>
      </c>
      <c r="BX84" s="965" t="n">
        <v>1242349</v>
      </c>
      <c r="BY84" s="965" t="n">
        <v>802950</v>
      </c>
      <c r="BZ84" s="965" t="n">
        <v>-251932</v>
      </c>
      <c r="CA84" s="965" t="n">
        <v>239595</v>
      </c>
      <c r="CB84" t="n">
        <v>14167664</v>
      </c>
      <c r="CJ84" s="786">
        <f>BW84</f>
        <v/>
      </c>
      <c r="CN84" s="785" t="n"/>
      <c r="CQ84" s="785" t="n"/>
      <c r="CU84" s="786" t="n">
        <v>5217032.76</v>
      </c>
      <c r="CW84" s="105" t="n"/>
      <c r="CX84" s="105" t="n"/>
      <c r="CY84" s="105" t="n"/>
      <c r="CZ84" s="785" t="n"/>
      <c r="EP84" s="974" t="n"/>
      <c r="EQ84" s="974" t="n"/>
      <c r="ER84" s="974" t="n"/>
      <c r="ES84" s="974" t="n"/>
      <c r="ET84" s="974" t="n"/>
      <c r="EU84" s="974" t="n"/>
      <c r="EV84" s="974" t="n"/>
      <c r="EW84" s="974" t="n"/>
      <c r="EX84" s="974" t="n"/>
      <c r="EY84" s="974" t="n"/>
      <c r="EZ84" s="974" t="n"/>
      <c r="FA84" s="974" t="n"/>
      <c r="FB84" s="974" t="n"/>
      <c r="FC84" s="766" t="n"/>
    </row>
    <row r="85">
      <c r="A85" s="642">
        <f>B85&amp;C85</f>
        <v/>
      </c>
      <c r="I85" s="785" t="n"/>
      <c r="J85" s="785" t="n"/>
      <c r="K85" s="785" t="n"/>
      <c r="T85" s="978" t="n"/>
      <c r="W85" s="144" t="n"/>
      <c r="AS85" s="965" t="n"/>
      <c r="AT85" s="965" t="n"/>
      <c r="AU85" s="965" t="n"/>
      <c r="AV85" s="965" t="n"/>
      <c r="AW85" s="965" t="n"/>
      <c r="AX85" s="965" t="n"/>
      <c r="AY85" s="965" t="n"/>
      <c r="BB85" s="785" t="n"/>
      <c r="BL85" s="965" t="n"/>
      <c r="BT85" s="965" t="n"/>
      <c r="CN85" s="785" t="n"/>
      <c r="CQ85" s="990" t="n"/>
      <c r="CR85" s="965" t="n"/>
      <c r="CS85" s="965" t="n"/>
      <c r="CW85" s="105" t="n"/>
      <c r="CX85" s="105" t="n"/>
      <c r="CY85" s="105" t="n"/>
      <c r="CZ85" s="785" t="n"/>
      <c r="DJ85" s="977">
        <f>+DJ82/DI82</f>
        <v/>
      </c>
    </row>
    <row r="86" customFormat="1" s="103">
      <c r="A86" s="103">
        <f>B86&amp;C86</f>
        <v/>
      </c>
      <c r="B86" s="103" t="n">
        <v>2212</v>
      </c>
      <c r="C86" s="103" t="inlineStr">
        <is>
          <t>현대해상</t>
        </is>
      </c>
      <c r="D86" s="976" t="n"/>
      <c r="E86" s="976" t="n"/>
      <c r="F86" s="976" t="n"/>
      <c r="G86" s="976" t="n"/>
      <c r="H86" s="976" t="n"/>
      <c r="I86" s="977" t="n"/>
      <c r="J86" s="977" t="n"/>
      <c r="K86" s="977" t="n"/>
      <c r="L86" s="976" t="n"/>
      <c r="M86" s="976" t="n"/>
      <c r="N86" s="978">
        <f>O86-P86</f>
        <v/>
      </c>
      <c r="O86" s="978" t="n">
        <v>6470249.496273</v>
      </c>
      <c r="P86" s="978" t="n">
        <v>500000</v>
      </c>
      <c r="Q86" s="978" t="n">
        <v>-36500.5970870003</v>
      </c>
      <c r="R86" s="978" t="n">
        <v>5918296.842221</v>
      </c>
      <c r="S86" s="978" t="n"/>
      <c r="T86" s="978" t="n"/>
      <c r="U86" s="979" t="n"/>
      <c r="V86" s="979" t="n"/>
      <c r="W86" s="979" t="n"/>
      <c r="X86" s="978" t="n"/>
      <c r="Y86" s="978" t="n"/>
      <c r="Z86" s="978" t="n"/>
      <c r="AA86" s="978" t="n"/>
      <c r="AB86" s="978" t="n"/>
      <c r="AC86" s="978" t="n"/>
      <c r="AD86" s="978" t="n"/>
      <c r="AE86" s="978" t="n"/>
      <c r="AF86" s="976" t="n"/>
      <c r="AG86" s="976" t="n"/>
      <c r="AH86" s="976" t="n"/>
      <c r="AI86" s="976" t="n"/>
      <c r="AJ86" s="976" t="n"/>
      <c r="AK86" s="976" t="n"/>
      <c r="AL86" s="976" t="n"/>
      <c r="AM86" s="976" t="n"/>
      <c r="AN86" s="976" t="n"/>
      <c r="AO86" s="976" t="n"/>
      <c r="AP86" s="976" t="n"/>
      <c r="AQ86" s="978" t="n"/>
      <c r="AR86" s="978" t="n"/>
      <c r="AS86" s="978">
        <f>+AO86+AP86-AQ86</f>
        <v/>
      </c>
      <c r="AT86" s="978">
        <f>+AJ86+AK86+AL86-AM86+AN86-AI86</f>
        <v/>
      </c>
      <c r="AU86" s="978">
        <f>+AF86+AI86-AO86</f>
        <v/>
      </c>
      <c r="AV86" s="978">
        <f>+AF86</f>
        <v/>
      </c>
      <c r="AW86" s="978">
        <f>+AI86</f>
        <v/>
      </c>
      <c r="AX86" s="978">
        <f>+AP86</f>
        <v/>
      </c>
      <c r="AY86" s="978">
        <f>+SUM(AV86:AX86)</f>
        <v/>
      </c>
      <c r="AZ86" s="976" t="n"/>
      <c r="BA86" s="976" t="n"/>
      <c r="BB86" s="977" t="n"/>
      <c r="BC86" s="976" t="n"/>
      <c r="BD86" s="976" t="n"/>
      <c r="BE86" s="976" t="n"/>
      <c r="BF86" s="976" t="n"/>
      <c r="BG86" s="976" t="n"/>
      <c r="BH86" s="976" t="n"/>
      <c r="BI86" s="976" t="n"/>
      <c r="BJ86" s="976" t="n"/>
      <c r="BK86" s="976" t="n"/>
      <c r="BL86" s="978">
        <f>+BK86-BC86-SUM(BD86:BJ86)</f>
        <v/>
      </c>
      <c r="BM86" s="976" t="n"/>
      <c r="BN86" s="976" t="n"/>
      <c r="BO86" s="976" t="n"/>
      <c r="BP86" s="976" t="n"/>
      <c r="BQ86" s="976" t="n"/>
      <c r="BR86" s="976" t="n"/>
      <c r="BS86" s="976" t="n"/>
      <c r="BT86" s="978" t="n">
        <v>4180591.132347</v>
      </c>
      <c r="BU86" s="978" t="n">
        <v>13105381.578</v>
      </c>
      <c r="BV86" s="978" t="n">
        <v>1530851.071</v>
      </c>
      <c r="BW86" s="978" t="n">
        <v>8351537.263</v>
      </c>
      <c r="BX86" s="978" t="n"/>
      <c r="BY86" s="978" t="n"/>
      <c r="BZ86" s="978" t="n"/>
      <c r="CA86" s="978" t="n"/>
      <c r="CB86" s="978" t="n"/>
      <c r="CC86" s="976" t="n"/>
      <c r="CD86" s="976" t="n"/>
      <c r="CE86" s="976" t="n"/>
      <c r="CF86" s="976" t="n"/>
      <c r="CG86" s="976" t="n"/>
      <c r="CH86" s="976" t="n"/>
      <c r="CI86" s="976" t="n"/>
      <c r="CJ86" s="976" t="n"/>
      <c r="CK86" s="976" t="n"/>
      <c r="CL86" s="976" t="n"/>
      <c r="CM86" s="976" t="n"/>
      <c r="CN86" s="977" t="n"/>
      <c r="CO86" s="976" t="n"/>
      <c r="CP86" s="976" t="n"/>
      <c r="CQ86" s="977" t="n"/>
      <c r="CR86" s="976" t="n"/>
      <c r="CS86" s="976" t="n"/>
      <c r="CT86" s="976" t="n"/>
      <c r="CU86" s="976" t="n"/>
      <c r="CV86" s="976" t="n"/>
      <c r="CW86" s="976" t="n"/>
      <c r="CX86" s="976" t="n"/>
      <c r="CY86" s="976" t="n"/>
      <c r="CZ86" s="976" t="n"/>
      <c r="DA86" s="976" t="n"/>
      <c r="DB86" s="976" t="n"/>
      <c r="DC86" s="977" t="n"/>
      <c r="DD86" s="976" t="n"/>
      <c r="DE86" s="976" t="n"/>
      <c r="DF86" s="976" t="n"/>
      <c r="DG86" s="976" t="n"/>
      <c r="DH86" s="976" t="n"/>
      <c r="DI86" s="976" t="n"/>
      <c r="DJ86" s="976" t="n"/>
      <c r="DK86" s="976" t="n"/>
      <c r="DL86" s="976" t="n"/>
      <c r="DM86" s="976" t="n"/>
      <c r="DN86" s="976" t="n"/>
      <c r="DO86" s="976" t="n"/>
      <c r="DP86" s="976" t="n"/>
      <c r="DQ86" s="976" t="n"/>
      <c r="DR86" s="976" t="n"/>
      <c r="DS86" s="976" t="n"/>
      <c r="DT86" s="976" t="n"/>
      <c r="DU86" s="976" t="n"/>
      <c r="DV86" s="976" t="n"/>
      <c r="DW86" s="976" t="n"/>
      <c r="DX86" s="976" t="n"/>
      <c r="DY86" s="976" t="n"/>
      <c r="DZ86" s="976" t="n"/>
      <c r="EA86" s="976" t="n"/>
      <c r="EB86" s="976" t="n"/>
      <c r="EC86" s="976" t="n"/>
      <c r="ED86" s="976" t="n"/>
      <c r="EE86" s="976" t="n"/>
      <c r="EP86" s="976" t="n"/>
      <c r="EQ86" s="976" t="n"/>
      <c r="ER86" s="976" t="n"/>
      <c r="ES86" s="976" t="n"/>
      <c r="ET86" s="976" t="n"/>
      <c r="EU86" s="976" t="n"/>
      <c r="EV86" s="976" t="n"/>
      <c r="EW86" s="976" t="n"/>
      <c r="EX86" s="976" t="n"/>
      <c r="EY86" s="976" t="n"/>
      <c r="EZ86" s="976" t="n"/>
      <c r="FA86" s="976" t="n"/>
      <c r="FB86" s="976" t="n"/>
    </row>
    <row r="87" customFormat="1" s="103">
      <c r="A87" s="103">
        <f>B87&amp;C87</f>
        <v/>
      </c>
      <c r="B87" s="103" t="n">
        <v>2312</v>
      </c>
      <c r="C87" s="103" t="inlineStr">
        <is>
          <t>현대해상</t>
        </is>
      </c>
      <c r="D87" s="976" t="n">
        <v>43758462.213117</v>
      </c>
      <c r="E87" s="976" t="n">
        <v>9003311.609817</v>
      </c>
      <c r="F87" s="976" t="n">
        <v>19514780.6945</v>
      </c>
      <c r="G87" s="976" t="n">
        <v>11145329.106317</v>
      </c>
      <c r="H87" s="976" t="n">
        <v>247538.411616</v>
      </c>
      <c r="I87" s="977">
        <f>+E87/$D87</f>
        <v/>
      </c>
      <c r="J87" s="977">
        <f>+F87/$D87</f>
        <v/>
      </c>
      <c r="K87" s="977">
        <f>+G87/$D87</f>
        <v/>
      </c>
      <c r="L87" s="976" t="n">
        <v>37641367.677281</v>
      </c>
      <c r="M87" s="976" t="n">
        <v>31526752.742861</v>
      </c>
      <c r="N87" s="978">
        <f>O87-P87</f>
        <v/>
      </c>
      <c r="O87" s="978" t="n">
        <v>6117094.533974</v>
      </c>
      <c r="P87" s="978" t="n">
        <v>0</v>
      </c>
      <c r="Q87" s="978" t="n">
        <v>-497831.484009</v>
      </c>
      <c r="R87" s="978" t="n">
        <v>6526472.766844</v>
      </c>
      <c r="S87" s="978" t="n">
        <v>6470249.496273</v>
      </c>
      <c r="T87" s="978">
        <f>N86</f>
        <v/>
      </c>
      <c r="U87" s="979" t="n">
        <v>43758462</v>
      </c>
      <c r="V87" s="979" t="n">
        <v>41499525</v>
      </c>
      <c r="W87" s="109" t="n">
        <v>0.948</v>
      </c>
      <c r="X87" s="978" t="n">
        <v>-497831.484</v>
      </c>
      <c r="Y87" s="978">
        <f>-2868797.449+1945.999</f>
        <v/>
      </c>
      <c r="Z87" s="978" t="n">
        <v>2119807.497</v>
      </c>
      <c r="AA87" s="978" t="n">
        <v>-673.4400000000001</v>
      </c>
      <c r="AB87" s="978">
        <f>3040.322+5558.562</f>
        <v/>
      </c>
      <c r="AC87" s="978" t="n">
        <v>267774.031</v>
      </c>
      <c r="AD87" s="978" t="n">
        <v>-26487.006</v>
      </c>
      <c r="AE87" s="978">
        <f>X87-SUM(Y87:AD87)</f>
        <v/>
      </c>
      <c r="AF87" s="976" t="n">
        <v>526589.620124</v>
      </c>
      <c r="AG87" s="976" t="n">
        <v>13438295.453027</v>
      </c>
      <c r="AH87" s="976" t="n">
        <v>12911705.832903</v>
      </c>
      <c r="AI87" s="976" t="n">
        <v>455046.121937</v>
      </c>
      <c r="AJ87" s="976">
        <f>57623.227782-915641.804466</f>
        <v/>
      </c>
      <c r="AK87" s="976">
        <f>105160.848812-75432.536766</f>
        <v/>
      </c>
      <c r="AL87" s="976">
        <f>+AI87-AJ87-AK87+AM87-AN87</f>
        <v/>
      </c>
      <c r="AM87" s="976" t="n">
        <v>8645.777035999999</v>
      </c>
      <c r="AN87" s="976">
        <f>31362.651023-68869.26935</f>
        <v/>
      </c>
      <c r="AO87" s="976" t="n">
        <v>981635.742061</v>
      </c>
      <c r="AP87" s="976" t="n">
        <v>-28698.156488</v>
      </c>
      <c r="AQ87" s="978" t="n">
        <v>952937.585573</v>
      </c>
      <c r="AR87" s="978" t="n">
        <v>772338.01647</v>
      </c>
      <c r="AS87" s="978">
        <f>+AO87+AP87-AQ87</f>
        <v/>
      </c>
      <c r="AT87" s="978">
        <f>+AJ87+AK87+AL87-AM87+AN87-AI87</f>
        <v/>
      </c>
      <c r="AU87" s="978">
        <f>+AF87+AI87-AO87</f>
        <v/>
      </c>
      <c r="AV87" s="978">
        <f>+AF87</f>
        <v/>
      </c>
      <c r="AW87" s="978">
        <f>+AI87</f>
        <v/>
      </c>
      <c r="AX87" s="978">
        <f>+AP87</f>
        <v/>
      </c>
      <c r="AY87" s="978">
        <f>+SUM(AV87:AX87)</f>
        <v/>
      </c>
      <c r="AZ87" s="976" t="n"/>
      <c r="BA87" s="976" t="n"/>
      <c r="BB87" s="977" t="n"/>
      <c r="BC87" s="976">
        <f>2934853.870101-2971354.467188</f>
        <v/>
      </c>
      <c r="BD87" s="976">
        <f>1966.315454+1038658.945156-256.487652</f>
        <v/>
      </c>
      <c r="BE87" s="976" t="n"/>
      <c r="BF87" s="976">
        <f>-1511896.424558+2886.25182</f>
        <v/>
      </c>
      <c r="BG87" s="976" t="n">
        <v>28504.772715</v>
      </c>
      <c r="BH87" s="976" t="n">
        <v>108.475888</v>
      </c>
      <c r="BI87" s="976" t="n">
        <v>-21182.68955</v>
      </c>
      <c r="BJ87" s="976" t="n">
        <v>-120.076195</v>
      </c>
      <c r="BK87" s="976" t="n">
        <v>-497831.484009</v>
      </c>
      <c r="BL87" s="978">
        <f>+BK87-BC87-SUM(BD87:BJ87)</f>
        <v/>
      </c>
      <c r="BM87" s="976">
        <f>5834341.185403+83955.656818</f>
        <v/>
      </c>
      <c r="BN87" s="976" t="n">
        <v>-154084.4925</v>
      </c>
      <c r="BO87" s="976" t="n"/>
      <c r="BP87" s="976" t="n">
        <v>772338.01647</v>
      </c>
      <c r="BQ87" s="976" t="n">
        <v>-2246.643347</v>
      </c>
      <c r="BR87" s="976" t="n">
        <v>-7830.956</v>
      </c>
      <c r="BS87" s="976" t="n">
        <v>6526472.766844</v>
      </c>
      <c r="BT87" s="978">
        <f>+BM87+SUM(BN87:BR87)-BS87</f>
        <v/>
      </c>
      <c r="BU87" s="978" t="n">
        <v>15183567.515</v>
      </c>
      <c r="BV87" s="978" t="n">
        <v>1628121.356</v>
      </c>
      <c r="BW87" s="978" t="n">
        <v>9142271.141000001</v>
      </c>
      <c r="BX87" s="978" t="n">
        <v>1679236.885</v>
      </c>
      <c r="BY87" s="978" t="n">
        <v>880544.8419999999</v>
      </c>
      <c r="BZ87" s="978" t="n">
        <v>-271590.455</v>
      </c>
      <c r="CA87" s="978" t="n">
        <v>263632.29</v>
      </c>
      <c r="CB87" s="978" t="n">
        <v>8351537.23</v>
      </c>
      <c r="CC87" s="976" t="n"/>
      <c r="CD87" s="976">
        <f>CB87+BX87-BY87+BZ87+CA87-BW87</f>
        <v/>
      </c>
      <c r="CE87" s="976" t="n">
        <v>630066.356</v>
      </c>
      <c r="CF87" s="976">
        <f>537545.721+464211.733</f>
        <v/>
      </c>
      <c r="CG87" s="976">
        <f>418627.458+380996.594</f>
        <v/>
      </c>
      <c r="CH87" s="976" t="n">
        <v>1594807.891</v>
      </c>
      <c r="CI87" s="976" t="n">
        <v>5116015.388</v>
      </c>
      <c r="CJ87" s="976" t="n">
        <v>9142271.141000001</v>
      </c>
      <c r="CK87" s="976" t="n"/>
      <c r="CL87" s="976">
        <f>BW87-CJ87</f>
        <v/>
      </c>
      <c r="CM87" s="976" t="n"/>
      <c r="CN87" s="977" t="n">
        <v>1.732</v>
      </c>
      <c r="CO87" s="976" t="n">
        <v>12072782</v>
      </c>
      <c r="CP87" s="976" t="n">
        <v>6971677</v>
      </c>
      <c r="CQ87" s="977" t="n">
        <v>1.732</v>
      </c>
      <c r="CR87" s="976" t="n">
        <v>12072782</v>
      </c>
      <c r="CS87" s="976" t="n">
        <v>6971677</v>
      </c>
      <c r="CT87" s="976" t="n"/>
      <c r="CU87" s="976" t="n">
        <v>3422425</v>
      </c>
      <c r="CV87" s="976" t="n"/>
      <c r="CW87" s="976" t="n"/>
      <c r="CX87" s="976" t="n"/>
      <c r="CY87" s="976" t="n"/>
      <c r="CZ87" s="976" t="n"/>
      <c r="DA87" s="976" t="n"/>
      <c r="DB87" s="976" t="n"/>
      <c r="DC87" s="977" t="n"/>
      <c r="DD87" s="976" t="n"/>
      <c r="DE87" s="976" t="n"/>
      <c r="DF87" s="976" t="n"/>
      <c r="DG87" s="976">
        <f>+DH87+DK87</f>
        <v/>
      </c>
      <c r="DH87" s="976" t="n">
        <v>-194573.764895</v>
      </c>
      <c r="DI87" s="976" t="n">
        <v>4676952.337513</v>
      </c>
      <c r="DJ87" s="976">
        <f>+DI87-DH87</f>
        <v/>
      </c>
      <c r="DK87" s="976" t="n">
        <v>-11129.40696700003</v>
      </c>
      <c r="DL87" s="976" t="n">
        <v>625649.045533</v>
      </c>
      <c r="DM87" s="976">
        <f>+DL87-DK87</f>
        <v/>
      </c>
      <c r="DN87" s="976" t="n"/>
      <c r="DO87" s="976" t="n"/>
      <c r="DP87" s="976" t="n"/>
      <c r="DQ87" s="976" t="n"/>
      <c r="DR87" s="786" t="inlineStr">
        <is>
          <t>* IR자료에서는 손해조사비를 보험금예실차에 반영함</t>
        </is>
      </c>
      <c r="DS87" s="976" t="n"/>
      <c r="DT87" s="976" t="n"/>
      <c r="DU87" s="976" t="n"/>
      <c r="DV87" s="976" t="n"/>
      <c r="DW87" s="976" t="n"/>
      <c r="DX87" s="976" t="n"/>
      <c r="DY87" s="976" t="n"/>
      <c r="DZ87" s="976" t="n"/>
      <c r="EA87" s="976" t="n"/>
      <c r="EB87" s="976" t="n"/>
      <c r="EC87" s="976" t="n"/>
      <c r="ED87" s="976" t="n"/>
      <c r="EE87" s="976" t="n"/>
      <c r="EP87" s="976" t="n"/>
      <c r="EQ87" s="976" t="n"/>
      <c r="ER87" s="976" t="n"/>
      <c r="ES87" s="976" t="n"/>
      <c r="ET87" s="976" t="n"/>
      <c r="EU87" s="976" t="n"/>
      <c r="EV87" s="976" t="n"/>
      <c r="EW87" s="976" t="n"/>
      <c r="EX87" s="976" t="n"/>
      <c r="EY87" s="976" t="n"/>
      <c r="EZ87" s="976" t="n"/>
      <c r="FA87" s="976" t="n"/>
      <c r="FB87" s="976" t="n"/>
    </row>
    <row r="88" customFormat="1" s="103">
      <c r="A88" s="103">
        <f>B88&amp;C88</f>
        <v/>
      </c>
      <c r="B88" s="103" t="n">
        <v>2412</v>
      </c>
      <c r="C88" s="103" t="inlineStr">
        <is>
          <t>현대해상</t>
        </is>
      </c>
      <c r="D88" s="976" t="n">
        <v>47977678.781769</v>
      </c>
      <c r="E88" s="976" t="n">
        <v>9338046.174745999</v>
      </c>
      <c r="F88" s="976" t="n">
        <v>22671404.879625</v>
      </c>
      <c r="G88" s="976" t="n">
        <v>11544378.935448</v>
      </c>
      <c r="H88" s="976" t="n">
        <v>291443.449138</v>
      </c>
      <c r="I88" s="977">
        <f>+E88/$D88</f>
        <v/>
      </c>
      <c r="J88" s="977">
        <f>+F88/$D88</f>
        <v/>
      </c>
      <c r="K88" s="977">
        <f>+G88/$D88</f>
        <v/>
      </c>
      <c r="L88" s="976" t="n">
        <v>43050529.728359</v>
      </c>
      <c r="M88" s="976" t="n">
        <v>34801941.698072</v>
      </c>
      <c r="N88" s="978">
        <f>O88-P88</f>
        <v/>
      </c>
      <c r="O88" s="978" t="n">
        <v>4927149.05341</v>
      </c>
      <c r="P88" s="978" t="n">
        <v>0</v>
      </c>
      <c r="Q88" s="978" t="n">
        <v>-2554393.487321</v>
      </c>
      <c r="R88" s="978" t="n">
        <v>7391376.926733</v>
      </c>
      <c r="S88" s="978" t="n">
        <v>6117094.533974</v>
      </c>
      <c r="T88" s="978">
        <f>N87</f>
        <v/>
      </c>
      <c r="U88" s="979" t="n">
        <v>47977679</v>
      </c>
      <c r="V88" s="979" t="n">
        <v>45787121</v>
      </c>
      <c r="W88" s="109" t="n">
        <v>0.954</v>
      </c>
      <c r="X88" s="978" t="n">
        <v>-2554393.487</v>
      </c>
      <c r="Y88" s="978">
        <f>-2744429.672+2243.746</f>
        <v/>
      </c>
      <c r="Z88" s="978" t="n">
        <v>-135943.428</v>
      </c>
      <c r="AA88" s="978" t="n">
        <v>780.138</v>
      </c>
      <c r="AB88" s="978">
        <f>16200.188+51272.234</f>
        <v/>
      </c>
      <c r="AC88" s="978" t="n">
        <v>342353.805</v>
      </c>
      <c r="AD88" s="978" t="n">
        <v>-86870.49800000001</v>
      </c>
      <c r="AE88" s="978">
        <f>X88-SUM(Y88:AD88)</f>
        <v/>
      </c>
      <c r="AF88" s="976" t="n">
        <v>1043102.677049</v>
      </c>
      <c r="AG88" s="976" t="n">
        <v>14073844.024081</v>
      </c>
      <c r="AH88" s="976" t="n">
        <v>13030741.347032</v>
      </c>
      <c r="AI88" s="976" t="n">
        <v>358768.638077</v>
      </c>
      <c r="AJ88" s="976">
        <f>32223.710705-926091.855263</f>
        <v/>
      </c>
      <c r="AK88" s="976">
        <f>86245.156805-48752.324624</f>
        <v/>
      </c>
      <c r="AL88" s="976">
        <f>+AI88-AJ88-AK88+AM88-AN88</f>
        <v/>
      </c>
      <c r="AM88" s="976" t="n">
        <v>8387.248958</v>
      </c>
      <c r="AN88" s="976">
        <f>39242.723508-69481.374104</f>
        <v/>
      </c>
      <c r="AO88" s="976" t="n">
        <v>1401871.315126</v>
      </c>
      <c r="AP88" s="976" t="n">
        <v>-35435.700262</v>
      </c>
      <c r="AQ88" s="978" t="n">
        <v>1366435.614864</v>
      </c>
      <c r="AR88" s="978" t="n">
        <v>1030684.310373</v>
      </c>
      <c r="AS88" s="978">
        <f>+AO88+AP88-AQ88</f>
        <v/>
      </c>
      <c r="AT88" s="978">
        <f>+AJ88+AK88+AL88-AM88+AN88-AI88</f>
        <v/>
      </c>
      <c r="AU88" s="978">
        <f>+AF88+AI88-AO88</f>
        <v/>
      </c>
      <c r="AV88" s="978">
        <f>+AF88</f>
        <v/>
      </c>
      <c r="AW88" s="978">
        <f>+AI88</f>
        <v/>
      </c>
      <c r="AX88" s="978">
        <f>+AP88</f>
        <v/>
      </c>
      <c r="AY88" s="978">
        <f>+SUM(AV88:AX88)</f>
        <v/>
      </c>
      <c r="AZ88" s="976" t="n"/>
      <c r="BA88" s="976" t="n"/>
      <c r="BB88" s="977">
        <f>+BF88/(BU88+BV88+BW88)</f>
        <v/>
      </c>
      <c r="BC88" s="976" t="n">
        <v>-497831.484009</v>
      </c>
      <c r="BD88" s="976">
        <f>1207.522512+123160.254155+297.746562</f>
        <v/>
      </c>
      <c r="BE88" s="976" t="n"/>
      <c r="BF88" s="976">
        <f>-2255750.924153+1453.577915</f>
        <v/>
      </c>
      <c r="BG88" s="976" t="n">
        <v>45713.672209</v>
      </c>
      <c r="BH88" s="976" t="n">
        <v>74579.773928</v>
      </c>
      <c r="BI88" s="976" t="n">
        <v>-60383.491757</v>
      </c>
      <c r="BJ88" s="976" t="n">
        <v>13159.865317</v>
      </c>
      <c r="BK88" s="976" t="n">
        <v>-2554393.487321</v>
      </c>
      <c r="BL88" s="978">
        <f>+BK88-BC88-SUM(BD88:BJ88)</f>
        <v/>
      </c>
      <c r="BM88" s="976">
        <f>+BS87</f>
        <v/>
      </c>
      <c r="BN88" s="976" t="n">
        <v>-161769.1135</v>
      </c>
      <c r="BO88" s="976" t="n"/>
      <c r="BP88" s="976" t="n">
        <v>1030684.310373</v>
      </c>
      <c r="BQ88" s="976" t="n">
        <v>-1712.362859</v>
      </c>
      <c r="BR88" s="976" t="n">
        <v>-2298.674125</v>
      </c>
      <c r="BS88" s="976" t="n">
        <v>7391376.926733</v>
      </c>
      <c r="BT88" s="978">
        <f>+BM88+SUM(BN88:BR88)-BS88</f>
        <v/>
      </c>
      <c r="BU88" s="989" t="n">
        <v>18899618.328</v>
      </c>
      <c r="BV88" s="989" t="n">
        <v>1956937.953</v>
      </c>
      <c r="BW88" s="989" t="n">
        <v>8305487.262</v>
      </c>
      <c r="BX88" s="989" t="n">
        <v>1827879.353</v>
      </c>
      <c r="BY88" s="989" t="n">
        <v>951101.76</v>
      </c>
      <c r="BZ88" s="989" t="n">
        <v>-2035023.311</v>
      </c>
      <c r="CA88" s="989" t="n">
        <v>321461.839</v>
      </c>
      <c r="CB88" s="989" t="n">
        <v>9142271.141000001</v>
      </c>
      <c r="CC88" s="199">
        <f>+BU88/BU87</f>
        <v/>
      </c>
      <c r="CD88" s="976">
        <f>CB88+BX88-BY88+BZ88+CA88-BW88</f>
        <v/>
      </c>
      <c r="CE88" s="976" t="n">
        <v>560401.752</v>
      </c>
      <c r="CF88" s="976">
        <f>485105.232+423139.211</f>
        <v/>
      </c>
      <c r="CG88" s="976">
        <f>375362.314+341619.499</f>
        <v/>
      </c>
      <c r="CH88" s="976" t="n">
        <v>1398487.706</v>
      </c>
      <c r="CI88" s="976" t="n">
        <v>4721371.548</v>
      </c>
      <c r="CJ88" s="976" t="n">
        <v>8305487.262</v>
      </c>
      <c r="CK88" s="976">
        <f>CJ88-SUM(CE88:CI88)</f>
        <v/>
      </c>
      <c r="CL88" s="976">
        <f>BW88-CJ88</f>
        <v/>
      </c>
      <c r="CM88" s="976" t="n"/>
      <c r="CN88" s="977" t="n"/>
      <c r="CO88" s="976" t="n"/>
      <c r="CP88" s="976" t="n"/>
      <c r="CQ88" s="977" t="n">
        <v>1.57</v>
      </c>
      <c r="CR88" s="976" t="n">
        <v>12403025</v>
      </c>
      <c r="CS88" s="976" t="n">
        <v>7900030</v>
      </c>
      <c r="CT88" s="976" t="n"/>
      <c r="CU88" s="976" t="n">
        <v>4018337</v>
      </c>
      <c r="CV88" s="976" t="n"/>
      <c r="CW88" s="110" t="n">
        <v>0.979</v>
      </c>
      <c r="CX88" s="110" t="n">
        <v>1.015</v>
      </c>
      <c r="CY88" s="110" t="n">
        <v>-0.036</v>
      </c>
      <c r="CZ88" s="977">
        <f>+CX88/CW88</f>
        <v/>
      </c>
      <c r="DA88" s="976" t="n"/>
      <c r="DB88" s="976" t="n"/>
      <c r="DC88" s="977" t="n"/>
      <c r="DD88" s="976" t="n"/>
      <c r="DE88" s="976" t="n"/>
      <c r="DF88" s="976" t="n"/>
      <c r="DG88" s="976">
        <f>+DH88+DK88</f>
        <v/>
      </c>
      <c r="DH88" s="976" t="n">
        <v>-188292.3719949999</v>
      </c>
      <c r="DI88" s="976" t="n">
        <v>5088501.680138</v>
      </c>
      <c r="DJ88" s="976">
        <f>+DI88-DH88</f>
        <v/>
      </c>
      <c r="DK88" s="976" t="n">
        <v>-24070.48820399999</v>
      </c>
      <c r="DL88" s="976" t="n">
        <v>642598.251576</v>
      </c>
      <c r="DM88" s="976">
        <f>+DL88-DK88</f>
        <v/>
      </c>
      <c r="DN88" s="976" t="n"/>
      <c r="DO88" s="976" t="n"/>
      <c r="DP88" s="976" t="n"/>
      <c r="DQ88" s="976" t="n"/>
      <c r="DR88" s="976" t="n"/>
      <c r="DS88" s="976" t="n"/>
      <c r="DT88" s="976" t="n"/>
      <c r="DU88" s="976" t="n"/>
      <c r="DV88" s="976" t="n"/>
      <c r="DW88" s="976" t="n"/>
      <c r="DX88" s="976" t="n"/>
      <c r="DY88" s="976" t="n"/>
      <c r="DZ88" s="976" t="n"/>
      <c r="EA88" s="976" t="n"/>
      <c r="EB88" s="976" t="n"/>
      <c r="EC88" s="976" t="n"/>
      <c r="ED88" s="976" t="n"/>
      <c r="EE88" s="976" t="n"/>
      <c r="EP88" s="976" t="n"/>
      <c r="EQ88" s="976" t="n"/>
      <c r="ER88" s="976" t="n"/>
      <c r="ES88" s="976" t="n"/>
      <c r="ET88" s="976" t="n"/>
      <c r="EU88" s="976" t="n"/>
      <c r="EV88" s="976" t="n"/>
      <c r="EW88" s="976" t="n"/>
      <c r="EX88" s="976" t="n"/>
      <c r="EY88" s="976" t="n"/>
      <c r="EZ88" s="976" t="n"/>
      <c r="FA88" s="976" t="n"/>
      <c r="FB88" s="976" t="n"/>
    </row>
    <row r="89" customFormat="1" s="103">
      <c r="A89" s="103">
        <f>B89&amp;C89</f>
        <v/>
      </c>
      <c r="B89" s="103" t="n">
        <v>2503</v>
      </c>
      <c r="C89" s="103">
        <f>C88</f>
        <v/>
      </c>
      <c r="D89" s="976" t="n">
        <v>49568315.070657</v>
      </c>
      <c r="E89" s="976" t="n">
        <v>9926400.700203</v>
      </c>
      <c r="F89" s="976" t="n">
        <v>24326805.158966</v>
      </c>
      <c r="G89" s="976" t="n">
        <v>11238304.33217</v>
      </c>
      <c r="H89" s="976" t="n">
        <v>289287.607938</v>
      </c>
      <c r="I89" s="977">
        <f>+E89/$D89</f>
        <v/>
      </c>
      <c r="J89" s="977">
        <f>+F89/$D89</f>
        <v/>
      </c>
      <c r="K89" s="977">
        <f>+G89/$D89</f>
        <v/>
      </c>
      <c r="L89" s="976" t="n">
        <v>45355476.20741</v>
      </c>
      <c r="M89" s="976" t="n">
        <v>36730148.738468</v>
      </c>
      <c r="N89" s="978">
        <f>O89-P89</f>
        <v/>
      </c>
      <c r="O89" s="978" t="n">
        <v>4212838.863247</v>
      </c>
      <c r="P89" s="978" t="n">
        <v>0</v>
      </c>
      <c r="Q89" s="978" t="n">
        <v>-3471898.922546</v>
      </c>
      <c r="R89" s="978" t="n">
        <v>7594572.171795</v>
      </c>
      <c r="S89" s="978" t="n">
        <v>4927149.05341</v>
      </c>
      <c r="T89" s="978">
        <f>N88</f>
        <v/>
      </c>
      <c r="U89" s="979" t="n">
        <v>49568315</v>
      </c>
      <c r="V89" s="979" t="n">
        <v>47352888</v>
      </c>
      <c r="W89" s="109" t="n">
        <v>0.955</v>
      </c>
      <c r="X89" s="978" t="n">
        <v>-3471898.923</v>
      </c>
      <c r="Y89" s="978">
        <f>-2335766.665+2187.404</f>
        <v/>
      </c>
      <c r="Z89" s="978" t="n">
        <v>-1466284.375</v>
      </c>
      <c r="AA89" s="978" t="n">
        <v>1438.116</v>
      </c>
      <c r="AB89" s="978">
        <f>18113.883+58674.731</f>
        <v/>
      </c>
      <c r="AC89" s="978" t="n">
        <v>342526.563</v>
      </c>
      <c r="AD89" s="978" t="n">
        <v>-92788.58</v>
      </c>
      <c r="AE89" s="978">
        <f>X89-SUM(Y89:AD89)</f>
        <v/>
      </c>
      <c r="AF89" s="976" t="n">
        <v>175913.949482</v>
      </c>
      <c r="AG89" s="976" t="n">
        <v>3526542.728226</v>
      </c>
      <c r="AH89" s="976" t="n">
        <v>3350628.778744</v>
      </c>
      <c r="AI89" s="976" t="n">
        <v>109143.516292</v>
      </c>
      <c r="AJ89" s="976">
        <f>12814.352221-223175.659464</f>
        <v/>
      </c>
      <c r="AK89" s="976">
        <f>14698.076316-14371.509128</f>
        <v/>
      </c>
      <c r="AL89" s="976">
        <f>+AI89-AJ89-AK89+AM89-AN89</f>
        <v/>
      </c>
      <c r="AM89" s="976" t="n">
        <v>2139.795879</v>
      </c>
      <c r="AN89" s="976">
        <f>11585.959138-19496.043465</f>
        <v/>
      </c>
      <c r="AO89" s="976" t="n">
        <v>285057.465774</v>
      </c>
      <c r="AP89" s="976" t="n">
        <v>-12780.105645</v>
      </c>
      <c r="AQ89" s="978" t="n">
        <v>272277.360129</v>
      </c>
      <c r="AR89" s="978" t="n">
        <v>203195.245062</v>
      </c>
      <c r="AS89" s="978">
        <f>+AO89+AP89-AQ89</f>
        <v/>
      </c>
      <c r="AT89" s="978">
        <f>+AJ89+AK89+AL89-AM89+AN89-AI89</f>
        <v/>
      </c>
      <c r="AU89" s="978">
        <f>+AF89+AI89-AO89</f>
        <v/>
      </c>
      <c r="AV89" s="978">
        <f>+AF89</f>
        <v/>
      </c>
      <c r="AW89" s="978">
        <f>+AI89</f>
        <v/>
      </c>
      <c r="AX89" s="978">
        <f>+AP89</f>
        <v/>
      </c>
      <c r="AY89" s="978">
        <f>+SUM(AV89:AX89)</f>
        <v/>
      </c>
      <c r="AZ89" s="976" t="n"/>
      <c r="BA89" s="976" t="n"/>
      <c r="BB89" s="977" t="n"/>
      <c r="BC89" s="976" t="n">
        <v>-2554393.487321</v>
      </c>
      <c r="BD89" s="976">
        <f>2578.132657+406084.874248-56.341352</f>
        <v/>
      </c>
      <c r="BE89" s="976" t="n"/>
      <c r="BF89" s="976">
        <f>-1330340.946838+657.977877</f>
        <v/>
      </c>
      <c r="BG89" s="976">
        <f>7402.497308</f>
        <v/>
      </c>
      <c r="BH89" s="976" t="n">
        <v>172.757755</v>
      </c>
      <c r="BI89" s="976" t="n">
        <v>-5918.08246</v>
      </c>
      <c r="BJ89" s="976" t="n">
        <v>1913.695536</v>
      </c>
      <c r="BK89" s="976" t="n">
        <v>-3471898.922546</v>
      </c>
      <c r="BL89" s="978">
        <f>+BK89-BC89-SUM(BD89:BJ89)</f>
        <v/>
      </c>
      <c r="BM89" s="976" t="n">
        <v>7391376.926733</v>
      </c>
      <c r="BN89" s="976" t="n"/>
      <c r="BO89" s="976" t="n"/>
      <c r="BP89" s="976" t="n">
        <v>203195.245062</v>
      </c>
      <c r="BQ89" s="976" t="n"/>
      <c r="BR89" s="976" t="n"/>
      <c r="BS89" s="976" t="n">
        <v>7594572.171795</v>
      </c>
      <c r="BT89" s="978">
        <f>+BM89+SUM(BN89:BR89)-BS89</f>
        <v/>
      </c>
      <c r="BU89" s="989" t="n">
        <v>19952613.479</v>
      </c>
      <c r="BV89" s="989" t="n">
        <v>1987452.794</v>
      </c>
      <c r="BW89" s="989" t="n">
        <v>9164825.916999999</v>
      </c>
      <c r="BX89" s="989" t="n">
        <v>479247.841</v>
      </c>
      <c r="BY89" s="989" t="n">
        <v>238359.416</v>
      </c>
      <c r="BZ89" s="989" t="n">
        <v>545046.58</v>
      </c>
      <c r="CA89" s="989" t="n">
        <v>73403.651</v>
      </c>
      <c r="CB89" s="989" t="n">
        <v>8305487.261</v>
      </c>
      <c r="CC89" s="199">
        <f>+BU89/BU88</f>
        <v/>
      </c>
      <c r="CD89" s="976">
        <f>CB89+BX89-BY89+BZ89+CA89-BW89</f>
        <v/>
      </c>
      <c r="CE89" s="976" t="n">
        <v>609347.166</v>
      </c>
      <c r="CF89" s="976">
        <f>530066.312+465360.706</f>
        <v/>
      </c>
      <c r="CG89" s="976">
        <f>411132.175+376555.612</f>
        <v/>
      </c>
      <c r="CH89" s="976" t="n">
        <v>1537567.3</v>
      </c>
      <c r="CI89" s="976" t="n">
        <v>5234796.646</v>
      </c>
      <c r="CJ89" s="976" t="n">
        <v>9164825.916999999</v>
      </c>
      <c r="CK89" s="976">
        <f>CJ89-SUM(CE89:CI89)</f>
        <v/>
      </c>
      <c r="CL89" s="976">
        <f>BW89-CJ89</f>
        <v/>
      </c>
      <c r="CM89" s="976" t="n"/>
      <c r="CN89" s="977" t="n"/>
      <c r="CO89" s="976" t="n"/>
      <c r="CP89" s="976" t="n"/>
      <c r="CQ89" s="977" t="n">
        <v>1.594</v>
      </c>
      <c r="CR89" s="976" t="n">
        <v>13102744</v>
      </c>
      <c r="CS89" s="976" t="n">
        <v>8218311</v>
      </c>
      <c r="CT89" s="976" t="n"/>
      <c r="CU89" s="976">
        <f>+CU88+142688.462425</f>
        <v/>
      </c>
      <c r="CV89" s="976" t="n"/>
      <c r="CW89" s="110" t="n"/>
      <c r="CX89" s="110" t="n"/>
      <c r="CY89" s="110" t="n"/>
      <c r="CZ89" s="977" t="n"/>
      <c r="DA89" s="976" t="n"/>
      <c r="DB89" s="976" t="n"/>
      <c r="DC89" s="977" t="n"/>
      <c r="DD89" s="976" t="n"/>
      <c r="DE89" s="976" t="n"/>
      <c r="DF89" s="976" t="n"/>
      <c r="DG89" s="976">
        <f>+DH89+DK89</f>
        <v/>
      </c>
      <c r="DH89" s="976" t="n">
        <v>-104813.4744519999</v>
      </c>
      <c r="DI89" s="976" t="n">
        <v>1292131.213903</v>
      </c>
      <c r="DJ89" s="976">
        <f>+DI89-DH89</f>
        <v/>
      </c>
      <c r="DK89" s="976" t="n">
        <v>1509.310243999992</v>
      </c>
      <c r="DL89" s="976" t="n">
        <v>163813.326679</v>
      </c>
      <c r="DM89" s="976">
        <f>+DL89-DK89</f>
        <v/>
      </c>
      <c r="DN89" s="976" t="n"/>
      <c r="DO89" s="976" t="n"/>
      <c r="DP89" s="976" t="n"/>
      <c r="DQ89" s="976" t="n"/>
      <c r="DR89" s="976" t="n"/>
      <c r="DS89" s="976" t="n"/>
      <c r="DT89" s="976" t="n"/>
      <c r="DU89" s="976" t="n"/>
      <c r="DV89" s="976" t="n"/>
      <c r="DW89" s="976" t="n"/>
      <c r="DX89" s="976" t="n"/>
      <c r="DY89" s="976" t="n"/>
      <c r="DZ89" s="976" t="n"/>
      <c r="EA89" s="976" t="n"/>
      <c r="EB89" s="976" t="n"/>
      <c r="EC89" s="976" t="n"/>
      <c r="ED89" s="976" t="n"/>
      <c r="EE89" s="976" t="n"/>
      <c r="EP89" s="976" t="n"/>
      <c r="EQ89" s="976" t="n"/>
      <c r="ER89" s="976" t="n"/>
      <c r="ES89" s="976" t="n"/>
      <c r="ET89" s="976" t="n"/>
      <c r="EU89" s="976" t="n"/>
      <c r="EV89" s="976" t="n"/>
      <c r="EW89" s="976" t="n"/>
      <c r="EX89" s="976" t="n"/>
      <c r="EY89" s="976" t="n"/>
      <c r="EZ89" s="976" t="n"/>
      <c r="FA89" s="976" t="n"/>
      <c r="FB89" s="976" t="n"/>
    </row>
    <row r="90" customFormat="1" s="103">
      <c r="A90" s="103">
        <f>B90&amp;C90</f>
        <v/>
      </c>
      <c r="B90" s="103" t="n">
        <v>2506</v>
      </c>
      <c r="C90" s="103">
        <f>C89</f>
        <v/>
      </c>
      <c r="D90" s="976" t="n">
        <v>49624610.984538</v>
      </c>
      <c r="E90" s="976" t="n">
        <v>9402100.760464</v>
      </c>
      <c r="F90" s="976" t="n">
        <v>24976528.089198</v>
      </c>
      <c r="G90" s="976" t="n">
        <v>10831914.061045</v>
      </c>
      <c r="H90" s="976" t="n">
        <v>288287.036702</v>
      </c>
      <c r="I90" s="977">
        <f>+E90/$D90</f>
        <v/>
      </c>
      <c r="J90" s="977">
        <f>+F90/$D90</f>
        <v/>
      </c>
      <c r="K90" s="977">
        <f>+G90/$D90</f>
        <v/>
      </c>
      <c r="L90" s="976" t="n">
        <v>44887744.609789</v>
      </c>
      <c r="M90" s="976" t="n">
        <v>36335172.151422</v>
      </c>
      <c r="N90" s="978" t="n">
        <v>4736866.374749</v>
      </c>
      <c r="O90" s="978" t="n">
        <v>4736866.374749</v>
      </c>
      <c r="P90" s="978" t="n">
        <v>0</v>
      </c>
      <c r="Q90" s="978" t="n">
        <v>-3195641.581442</v>
      </c>
      <c r="R90" s="978" t="n">
        <v>7842342.342193</v>
      </c>
      <c r="S90" s="978" t="n">
        <v>4927149.05341</v>
      </c>
      <c r="T90" s="978">
        <f>T89</f>
        <v/>
      </c>
      <c r="U90" s="979" t="n">
        <v>49624611</v>
      </c>
      <c r="V90" s="979" t="n">
        <v>47164303</v>
      </c>
      <c r="W90" s="109" t="n">
        <v>0.95</v>
      </c>
      <c r="X90" s="978" t="n">
        <v>-3195641.581442</v>
      </c>
      <c r="Y90" s="978">
        <f>-2549953.107349+2156.284685</f>
        <v/>
      </c>
      <c r="Z90" s="978" t="n">
        <v>-922332.217976</v>
      </c>
      <c r="AA90" s="978" t="n">
        <v>970.919312</v>
      </c>
      <c r="AB90" s="978">
        <f>14069.256384+8174.141453</f>
        <v/>
      </c>
      <c r="AC90" s="978" t="n">
        <v>342302.634128</v>
      </c>
      <c r="AD90" s="978" t="n">
        <v>-91029.492079</v>
      </c>
      <c r="AE90" s="978">
        <f>X90-SUM(Y90:AD90)</f>
        <v/>
      </c>
      <c r="AF90" s="976" t="n">
        <v>388576.170672</v>
      </c>
      <c r="AG90" s="976" t="n">
        <v>7348626.05924</v>
      </c>
      <c r="AH90" s="976" t="n">
        <v>6960049.888568</v>
      </c>
      <c r="AI90" s="976" t="n">
        <v>240232.63452</v>
      </c>
      <c r="AJ90" s="976" t="n">
        <v>0</v>
      </c>
      <c r="AK90" s="976" t="n">
        <v>0</v>
      </c>
      <c r="AL90" s="976" t="n">
        <v>0</v>
      </c>
      <c r="AM90" s="976" t="n">
        <v>0</v>
      </c>
      <c r="AN90" s="976" t="n">
        <v>0</v>
      </c>
      <c r="AO90" s="976" t="n">
        <v>628808.805192</v>
      </c>
      <c r="AP90" s="976" t="n">
        <v>-23936.058687</v>
      </c>
      <c r="AQ90" s="978" t="n">
        <v>604872.746505</v>
      </c>
      <c r="AR90" s="978" t="n">
        <v>450965.41546</v>
      </c>
      <c r="AS90" s="978">
        <f>+AO90+AP90-AQ90</f>
        <v/>
      </c>
      <c r="AT90" s="978">
        <f>+AJ90+AK90+AL90-AM90+AN90-AI90</f>
        <v/>
      </c>
      <c r="AU90" s="978">
        <f>+AF90+AI90-AO90</f>
        <v/>
      </c>
      <c r="AV90" s="978">
        <f>+AF90</f>
        <v/>
      </c>
      <c r="AW90" s="978">
        <f>+AI90</f>
        <v/>
      </c>
      <c r="AX90" s="978">
        <f>+AP90</f>
        <v/>
      </c>
      <c r="AY90" s="978">
        <f>+SUM(AV90:AX90)</f>
        <v/>
      </c>
      <c r="AZ90" s="976" t="n"/>
      <c r="BA90" s="976" t="n"/>
      <c r="BB90" s="977" t="n"/>
      <c r="BC90" s="976" t="n">
        <v>-2554393.487321</v>
      </c>
      <c r="BD90" s="976" t="n">
        <v>194476.564917</v>
      </c>
      <c r="BE90" s="976" t="n">
        <v>-87.460865</v>
      </c>
      <c r="BF90" s="976" t="n">
        <v>-786198.008465</v>
      </c>
      <c r="BG90" s="976" t="n">
        <v>-37202.977627</v>
      </c>
      <c r="BH90" s="976" t="n">
        <v>-51.171294</v>
      </c>
      <c r="BI90" s="976" t="n">
        <v>-4158.994476</v>
      </c>
      <c r="BJ90" s="976" t="n">
        <v>-8026.046311</v>
      </c>
      <c r="BK90" s="976" t="n">
        <v>-3195641.581442</v>
      </c>
      <c r="BL90" s="978" t="n">
        <v>0</v>
      </c>
      <c r="BM90" s="976" t="n">
        <v>7391376.926733</v>
      </c>
      <c r="BN90" s="976" t="n">
        <v>0</v>
      </c>
      <c r="BO90" s="976" t="n">
        <v>0</v>
      </c>
      <c r="BP90" s="976" t="n">
        <v>450965.41546</v>
      </c>
      <c r="BQ90" s="976" t="n">
        <v>0</v>
      </c>
      <c r="BR90" s="976" t="n">
        <v>0</v>
      </c>
      <c r="BS90" s="976" t="n">
        <v>7842342.342193</v>
      </c>
      <c r="BT90" s="978" t="n">
        <v>0</v>
      </c>
      <c r="BU90" s="978" t="n">
        <v>16662151.185244</v>
      </c>
      <c r="BV90" s="978" t="n">
        <v>1941007.94392</v>
      </c>
      <c r="BW90" s="978" t="n">
        <v>9422748.336614</v>
      </c>
      <c r="BX90" s="978" t="n">
        <v>1004910.06089</v>
      </c>
      <c r="BY90" s="978">
        <f>129676.784589+107609.049784+244544.706001</f>
        <v/>
      </c>
      <c r="BZ90" s="978">
        <f>332414.546946+7811.130541+100162.545652</f>
        <v/>
      </c>
      <c r="CA90" s="978">
        <f>37209.148435+31405.765917+85178.41681</f>
        <v/>
      </c>
      <c r="CB90" s="978">
        <f>2562521.809349+2183752.839138+3559212.613259</f>
        <v/>
      </c>
      <c r="CC90" s="976" t="n"/>
      <c r="CD90" s="976">
        <f>CB90+BX90-BY90+BZ90+CA90-BW90</f>
        <v/>
      </c>
      <c r="CE90" s="976" t="n">
        <v>621464.615688</v>
      </c>
      <c r="CF90" s="976">
        <f>540310.913613+472309.443788</f>
        <v/>
      </c>
      <c r="CG90" s="976">
        <f>419467.630732+383272.810537</f>
        <v/>
      </c>
      <c r="CH90" s="976" t="n">
        <v>1571670.555398</v>
      </c>
      <c r="CI90" s="976" t="n">
        <v>5414252.36858</v>
      </c>
      <c r="CJ90" s="976" t="n">
        <v>9422748.336614</v>
      </c>
      <c r="CK90" s="976">
        <f>CJ90-SUM(CE90:CI90)</f>
        <v/>
      </c>
      <c r="CL90" s="976">
        <f>BW90-CJ90</f>
        <v/>
      </c>
      <c r="CM90" s="976" t="n"/>
      <c r="CN90" s="977" t="n"/>
      <c r="CO90" s="976" t="n"/>
      <c r="CP90" s="976" t="n"/>
      <c r="CQ90" s="977" t="n">
        <v>1.7</v>
      </c>
      <c r="CR90" s="976" t="n">
        <v>13837328</v>
      </c>
      <c r="CS90" s="976" t="n">
        <v>8139432</v>
      </c>
      <c r="CT90" s="976" t="n"/>
      <c r="CU90" s="976" t="n">
        <v>4326457</v>
      </c>
      <c r="CV90" s="976" t="n"/>
      <c r="CW90" s="110" t="n"/>
      <c r="CX90" s="110" t="n"/>
      <c r="CY90" s="110" t="n"/>
      <c r="CZ90" s="977" t="n"/>
      <c r="DA90" s="976" t="n"/>
      <c r="DB90" s="976" t="n"/>
      <c r="DC90" s="977" t="n"/>
      <c r="DD90" s="976" t="n"/>
      <c r="DE90" s="976" t="n"/>
      <c r="DF90" s="976" t="n"/>
      <c r="DG90" s="976" t="n"/>
      <c r="DH90" s="976" t="n"/>
      <c r="DI90" s="976" t="n"/>
      <c r="DJ90" s="976" t="n"/>
      <c r="DK90" s="976" t="n"/>
      <c r="DL90" s="976" t="n"/>
      <c r="DM90" s="976" t="n"/>
      <c r="DN90" s="976" t="n"/>
      <c r="DO90" s="976" t="n"/>
      <c r="DP90" s="976" t="n"/>
      <c r="DQ90" s="976" t="n"/>
      <c r="DR90" s="976" t="n"/>
      <c r="DS90" s="976" t="n"/>
      <c r="DT90" s="976" t="n"/>
      <c r="DU90" s="976" t="n"/>
      <c r="DV90" s="976" t="n"/>
      <c r="DW90" s="976" t="n"/>
      <c r="DX90" s="976" t="n"/>
      <c r="DY90" s="976" t="n"/>
      <c r="DZ90" s="976" t="n"/>
      <c r="EA90" s="976" t="n"/>
      <c r="EB90" s="976" t="n"/>
      <c r="EC90" s="976" t="n"/>
      <c r="ED90" s="976" t="n"/>
      <c r="EE90" s="976" t="n"/>
      <c r="EP90" s="976" t="n"/>
      <c r="EQ90" s="976" t="n"/>
      <c r="ER90" s="976" t="n"/>
      <c r="ES90" s="976" t="n"/>
      <c r="ET90" s="976" t="n"/>
      <c r="EU90" s="976" t="n"/>
      <c r="EV90" s="976" t="n"/>
      <c r="EW90" s="976" t="n"/>
      <c r="EX90" s="976" t="n"/>
      <c r="EY90" s="976" t="n"/>
      <c r="EZ90" s="976" t="n"/>
      <c r="FA90" s="976" t="n"/>
      <c r="FB90" s="976" t="n"/>
    </row>
    <row r="91" customFormat="1" s="103">
      <c r="A91" s="103">
        <f>B91&amp;C91</f>
        <v/>
      </c>
      <c r="B91" s="103" t="n">
        <v>2509</v>
      </c>
      <c r="C91" s="103" t="inlineStr">
        <is>
          <t>현대해상</t>
        </is>
      </c>
      <c r="D91" s="976" t="n">
        <v>49960383.289635</v>
      </c>
      <c r="E91" s="976" t="n">
        <v>9713012.024762001</v>
      </c>
      <c r="F91" s="976" t="n">
        <v>25577228.319045</v>
      </c>
      <c r="G91" s="976" t="n">
        <v>10210981.927532</v>
      </c>
      <c r="H91" s="976" t="n">
        <v>331922.040076</v>
      </c>
      <c r="I91" s="977">
        <f>+E91/$D91</f>
        <v/>
      </c>
      <c r="J91" s="977">
        <f>+F91/$D91</f>
        <v/>
      </c>
      <c r="K91" s="977">
        <f>+G91/$D91</f>
        <v/>
      </c>
      <c r="L91" s="976" t="n">
        <v>45155449.405808</v>
      </c>
      <c r="M91" s="976" t="n">
        <v>36290879.870656</v>
      </c>
      <c r="N91" s="978">
        <f>+O91-P91</f>
        <v/>
      </c>
      <c r="O91" s="978" t="n">
        <v>4804933.883827</v>
      </c>
      <c r="P91" s="978" t="n">
        <v>0</v>
      </c>
      <c r="Q91" s="978" t="n">
        <v>-3310923.762404</v>
      </c>
      <c r="R91" s="978" t="n">
        <v>8025692.032233</v>
      </c>
      <c r="S91" s="978" t="n">
        <v>4927149.05341</v>
      </c>
      <c r="T91" s="978">
        <f>T90</f>
        <v/>
      </c>
      <c r="U91" s="979" t="n">
        <v>49960383</v>
      </c>
      <c r="V91" s="979" t="n">
        <v>47382280</v>
      </c>
      <c r="W91" s="109" t="n">
        <v>0.948</v>
      </c>
      <c r="X91" s="978" t="n">
        <v>-3310923.762404</v>
      </c>
      <c r="Y91" s="978">
        <f>+-2730842.096048+2161.969421</f>
        <v/>
      </c>
      <c r="Z91" s="978" t="n">
        <v>-820131.766292</v>
      </c>
      <c r="AA91" s="978" t="n">
        <v>-1828.922824</v>
      </c>
      <c r="AB91" s="978">
        <f>11730.191113+-25528.703475</f>
        <v/>
      </c>
      <c r="AC91" s="978" t="n">
        <v>341888.814159</v>
      </c>
      <c r="AD91" s="978" t="n">
        <v>-88373.248458</v>
      </c>
      <c r="AE91" s="978">
        <f>X91-SUM(Y91:AD91)</f>
        <v/>
      </c>
      <c r="AF91" s="976" t="n">
        <v>550006.167772</v>
      </c>
      <c r="AG91" s="976" t="n">
        <v>11028130.524204</v>
      </c>
      <c r="AH91" s="976" t="n">
        <v>10478124.356432</v>
      </c>
      <c r="AI91" s="976" t="n">
        <v>324249.033288</v>
      </c>
      <c r="AJ91" s="976">
        <f>49093.639846-649348.650783</f>
        <v/>
      </c>
      <c r="AK91" s="976">
        <f>43263.992726-42093.381029</f>
        <v/>
      </c>
      <c r="AL91" s="976">
        <f>+AI91-AJ91-AK91+AM91-AN91</f>
        <v/>
      </c>
      <c r="AM91" s="976" t="n">
        <v>7507.051356</v>
      </c>
      <c r="AN91" s="976">
        <f>36603.807866-61639.038322</f>
        <v/>
      </c>
      <c r="AO91" s="976" t="n">
        <v>874255.20106</v>
      </c>
      <c r="AP91" s="976" t="n">
        <v>-24602.004599</v>
      </c>
      <c r="AQ91" s="978" t="n">
        <v>849653.196461</v>
      </c>
      <c r="AR91" s="978" t="n">
        <v>634146.584359</v>
      </c>
      <c r="AS91" s="978">
        <f>+AO91+AP91-AQ91</f>
        <v/>
      </c>
      <c r="AT91" s="978">
        <f>+AJ91+AK91+AL91-AM91+AN91-AI91</f>
        <v/>
      </c>
      <c r="AU91" s="978">
        <f>+AF91+AI91-AO91</f>
        <v/>
      </c>
      <c r="AV91" s="978">
        <f>+AF91</f>
        <v/>
      </c>
      <c r="AW91" s="978">
        <f>+AI91</f>
        <v/>
      </c>
      <c r="AX91" s="978">
        <f>+AP91</f>
        <v/>
      </c>
      <c r="AY91" s="978">
        <f>+SUM(AV91:AX91)</f>
        <v/>
      </c>
      <c r="AZ91" s="976" t="n"/>
      <c r="BA91" s="976" t="n"/>
      <c r="BB91" s="977" t="n"/>
      <c r="BC91" s="976" t="n">
        <v>-2554393.487321</v>
      </c>
      <c r="BD91" s="976">
        <f>9694.381848+3893.19437+-81.776129</f>
        <v/>
      </c>
      <c r="BE91" s="976" t="n"/>
      <c r="BF91" s="976">
        <f>+-684188.338193+-2609.060724</f>
        <v/>
      </c>
      <c r="BG91" s="976" t="n">
        <v>-76800.937486</v>
      </c>
      <c r="BH91" s="976">
        <f>+-296.470122+-168.521141</f>
        <v/>
      </c>
      <c r="BI91" s="976" t="n">
        <v>-1502.750855</v>
      </c>
      <c r="BJ91" s="976" t="n">
        <v>-4469.996651</v>
      </c>
      <c r="BK91" s="976" t="n">
        <v>-3310923.762404</v>
      </c>
      <c r="BL91" s="978">
        <f>+BK91-BC91-SUM(BD91:BJ91)</f>
        <v/>
      </c>
      <c r="BM91" s="976" t="n">
        <v>7391376.926733</v>
      </c>
      <c r="BN91" s="976" t="n"/>
      <c r="BO91" s="976" t="n"/>
      <c r="BP91" s="976" t="n">
        <v>634146.584359</v>
      </c>
      <c r="BQ91" s="976" t="n">
        <v>168.521141</v>
      </c>
      <c r="BR91" s="976" t="n"/>
      <c r="BS91" s="976" t="n">
        <v>8025692.032233</v>
      </c>
      <c r="BT91" s="978">
        <f>+BM91+SUM(BN91:BR91)-BS91</f>
        <v/>
      </c>
      <c r="BU91" s="978" t="n">
        <v>18913218.52568</v>
      </c>
      <c r="BV91" s="978" t="n">
        <v>1975457.235379</v>
      </c>
      <c r="BW91" s="978" t="n">
        <v>9670290.380909</v>
      </c>
      <c r="BX91" s="978" t="n">
        <v>1516547.172067</v>
      </c>
      <c r="BY91" s="978" t="n">
        <v>730614.66671</v>
      </c>
      <c r="BZ91" s="978" t="n">
        <v>344027.108381</v>
      </c>
      <c r="CA91" s="978" t="n">
        <v>234843.505425</v>
      </c>
      <c r="CB91" s="978">
        <f>2562521.809349+2183752.839138+3559212.613259</f>
        <v/>
      </c>
      <c r="CC91" s="976" t="n"/>
      <c r="CD91" s="976">
        <f>CB91+BX91-BY91+BZ91+CA91-BW91</f>
        <v/>
      </c>
      <c r="CE91" s="976" t="n">
        <v>634505.653541</v>
      </c>
      <c r="CF91" s="976">
        <f>550945.479327+478691.874706</f>
        <v/>
      </c>
      <c r="CG91" s="976">
        <f>428606.564939+388723.543099</f>
        <v/>
      </c>
      <c r="CH91" s="976" t="n">
        <v>1604941.401473</v>
      </c>
      <c r="CI91" s="976" t="n">
        <v>5583875.863822</v>
      </c>
      <c r="CJ91" s="976" t="n">
        <v>9670290.380909</v>
      </c>
      <c r="CK91" s="976">
        <f>CJ91-SUM(CE91:CI91)</f>
        <v/>
      </c>
      <c r="CL91" s="976">
        <f>BW91-CJ91</f>
        <v/>
      </c>
      <c r="CM91" s="976" t="n"/>
      <c r="CN91" s="977" t="n"/>
      <c r="CO91" s="976" t="n"/>
      <c r="CP91" s="976" t="n"/>
      <c r="CQ91" s="977" t="n">
        <v>1.798</v>
      </c>
      <c r="CR91" s="976" t="n">
        <v>14228760</v>
      </c>
      <c r="CS91" s="976" t="n">
        <v>7911971</v>
      </c>
      <c r="CT91" s="976" t="n"/>
      <c r="CU91" s="976">
        <f>+CU88+31146.216704</f>
        <v/>
      </c>
      <c r="CV91" s="976" t="n"/>
      <c r="CW91" s="110" t="n"/>
      <c r="CX91" s="110" t="n"/>
      <c r="CY91" s="110" t="n"/>
      <c r="CZ91" s="977" t="n"/>
      <c r="DA91" s="976" t="n"/>
      <c r="DB91" s="976" t="n"/>
      <c r="DC91" s="977" t="n"/>
      <c r="DD91" s="976" t="n"/>
      <c r="DE91" s="976" t="n"/>
      <c r="DF91" s="976" t="n"/>
      <c r="DG91" s="976">
        <f>+DH91+DK91</f>
        <v/>
      </c>
      <c r="DH91" s="976" t="n">
        <v>-234649.9677879997</v>
      </c>
      <c r="DI91" s="976" t="n">
        <v>4085613.43975</v>
      </c>
      <c r="DJ91" s="976">
        <f>+DI91-DH91</f>
        <v/>
      </c>
      <c r="DK91" s="976" t="n">
        <v>22256.26474299999</v>
      </c>
      <c r="DL91" s="976" t="n">
        <v>504307.298027</v>
      </c>
      <c r="DM91" s="976">
        <f>+DL91-DK91</f>
        <v/>
      </c>
      <c r="DN91" s="976" t="n"/>
      <c r="DO91" s="976" t="n"/>
      <c r="DP91" s="976" t="n"/>
      <c r="DQ91" s="976" t="n"/>
      <c r="DR91" s="976" t="n"/>
      <c r="DS91" s="976" t="n"/>
      <c r="DT91" s="976" t="n"/>
      <c r="DU91" s="976" t="n"/>
      <c r="DV91" s="976" t="n"/>
      <c r="DW91" s="976" t="n"/>
      <c r="DX91" s="976" t="n"/>
      <c r="DY91" s="976" t="n"/>
      <c r="DZ91" s="976" t="n"/>
      <c r="EA91" s="976" t="n"/>
      <c r="EB91" s="976" t="n"/>
      <c r="EC91" s="976" t="n"/>
      <c r="ED91" s="976" t="n"/>
      <c r="EE91" s="976" t="n"/>
      <c r="EP91" s="976" t="n"/>
      <c r="EQ91" s="976" t="n"/>
      <c r="ER91" s="976" t="n"/>
      <c r="ES91" s="976" t="n"/>
      <c r="ET91" s="976" t="n"/>
      <c r="EU91" s="976" t="n"/>
      <c r="EV91" s="976" t="n"/>
      <c r="EW91" s="976" t="n"/>
      <c r="EX91" s="976" t="n"/>
      <c r="EY91" s="976" t="n"/>
      <c r="EZ91" s="976" t="n"/>
      <c r="FA91" s="976" t="n"/>
      <c r="FB91" s="976" t="n"/>
    </row>
    <row r="92" customFormat="1" s="103">
      <c r="A92" s="103">
        <f>B92&amp;C92</f>
        <v/>
      </c>
      <c r="B92" s="103" t="n">
        <v>2512</v>
      </c>
      <c r="C92" s="103" t="inlineStr">
        <is>
          <t>현대해상</t>
        </is>
      </c>
      <c r="D92" s="976" t="n">
        <v>49645874.619981</v>
      </c>
      <c r="E92" s="976" t="n">
        <v>9040657.765254</v>
      </c>
      <c r="F92" s="976" t="n">
        <v>25341092.240272</v>
      </c>
      <c r="G92" s="976" t="n">
        <v>10401582.761756</v>
      </c>
      <c r="H92" s="976" t="n">
        <v>337372.021146</v>
      </c>
      <c r="I92" s="977">
        <f>+E92/$D92</f>
        <v/>
      </c>
      <c r="J92" s="977">
        <f>+F92/$D92</f>
        <v/>
      </c>
      <c r="K92" s="977">
        <f>+G92/$D92</f>
        <v/>
      </c>
      <c r="L92" s="976" t="n">
        <v>44762387.153459</v>
      </c>
      <c r="M92" s="976" t="n">
        <v>34852924.404989</v>
      </c>
      <c r="N92" s="978">
        <f>+O92-P92</f>
        <v/>
      </c>
      <c r="O92" s="978" t="n">
        <v>4883487.466522</v>
      </c>
      <c r="P92" s="978" t="n"/>
      <c r="Q92" s="978" t="n">
        <v>-3159330.002857</v>
      </c>
      <c r="R92" s="978" t="n">
        <v>7952651.855381</v>
      </c>
      <c r="S92" s="978" t="n">
        <v>4927149.05341</v>
      </c>
      <c r="T92" s="978">
        <f>+N88</f>
        <v/>
      </c>
      <c r="U92" s="979" t="n">
        <v>49645875</v>
      </c>
      <c r="V92" s="979" t="n">
        <v>47015757</v>
      </c>
      <c r="W92" s="109" t="n">
        <v>0.947</v>
      </c>
      <c r="X92" s="978" t="n">
        <v>-3159330.002857</v>
      </c>
      <c r="Y92" s="978">
        <f>+-3805091.972358+2282.976153</f>
        <v/>
      </c>
      <c r="Z92" s="978" t="n">
        <v>619502.2327620001</v>
      </c>
      <c r="AA92" s="978" t="n">
        <v>-16314.455676</v>
      </c>
      <c r="AB92" s="978">
        <f>+-228163.810994+12710.707919</f>
        <v/>
      </c>
      <c r="AC92" s="978" t="n">
        <v>341912.149052</v>
      </c>
      <c r="AD92" s="978" t="n">
        <v>-86167.829715</v>
      </c>
      <c r="AE92" s="978">
        <f>X92-SUM(Y92:AD92)</f>
        <v/>
      </c>
      <c r="AF92" s="976" t="n">
        <v>396111.304194</v>
      </c>
      <c r="AG92" s="976" t="n">
        <v>14728779.445394</v>
      </c>
      <c r="AH92" s="976" t="n">
        <v>14332668.1412</v>
      </c>
      <c r="AI92" s="976" t="n">
        <v>330751.285318</v>
      </c>
      <c r="AJ92" s="976">
        <f>59120.413143-960104.484086</f>
        <v/>
      </c>
      <c r="AK92" s="976">
        <f>63125.333548-50244.531044</f>
        <v/>
      </c>
      <c r="AL92" s="976">
        <f>+AI92-AJ92-AK92+AM92-AN92</f>
        <v/>
      </c>
      <c r="AM92" s="976" t="n">
        <v>10222.374417</v>
      </c>
      <c r="AN92" s="976">
        <f>48099.04082-81611.326706</f>
        <v/>
      </c>
      <c r="AO92" s="976" t="n">
        <v>726862.589512</v>
      </c>
      <c r="AP92" s="976" t="n">
        <v>-32584.869919</v>
      </c>
      <c r="AQ92" s="978" t="n">
        <v>694277.719593</v>
      </c>
      <c r="AR92" s="978" t="n">
        <v>561106.407507</v>
      </c>
      <c r="AS92" s="978">
        <f>+AO92+AP92-AQ92</f>
        <v/>
      </c>
      <c r="AT92" s="978">
        <f>+AJ92+AK92+AL92-AM92+AN92-AI92</f>
        <v/>
      </c>
      <c r="AU92" s="978">
        <f>+AF92+AI92-AO92</f>
        <v/>
      </c>
      <c r="AV92" s="978">
        <f>+AF92</f>
        <v/>
      </c>
      <c r="AW92" s="978">
        <f>+AI92</f>
        <v/>
      </c>
      <c r="AX92" s="978">
        <f>+AP92</f>
        <v/>
      </c>
      <c r="AY92" s="978">
        <f>+SUM(AV92:AX92)</f>
        <v/>
      </c>
      <c r="AZ92" s="976" t="n"/>
      <c r="BA92" s="976" t="n"/>
      <c r="BB92" s="977" t="n"/>
      <c r="BC92" s="976" t="n">
        <v>-2554393.487321</v>
      </c>
      <c r="BD92" s="976">
        <f>10039.28063+-1070701.580722+39.230603</f>
        <v/>
      </c>
      <c r="BE92" s="976" t="n"/>
      <c r="BF92" s="976">
        <f>755445.660861+-17094.593576</f>
        <v/>
      </c>
      <c r="BG92" s="976">
        <f>-279436.045005</f>
        <v/>
      </c>
      <c r="BH92" s="976">
        <f>+-273.135229+-168.521141</f>
        <v/>
      </c>
      <c r="BI92" s="976" t="n">
        <v>702.6678879999999</v>
      </c>
      <c r="BJ92" s="976" t="n">
        <v>-3489.479845</v>
      </c>
      <c r="BK92" s="976" t="n">
        <v>-3159330.002857</v>
      </c>
      <c r="BL92" s="978">
        <f>+BK92-BC92-SUM(BD92:BJ92)</f>
        <v/>
      </c>
      <c r="BM92" s="976" t="n">
        <v>7391376.929733</v>
      </c>
      <c r="BN92" s="976" t="n"/>
      <c r="BO92" s="976" t="n"/>
      <c r="BP92" s="976" t="n">
        <v>561106.407507</v>
      </c>
      <c r="BQ92" s="976" t="n"/>
      <c r="BR92" s="976" t="n">
        <v>168.521141</v>
      </c>
      <c r="BS92" s="976" t="n">
        <v>7952651.855381</v>
      </c>
      <c r="BT92" s="978">
        <f>+BM92+SUM(BN92:BR92)-BS92</f>
        <v/>
      </c>
      <c r="BU92" s="978">
        <f>5718375.86743+12496071.53608</f>
        <v/>
      </c>
      <c r="BV92" s="978">
        <f>5744.735039+1928803.58041</f>
        <v/>
      </c>
      <c r="BW92" s="978">
        <f>108930.990435+8868911.078887</f>
        <v/>
      </c>
      <c r="BX92" s="978">
        <f>1385.665631+2036175.606349</f>
        <v/>
      </c>
      <c r="BY92" s="978">
        <f>11395.088171+952506.267793</f>
        <v/>
      </c>
      <c r="BZ92" s="978">
        <f>+-26035.634887+-692995.01317</f>
        <v/>
      </c>
      <c r="CA92" s="978">
        <f>4005.567962+313719.971613</f>
        <v/>
      </c>
      <c r="CB92" s="978">
        <f>140970.4799+8164516.781888</f>
        <v/>
      </c>
      <c r="CC92" s="976" t="n"/>
      <c r="CD92" s="976">
        <f>CB92+BX92-BY92+BZ92+CA92-BW92</f>
        <v/>
      </c>
      <c r="CE92" s="976">
        <f>622716.861134</f>
        <v/>
      </c>
      <c r="CF92" s="976">
        <f>536611.722028</f>
        <v/>
      </c>
      <c r="CG92" s="976">
        <f>460599.517876+410371.897902+368871.068876</f>
        <v/>
      </c>
      <c r="CH92" s="976">
        <f>1523288.857716</f>
        <v/>
      </c>
      <c r="CI92" s="976">
        <f>5055382.143791</f>
        <v/>
      </c>
      <c r="CJ92" s="976">
        <f>8977842.069322</f>
        <v/>
      </c>
      <c r="CK92" s="976">
        <f>CJ92-SUM(CE92:CI92)</f>
        <v/>
      </c>
      <c r="CL92" s="976">
        <f>BW92-CJ92</f>
        <v/>
      </c>
      <c r="CM92" s="976" t="n"/>
      <c r="CN92" s="977" t="n">
        <v>1.901</v>
      </c>
      <c r="CO92" s="976" t="n">
        <v>13958476</v>
      </c>
      <c r="CP92" s="976" t="n">
        <v>7340818</v>
      </c>
      <c r="CQ92" s="995" t="n">
        <v>1.901</v>
      </c>
      <c r="CR92" s="978" t="n">
        <v>13958476</v>
      </c>
      <c r="CS92" s="978" t="n">
        <v>7340818</v>
      </c>
      <c r="CT92" s="976" t="n"/>
      <c r="CU92" s="976">
        <f>4018336.788737+-101722.199827</f>
        <v/>
      </c>
      <c r="CV92" s="976" t="n"/>
      <c r="CW92" s="110" t="n">
        <v>0.973</v>
      </c>
      <c r="CX92" s="110" t="n">
        <v>1.039</v>
      </c>
      <c r="CY92" s="110" t="n">
        <v>-0.066</v>
      </c>
      <c r="CZ92" s="977">
        <f>+CX92/CW92</f>
        <v/>
      </c>
      <c r="DA92" s="976" t="n"/>
      <c r="DB92" s="976" t="n"/>
      <c r="DC92" s="977" t="n"/>
      <c r="DD92" s="976" t="n"/>
      <c r="DE92" s="976" t="n"/>
      <c r="DF92" s="976" t="n"/>
      <c r="DG92" s="976">
        <f>+DH92+DK92</f>
        <v/>
      </c>
      <c r="DH92" s="976" t="n">
        <v>-349811.0289159994</v>
      </c>
      <c r="DI92" s="976" t="n">
        <v>5478673.874207</v>
      </c>
      <c r="DJ92" s="976">
        <f>+DI92-DH92</f>
        <v/>
      </c>
      <c r="DK92" s="974" t="n">
        <v>43696.92967600008</v>
      </c>
      <c r="DL92" s="974" t="n">
        <v>677337.30651</v>
      </c>
      <c r="DM92" s="974">
        <f>+DL92-DK92</f>
        <v/>
      </c>
      <c r="DN92" s="976" t="n"/>
      <c r="DO92" s="976" t="n"/>
      <c r="DP92" s="976" t="n"/>
      <c r="DQ92" s="976" t="n"/>
      <c r="DR92" s="976" t="n"/>
      <c r="DS92" s="976" t="n"/>
      <c r="DT92" s="976" t="n"/>
      <c r="DU92" s="976" t="n"/>
      <c r="DV92" s="976" t="n"/>
      <c r="DW92" s="976" t="n"/>
      <c r="DX92" s="976" t="n"/>
      <c r="DY92" s="976" t="n"/>
      <c r="DZ92" s="976" t="n"/>
      <c r="EA92" s="976" t="n"/>
      <c r="EB92" s="976" t="n"/>
      <c r="EC92" s="976" t="n"/>
      <c r="ED92" s="976" t="n"/>
      <c r="EE92" s="976" t="n"/>
      <c r="EP92" s="976" t="n">
        <v>299613.522329</v>
      </c>
      <c r="EQ92" s="976" t="n">
        <v>1298617.542534</v>
      </c>
      <c r="ER92" s="976" t="n">
        <v>-400726.961712</v>
      </c>
      <c r="ES92" s="976" t="n">
        <v>-31793.662579</v>
      </c>
      <c r="ET92" s="976">
        <f>-38402.825147-114906.005461</f>
        <v/>
      </c>
      <c r="EU92" s="976" t="n"/>
      <c r="EV92" s="976" t="n"/>
      <c r="EW92" s="976">
        <f>-EP92</f>
        <v/>
      </c>
      <c r="EX92" s="976">
        <f>-EQ92</f>
        <v/>
      </c>
      <c r="EY92" s="976">
        <f>-ER92</f>
        <v/>
      </c>
      <c r="EZ92" s="976">
        <f>-ES92</f>
        <v/>
      </c>
      <c r="FA92" s="976">
        <f>-ET92</f>
        <v/>
      </c>
      <c r="FB92" s="976" t="n">
        <v>293370.961949</v>
      </c>
      <c r="FC92" s="766">
        <f>SUM(EW92:FB92)-BZ92</f>
        <v/>
      </c>
    </row>
    <row r="93" ht="16.5" customFormat="1" customHeight="1" s="103">
      <c r="A93" s="696">
        <f>B93&amp;C93</f>
        <v/>
      </c>
      <c r="B93" s="696" t="n">
        <v>2603</v>
      </c>
      <c r="C93" s="696" t="inlineStr">
        <is>
          <t>현대해상</t>
        </is>
      </c>
      <c r="D93" s="976" t="n">
        <v>48660021.4</v>
      </c>
      <c r="E93" s="976" t="n">
        <v>8725327.73</v>
      </c>
      <c r="F93" s="976" t="n">
        <v>24454641.18</v>
      </c>
      <c r="G93" s="976" t="n">
        <v>10830873.94</v>
      </c>
      <c r="H93" s="976" t="n">
        <v>346988.18</v>
      </c>
      <c r="I93" s="977">
        <f>E93/D93</f>
        <v/>
      </c>
      <c r="J93" s="977">
        <f>F93/D93</f>
        <v/>
      </c>
      <c r="K93" s="977">
        <f>G93/D93</f>
        <v/>
      </c>
      <c r="L93" s="976" t="n">
        <v>43375029.25</v>
      </c>
      <c r="M93" s="976" t="n">
        <v>32856613.44</v>
      </c>
      <c r="N93" s="978">
        <f>O93-P93</f>
        <v/>
      </c>
      <c r="O93" s="978" t="n">
        <v>5284992.16</v>
      </c>
      <c r="P93" s="978" t="n"/>
      <c r="Q93" s="978" t="n">
        <v>-2981805.46</v>
      </c>
      <c r="R93" s="978" t="n">
        <v>8245084.05</v>
      </c>
      <c r="S93" s="978" t="n">
        <v>4883487.47</v>
      </c>
      <c r="T93" s="978" t="n">
        <v>4883487.47</v>
      </c>
      <c r="U93" s="979" t="n">
        <v>48660021.4</v>
      </c>
      <c r="V93" s="979" t="n">
        <v>46106590.21</v>
      </c>
      <c r="W93" s="109" t="n"/>
      <c r="X93" s="978">
        <f>Q93</f>
        <v/>
      </c>
      <c r="Y93" s="978" t="n">
        <v>-5035562.09</v>
      </c>
      <c r="Z93" s="978" t="n">
        <v>2241721.71</v>
      </c>
      <c r="AA93" s="978" t="n">
        <v>-31874.64</v>
      </c>
      <c r="AB93" s="978" t="n">
        <v>-429617.12</v>
      </c>
      <c r="AC93" s="978" t="n">
        <v>341912.15</v>
      </c>
      <c r="AD93" s="978" t="n">
        <v>-74039.45</v>
      </c>
      <c r="AE93" s="978" t="n"/>
      <c r="AF93" s="976" t="n">
        <v>302065.36</v>
      </c>
      <c r="AG93" s="976" t="n">
        <v>3568874.1</v>
      </c>
      <c r="AH93" s="976" t="n">
        <v>3266808.74</v>
      </c>
      <c r="AI93" s="976" t="n">
        <v>7260.4</v>
      </c>
      <c r="AJ93" s="976" t="n">
        <v>-241726.22</v>
      </c>
      <c r="AK93" s="976" t="n">
        <v>14313.26</v>
      </c>
      <c r="AL93" s="976">
        <f>AI93-AJ93-AK93+AM93-AN93</f>
        <v/>
      </c>
      <c r="AM93" s="976" t="n">
        <v>3422.64</v>
      </c>
      <c r="AN93" s="976" t="n">
        <v>-4615.94</v>
      </c>
      <c r="AO93" s="976" t="n">
        <v>309325.76</v>
      </c>
      <c r="AP93" s="976" t="n">
        <v>-10038.97</v>
      </c>
      <c r="AQ93" s="978" t="n">
        <v>299286.79</v>
      </c>
      <c r="AR93" s="978" t="n">
        <v>223267.48</v>
      </c>
      <c r="AS93" s="978" t="n"/>
      <c r="AT93" s="978" t="n"/>
      <c r="AU93" s="978" t="n"/>
      <c r="AV93" s="978">
        <f>AF93</f>
        <v/>
      </c>
      <c r="AW93" s="978">
        <f>AI93</f>
        <v/>
      </c>
      <c r="AX93" s="978">
        <f>AP93</f>
        <v/>
      </c>
      <c r="AY93" s="978">
        <f>AV93+AW93+AX93</f>
        <v/>
      </c>
      <c r="AZ93" s="976" t="n"/>
      <c r="BA93" s="976" t="n"/>
      <c r="BB93" s="977" t="n"/>
      <c r="BC93" s="976" t="n">
        <v>-3159330</v>
      </c>
      <c r="BD93" s="976" t="n">
        <v>-1230469.4</v>
      </c>
      <c r="BE93" s="976" t="n"/>
      <c r="BF93" s="976" t="n">
        <v>1606659.29</v>
      </c>
      <c r="BG93" s="976" t="n">
        <v>-221791.1</v>
      </c>
      <c r="BH93" s="976" t="n">
        <v>3370.29</v>
      </c>
      <c r="BI93" s="976" t="n">
        <v>12128.38</v>
      </c>
      <c r="BJ93" s="976" t="n">
        <v>7627.08</v>
      </c>
      <c r="BK93" s="976">
        <f>Q93</f>
        <v/>
      </c>
      <c r="BL93" s="978" t="n"/>
      <c r="BM93" s="976" t="n">
        <v>7952651.86</v>
      </c>
      <c r="BN93" s="976" t="n"/>
      <c r="BO93" s="976" t="n"/>
      <c r="BP93" s="976">
        <f>AR93</f>
        <v/>
      </c>
      <c r="BQ93" s="976" t="n">
        <v>68452.05</v>
      </c>
      <c r="BR93" s="976" t="n"/>
      <c r="BS93" s="976">
        <f>R93</f>
        <v/>
      </c>
      <c r="BT93" s="978" t="n"/>
      <c r="BU93" s="978" t="n">
        <v>16109951.37</v>
      </c>
      <c r="BV93" s="978" t="n">
        <v>1717514.71</v>
      </c>
      <c r="BW93" s="978" t="n">
        <v>9248462.98</v>
      </c>
      <c r="BX93" s="978" t="n">
        <v>470829.59</v>
      </c>
      <c r="BY93" s="978" t="n"/>
      <c r="BZ93" s="978" t="n">
        <v>-35465.21</v>
      </c>
      <c r="CA93" s="978" t="n">
        <v>76509.60000000001</v>
      </c>
      <c r="CB93" s="978" t="n">
        <v>8977842.07</v>
      </c>
      <c r="CC93" s="976" t="n"/>
      <c r="CD93" s="976" t="n"/>
      <c r="CE93" s="976" t="n"/>
      <c r="CF93" s="976" t="n"/>
      <c r="CG93" s="976" t="n"/>
      <c r="CH93" s="976" t="n"/>
      <c r="CI93" s="976" t="n"/>
      <c r="CJ93" s="976">
        <f>BW93</f>
        <v/>
      </c>
      <c r="CK93" s="976" t="n"/>
      <c r="CL93" s="976" t="n"/>
      <c r="CM93" s="976" t="n"/>
      <c r="CN93" s="977" t="n"/>
      <c r="CO93" s="976" t="n"/>
      <c r="CP93" s="976" t="n"/>
      <c r="CQ93" s="995" t="n">
        <v>2.07</v>
      </c>
      <c r="CR93" s="978" t="n">
        <v>14499299.12</v>
      </c>
      <c r="CS93" s="978" t="n">
        <v>6999023.92</v>
      </c>
      <c r="CT93" s="976" t="n"/>
      <c r="CU93" s="976" t="n">
        <v>4115017.21</v>
      </c>
      <c r="CV93" s="976" t="n"/>
      <c r="CW93" s="110" t="n"/>
      <c r="CX93" s="110" t="n"/>
      <c r="CY93" s="110" t="n"/>
      <c r="CZ93" s="977" t="n"/>
      <c r="DA93" s="976" t="n"/>
      <c r="DB93" s="976" t="n"/>
      <c r="DC93" s="977" t="n"/>
      <c r="DD93" s="976" t="n"/>
      <c r="DE93" s="976" t="n"/>
      <c r="DF93" s="976" t="n"/>
      <c r="DG93" s="976" t="n"/>
      <c r="DH93" s="976" t="n"/>
      <c r="DI93" s="976" t="n"/>
      <c r="DJ93" s="976" t="n"/>
      <c r="DK93" s="974" t="n"/>
      <c r="DL93" s="974" t="n"/>
      <c r="DM93" s="974" t="n"/>
      <c r="DN93" s="976" t="n"/>
      <c r="DO93" s="976" t="n"/>
      <c r="DP93" s="976" t="n"/>
      <c r="DQ93" s="976" t="n"/>
      <c r="DR93" s="976" t="n"/>
      <c r="DS93" s="976" t="n"/>
      <c r="DT93" s="976" t="n"/>
      <c r="DU93" s="976" t="n"/>
      <c r="DV93" s="976" t="n"/>
      <c r="DW93" s="976" t="n"/>
      <c r="DX93" s="976" t="n"/>
      <c r="DY93" s="976" t="n"/>
      <c r="DZ93" s="976" t="n"/>
      <c r="EA93" s="976" t="n"/>
      <c r="EB93" s="976" t="n"/>
      <c r="EC93" s="976" t="n"/>
      <c r="ED93" s="976" t="n"/>
      <c r="EE93" s="976" t="n"/>
      <c r="EP93" s="976" t="n"/>
      <c r="EQ93" s="976" t="n"/>
      <c r="ER93" s="976" t="n"/>
      <c r="ES93" s="976" t="n"/>
      <c r="ET93" s="976" t="n"/>
      <c r="EU93" s="976" t="n"/>
      <c r="EV93" s="976" t="n"/>
      <c r="EW93" s="976" t="n"/>
      <c r="EX93" s="976" t="n"/>
      <c r="EY93" s="976" t="n"/>
      <c r="EZ93" s="976" t="n"/>
      <c r="FA93" s="976" t="n"/>
      <c r="FB93" s="976" t="n"/>
      <c r="FC93" s="766" t="n"/>
    </row>
    <row r="94" ht="16.5" customFormat="1" customHeight="1" s="103">
      <c r="A94" s="696">
        <f>B94&amp;C94</f>
        <v/>
      </c>
      <c r="B94" s="696" t="n">
        <v>2606</v>
      </c>
      <c r="C94" s="696" t="inlineStr">
        <is>
          <t>현대해상</t>
        </is>
      </c>
      <c r="D94" s="976" t="n">
        <v>48312532.57</v>
      </c>
      <c r="E94" s="976" t="n">
        <v>9004414.560000001</v>
      </c>
      <c r="F94" s="976" t="n">
        <v>23740908.33</v>
      </c>
      <c r="G94" s="976" t="n">
        <v>10586157.31</v>
      </c>
      <c r="H94" s="976" t="n">
        <v>356414.03</v>
      </c>
      <c r="I94" s="977">
        <f>E94/D94</f>
        <v/>
      </c>
      <c r="J94" s="977">
        <f>F94/D94</f>
        <v/>
      </c>
      <c r="K94" s="977">
        <f>G94/D94</f>
        <v/>
      </c>
      <c r="L94" s="976" t="n">
        <v>42107499.58</v>
      </c>
      <c r="M94" s="976" t="n">
        <v>30930795.76</v>
      </c>
      <c r="N94" s="978">
        <f>O94-P94</f>
        <v/>
      </c>
      <c r="O94" s="978" t="n">
        <v>6205032.99</v>
      </c>
      <c r="P94" s="978" t="n"/>
      <c r="Q94" s="978" t="n">
        <v>-2474507.63</v>
      </c>
      <c r="R94" s="978" t="n">
        <v>8611351.85</v>
      </c>
      <c r="S94" s="978" t="n">
        <v>4883487.47</v>
      </c>
      <c r="T94" s="978" t="n">
        <v>4883487.47</v>
      </c>
      <c r="U94" s="979" t="n">
        <v>48312532.57</v>
      </c>
      <c r="V94" s="979" t="n"/>
      <c r="W94" s="109" t="n"/>
      <c r="X94" s="978">
        <f>Q94</f>
        <v/>
      </c>
      <c r="Y94" s="978" t="n">
        <v>-5810842.74</v>
      </c>
      <c r="Z94" s="978" t="n">
        <v>3819485.55</v>
      </c>
      <c r="AA94" s="978" t="n">
        <v>-50272.73</v>
      </c>
      <c r="AB94" s="978" t="n">
        <v>-713827.26</v>
      </c>
      <c r="AC94" s="978" t="n">
        <v>341912.15</v>
      </c>
      <c r="AD94" s="978" t="n">
        <v>-66844.55</v>
      </c>
      <c r="AE94" s="978" t="n"/>
      <c r="AF94" s="976" t="n">
        <v>705794.54</v>
      </c>
      <c r="AG94" s="976" t="n">
        <v>7366662.38</v>
      </c>
      <c r="AH94" s="976" t="n">
        <v>6660867.84</v>
      </c>
      <c r="AI94" s="976" t="n">
        <v>108510.86</v>
      </c>
      <c r="AJ94" s="976" t="n">
        <v>0</v>
      </c>
      <c r="AK94" s="976" t="n">
        <v>0</v>
      </c>
      <c r="AL94" s="976">
        <f>AI94-AJ94-AK94+AM94-AN94</f>
        <v/>
      </c>
      <c r="AM94" s="976" t="n">
        <v>0</v>
      </c>
      <c r="AN94" s="976" t="n">
        <v>0</v>
      </c>
      <c r="AO94" s="976" t="n">
        <v>814305.4</v>
      </c>
      <c r="AP94" s="976" t="n">
        <v>-22070.07</v>
      </c>
      <c r="AQ94" s="978" t="n">
        <v>792235.33</v>
      </c>
      <c r="AR94" s="978" t="n">
        <v>615116.01</v>
      </c>
      <c r="AS94" s="978" t="n"/>
      <c r="AT94" s="978" t="n"/>
      <c r="AU94" s="978" t="n"/>
      <c r="AV94" s="978">
        <f>AF94</f>
        <v/>
      </c>
      <c r="AW94" s="978">
        <f>AI94</f>
        <v/>
      </c>
      <c r="AX94" s="978">
        <f>AP94</f>
        <v/>
      </c>
      <c r="AY94" s="978">
        <f>AV94+AW94+AX94</f>
        <v/>
      </c>
      <c r="AZ94" s="976" t="n"/>
      <c r="BA94" s="976" t="n"/>
      <c r="BB94" s="977" t="n"/>
      <c r="BC94" s="976" t="n">
        <v>-3159330</v>
      </c>
      <c r="BD94" s="976" t="n">
        <v>-2005747.89</v>
      </c>
      <c r="BE94" s="976" t="n"/>
      <c r="BF94" s="976" t="n">
        <v>3166025.05</v>
      </c>
      <c r="BG94" s="976" t="n">
        <v>-508565.78</v>
      </c>
      <c r="BH94" s="976" t="n">
        <v>3596.09</v>
      </c>
      <c r="BI94" s="976" t="n">
        <v>19323.28</v>
      </c>
      <c r="BJ94" s="976" t="n">
        <v>10191.62</v>
      </c>
      <c r="BK94" s="976">
        <f>Q94</f>
        <v/>
      </c>
      <c r="BL94" s="978" t="n"/>
      <c r="BM94" s="976" t="n">
        <v>7952651.86</v>
      </c>
      <c r="BN94" s="976" t="n"/>
      <c r="BO94" s="976" t="n">
        <v>-25580.74</v>
      </c>
      <c r="BP94" s="976">
        <f>AR94</f>
        <v/>
      </c>
      <c r="BQ94" s="976" t="n"/>
      <c r="BR94" s="976" t="n"/>
      <c r="BS94" s="976">
        <f>R94</f>
        <v/>
      </c>
      <c r="BT94" s="978" t="n"/>
      <c r="BU94" s="978" t="n">
        <v>13329428.4</v>
      </c>
      <c r="BV94" s="978" t="n">
        <v>1790217.24</v>
      </c>
      <c r="BW94" s="978" t="n">
        <v>9905449</v>
      </c>
      <c r="BX94" s="978" t="n">
        <v>950870.1800000001</v>
      </c>
      <c r="BY94" s="978" t="n"/>
      <c r="BZ94" s="978" t="n">
        <v>322077.34</v>
      </c>
      <c r="CA94" s="978" t="n">
        <v>155067.92</v>
      </c>
      <c r="CB94" s="978" t="n">
        <v>8977842.07</v>
      </c>
      <c r="CC94" s="976" t="n"/>
      <c r="CD94" s="976" t="n"/>
      <c r="CE94" s="976" t="n"/>
      <c r="CF94" s="976" t="n"/>
      <c r="CG94" s="976" t="n"/>
      <c r="CH94" s="976" t="n"/>
      <c r="CI94" s="976" t="n"/>
      <c r="CJ94" s="976">
        <f>BW94</f>
        <v/>
      </c>
      <c r="CK94" s="976" t="n"/>
      <c r="CL94" s="976" t="n"/>
      <c r="CM94" s="976" t="n"/>
      <c r="CN94" s="977" t="n"/>
      <c r="CO94" s="976" t="n"/>
      <c r="CP94" s="976" t="n"/>
      <c r="CQ94" s="995" t="n"/>
      <c r="CR94" s="978" t="n"/>
      <c r="CS94" s="978" t="n"/>
      <c r="CT94" s="976" t="n"/>
      <c r="CU94" s="976" t="n">
        <v>4360340.74</v>
      </c>
      <c r="CV94" s="976" t="n"/>
      <c r="CW94" s="110" t="n"/>
      <c r="CX94" s="110" t="n"/>
      <c r="CY94" s="110" t="n"/>
      <c r="CZ94" s="977" t="n"/>
      <c r="DA94" s="976" t="n"/>
      <c r="DB94" s="976" t="n"/>
      <c r="DC94" s="977" t="n"/>
      <c r="DD94" s="976" t="n"/>
      <c r="DE94" s="976" t="n"/>
      <c r="DF94" s="976" t="n"/>
      <c r="DG94" s="976" t="n"/>
      <c r="DH94" s="976" t="n"/>
      <c r="DI94" s="976" t="n"/>
      <c r="DJ94" s="976" t="n"/>
      <c r="DK94" s="974" t="n"/>
      <c r="DL94" s="974" t="n"/>
      <c r="DM94" s="974" t="n"/>
      <c r="DN94" s="976" t="n"/>
      <c r="DO94" s="976" t="n"/>
      <c r="DP94" s="976" t="n"/>
      <c r="DQ94" s="976" t="n"/>
      <c r="DR94" s="976" t="n"/>
      <c r="DS94" s="976" t="n"/>
      <c r="DT94" s="976" t="n"/>
      <c r="DU94" s="976" t="n"/>
      <c r="DV94" s="976" t="n"/>
      <c r="DW94" s="976" t="n"/>
      <c r="DX94" s="976" t="n"/>
      <c r="DY94" s="976" t="n"/>
      <c r="DZ94" s="976" t="n"/>
      <c r="EA94" s="976" t="n"/>
      <c r="EB94" s="976" t="n"/>
      <c r="EC94" s="976" t="n"/>
      <c r="ED94" s="976" t="n"/>
      <c r="EE94" s="976" t="n"/>
      <c r="EP94" s="976" t="n"/>
      <c r="EQ94" s="976" t="n"/>
      <c r="ER94" s="976" t="n"/>
      <c r="ES94" s="976" t="n"/>
      <c r="ET94" s="976" t="n"/>
      <c r="EU94" s="976" t="n"/>
      <c r="EV94" s="976" t="n"/>
      <c r="EW94" s="976" t="n"/>
      <c r="EX94" s="976" t="n"/>
      <c r="EY94" s="976" t="n"/>
      <c r="EZ94" s="976" t="n"/>
      <c r="FA94" s="976" t="n"/>
      <c r="FB94" s="976" t="n"/>
      <c r="FC94" s="766" t="n"/>
    </row>
    <row r="95" customFormat="1" s="103">
      <c r="A95" s="103">
        <f>B95&amp;C95</f>
        <v/>
      </c>
      <c r="D95" s="976" t="n"/>
      <c r="E95" s="976" t="n"/>
      <c r="F95" s="976" t="n"/>
      <c r="G95" s="976" t="n"/>
      <c r="H95" s="976" t="n"/>
      <c r="I95" s="977" t="n"/>
      <c r="J95" s="977" t="n"/>
      <c r="K95" s="977" t="n"/>
      <c r="L95" s="976" t="n"/>
      <c r="M95" s="976" t="n"/>
      <c r="N95" s="978" t="n"/>
      <c r="O95" s="978" t="n"/>
      <c r="P95" s="978" t="n"/>
      <c r="Q95" s="978" t="n"/>
      <c r="R95" s="978" t="n"/>
      <c r="S95" s="978" t="n"/>
      <c r="T95" s="978" t="n"/>
      <c r="U95" s="979" t="n"/>
      <c r="V95" s="979" t="n"/>
      <c r="W95" s="109" t="n"/>
      <c r="X95" s="978" t="n"/>
      <c r="Y95" s="978" t="n"/>
      <c r="Z95" s="978" t="n"/>
      <c r="AA95" s="978" t="n"/>
      <c r="AB95" s="978" t="n"/>
      <c r="AC95" s="978" t="n"/>
      <c r="AD95" s="978" t="n"/>
      <c r="AE95" s="978" t="n"/>
      <c r="AF95" s="976" t="n"/>
      <c r="AG95" s="976" t="n"/>
      <c r="AH95" s="976" t="n"/>
      <c r="AI95" s="976" t="n"/>
      <c r="AJ95" s="976" t="n"/>
      <c r="AK95" s="976" t="n"/>
      <c r="AL95" s="976" t="n"/>
      <c r="AM95" s="976" t="n"/>
      <c r="AN95" s="976" t="n"/>
      <c r="AO95" s="976" t="n"/>
      <c r="AP95" s="976" t="n"/>
      <c r="AQ95" s="978" t="n"/>
      <c r="AR95" s="978" t="n"/>
      <c r="AS95" s="978" t="n"/>
      <c r="AT95" s="978" t="n"/>
      <c r="AU95" s="978" t="n"/>
      <c r="AV95" s="978">
        <f>+AF95</f>
        <v/>
      </c>
      <c r="AW95" s="978">
        <f>+AI95</f>
        <v/>
      </c>
      <c r="AX95" s="978">
        <f>+AP95</f>
        <v/>
      </c>
      <c r="AY95" s="978">
        <f>+SUM(AV95:AX95)</f>
        <v/>
      </c>
      <c r="AZ95" s="976" t="n"/>
      <c r="BA95" s="976" t="n"/>
      <c r="BB95" s="977" t="n"/>
      <c r="BC95" s="976" t="n"/>
      <c r="BD95" s="976" t="n"/>
      <c r="BE95" s="976" t="n"/>
      <c r="BF95" s="976" t="n"/>
      <c r="BG95" s="976" t="n"/>
      <c r="BH95" s="976" t="n"/>
      <c r="BI95" s="976" t="n"/>
      <c r="BJ95" s="976" t="n"/>
      <c r="BK95" s="976" t="n"/>
      <c r="BL95" s="978" t="n"/>
      <c r="BM95" s="976" t="n"/>
      <c r="BN95" s="976" t="n"/>
      <c r="BO95" s="976" t="n"/>
      <c r="BP95" s="976" t="n"/>
      <c r="BQ95" s="976" t="n"/>
      <c r="BR95" s="976" t="n"/>
      <c r="BS95" s="976" t="n"/>
      <c r="BT95" s="978" t="n"/>
      <c r="BU95" s="978" t="n"/>
      <c r="BV95" s="978" t="n"/>
      <c r="BW95" s="978" t="n"/>
      <c r="BX95" s="978" t="n"/>
      <c r="BY95" s="978" t="n"/>
      <c r="BZ95" s="978" t="n"/>
      <c r="CA95" s="978" t="n"/>
      <c r="CB95" s="978" t="n"/>
      <c r="CC95" s="976" t="n"/>
      <c r="CD95" s="976" t="n"/>
      <c r="CE95" s="976" t="n"/>
      <c r="CF95" s="976" t="n"/>
      <c r="CG95" s="976" t="n"/>
      <c r="CH95" s="976" t="n"/>
      <c r="CI95" s="976" t="n"/>
      <c r="CJ95" s="976" t="n"/>
      <c r="CK95" s="976" t="n"/>
      <c r="CL95" s="976" t="n"/>
      <c r="CM95" s="976" t="n"/>
      <c r="CN95" s="977" t="n"/>
      <c r="CO95" s="976" t="n"/>
      <c r="CP95" s="976" t="n"/>
      <c r="CQ95" s="995" t="n"/>
      <c r="CR95" s="978" t="n"/>
      <c r="CS95" s="978" t="n"/>
      <c r="CT95" s="976" t="n"/>
      <c r="CU95" s="976" t="n"/>
      <c r="CV95" s="976" t="n"/>
      <c r="CW95" s="110" t="n"/>
      <c r="CX95" s="110" t="n"/>
      <c r="CY95" s="110" t="n"/>
      <c r="CZ95" s="977" t="n"/>
      <c r="DA95" s="976" t="n"/>
      <c r="DB95" s="976" t="n"/>
      <c r="DC95" s="977" t="n"/>
      <c r="DD95" s="976" t="n"/>
      <c r="DE95" s="976" t="n"/>
      <c r="DF95" s="976" t="n"/>
      <c r="DG95" s="976" t="n"/>
      <c r="DH95" s="976" t="n"/>
      <c r="DI95" s="976" t="n"/>
      <c r="DJ95" s="977">
        <f>+DJ92/DI92</f>
        <v/>
      </c>
      <c r="DK95" s="976" t="n"/>
      <c r="DL95" s="976" t="n"/>
      <c r="DM95" s="976" t="n"/>
      <c r="DN95" s="976" t="n"/>
      <c r="DO95" s="976" t="n"/>
      <c r="DP95" s="976" t="n"/>
      <c r="DQ95" s="976" t="n"/>
      <c r="DR95" s="976" t="n"/>
      <c r="DS95" s="976" t="n"/>
      <c r="DT95" s="976" t="n"/>
      <c r="DU95" s="976" t="n"/>
      <c r="DV95" s="976" t="n"/>
      <c r="DW95" s="976" t="n"/>
      <c r="DX95" s="976" t="n"/>
      <c r="DY95" s="976" t="n"/>
      <c r="DZ95" s="976" t="n"/>
      <c r="EA95" s="976" t="n"/>
      <c r="EB95" s="976" t="n"/>
      <c r="EC95" s="976" t="n"/>
      <c r="ED95" s="976" t="n"/>
      <c r="EE95" s="976" t="n"/>
      <c r="EP95" s="976" t="n"/>
      <c r="EQ95" s="976" t="n"/>
      <c r="ER95" s="976" t="n"/>
      <c r="ES95" s="976" t="n"/>
      <c r="ET95" s="976" t="n"/>
      <c r="EU95" s="976" t="n"/>
      <c r="EV95" s="976" t="n"/>
      <c r="EW95" s="976" t="n"/>
      <c r="EX95" s="976" t="n"/>
      <c r="EY95" s="976" t="n"/>
      <c r="EZ95" s="976" t="n"/>
      <c r="FA95" s="976" t="n"/>
      <c r="FB95" s="976" t="n"/>
    </row>
    <row r="96">
      <c r="A96" s="642">
        <f>B96&amp;C96</f>
        <v/>
      </c>
      <c r="B96" s="642" t="n">
        <v>2212</v>
      </c>
      <c r="C96" s="642" t="inlineStr">
        <is>
          <t>메리츠화재</t>
        </is>
      </c>
      <c r="I96" s="785" t="n"/>
      <c r="J96" s="785" t="n"/>
      <c r="K96" s="785" t="n"/>
      <c r="N96" s="965">
        <f>O96-P96</f>
        <v/>
      </c>
      <c r="O96" s="965" t="n">
        <v>3661822.899317</v>
      </c>
      <c r="P96" s="965" t="n">
        <v>283729.68</v>
      </c>
      <c r="Q96" s="965" t="n">
        <v>226645.251192</v>
      </c>
      <c r="R96" s="965" t="n">
        <v>3169582.4867</v>
      </c>
      <c r="AS96" s="965" t="n"/>
      <c r="AT96" s="965" t="n"/>
      <c r="AU96" s="965" t="n"/>
      <c r="AV96" s="965">
        <f>+AF96</f>
        <v/>
      </c>
      <c r="AW96" s="965">
        <f>+AI96</f>
        <v/>
      </c>
      <c r="AX96" s="965">
        <f>+AP96</f>
        <v/>
      </c>
      <c r="AY96" s="965">
        <f>+SUM(AV96:AX96)</f>
        <v/>
      </c>
      <c r="BB96" s="785" t="n"/>
      <c r="BC96" s="965" t="n"/>
      <c r="BD96" s="965" t="n"/>
      <c r="BE96" s="965" t="n"/>
      <c r="BF96" s="965" t="n"/>
      <c r="BG96" s="965" t="n"/>
      <c r="BH96" s="965" t="n"/>
      <c r="BI96" s="965" t="n"/>
      <c r="BJ96" s="965" t="n"/>
      <c r="BK96" s="965" t="n"/>
      <c r="BL96" s="965" t="n"/>
      <c r="BM96" s="965" t="n"/>
      <c r="BN96" s="965" t="n"/>
      <c r="BO96" s="965" t="n"/>
      <c r="BP96" s="965" t="n"/>
      <c r="BQ96" s="965" t="n"/>
      <c r="BR96" s="965" t="n"/>
      <c r="BS96" s="965" t="n"/>
      <c r="BT96" s="965" t="n">
        <v>3299567.19033</v>
      </c>
      <c r="BU96" s="965" t="n">
        <v>5901268</v>
      </c>
      <c r="BV96" s="965" t="n">
        <v>1971716</v>
      </c>
      <c r="BW96" s="965">
        <f>5585511+2410974+1641154</f>
        <v/>
      </c>
      <c r="CN96" s="785" t="n"/>
      <c r="CQ96" s="785" t="n"/>
    </row>
    <row r="97">
      <c r="A97" s="642">
        <f>B97&amp;C97</f>
        <v/>
      </c>
      <c r="B97" s="642" t="n">
        <v>2312</v>
      </c>
      <c r="C97" s="642" t="inlineStr">
        <is>
          <t>메리츠화재</t>
        </is>
      </c>
      <c r="D97" s="786" t="n">
        <v>39403862.443763</v>
      </c>
      <c r="E97" s="786" t="n">
        <v>8052071.734624</v>
      </c>
      <c r="F97" s="786" t="n">
        <v>26102575.035676</v>
      </c>
      <c r="G97" s="786">
        <f>836352.512865+376745.911001</f>
        <v/>
      </c>
      <c r="H97" s="786" t="n">
        <v>119097.7484</v>
      </c>
      <c r="I97" s="785">
        <f>+E97/$D97</f>
        <v/>
      </c>
      <c r="J97" s="785">
        <f>+F97/$D97</f>
        <v/>
      </c>
      <c r="K97" s="785">
        <f>+G97/$D97</f>
        <v/>
      </c>
      <c r="L97" s="786" t="n">
        <v>33931288.79078</v>
      </c>
      <c r="M97" s="786" t="n">
        <v>21549324.737068</v>
      </c>
      <c r="N97" s="965">
        <f>O97-P97</f>
        <v/>
      </c>
      <c r="O97" s="965" t="n">
        <v>5472573.652983</v>
      </c>
      <c r="P97" s="965" t="n">
        <v>283729.68</v>
      </c>
      <c r="Q97" s="965" t="n">
        <v>479733.856213</v>
      </c>
      <c r="R97" s="965" t="n">
        <v>4547708.998364</v>
      </c>
      <c r="S97" s="965" t="n">
        <v>3661822.899317</v>
      </c>
      <c r="T97" s="978">
        <f>N96</f>
        <v/>
      </c>
      <c r="U97" s="787" t="n">
        <v>39403862</v>
      </c>
      <c r="V97" s="787" t="n">
        <v>37673227</v>
      </c>
      <c r="W97" s="144" t="n">
        <v>0.956</v>
      </c>
      <c r="X97" s="965" t="n">
        <v>479734</v>
      </c>
      <c r="Y97" s="965" t="n">
        <v>-1781322</v>
      </c>
      <c r="Z97" s="965" t="n">
        <v>1816540</v>
      </c>
      <c r="AA97" s="965" t="n">
        <v>-55658</v>
      </c>
      <c r="AB97" s="965" t="n">
        <v>130303</v>
      </c>
      <c r="AC97" s="965" t="n">
        <v>381318</v>
      </c>
      <c r="AD97" s="965" t="n">
        <v>-11447</v>
      </c>
      <c r="AE97" s="965">
        <f>X97-SUM(Y97:AD97)</f>
        <v/>
      </c>
      <c r="AF97" s="786" t="n">
        <v>1497057.260733</v>
      </c>
      <c r="AG97" s="786" t="n">
        <v>8672579.732765</v>
      </c>
      <c r="AH97" s="786" t="n">
        <v>7175522.472032</v>
      </c>
      <c r="AI97" s="786" t="n">
        <v>609451.778718</v>
      </c>
      <c r="AJ97" s="786" t="n">
        <v>-673995.363422</v>
      </c>
      <c r="AK97" s="786" t="n">
        <v>25932.864124</v>
      </c>
      <c r="AL97" s="786">
        <f>+AI97-AJ97-AK97+AM97-AN97</f>
        <v/>
      </c>
      <c r="AM97" s="786" t="n">
        <v>31226.255661</v>
      </c>
      <c r="AN97" s="786">
        <f>529830.01587-116508.100875</f>
        <v/>
      </c>
      <c r="AO97" s="786" t="n">
        <v>2106509.039451</v>
      </c>
      <c r="AP97" s="786" t="n">
        <v>12978.156515</v>
      </c>
      <c r="AQ97" s="965" t="n">
        <v>2119487.195966</v>
      </c>
      <c r="AR97" s="965" t="n">
        <v>1566982.63253</v>
      </c>
      <c r="AS97" s="965">
        <f>+AO97+AP97-AQ97</f>
        <v/>
      </c>
      <c r="AT97" s="965">
        <f>+AJ97+AK97+AL97-AM97+AN97-AI97</f>
        <v/>
      </c>
      <c r="AU97" s="965">
        <f>+AF97+AI97-AO97</f>
        <v/>
      </c>
      <c r="AV97" s="965">
        <f>+AF97</f>
        <v/>
      </c>
      <c r="AW97" s="965">
        <f>+AI97</f>
        <v/>
      </c>
      <c r="AX97" s="965">
        <f>+AP97</f>
        <v/>
      </c>
      <c r="AY97" s="965">
        <f>+SUM(AV97:AX97)</f>
        <v/>
      </c>
      <c r="BB97" s="785">
        <f>+BF97/(BU97+BV97+BW97)</f>
        <v/>
      </c>
      <c r="BC97" s="786" t="n">
        <v>226645.251192</v>
      </c>
      <c r="BD97" s="786" t="n">
        <v>1143248.785961</v>
      </c>
      <c r="BF97" s="786">
        <f>-1263324.51472+85457.738393</f>
        <v/>
      </c>
      <c r="BG97" s="786" t="n">
        <v>297002.758475</v>
      </c>
      <c r="BH97" s="786" t="n">
        <v>0</v>
      </c>
      <c r="BI97" s="786" t="n">
        <v>-9296.163087999999</v>
      </c>
      <c r="BK97" s="786" t="n">
        <v>479733.856213</v>
      </c>
      <c r="BL97" s="965">
        <f>+BK97-BC97-SUM(BD97:BJ97)</f>
        <v/>
      </c>
      <c r="BM97" s="786" t="n">
        <v>3169582.4768</v>
      </c>
      <c r="BN97" s="786" t="n">
        <v>-9641.886425000001</v>
      </c>
      <c r="BO97" s="786" t="n">
        <v>-179236.087025</v>
      </c>
      <c r="BP97" s="786" t="n">
        <v>1566982.63253</v>
      </c>
      <c r="BQ97" s="786" t="n">
        <v>21.852584</v>
      </c>
      <c r="BS97" s="786" t="n">
        <v>4547708.998364</v>
      </c>
      <c r="BT97" s="965">
        <f>+BM97+SUM(BN97:BR97)-BS97</f>
        <v/>
      </c>
      <c r="BU97" s="965" t="n">
        <v>7791064</v>
      </c>
      <c r="BV97" s="965" t="n">
        <v>1798601</v>
      </c>
      <c r="BW97" s="965">
        <f>4618144+3222461+2628121</f>
        <v/>
      </c>
      <c r="BX97" s="965" t="n">
        <v>1600648</v>
      </c>
      <c r="BY97" s="965">
        <f>490522+263335+315903</f>
        <v/>
      </c>
      <c r="BZ97" s="965">
        <f>-607406+1011779-402209</f>
        <v/>
      </c>
      <c r="CA97" s="965">
        <f>130561+63043+104431</f>
        <v/>
      </c>
      <c r="CB97" s="965" t="n">
        <v>9637639</v>
      </c>
      <c r="CD97" s="786">
        <f>CB97+BX97-BY97+BZ97+CA97-BW97</f>
        <v/>
      </c>
      <c r="CE97" s="786" t="n">
        <v>1051871</v>
      </c>
      <c r="CF97" s="786" t="n">
        <v>1707046</v>
      </c>
      <c r="CG97" s="786" t="n">
        <v>1349788</v>
      </c>
      <c r="CH97" s="786" t="n">
        <v>2356730</v>
      </c>
      <c r="CI97" s="786" t="n">
        <v>4003291</v>
      </c>
      <c r="CJ97" s="786" t="n">
        <v>10468726</v>
      </c>
      <c r="CK97" s="786">
        <f>CJ97-SUM(CE97:CI97)</f>
        <v/>
      </c>
      <c r="CL97" s="786">
        <f>BW97-CJ97</f>
        <v/>
      </c>
      <c r="CN97" s="785" t="n">
        <v>2.406</v>
      </c>
      <c r="CO97" s="786" t="n">
        <v>12918337</v>
      </c>
      <c r="CP97" s="786" t="n">
        <v>5370330</v>
      </c>
      <c r="CQ97" s="785" t="n">
        <v>2.422</v>
      </c>
      <c r="CR97" s="786" t="n">
        <v>12949761</v>
      </c>
      <c r="CS97" s="786" t="n">
        <v>5346299</v>
      </c>
      <c r="CU97" s="786" t="n">
        <v>1031254.904425</v>
      </c>
      <c r="DC97" s="785" t="n">
        <v>0.908</v>
      </c>
      <c r="DG97" s="786" t="n">
        <v>863362.3523019999</v>
      </c>
      <c r="DH97" s="786">
        <f>+DI97-DJ97</f>
        <v/>
      </c>
      <c r="DI97" s="786" t="n">
        <v>4624945.266946</v>
      </c>
      <c r="DJ97" s="786" t="n">
        <v>3715098.949436</v>
      </c>
      <c r="DK97" s="786" t="n">
        <v>-46483.96520799998</v>
      </c>
      <c r="DL97" s="786" t="n">
        <v>396779.433634</v>
      </c>
      <c r="DM97" s="786" t="n">
        <v>443263.398842</v>
      </c>
      <c r="DN97" s="786" t="n">
        <v>678427.034294</v>
      </c>
      <c r="DO97" s="786" t="n">
        <v>678427.034294</v>
      </c>
      <c r="DP97" s="786" t="n">
        <v>-37503.611945</v>
      </c>
    </row>
    <row r="98">
      <c r="A98" s="642">
        <f>B98&amp;C98</f>
        <v/>
      </c>
      <c r="B98" s="642" t="n">
        <v>2412</v>
      </c>
      <c r="C98" s="642" t="inlineStr">
        <is>
          <t>메리츠화재</t>
        </is>
      </c>
      <c r="D98" s="786" t="n">
        <v>43358482.458819</v>
      </c>
      <c r="E98" s="786" t="n">
        <v>7043831.964924</v>
      </c>
      <c r="F98" s="786" t="n">
        <v>31071033.527892</v>
      </c>
      <c r="G98" s="786">
        <f>1066670.381695+456092.138113</f>
        <v/>
      </c>
      <c r="H98" s="786" t="n">
        <v>143704.78548</v>
      </c>
      <c r="I98" s="785">
        <f>+E98/$D98</f>
        <v/>
      </c>
      <c r="J98" s="785">
        <f>+F98/$D98</f>
        <v/>
      </c>
      <c r="K98" s="785">
        <f>+G98/$D98</f>
        <v/>
      </c>
      <c r="L98" s="786" t="n">
        <v>37618396.153772</v>
      </c>
      <c r="M98" s="786" t="n">
        <v>24357752.492165</v>
      </c>
      <c r="N98" s="965">
        <f>O98-P98</f>
        <v/>
      </c>
      <c r="O98" s="965" t="n">
        <v>5740086.305047</v>
      </c>
      <c r="P98" s="965" t="n">
        <v>283729.68</v>
      </c>
      <c r="Q98" s="965" t="n">
        <v>-171377.796805</v>
      </c>
      <c r="R98" s="965" t="n">
        <v>5466333.303446</v>
      </c>
      <c r="S98" s="965" t="n">
        <v>5472573.652983</v>
      </c>
      <c r="T98" s="978">
        <f>N97</f>
        <v/>
      </c>
      <c r="U98" s="787" t="n">
        <v>43358482</v>
      </c>
      <c r="V98" s="787" t="n">
        <v>41344387</v>
      </c>
      <c r="W98" s="144" t="n">
        <v>0.954</v>
      </c>
      <c r="X98" s="965" t="n">
        <v>-171378</v>
      </c>
      <c r="Y98" s="965" t="n">
        <v>-1039512</v>
      </c>
      <c r="Z98" s="965" t="n">
        <v>125600</v>
      </c>
      <c r="AA98" s="965" t="n">
        <v>-10498</v>
      </c>
      <c r="AB98" s="965" t="n">
        <v>305807</v>
      </c>
      <c r="AC98" s="965" t="n">
        <v>468466</v>
      </c>
      <c r="AD98" s="965" t="n">
        <v>-21241</v>
      </c>
      <c r="AE98" s="965">
        <f>X98-SUM(Y98:AD98)</f>
        <v/>
      </c>
      <c r="AF98" s="786" t="n">
        <v>1533644.053333</v>
      </c>
      <c r="AG98" s="786" t="n">
        <v>8977073.128508</v>
      </c>
      <c r="AH98" s="786" t="n">
        <v>7443429.075175</v>
      </c>
      <c r="AI98" s="786" t="n">
        <v>761580.942493</v>
      </c>
      <c r="AJ98" s="786" t="n">
        <v>-719221.843999</v>
      </c>
      <c r="AK98" s="786" t="n">
        <v>27919.351787</v>
      </c>
      <c r="AL98" s="786">
        <f>+AI98-AJ98-AK98+AM98-AN98</f>
        <v/>
      </c>
      <c r="AM98" s="786" t="n">
        <v>16289.049374</v>
      </c>
      <c r="AN98" s="786">
        <f>640551.37367-94642.802321</f>
        <v/>
      </c>
      <c r="AO98" s="786" t="n">
        <v>2295224.995826</v>
      </c>
      <c r="AP98" s="786" t="n">
        <v>3182.418989</v>
      </c>
      <c r="AQ98" s="965" t="n">
        <v>2298407.414815</v>
      </c>
      <c r="AR98" s="965" t="n">
        <v>1710549.883383</v>
      </c>
      <c r="AS98" s="965">
        <f>+AO98+AP98-AQ98</f>
        <v/>
      </c>
      <c r="AT98" s="965">
        <f>+AJ98+AK98+AL98-AM98+AN98-AI98</f>
        <v/>
      </c>
      <c r="AU98" s="965">
        <f>+AF98+AI98-AO98</f>
        <v/>
      </c>
      <c r="AV98" s="965">
        <f>+AF98</f>
        <v/>
      </c>
      <c r="AW98" s="965">
        <f>+AI98</f>
        <v/>
      </c>
      <c r="AX98" s="965">
        <f>+AP98</f>
        <v/>
      </c>
      <c r="AY98" s="965">
        <f>+SUM(AV98:AX98)</f>
        <v/>
      </c>
      <c r="BB98" s="785">
        <f>+BF98/(BU98+BV98+BW98)</f>
        <v/>
      </c>
      <c r="BC98" s="965" t="n">
        <v>479733.856231</v>
      </c>
      <c r="BD98" s="965" t="n">
        <v>741810.31333</v>
      </c>
      <c r="BE98" s="965" t="n"/>
      <c r="BF98" s="965">
        <f>-1690940.215782+45160.141473</f>
        <v/>
      </c>
      <c r="BG98" s="965" t="n">
        <v>175504.288526</v>
      </c>
      <c r="BH98" s="965" t="n">
        <v>87148.058846</v>
      </c>
      <c r="BI98" s="965" t="n">
        <v>-9794.239411</v>
      </c>
      <c r="BJ98" s="965" t="n"/>
      <c r="BK98" s="965" t="n">
        <v>-171377.796805</v>
      </c>
      <c r="BL98" s="965">
        <f>+BK98-BC98-SUM(BD98:BJ98)</f>
        <v/>
      </c>
      <c r="BM98" s="965" t="n">
        <v>4547708.998364</v>
      </c>
      <c r="BN98" s="965">
        <f>-148860-634630</f>
        <v/>
      </c>
      <c r="BO98" s="965" t="n"/>
      <c r="BP98" s="965" t="n">
        <v>1710549.883383</v>
      </c>
      <c r="BQ98" s="965" t="n">
        <v>1239.141699</v>
      </c>
      <c r="BR98" s="965" t="n">
        <v>-9674.719999999999</v>
      </c>
      <c r="BS98" s="965" t="n">
        <v>5466333.303446</v>
      </c>
      <c r="BT98" s="965">
        <f>+BM98+SUM(BN98:BR98)-BS98</f>
        <v/>
      </c>
      <c r="BU98" s="965" t="n">
        <v>10230975</v>
      </c>
      <c r="BV98" s="965" t="n">
        <v>1472714</v>
      </c>
      <c r="BW98" s="965">
        <f>4457098+3708292+3022499</f>
        <v/>
      </c>
      <c r="BX98" s="965" t="n">
        <v>1379571</v>
      </c>
      <c r="BY98" s="965">
        <f>425463+335177+389528</f>
        <v/>
      </c>
      <c r="BZ98" s="965">
        <f>142787+733137-724003</f>
        <v/>
      </c>
      <c r="CA98" s="965">
        <f>121630+87871+128338</f>
        <v/>
      </c>
      <c r="CB98" s="965">
        <f>4618144+3222461+2628121</f>
        <v/>
      </c>
      <c r="CD98" s="786">
        <f>CB98+BX98-BY98+BZ98+CA98-BW98</f>
        <v/>
      </c>
      <c r="CE98" s="786" t="n">
        <v>1078110</v>
      </c>
      <c r="CF98" s="786">
        <f>940805+831511</f>
        <v/>
      </c>
      <c r="CG98" s="786">
        <f>741679+662999</f>
        <v/>
      </c>
      <c r="CH98" s="786" t="n">
        <v>2458195</v>
      </c>
      <c r="CI98" s="786">
        <f>2617219+1117499+739873</f>
        <v/>
      </c>
      <c r="CJ98" s="786" t="n">
        <v>11187890</v>
      </c>
      <c r="CK98" s="786">
        <f>CJ98-SUM(CE98:CI98)</f>
        <v/>
      </c>
      <c r="CL98" s="786">
        <f>BW98-CJ98</f>
        <v/>
      </c>
      <c r="CN98" s="785" t="n"/>
      <c r="CQ98" s="785" t="n">
        <v>2.482</v>
      </c>
      <c r="CR98" s="786" t="n">
        <v>13516510</v>
      </c>
      <c r="CS98" s="786" t="n">
        <v>5444926</v>
      </c>
      <c r="CU98" s="786">
        <f>+CU97+761834.444678</f>
        <v/>
      </c>
      <c r="CW98" s="105" t="n">
        <v>0.9949</v>
      </c>
      <c r="CX98" s="105" t="n">
        <v>0.9018</v>
      </c>
      <c r="CY98" s="105" t="n">
        <v>0.0931</v>
      </c>
      <c r="CZ98" s="785">
        <f>+CX98/CW98</f>
        <v/>
      </c>
      <c r="DC98" s="785" t="n">
        <v>0.893</v>
      </c>
      <c r="DG98" s="786">
        <f>+DH98+DK98</f>
        <v/>
      </c>
      <c r="DH98" s="786">
        <f>+DI98-DJ98</f>
        <v/>
      </c>
      <c r="DI98" s="786" t="n">
        <v>4573218.620518</v>
      </c>
      <c r="DJ98" s="786" t="n">
        <v>4145059.828912</v>
      </c>
      <c r="DK98" s="786">
        <f>+DL98-DM98</f>
        <v/>
      </c>
      <c r="DL98" s="786" t="n">
        <v>474265.628807</v>
      </c>
      <c r="DM98" s="786" t="n">
        <v>467776.365933</v>
      </c>
    </row>
    <row r="99">
      <c r="A99" s="642">
        <f>B99&amp;C99</f>
        <v/>
      </c>
      <c r="B99" s="642" t="n">
        <v>2503</v>
      </c>
      <c r="C99" s="642">
        <f>C98</f>
        <v/>
      </c>
      <c r="D99" s="786" t="n">
        <v>44426134.909558</v>
      </c>
      <c r="E99" s="786" t="n">
        <v>8243793.422945</v>
      </c>
      <c r="F99" s="786" t="n">
        <v>30918911.814647</v>
      </c>
      <c r="G99" s="786">
        <f>1060581.17563+389762.668127</f>
        <v/>
      </c>
      <c r="H99" s="786" t="n">
        <v>145318.694397</v>
      </c>
      <c r="I99" s="785">
        <f>+E99/$D99</f>
        <v/>
      </c>
      <c r="J99" s="785">
        <f>+F99/$D99</f>
        <v/>
      </c>
      <c r="K99" s="785">
        <f>+G99/$D99</f>
        <v/>
      </c>
      <c r="L99" s="786" t="n">
        <v>39173541.920856</v>
      </c>
      <c r="M99" s="786" t="n">
        <v>25971651.582767</v>
      </c>
      <c r="N99" s="965">
        <f>O99-P99</f>
        <v/>
      </c>
      <c r="O99" s="965" t="n">
        <v>5252592.988702</v>
      </c>
      <c r="P99" s="965" t="n">
        <v>283729.68</v>
      </c>
      <c r="Q99" s="965" t="n">
        <v>-605835.305993</v>
      </c>
      <c r="R99" s="965" t="n">
        <v>5413297.496289</v>
      </c>
      <c r="S99" s="965" t="n">
        <v>5740086.305047</v>
      </c>
      <c r="T99" s="978">
        <f>N98</f>
        <v/>
      </c>
      <c r="U99" s="787" t="n">
        <v>44426135</v>
      </c>
      <c r="V99" s="787" t="n">
        <v>42265580</v>
      </c>
      <c r="W99" s="144" t="n">
        <v>0.951</v>
      </c>
      <c r="X99" s="965" t="n">
        <v>-605835.305993</v>
      </c>
      <c r="Y99" s="965">
        <f>-785425.75994+191278.987612</f>
        <v/>
      </c>
      <c r="Z99" s="965">
        <f>-944371.302973</f>
        <v/>
      </c>
      <c r="AA99" s="965" t="n">
        <v>12387.199235</v>
      </c>
      <c r="AB99" s="965" t="n">
        <v>473340.414218</v>
      </c>
      <c r="AC99" s="965" t="n">
        <v>468466.192367</v>
      </c>
      <c r="AD99" s="965" t="n">
        <v>-21511.036512</v>
      </c>
      <c r="AE99" s="965">
        <f>X99-SUM(Y99:AD99)</f>
        <v/>
      </c>
      <c r="AF99" s="786" t="n">
        <v>359840.075626</v>
      </c>
      <c r="AG99" s="786" t="n">
        <v>235025.936379</v>
      </c>
      <c r="AH99" s="786" t="n">
        <v>1996185.860753</v>
      </c>
      <c r="AI99" s="786" t="n">
        <v>262066.998393</v>
      </c>
      <c r="AJ99" s="786" t="n">
        <v>-168056.83015</v>
      </c>
      <c r="AK99" s="786" t="n">
        <v>6245.607863</v>
      </c>
      <c r="AL99" s="786">
        <f>+AI99-AJ99-AK99+AM99-AN99</f>
        <v/>
      </c>
      <c r="AM99" s="786" t="n">
        <v>2400.919476</v>
      </c>
      <c r="AN99" s="786">
        <f>119486.936373-29145.773283</f>
        <v/>
      </c>
      <c r="AO99" s="786" t="n">
        <v>621907.0740190001</v>
      </c>
      <c r="AP99" s="786" t="n">
        <v>2109.6886</v>
      </c>
      <c r="AQ99" s="965" t="n">
        <v>624016.762619</v>
      </c>
      <c r="AR99" s="965" t="n">
        <v>462513.372349</v>
      </c>
      <c r="AS99" s="965">
        <f>+AO99+AP99-AQ99</f>
        <v/>
      </c>
      <c r="AT99" s="965">
        <f>+AJ99+AK99+AL99-AM99+AN99-AI99</f>
        <v/>
      </c>
      <c r="AU99" s="965">
        <f>+AF99+AI99-AO99</f>
        <v/>
      </c>
      <c r="AV99" s="965">
        <f>+AF99</f>
        <v/>
      </c>
      <c r="AW99" s="965">
        <f>+AI99</f>
        <v/>
      </c>
      <c r="AX99" s="965">
        <f>+AP99</f>
        <v/>
      </c>
      <c r="AY99" s="965">
        <f>+SUM(AV99:AX99)</f>
        <v/>
      </c>
      <c r="BB99" s="785" t="n"/>
      <c r="BC99" s="965" t="n">
        <v>-171377.796805</v>
      </c>
      <c r="BD99" s="965" t="n">
        <v>445365.382448</v>
      </c>
      <c r="BE99" s="965" t="n"/>
      <c r="BF99" s="965">
        <f>-1069970.911448+22884.680311</f>
        <v/>
      </c>
      <c r="BG99" s="965" t="n">
        <v>167532.899966</v>
      </c>
      <c r="BH99" s="965" t="n"/>
      <c r="BI99" s="965" t="n">
        <v>-269.560465</v>
      </c>
      <c r="BJ99" s="965" t="n"/>
      <c r="BK99" s="965" t="n">
        <v>-605835.305993</v>
      </c>
      <c r="BL99" s="965">
        <f>+BK99-BC99-SUM(BD99:BJ99)</f>
        <v/>
      </c>
      <c r="BM99" s="965" t="n">
        <v>5466333.303446</v>
      </c>
      <c r="BN99" s="965" t="n">
        <v>-513160</v>
      </c>
      <c r="BO99" s="965" t="n"/>
      <c r="BP99" s="965" t="n">
        <v>462513.372349</v>
      </c>
      <c r="BQ99" s="965" t="n"/>
      <c r="BR99" s="965" t="n">
        <v>-2389.179506</v>
      </c>
      <c r="BS99" s="965" t="n">
        <v>5413297.496289</v>
      </c>
      <c r="BT99" s="965">
        <f>+BM99+SUM(BN99:BR99)-BS99</f>
        <v/>
      </c>
      <c r="BU99" s="965" t="n">
        <v>11797631</v>
      </c>
      <c r="BV99" s="965" t="n">
        <v>1501172</v>
      </c>
      <c r="BW99" s="965">
        <f>4312074+3653407+3201601</f>
        <v/>
      </c>
      <c r="BX99" s="965" t="n">
        <v>356791</v>
      </c>
      <c r="BY99" s="965">
        <f>99187+87535+100922</f>
        <v/>
      </c>
      <c r="BZ99" s="965">
        <f>-76051+6395-109864</f>
        <v/>
      </c>
      <c r="CA99" s="965">
        <f>30214+26255+33097</f>
        <v/>
      </c>
      <c r="CB99" s="965">
        <f>4457098+3708292+3022499</f>
        <v/>
      </c>
      <c r="CD99" s="786">
        <f>CB99+BX99-BY99+BZ99+CA99-BW99</f>
        <v/>
      </c>
      <c r="CE99" s="786" t="n">
        <v>1072688</v>
      </c>
      <c r="CF99" s="786">
        <f>937016+828494</f>
        <v/>
      </c>
      <c r="CG99" s="786">
        <f>738493+659484</f>
        <v/>
      </c>
      <c r="CH99" s="786" t="n">
        <v>2448518</v>
      </c>
      <c r="CI99" s="786">
        <f>2448+518+2618416+1120898+743073</f>
        <v/>
      </c>
      <c r="CJ99" s="786" t="n">
        <v>11167080</v>
      </c>
      <c r="CK99" s="786">
        <f>CJ99-SUM(CE99:CI99)</f>
        <v/>
      </c>
      <c r="CL99" s="786">
        <f>BW99-CJ99</f>
        <v/>
      </c>
      <c r="CN99" s="785" t="n"/>
      <c r="CQ99" s="785" t="n">
        <v>2.389</v>
      </c>
      <c r="CR99" s="786" t="n">
        <v>13244082</v>
      </c>
      <c r="CS99" s="786" t="n">
        <v>5543397</v>
      </c>
      <c r="CU99" s="786" t="n">
        <v>2019071</v>
      </c>
      <c r="CW99" s="105" t="n"/>
      <c r="CX99" s="105" t="n"/>
      <c r="CY99" s="105" t="n"/>
      <c r="CZ99" s="785" t="n"/>
      <c r="DC99" s="785" t="n">
        <v>0.9330000000000001</v>
      </c>
      <c r="DG99" s="786">
        <f>+DH99+DK99</f>
        <v/>
      </c>
      <c r="DH99" s="786">
        <f>+DI99-DJ99</f>
        <v/>
      </c>
      <c r="DI99" s="786" t="n">
        <v>1159790.845638</v>
      </c>
      <c r="DJ99" s="786" t="n">
        <v>1138806.691769</v>
      </c>
      <c r="DK99" s="786">
        <f>+DL99-DM99</f>
        <v/>
      </c>
      <c r="DL99" s="786" t="n">
        <v>123070.903356</v>
      </c>
      <c r="DM99" s="786" t="n">
        <v>86290.662066</v>
      </c>
    </row>
    <row r="100">
      <c r="A100" s="642">
        <f>B100&amp;C100</f>
        <v/>
      </c>
      <c r="B100" s="642" t="n">
        <v>2506</v>
      </c>
      <c r="C100" s="642">
        <f>C99</f>
        <v/>
      </c>
      <c r="D100" s="786" t="n">
        <v>44466739.671615</v>
      </c>
      <c r="E100" s="786" t="n">
        <v>8911786.237605</v>
      </c>
      <c r="F100" s="786" t="n">
        <v>30307679.529424</v>
      </c>
      <c r="G100" s="786" t="n">
        <v>1392337.446824</v>
      </c>
      <c r="H100" s="786" t="n">
        <v>146196.728373</v>
      </c>
      <c r="I100" s="785">
        <f>+E100/$D100</f>
        <v/>
      </c>
      <c r="J100" s="785">
        <f>+F100/$D100</f>
        <v/>
      </c>
      <c r="K100" s="785">
        <f>+G100/$D100</f>
        <v/>
      </c>
      <c r="L100" s="786" t="n">
        <v>38752729.105954</v>
      </c>
      <c r="M100" s="786" t="n">
        <v>25472225.285432</v>
      </c>
      <c r="N100" s="965" t="n">
        <v>5430280.885661</v>
      </c>
      <c r="O100" s="965" t="n">
        <v>5714010.565661</v>
      </c>
      <c r="P100" s="965" t="n">
        <v>283729.68</v>
      </c>
      <c r="Q100" s="965" t="n">
        <v>-666728.796239</v>
      </c>
      <c r="R100" s="965" t="n">
        <v>5935608.563494</v>
      </c>
      <c r="S100" s="965" t="n">
        <v>5740086.305047</v>
      </c>
      <c r="T100" s="978">
        <f>T99</f>
        <v/>
      </c>
      <c r="U100" s="787" t="n">
        <v>44466740</v>
      </c>
      <c r="V100" s="787" t="n">
        <v>42411399</v>
      </c>
      <c r="W100" s="144" t="n">
        <v>0.954</v>
      </c>
      <c r="X100" s="989" t="n">
        <v>-666728.796239</v>
      </c>
      <c r="Y100" s="989">
        <f>+-1170046.790016+196111.083258</f>
        <v/>
      </c>
      <c r="Z100" s="989" t="n">
        <v>-452287.830214</v>
      </c>
      <c r="AA100" s="989" t="n">
        <v>4660.350831</v>
      </c>
      <c r="AB100" s="989" t="n">
        <v>308238.310374</v>
      </c>
      <c r="AC100" s="989" t="n">
        <v>468466.192366</v>
      </c>
      <c r="AD100" s="989" t="n">
        <v>-21870.112838</v>
      </c>
      <c r="AE100" s="965">
        <f>X100-SUM(Y100:AD100)</f>
        <v/>
      </c>
      <c r="AF100" s="786" t="n">
        <v>724191.945967</v>
      </c>
      <c r="AG100" s="786" t="n">
        <v>4744667.88267</v>
      </c>
      <c r="AH100" s="786" t="n">
        <v>4020475.936703</v>
      </c>
      <c r="AI100" s="786" t="n">
        <v>604758.352688</v>
      </c>
      <c r="AJ100" s="786" t="n">
        <v>0</v>
      </c>
      <c r="AK100" s="786" t="n">
        <v>0</v>
      </c>
      <c r="AL100" s="786" t="n">
        <v>0</v>
      </c>
      <c r="AM100" s="786" t="n">
        <v>0</v>
      </c>
      <c r="AN100" s="786" t="n">
        <v>0</v>
      </c>
      <c r="AO100" s="786" t="n">
        <v>1328950.298655</v>
      </c>
      <c r="AP100" s="786" t="n">
        <v>2524.142953</v>
      </c>
      <c r="AQ100" s="965" t="n">
        <v>1331474.441608</v>
      </c>
      <c r="AR100" s="965" t="n">
        <v>987254.371281</v>
      </c>
      <c r="AS100" s="965">
        <f>+AO100+AP100-AQ100</f>
        <v/>
      </c>
      <c r="AT100" s="965">
        <f>+AJ100+AK100+AL100-AM100+AN100-AI100</f>
        <v/>
      </c>
      <c r="AU100" s="965">
        <f>+AF100+AI100-AO100</f>
        <v/>
      </c>
      <c r="AV100" s="965">
        <f>+AF100</f>
        <v/>
      </c>
      <c r="AW100" s="965">
        <f>+AI100</f>
        <v/>
      </c>
      <c r="AX100" s="965">
        <f>+AP100</f>
        <v/>
      </c>
      <c r="AY100" s="965">
        <f>+SUM(AV100:AX100)</f>
        <v/>
      </c>
      <c r="BB100" s="785" t="n"/>
      <c r="BC100" s="965" t="n">
        <v>-171377.796805</v>
      </c>
      <c r="BD100" s="965" t="n">
        <v>65576.448019</v>
      </c>
      <c r="BE100" s="965" t="n">
        <v>0</v>
      </c>
      <c r="BF100" s="965" t="n">
        <v>-562729.606785</v>
      </c>
      <c r="BG100" s="965" t="n">
        <v>2430.796122</v>
      </c>
      <c r="BH100" s="965" t="n">
        <v>0</v>
      </c>
      <c r="BI100" s="965" t="n">
        <v>-628.63679</v>
      </c>
      <c r="BJ100" s="965" t="n">
        <v>0</v>
      </c>
      <c r="BK100" s="965" t="n">
        <v>-666728.796239</v>
      </c>
      <c r="BL100" s="965" t="n">
        <v>0</v>
      </c>
      <c r="BM100" s="965" t="n">
        <v>5466333.303446</v>
      </c>
      <c r="BN100" s="965" t="n">
        <v>-513160</v>
      </c>
      <c r="BO100" s="965" t="n">
        <v>0</v>
      </c>
      <c r="BP100" s="965" t="n">
        <v>987254.371281</v>
      </c>
      <c r="BQ100" s="965" t="n">
        <v>0</v>
      </c>
      <c r="BR100" s="965" t="n">
        <v>-4819.111233</v>
      </c>
      <c r="BS100" s="965" t="n">
        <v>5935608.563494</v>
      </c>
      <c r="BT100" s="965">
        <f>+BM100+SUM(BN100:BR100)-BS100</f>
        <v/>
      </c>
      <c r="BU100" s="965" t="n">
        <v>11199536</v>
      </c>
      <c r="BV100" s="965" t="n">
        <v>1513955</v>
      </c>
      <c r="BW100" s="965">
        <f>4196517+3612770+3438920</f>
        <v/>
      </c>
      <c r="BX100" s="965" t="n">
        <v>729941</v>
      </c>
      <c r="BY100" s="965">
        <f>206032+194112+174301</f>
        <v/>
      </c>
      <c r="BZ100" s="965">
        <f>-174808+25675-125875</f>
        <v/>
      </c>
      <c r="CA100" s="965">
        <f>67320+53104+59406</f>
        <v/>
      </c>
      <c r="CB100" s="965">
        <f>4457098+3708292+3022499</f>
        <v/>
      </c>
      <c r="CD100" s="786">
        <f>CB100+BX100-BY100+BZ100+CA100-BW100</f>
        <v/>
      </c>
      <c r="CE100" s="786" t="n">
        <v>1073362</v>
      </c>
      <c r="CF100" s="786">
        <f>938676+830310</f>
        <v/>
      </c>
      <c r="CG100" s="786">
        <f>739299+659908</f>
        <v/>
      </c>
      <c r="CH100" s="786" t="n">
        <v>2458472</v>
      </c>
      <c r="CI100" s="786">
        <f>2647182+1140451+760547</f>
        <v/>
      </c>
      <c r="CJ100" s="786" t="n">
        <v>11248207</v>
      </c>
      <c r="CK100" s="786">
        <f>CJ100-SUM(CE100:CI100)</f>
        <v/>
      </c>
      <c r="CL100" s="786">
        <f>BW100-CJ100</f>
        <v/>
      </c>
      <c r="CN100" s="785" t="n"/>
      <c r="CQ100" s="785" t="n">
        <v>2.398</v>
      </c>
      <c r="CR100" s="786" t="n">
        <v>13395855</v>
      </c>
      <c r="CS100" s="786" t="n">
        <v>5585237</v>
      </c>
      <c r="CU100" s="786" t="n">
        <v>2234057</v>
      </c>
      <c r="CW100" s="105" t="n"/>
      <c r="CX100" s="105" t="n"/>
      <c r="CY100" s="105" t="n"/>
      <c r="CZ100" s="785" t="n"/>
      <c r="DC100" s="785" t="n">
        <v>0.918</v>
      </c>
      <c r="DG100" s="786">
        <f>+DH100+DK100</f>
        <v/>
      </c>
      <c r="DH100" s="786">
        <f>+DI100-DJ100</f>
        <v/>
      </c>
      <c r="DI100" s="786">
        <f>+[13]Insurance_PL!$O$8/10^6</f>
        <v/>
      </c>
      <c r="DJ100" s="786">
        <f>(+[13]Insurance_PL!$O$20+[13]Insurance_PL!$O$25)/10^6</f>
        <v/>
      </c>
      <c r="DK100" s="786">
        <f>+DL100-DM100</f>
        <v/>
      </c>
      <c r="DL100" s="786">
        <f>SUM([13]Insurance_PL!$O$9:$O$11)/10^6</f>
        <v/>
      </c>
      <c r="DM100" s="786">
        <f>SUM([13]Insurance_PL!$O$21:$O$23)/10^6</f>
        <v/>
      </c>
    </row>
    <row r="101">
      <c r="A101" s="642">
        <f>B101&amp;C101</f>
        <v/>
      </c>
      <c r="B101" s="642" t="n">
        <v>2509</v>
      </c>
      <c r="C101" s="642" t="inlineStr">
        <is>
          <t>메리츠화재</t>
        </is>
      </c>
      <c r="D101" s="786" t="n">
        <v>44532796.285194</v>
      </c>
      <c r="E101" s="786" t="n">
        <v>8567141.443325</v>
      </c>
      <c r="F101" s="786" t="n">
        <v>31228382.89197</v>
      </c>
      <c r="G101" s="786">
        <f>587884.112636+381092.057156</f>
        <v/>
      </c>
      <c r="H101" s="786" t="n">
        <v>214225.01</v>
      </c>
      <c r="I101" s="785">
        <f>+E101/$D101</f>
        <v/>
      </c>
      <c r="J101" s="785">
        <f>+F101/$D101</f>
        <v/>
      </c>
      <c r="K101" s="785">
        <f>+G101/$D101</f>
        <v/>
      </c>
      <c r="L101" s="786" t="n">
        <v>38937420.158409</v>
      </c>
      <c r="M101" s="786" t="n">
        <v>25520745.511828</v>
      </c>
      <c r="N101" s="965">
        <f>+O101-P101</f>
        <v/>
      </c>
      <c r="O101" s="965" t="n">
        <v>5595376.126785</v>
      </c>
      <c r="P101" s="965" t="n">
        <v>283729.68</v>
      </c>
      <c r="Q101" s="965" t="n">
        <v>-904649.531873</v>
      </c>
      <c r="R101" s="965" t="n">
        <v>6054894.860252</v>
      </c>
      <c r="S101" s="965" t="n">
        <v>5740086.305047</v>
      </c>
      <c r="T101" s="978">
        <f>T100</f>
        <v/>
      </c>
      <c r="U101" s="787" t="n">
        <v>44532796</v>
      </c>
      <c r="V101" s="787" t="n">
        <v>42594540</v>
      </c>
      <c r="W101" s="144" t="n">
        <v>0.956</v>
      </c>
      <c r="X101" s="965" t="n">
        <v>-904649.531873</v>
      </c>
      <c r="Y101" s="965">
        <f>+Y98-175950.26217</f>
        <v/>
      </c>
      <c r="Z101" s="965">
        <f>+Z98-472943.223763</f>
        <v/>
      </c>
      <c r="AA101" s="965">
        <f>+AA98+5132.771532</f>
        <v/>
      </c>
      <c r="AB101" s="965">
        <f>+AB98-88676.678014</f>
        <v/>
      </c>
      <c r="AC101" s="965">
        <f>+AC98</f>
        <v/>
      </c>
      <c r="AD101" s="965">
        <f>+AD98-834.372406</f>
        <v/>
      </c>
      <c r="AE101" s="965">
        <f>X101-SUM(Y101:AD101)</f>
        <v/>
      </c>
      <c r="AF101" s="786" t="n">
        <v>1024249.485878</v>
      </c>
      <c r="AG101" s="786" t="n">
        <v>7185156.355375</v>
      </c>
      <c r="AH101" s="786" t="n">
        <v>6160906.869497</v>
      </c>
      <c r="AI101" s="786" t="n">
        <v>929749.132806</v>
      </c>
      <c r="AJ101" s="786" t="n">
        <v>-498519.441117</v>
      </c>
      <c r="AK101" s="786" t="n">
        <v>18403.740852</v>
      </c>
      <c r="AL101" s="786">
        <f>+AI101-AJ101-AK101+AM101-AN101</f>
        <v/>
      </c>
      <c r="AM101" s="786" t="n">
        <v>7958.308712</v>
      </c>
      <c r="AN101" s="786">
        <f>267692.712444-127499.26202</f>
        <v/>
      </c>
      <c r="AO101" s="786" t="n">
        <v>1953998.618684</v>
      </c>
      <c r="AP101" s="786" t="n">
        <v>4545.696684</v>
      </c>
      <c r="AQ101" s="965" t="n">
        <v>1958544.315368</v>
      </c>
      <c r="AR101" s="965" t="n">
        <v>1451075.840971</v>
      </c>
      <c r="AS101" s="965">
        <f>+AO101+AP101-AQ101</f>
        <v/>
      </c>
      <c r="AT101" s="965">
        <f>+AJ101+AK101+AL101-AM101+AN101-AI101</f>
        <v/>
      </c>
      <c r="AU101" s="965">
        <f>+AF101+AI101-AO101</f>
        <v/>
      </c>
      <c r="AV101" s="965">
        <f>+AF101</f>
        <v/>
      </c>
      <c r="AW101" s="965">
        <f>+AI101</f>
        <v/>
      </c>
      <c r="AX101" s="965">
        <f>+AP101</f>
        <v/>
      </c>
      <c r="AY101" s="965">
        <f>+SUM(AV101:AX101)</f>
        <v/>
      </c>
      <c r="BB101" s="785" t="n"/>
      <c r="BC101" s="965" t="n">
        <v>-171377.796805</v>
      </c>
      <c r="BD101" s="965" t="n">
        <v>-175950.262417</v>
      </c>
      <c r="BE101" s="965" t="n"/>
      <c r="BF101" s="965">
        <f>+-472943.223763+5132.771532</f>
        <v/>
      </c>
      <c r="BG101" s="965" t="n">
        <v>-88676.64801400001</v>
      </c>
      <c r="BH101" s="965" t="n"/>
      <c r="BI101" s="965" t="n">
        <v>-834.372406</v>
      </c>
      <c r="BJ101" s="965" t="n"/>
      <c r="BK101" s="965" t="n">
        <v>-904649.531873</v>
      </c>
      <c r="BL101" s="965">
        <f>+BK101-BC101-SUM(BD101:BJ101)</f>
        <v/>
      </c>
      <c r="BM101" s="965" t="n">
        <v>5466333.303446</v>
      </c>
      <c r="BN101" s="965">
        <f>-513160-342110</f>
        <v/>
      </c>
      <c r="BO101" s="965" t="n"/>
      <c r="BP101" s="965" t="n">
        <v>1451075.840971</v>
      </c>
      <c r="BQ101" s="965" t="n"/>
      <c r="BR101" s="965" t="n">
        <v>-7244.284165</v>
      </c>
      <c r="BS101" s="965" t="n">
        <v>6054894.860252</v>
      </c>
      <c r="BT101" s="965">
        <f>+BM101+SUM(BN101:BR101)-BS101</f>
        <v/>
      </c>
      <c r="BU101" s="965" t="n">
        <v>10956871</v>
      </c>
      <c r="BV101" s="965" t="n">
        <v>1522091</v>
      </c>
      <c r="BW101" s="965">
        <f>4141704+3599346+3730096</f>
        <v/>
      </c>
      <c r="BX101" s="965" t="n">
        <v>1153008</v>
      </c>
      <c r="BY101" s="965">
        <f>287949+262255+318899</f>
        <v/>
      </c>
      <c r="BZ101" s="965">
        <f>-115245+73214-228657</f>
        <v/>
      </c>
      <c r="CA101" s="965">
        <f>87800+80095+102145</f>
        <v/>
      </c>
      <c r="CB101" s="965">
        <f>4457098+3708292+3022499</f>
        <v/>
      </c>
      <c r="CD101" s="786">
        <f>CB101+BX101-BY101+BZ101+CA101-BW101</f>
        <v/>
      </c>
      <c r="CE101" s="786" t="n">
        <v>1090555</v>
      </c>
      <c r="CF101" s="786">
        <f>954028+843722</f>
        <v/>
      </c>
      <c r="CG101" s="786">
        <f>749710+669175</f>
        <v/>
      </c>
      <c r="CH101" s="786" t="n">
        <v>2501442</v>
      </c>
      <c r="CI101" s="786">
        <f>2707188+1172356+782971</f>
        <v/>
      </c>
      <c r="CJ101" s="786" t="n">
        <v>11471147</v>
      </c>
      <c r="CK101" s="786">
        <f>CJ101-SUM(CE101:CI101)</f>
        <v/>
      </c>
      <c r="CL101" s="786">
        <f>BW101-CJ101</f>
        <v/>
      </c>
      <c r="CN101" s="785" t="n"/>
      <c r="CQ101" s="785" t="n">
        <v>2.437</v>
      </c>
      <c r="CR101" s="786" t="n">
        <v>13790071</v>
      </c>
      <c r="CS101" s="786" t="n">
        <v>5658695</v>
      </c>
      <c r="CU101" s="786">
        <f>+CU98+696917.946829</f>
        <v/>
      </c>
      <c r="CW101" s="105" t="n"/>
      <c r="CX101" s="105" t="n"/>
      <c r="CY101" s="105" t="n"/>
      <c r="CZ101" s="785" t="n"/>
      <c r="DC101" s="785" t="n">
        <v>0.93</v>
      </c>
      <c r="DG101" s="786">
        <f>+DH101+DK101</f>
        <v/>
      </c>
      <c r="DH101" s="786">
        <f>+DI101-DJ101</f>
        <v/>
      </c>
      <c r="DI101" s="786">
        <f>[14]Insurance_PL!$P$8/10^6</f>
        <v/>
      </c>
      <c r="DJ101" s="786">
        <f>([14]Insurance_PL!$P$20+[14]Insurance_PL!$P$25)/10^6</f>
        <v/>
      </c>
      <c r="DK101" s="786">
        <f>+DL101-DM101</f>
        <v/>
      </c>
      <c r="DL101" s="786">
        <f>SUM([14]Insurance_PL!$P$9:$P$11)/10^6</f>
        <v/>
      </c>
      <c r="DM101" s="786">
        <f>SUM([14]Insurance_PL!$P$21:$P$23)/10^6</f>
        <v/>
      </c>
      <c r="FC101" s="786" t="n"/>
    </row>
    <row r="102">
      <c r="A102" s="642">
        <f>B102&amp;C102</f>
        <v/>
      </c>
      <c r="B102" s="642" t="n">
        <v>2512</v>
      </c>
      <c r="C102" s="642" t="inlineStr">
        <is>
          <t>메리츠화재</t>
        </is>
      </c>
      <c r="D102" s="786" t="n">
        <v>44242792.244563</v>
      </c>
      <c r="E102" s="786" t="n">
        <v>7569926.137527</v>
      </c>
      <c r="F102" s="786" t="n">
        <v>31560738.837675</v>
      </c>
      <c r="G102" s="786">
        <f>530913.802201+441189.847754</f>
        <v/>
      </c>
      <c r="H102" s="786" t="n">
        <v>219756.806124</v>
      </c>
      <c r="I102" s="785">
        <f>+E102/$D102</f>
        <v/>
      </c>
      <c r="J102" s="785">
        <f>+F102/$D102</f>
        <v/>
      </c>
      <c r="K102" s="785">
        <f>+G102/$D102</f>
        <v/>
      </c>
      <c r="L102" s="786" t="n">
        <v>38388473.445768</v>
      </c>
      <c r="M102" s="786" t="n">
        <v>23715710.921184</v>
      </c>
      <c r="N102" s="965">
        <f>+O102-P102</f>
        <v/>
      </c>
      <c r="O102" s="965">
        <f>+'[15]Insurance_Condensed BS'!$AH$30*100</f>
        <v/>
      </c>
      <c r="P102" s="965">
        <f>+'[15]Insurance_Condensed BS'!$AH$23*100</f>
        <v/>
      </c>
      <c r="Q102" s="965">
        <f>+'[15]Insurance_Condensed BS'!$AH$29*100</f>
        <v/>
      </c>
      <c r="R102" s="965">
        <f>+'[15]Insurance_Condensed BS'!$AH$24*100</f>
        <v/>
      </c>
      <c r="S102" s="965" t="n">
        <v>5740086.305047</v>
      </c>
      <c r="T102" s="978">
        <f>T101</f>
        <v/>
      </c>
      <c r="U102" s="787" t="n">
        <v>44242792</v>
      </c>
      <c r="V102" s="787" t="n">
        <v>42515095</v>
      </c>
      <c r="W102" s="144" t="n">
        <v>0.961</v>
      </c>
      <c r="X102" s="965" t="n">
        <v>-759258</v>
      </c>
      <c r="Y102" s="965" t="n">
        <v>-1916018</v>
      </c>
      <c r="Z102" s="965" t="n">
        <v>862204</v>
      </c>
      <c r="AA102" s="965" t="n">
        <v>-63454</v>
      </c>
      <c r="AB102" s="965" t="n">
        <v>-82981</v>
      </c>
      <c r="AC102" s="965" t="n">
        <v>462769</v>
      </c>
      <c r="AD102" s="965" t="n">
        <v>-21778</v>
      </c>
      <c r="AE102" s="965">
        <f>X102-SUM(Y102:AD102)</f>
        <v/>
      </c>
      <c r="AF102" s="786" t="n">
        <v>1425411.27889</v>
      </c>
      <c r="AG102" s="786" t="n">
        <v>9542054.947107</v>
      </c>
      <c r="AH102" s="786" t="n">
        <v>8116643.668217</v>
      </c>
      <c r="AI102" s="786" t="n">
        <v>862351.698548</v>
      </c>
      <c r="AJ102" s="786" t="n">
        <v>-675238.217876</v>
      </c>
      <c r="AK102" s="786" t="n">
        <v>33663.079261</v>
      </c>
      <c r="AL102" s="786">
        <f>+AI102-AJ102-AK102+AM102-AN102</f>
        <v/>
      </c>
      <c r="AM102" s="786" t="n">
        <v>23955.774512</v>
      </c>
      <c r="AN102" s="786">
        <f>511258.181375-146341.979153</f>
        <v/>
      </c>
      <c r="AO102" s="786" t="n">
        <v>2287762.977438</v>
      </c>
      <c r="AP102" s="786" t="n">
        <v>6264.479184</v>
      </c>
      <c r="AQ102" s="965" t="n">
        <v>2294027.456622</v>
      </c>
      <c r="AR102" s="965" t="n">
        <v>1681024.330229</v>
      </c>
      <c r="AS102" s="965">
        <f>+AO102+AP102-AQ102</f>
        <v/>
      </c>
      <c r="AT102" s="965">
        <f>+AJ102+AK102+AL102-AM102+AN102-AI102</f>
        <v/>
      </c>
      <c r="AU102" s="965">
        <f>+AF102+AI102-AO102</f>
        <v/>
      </c>
      <c r="AV102" s="965">
        <f>+AF102</f>
        <v/>
      </c>
      <c r="AW102" s="965">
        <f>+AI102</f>
        <v/>
      </c>
      <c r="AX102" s="965">
        <f>+AP102</f>
        <v/>
      </c>
      <c r="AY102" s="965">
        <f>+SUM(AV102:AX102)</f>
        <v/>
      </c>
      <c r="BB102" s="785" t="n"/>
      <c r="BC102" s="965" t="n">
        <v>-171377.796805</v>
      </c>
      <c r="BD102" s="965" t="n">
        <v>-876505.89321</v>
      </c>
      <c r="BE102" s="965" t="n"/>
      <c r="BF102" s="965">
        <f>736604.164917-52956.074027</f>
        <v/>
      </c>
      <c r="BG102" s="965" t="n">
        <v>-388787.541919</v>
      </c>
      <c r="BH102" s="965" t="n">
        <v>-5697.561799</v>
      </c>
      <c r="BI102" s="965" t="n">
        <v>-536.907845</v>
      </c>
      <c r="BJ102" s="965" t="n"/>
      <c r="BK102" s="965" t="n">
        <v>-759257.610688</v>
      </c>
      <c r="BL102" s="965">
        <f>+BK102-BC102-SUM(BD102:BJ102)</f>
        <v/>
      </c>
      <c r="BM102" s="965" t="n">
        <v>5457050.161139</v>
      </c>
      <c r="BN102" s="965">
        <f>+BN101</f>
        <v/>
      </c>
      <c r="BO102" s="965" t="n"/>
      <c r="BP102" s="965" t="n">
        <v>1681024.330229</v>
      </c>
      <c r="BQ102" s="965" t="n">
        <v>12.07566</v>
      </c>
      <c r="BR102" s="965">
        <f>-465.64-9377.456658</f>
        <v/>
      </c>
      <c r="BS102" s="965" t="n">
        <v>6272973.47037</v>
      </c>
      <c r="BT102" s="965">
        <f>+BM102+SUM(BN102:BR102)-BS102</f>
        <v/>
      </c>
      <c r="BU102" s="965">
        <f>1490420+8083301</f>
        <v/>
      </c>
      <c r="BV102" s="965">
        <f>651+1467351</f>
        <v/>
      </c>
      <c r="BW102" s="965">
        <f>48468+186+4006616+3237126+3811300</f>
        <v/>
      </c>
      <c r="BX102" s="965" t="n">
        <v>1588172</v>
      </c>
      <c r="BY102" s="965">
        <f>6301+3+384009+338755+438196</f>
        <v/>
      </c>
      <c r="BZ102" s="965">
        <f>1+6324+81-182370-190854-499827</f>
        <v/>
      </c>
      <c r="CA102" s="965">
        <f>1355+6+115896+105533+138754</f>
        <v/>
      </c>
      <c r="CB102" s="965">
        <f>-1+47090+102+4457099+3661202+3022397</f>
        <v/>
      </c>
      <c r="CD102" s="786">
        <f>CB102+BX102-BY102+BZ102+CA102-BW102</f>
        <v/>
      </c>
      <c r="CE102" s="786" t="n">
        <v>786848</v>
      </c>
      <c r="CF102" s="786">
        <f>685786+603953</f>
        <v/>
      </c>
      <c r="CG102" s="786">
        <f>551290+500323</f>
        <v/>
      </c>
      <c r="CH102" s="786">
        <f>462799+429147+395239+374941+357246</f>
        <v/>
      </c>
      <c r="CI102" s="786">
        <f>1502122+1093445+811560+610301+1938699</f>
        <v/>
      </c>
      <c r="CJ102" s="786" t="n">
        <v>11103699</v>
      </c>
      <c r="CK102" s="786">
        <f>CJ102-SUM(CE102:CI102)</f>
        <v/>
      </c>
      <c r="CL102" s="786">
        <f>BW102-CJ102</f>
        <v/>
      </c>
      <c r="CN102" s="785" t="n">
        <v>2.374</v>
      </c>
      <c r="CO102" s="786" t="n">
        <v>13346600</v>
      </c>
      <c r="CP102" s="786" t="n">
        <v>5621800</v>
      </c>
      <c r="CQ102" s="990" t="n">
        <v>2.413</v>
      </c>
      <c r="CR102" s="965" t="n">
        <v>13350622</v>
      </c>
      <c r="CS102" s="965" t="n">
        <v>5532186</v>
      </c>
      <c r="CU102" s="786" t="n">
        <v>2976566</v>
      </c>
      <c r="CW102" s="105" t="n">
        <v>0.9661</v>
      </c>
      <c r="CX102" s="105" t="n">
        <v>0.9659</v>
      </c>
      <c r="CY102" s="105" t="n">
        <v>0.0002</v>
      </c>
      <c r="CZ102" s="785">
        <f>+CX102/CW102</f>
        <v/>
      </c>
      <c r="DC102" s="785" t="n">
        <v>0.93</v>
      </c>
      <c r="DG102" s="974">
        <f>+DH102+DK102</f>
        <v/>
      </c>
      <c r="DH102" s="974">
        <f>+DI102-DJ102</f>
        <v/>
      </c>
      <c r="DI102" s="974">
        <f>[15]Insurance_PL!$Q$8/10^6</f>
        <v/>
      </c>
      <c r="DJ102" s="974">
        <f>([15]Insurance_PL!$Q$20+[15]Insurance_PL!$Q$25)/10^6</f>
        <v/>
      </c>
      <c r="DK102" s="974">
        <f>+DL102-DM102</f>
        <v/>
      </c>
      <c r="DL102" s="974">
        <f>SUM([15]Insurance_PL!$Q$9:$Q$11)/10^6</f>
        <v/>
      </c>
      <c r="DM102" s="974">
        <f>SUM([15]Insurance_PL!$Q$21:$Q$23)/10^6</f>
        <v/>
      </c>
      <c r="EP102" s="976" t="n">
        <v>557076</v>
      </c>
      <c r="EQ102" s="976" t="n">
        <v>-1112338</v>
      </c>
      <c r="ER102" s="976" t="n">
        <v>417097</v>
      </c>
      <c r="ES102" s="976" t="n">
        <v>2356</v>
      </c>
      <c r="ET102" s="976">
        <f>707501-52600</f>
        <v/>
      </c>
      <c r="EU102" s="976" t="n"/>
      <c r="EV102" s="976" t="n"/>
      <c r="EW102" s="976" t="n">
        <v>-557076</v>
      </c>
      <c r="EX102" s="976" t="n">
        <v>1112338</v>
      </c>
      <c r="EY102" s="976" t="n">
        <v>-417097</v>
      </c>
      <c r="EZ102" s="976" t="n">
        <v>-2356</v>
      </c>
      <c r="FA102" s="976" t="n">
        <v>-654901</v>
      </c>
      <c r="FB102" s="976" t="n">
        <v>-347553</v>
      </c>
      <c r="FC102" s="786">
        <f>SUM(EW102:FB102)-BZ102</f>
        <v/>
      </c>
    </row>
    <row r="103" ht="16.5" customHeight="1" s="760">
      <c r="A103" s="696">
        <f>B103&amp;C103</f>
        <v/>
      </c>
      <c r="B103" s="696" t="n">
        <v>2603</v>
      </c>
      <c r="C103" s="696" t="inlineStr">
        <is>
          <t>메리츠화재</t>
        </is>
      </c>
      <c r="D103" s="786" t="n">
        <v>43115899.75</v>
      </c>
      <c r="E103" s="786" t="n">
        <v>6939552.44</v>
      </c>
      <c r="F103" s="786" t="n">
        <v>31912573.01</v>
      </c>
      <c r="G103" s="786" t="n">
        <v>939868.37</v>
      </c>
      <c r="H103" s="786" t="n">
        <v>227356.91</v>
      </c>
      <c r="I103" s="785">
        <f>E103/D103</f>
        <v/>
      </c>
      <c r="J103" s="785">
        <f>F103/D103</f>
        <v/>
      </c>
      <c r="K103" s="785">
        <f>G103/D103</f>
        <v/>
      </c>
      <c r="L103" s="786" t="n">
        <v>37264179.48</v>
      </c>
      <c r="M103" s="786" t="n">
        <v>22092105.19</v>
      </c>
      <c r="N103" s="965">
        <f>O103-P103</f>
        <v/>
      </c>
      <c r="O103" s="965" t="n">
        <v>5851720.27</v>
      </c>
      <c r="P103" s="965" t="n">
        <v>179195.32</v>
      </c>
      <c r="Q103" s="965" t="n">
        <v>-736298.87</v>
      </c>
      <c r="R103" s="965" t="n">
        <v>6247416.2</v>
      </c>
      <c r="S103" s="965" t="n">
        <v>5854318.8</v>
      </c>
      <c r="T103" s="978" t="n">
        <v>5675123.48</v>
      </c>
      <c r="U103" s="787" t="n">
        <v>43115899.75</v>
      </c>
      <c r="V103" s="787" t="n">
        <v>41553663.93</v>
      </c>
      <c r="W103" s="144" t="n"/>
      <c r="X103" s="965">
        <f>Q103</f>
        <v/>
      </c>
      <c r="Z103" s="965" t="n">
        <v>2146907.37</v>
      </c>
      <c r="AA103" s="965" t="n">
        <v>-95696.05</v>
      </c>
      <c r="AD103" s="965" t="n">
        <v>-22202.67</v>
      </c>
      <c r="AF103" s="786" t="n">
        <v>334565.04</v>
      </c>
      <c r="AG103" s="786" t="n">
        <v>2542627.41</v>
      </c>
      <c r="AH103" s="786" t="n">
        <v>2208062.36</v>
      </c>
      <c r="AI103" s="786" t="n">
        <v>296179.67</v>
      </c>
      <c r="AJ103" s="786" t="n">
        <v>-172008.52</v>
      </c>
      <c r="AK103" s="786" t="n">
        <v>5785.35</v>
      </c>
      <c r="AL103" s="786">
        <f>AI103-AJ103-AK103+AM103-AN103</f>
        <v/>
      </c>
      <c r="AM103" s="786" t="n">
        <v>3263.28</v>
      </c>
      <c r="AN103" s="786" t="n">
        <v>209949.67</v>
      </c>
      <c r="AO103" s="786" t="n">
        <v>630744.71</v>
      </c>
      <c r="AP103" s="786" t="n">
        <v>281.45</v>
      </c>
      <c r="AQ103" s="965" t="n">
        <v>631026.17</v>
      </c>
      <c r="AR103" s="965" t="n">
        <v>466071.34</v>
      </c>
      <c r="AS103" s="965" t="n"/>
      <c r="AT103" s="965" t="n"/>
      <c r="AU103" s="965" t="n"/>
      <c r="AV103" s="965">
        <f>AF103</f>
        <v/>
      </c>
      <c r="AW103" s="965">
        <f>AI103</f>
        <v/>
      </c>
      <c r="AX103" s="965">
        <f>AP103</f>
        <v/>
      </c>
      <c r="AY103" s="965">
        <f>AV103+AW103+AX103</f>
        <v/>
      </c>
      <c r="BB103" s="785" t="n"/>
      <c r="BC103" s="965" t="n">
        <v>-759257.61</v>
      </c>
      <c r="BD103" s="965" t="n">
        <v>-908846.5</v>
      </c>
      <c r="BE103" s="965" t="n"/>
      <c r="BF103" s="965" t="n">
        <v>1252461.1</v>
      </c>
      <c r="BG103" s="965" t="n">
        <v>-320231.57</v>
      </c>
      <c r="BH103" s="965" t="n"/>
      <c r="BI103" s="965" t="n">
        <v>-424.29</v>
      </c>
      <c r="BJ103" s="965" t="n"/>
      <c r="BK103" s="965">
        <f>Q103</f>
        <v/>
      </c>
      <c r="BL103" s="965" t="n"/>
      <c r="BM103" s="965" t="n">
        <v>6272973.47</v>
      </c>
      <c r="BN103" s="965" t="n">
        <v>-490000</v>
      </c>
      <c r="BO103" s="965" t="n"/>
      <c r="BP103" s="965">
        <f>AR103</f>
        <v/>
      </c>
      <c r="BQ103" s="965" t="n">
        <v>-9.51</v>
      </c>
      <c r="BR103" s="965" t="n">
        <v>-1619.1</v>
      </c>
      <c r="BS103" s="965">
        <f>R103</f>
        <v/>
      </c>
      <c r="BT103" s="965" t="n"/>
      <c r="BV103" s="965" t="n">
        <v>1395562.91</v>
      </c>
      <c r="BW103" s="965" t="n">
        <v>10884318.6</v>
      </c>
      <c r="CN103" s="785" t="n"/>
      <c r="CQ103" s="990" t="n">
        <v>2.41</v>
      </c>
      <c r="CR103" s="965" t="n">
        <v>13904515.58</v>
      </c>
      <c r="CS103" s="965" t="n">
        <v>5778480.7</v>
      </c>
      <c r="CU103" s="786" t="n">
        <v>3225230.7</v>
      </c>
      <c r="CW103" s="105" t="n"/>
      <c r="CX103" s="105" t="n"/>
      <c r="CY103" s="105" t="n"/>
      <c r="CZ103" s="785" t="n"/>
      <c r="DG103" s="974" t="n"/>
      <c r="DH103" s="974" t="n"/>
      <c r="DI103" s="974" t="n"/>
      <c r="DJ103" s="974" t="n"/>
      <c r="DK103" s="974" t="n"/>
      <c r="DL103" s="974" t="n"/>
      <c r="DM103" s="974" t="n"/>
      <c r="EP103" s="976" t="n"/>
      <c r="EQ103" s="976" t="n"/>
      <c r="ER103" s="976" t="n"/>
      <c r="ES103" s="976" t="n"/>
      <c r="ET103" s="976" t="n"/>
      <c r="EU103" s="976" t="n"/>
      <c r="EV103" s="976" t="n"/>
      <c r="EW103" s="976" t="n"/>
      <c r="EX103" s="976" t="n"/>
      <c r="EY103" s="976" t="n"/>
      <c r="EZ103" s="976" t="n"/>
      <c r="FA103" s="976" t="n"/>
      <c r="FB103" s="976" t="n"/>
      <c r="FC103" s="786" t="n"/>
    </row>
    <row r="104" ht="16.5" customHeight="1" s="760">
      <c r="A104" s="696">
        <f>B104&amp;C104</f>
        <v/>
      </c>
      <c r="B104" s="696" t="n">
        <v>2606</v>
      </c>
      <c r="C104" s="696" t="inlineStr">
        <is>
          <t>메리츠화재</t>
        </is>
      </c>
      <c r="D104" s="786" t="n">
        <v>43134931.61</v>
      </c>
      <c r="E104" s="786" t="n">
        <v>6823216.97</v>
      </c>
      <c r="F104" s="786" t="n">
        <v>31454776.44</v>
      </c>
      <c r="G104" s="786" t="n">
        <v>1130997.94</v>
      </c>
      <c r="H104" s="786" t="n">
        <v>220283.89</v>
      </c>
      <c r="I104" s="785">
        <f>E104/D104</f>
        <v/>
      </c>
      <c r="J104" s="785">
        <f>F104/D104</f>
        <v/>
      </c>
      <c r="K104" s="785">
        <f>G104/D104</f>
        <v/>
      </c>
      <c r="L104" s="786" t="n">
        <v>36457508.74</v>
      </c>
      <c r="M104" s="786" t="n">
        <v>20801103.97</v>
      </c>
      <c r="N104" s="965">
        <f>O104-P104</f>
        <v/>
      </c>
      <c r="O104" s="965" t="n">
        <v>6677422.86</v>
      </c>
      <c r="P104" s="965" t="n">
        <v>179195.32</v>
      </c>
      <c r="Q104" s="965" t="n">
        <v>-467740.67</v>
      </c>
      <c r="R104" s="965" t="n">
        <v>6804560.59</v>
      </c>
      <c r="S104" s="965" t="n">
        <v>5854318.8</v>
      </c>
      <c r="T104" s="978" t="n">
        <v>5675123.48</v>
      </c>
      <c r="U104" s="787" t="n">
        <v>43134931.61</v>
      </c>
      <c r="W104" s="144" t="n"/>
      <c r="X104" s="965">
        <f>Q104</f>
        <v/>
      </c>
      <c r="AF104" s="786" t="n">
        <v>697455.72</v>
      </c>
      <c r="AG104" s="786" t="n">
        <v>5146293.55</v>
      </c>
      <c r="AH104" s="786" t="n">
        <v>4448837.83</v>
      </c>
      <c r="AI104" s="786" t="n">
        <v>703142.11</v>
      </c>
      <c r="AJ104" s="786" t="n">
        <v>0</v>
      </c>
      <c r="AK104" s="786" t="n">
        <v>0</v>
      </c>
      <c r="AL104" s="786">
        <f>AI104-AJ104-AK104+AM104-AN104</f>
        <v/>
      </c>
      <c r="AM104" s="786" t="n">
        <v>0</v>
      </c>
      <c r="AN104" s="786" t="n">
        <v>0</v>
      </c>
      <c r="AO104" s="786" t="n">
        <v>1400597.83</v>
      </c>
      <c r="AP104" s="786" t="n">
        <v>-330.49</v>
      </c>
      <c r="AQ104" s="965" t="n">
        <v>1400267.33</v>
      </c>
      <c r="AR104" s="965" t="n">
        <v>1024338.38</v>
      </c>
      <c r="AS104" s="965" t="n"/>
      <c r="AT104" s="965" t="n"/>
      <c r="AU104" s="965" t="n"/>
      <c r="AV104" s="965">
        <f>AF104</f>
        <v/>
      </c>
      <c r="AW104" s="965">
        <f>AI104</f>
        <v/>
      </c>
      <c r="AX104" s="965">
        <f>AP104</f>
        <v/>
      </c>
      <c r="AY104" s="965">
        <f>AV104+AW104+AX104</f>
        <v/>
      </c>
      <c r="BB104" s="785" t="n"/>
      <c r="BC104" s="965" t="n">
        <v>-759257.61</v>
      </c>
      <c r="BD104" s="965" t="n">
        <v>-1465654.64</v>
      </c>
      <c r="BE104" s="965" t="n"/>
      <c r="BF104" s="965" t="n">
        <v>2415235.79</v>
      </c>
      <c r="BG104" s="965" t="n">
        <v>-657082.95</v>
      </c>
      <c r="BH104" s="965" t="n"/>
      <c r="BI104" s="965" t="n">
        <v>-981.26</v>
      </c>
      <c r="BJ104" s="965" t="n"/>
      <c r="BK104" s="965">
        <f>Q104</f>
        <v/>
      </c>
      <c r="BL104" s="965" t="n"/>
      <c r="BM104" s="965" t="n">
        <v>6272973.47</v>
      </c>
      <c r="BN104" s="965" t="n">
        <v>-490000</v>
      </c>
      <c r="BO104" s="965" t="n"/>
      <c r="BP104" s="965">
        <f>AR104</f>
        <v/>
      </c>
      <c r="BQ104" s="965" t="n">
        <v>502.97</v>
      </c>
      <c r="BR104" s="965" t="n">
        <v>-3254.22</v>
      </c>
      <c r="BS104" s="965">
        <f>R104</f>
        <v/>
      </c>
      <c r="BT104" s="965" t="n"/>
      <c r="CN104" s="785" t="n"/>
      <c r="CQ104" s="990" t="n"/>
      <c r="CR104" s="965" t="n"/>
      <c r="CS104" s="965" t="n"/>
      <c r="CU104" s="786" t="n">
        <v>3536425.37</v>
      </c>
      <c r="CW104" s="105" t="n"/>
      <c r="CX104" s="105" t="n"/>
      <c r="CY104" s="105" t="n"/>
      <c r="CZ104" s="785" t="n"/>
      <c r="DG104" s="974" t="n"/>
      <c r="DH104" s="974" t="n"/>
      <c r="DI104" s="974" t="n"/>
      <c r="DJ104" s="974" t="n"/>
      <c r="DK104" s="974" t="n"/>
      <c r="DL104" s="974" t="n"/>
      <c r="DM104" s="974" t="n"/>
      <c r="EP104" s="976" t="n"/>
      <c r="EQ104" s="976" t="n"/>
      <c r="ER104" s="976" t="n"/>
      <c r="ES104" s="976" t="n"/>
      <c r="ET104" s="976" t="n"/>
      <c r="EU104" s="976" t="n"/>
      <c r="EV104" s="976" t="n"/>
      <c r="EW104" s="976" t="n"/>
      <c r="EX104" s="976" t="n"/>
      <c r="EY104" s="976" t="n"/>
      <c r="EZ104" s="976" t="n"/>
      <c r="FA104" s="976" t="n"/>
      <c r="FB104" s="976" t="n"/>
      <c r="FC104" s="786" t="n"/>
    </row>
    <row r="105">
      <c r="A105" s="642">
        <f>B105&amp;C105</f>
        <v/>
      </c>
      <c r="I105" s="785" t="n"/>
      <c r="J105" s="785" t="n"/>
      <c r="K105" s="785" t="n"/>
      <c r="T105" s="978" t="n"/>
      <c r="W105" s="144" t="n"/>
      <c r="AS105" s="965" t="n"/>
      <c r="AT105" s="965" t="n"/>
      <c r="AU105" s="965" t="n"/>
      <c r="AV105" s="965">
        <f>+AF105</f>
        <v/>
      </c>
      <c r="AW105" s="965">
        <f>+AI105</f>
        <v/>
      </c>
      <c r="AX105" s="965">
        <f>+AP105</f>
        <v/>
      </c>
      <c r="AY105" s="965">
        <f>+SUM(AV105:AX105)</f>
        <v/>
      </c>
      <c r="BB105" s="785" t="n"/>
      <c r="BC105" s="965" t="n"/>
      <c r="BD105" s="965" t="n"/>
      <c r="BE105" s="965" t="n"/>
      <c r="BF105" s="965" t="n"/>
      <c r="BG105" s="965" t="n"/>
      <c r="BH105" s="965" t="n"/>
      <c r="BI105" s="965" t="n"/>
      <c r="BJ105" s="965" t="n"/>
      <c r="BK105" s="965" t="n"/>
      <c r="BL105" s="965" t="n"/>
      <c r="BM105" s="965" t="n"/>
      <c r="BN105" s="965" t="n"/>
      <c r="BO105" s="965" t="n"/>
      <c r="BP105" s="965" t="n"/>
      <c r="BQ105" s="965" t="n"/>
      <c r="BR105" s="965" t="n"/>
      <c r="BS105" s="965" t="n"/>
      <c r="BT105" s="965" t="n"/>
      <c r="CN105" s="785" t="n"/>
      <c r="CQ105" s="990" t="n"/>
      <c r="CR105" s="965" t="n"/>
      <c r="CS105" s="965" t="n"/>
      <c r="CW105" s="105" t="n"/>
      <c r="CX105" s="105" t="n"/>
      <c r="CY105" s="105" t="n"/>
      <c r="CZ105" s="785" t="n"/>
      <c r="DJ105" s="977">
        <f>+DJ102/DI102</f>
        <v/>
      </c>
      <c r="FC105" s="786" t="n"/>
    </row>
    <row r="106" customFormat="1" s="103">
      <c r="A106" s="103">
        <f>B106&amp;C106</f>
        <v/>
      </c>
      <c r="B106" s="103" t="n">
        <v>2212</v>
      </c>
      <c r="C106" s="103" t="inlineStr">
        <is>
          <t>KB손보</t>
        </is>
      </c>
      <c r="D106" s="976" t="n"/>
      <c r="E106" s="976" t="n"/>
      <c r="F106" s="976" t="n"/>
      <c r="G106" s="976" t="n"/>
      <c r="H106" s="976" t="n"/>
      <c r="I106" s="977" t="n"/>
      <c r="J106" s="977" t="n"/>
      <c r="K106" s="977" t="n"/>
      <c r="L106" s="976" t="n"/>
      <c r="M106" s="976" t="n"/>
      <c r="N106" s="978">
        <f>O106-P106</f>
        <v/>
      </c>
      <c r="O106" s="978" t="n">
        <v>5760365</v>
      </c>
      <c r="P106" s="978" t="n"/>
      <c r="Q106" s="978" t="n">
        <v>213441</v>
      </c>
      <c r="R106" s="978" t="n">
        <v>5165220</v>
      </c>
      <c r="S106" s="978" t="n"/>
      <c r="T106" s="978" t="n"/>
      <c r="U106" s="979" t="n"/>
      <c r="V106" s="979" t="n"/>
      <c r="W106" s="979" t="n"/>
      <c r="X106" s="978" t="n"/>
      <c r="Y106" s="978" t="n"/>
      <c r="Z106" s="978" t="n"/>
      <c r="AA106" s="978" t="n"/>
      <c r="AB106" s="978" t="n"/>
      <c r="AC106" s="978" t="n"/>
      <c r="AD106" s="978" t="n"/>
      <c r="AE106" s="978" t="n"/>
      <c r="AF106" s="976" t="n"/>
      <c r="AG106" s="976" t="n"/>
      <c r="AH106" s="976" t="n"/>
      <c r="AI106" s="976" t="n"/>
      <c r="AJ106" s="976" t="n"/>
      <c r="AK106" s="976" t="n"/>
      <c r="AL106" s="976" t="n"/>
      <c r="AM106" s="976" t="n"/>
      <c r="AN106" s="976" t="n"/>
      <c r="AO106" s="976" t="n"/>
      <c r="AP106" s="976" t="n"/>
      <c r="AQ106" s="978" t="n"/>
      <c r="AR106" s="978" t="n"/>
      <c r="AS106" s="978" t="n"/>
      <c r="AT106" s="978" t="n"/>
      <c r="AU106" s="978" t="n"/>
      <c r="AV106" s="978">
        <f>+AF106</f>
        <v/>
      </c>
      <c r="AW106" s="978">
        <f>+AI106</f>
        <v/>
      </c>
      <c r="AX106" s="978">
        <f>+AP106</f>
        <v/>
      </c>
      <c r="AY106" s="978">
        <f>+SUM(AV106:AX106)</f>
        <v/>
      </c>
      <c r="AZ106" s="976" t="n"/>
      <c r="BA106" s="976" t="n"/>
      <c r="BB106" s="977" t="n"/>
      <c r="BC106" s="976" t="n"/>
      <c r="BD106" s="976" t="n"/>
      <c r="BE106" s="976" t="n"/>
      <c r="BF106" s="976" t="n"/>
      <c r="BG106" s="976" t="n"/>
      <c r="BH106" s="976" t="n"/>
      <c r="BI106" s="976" t="n"/>
      <c r="BJ106" s="976" t="n"/>
      <c r="BK106" s="976" t="n"/>
      <c r="BL106" s="978" t="n"/>
      <c r="BM106" s="976" t="n"/>
      <c r="BN106" s="976" t="n"/>
      <c r="BO106" s="976" t="n"/>
      <c r="BP106" s="976" t="n"/>
      <c r="BQ106" s="976" t="n"/>
      <c r="BR106" s="976" t="n"/>
      <c r="BS106" s="976" t="n"/>
      <c r="BT106" s="978" t="n">
        <v>3503882</v>
      </c>
      <c r="BU106" s="978" t="n">
        <v>9130703</v>
      </c>
      <c r="BV106" s="978" t="n">
        <v>1044584</v>
      </c>
      <c r="BW106" s="978" t="n">
        <v>7945182</v>
      </c>
      <c r="BX106" s="978" t="n"/>
      <c r="BY106" s="978" t="n"/>
      <c r="BZ106" s="978" t="n"/>
      <c r="CA106" s="978" t="n"/>
      <c r="CB106" s="978" t="n"/>
      <c r="CC106" s="976" t="n"/>
      <c r="CD106" s="976" t="n"/>
      <c r="CE106" s="976" t="n"/>
      <c r="CF106" s="976" t="n"/>
      <c r="CG106" s="976" t="n"/>
      <c r="CH106" s="976" t="n"/>
      <c r="CI106" s="976" t="n"/>
      <c r="CJ106" s="976" t="n"/>
      <c r="CK106" s="976" t="n"/>
      <c r="CL106" s="976" t="n"/>
      <c r="CM106" s="976" t="n"/>
      <c r="CN106" s="977" t="n"/>
      <c r="CO106" s="976" t="n"/>
      <c r="CP106" s="976" t="n"/>
      <c r="CQ106" s="977" t="n"/>
      <c r="CR106" s="976" t="n"/>
      <c r="CS106" s="976" t="n"/>
      <c r="CT106" s="976" t="n"/>
      <c r="CU106" s="976" t="n"/>
      <c r="CV106" s="976" t="n"/>
      <c r="CW106" s="976" t="n"/>
      <c r="CX106" s="976" t="n"/>
      <c r="CY106" s="976" t="n"/>
      <c r="CZ106" s="976" t="n"/>
      <c r="DA106" s="976" t="n"/>
      <c r="DB106" s="976" t="n"/>
      <c r="DC106" s="977" t="n"/>
      <c r="DD106" s="976" t="n"/>
      <c r="DE106" s="976" t="n"/>
      <c r="DF106" s="976" t="n"/>
      <c r="DG106" s="976" t="n"/>
      <c r="DH106" s="976" t="n"/>
      <c r="DI106" s="976" t="n"/>
      <c r="DJ106" s="976" t="n"/>
      <c r="DK106" s="976" t="n"/>
      <c r="DL106" s="976" t="n"/>
      <c r="DM106" s="976" t="n"/>
      <c r="DN106" s="976" t="n"/>
      <c r="DO106" s="976" t="n"/>
      <c r="DP106" s="976" t="n"/>
      <c r="DQ106" s="976" t="n"/>
      <c r="DR106" s="976" t="n"/>
      <c r="DS106" s="976" t="n"/>
      <c r="DT106" s="976" t="n"/>
      <c r="DU106" s="976" t="n"/>
      <c r="DV106" s="976" t="n"/>
      <c r="DW106" s="976" t="n"/>
      <c r="DX106" s="976" t="n"/>
      <c r="DY106" s="976" t="n"/>
      <c r="DZ106" s="976" t="n"/>
      <c r="EA106" s="976" t="n"/>
      <c r="EB106" s="976" t="n"/>
      <c r="EC106" s="976" t="n"/>
      <c r="ED106" s="976" t="n"/>
      <c r="EE106" s="976" t="n"/>
      <c r="EP106" s="976" t="n"/>
      <c r="EQ106" s="976" t="n"/>
      <c r="ER106" s="976" t="n"/>
      <c r="ES106" s="976" t="n"/>
      <c r="ET106" s="976" t="n"/>
      <c r="EU106" s="976" t="n"/>
      <c r="EV106" s="976" t="n"/>
      <c r="EW106" s="976" t="n"/>
      <c r="EX106" s="976" t="n"/>
      <c r="EY106" s="976" t="n"/>
      <c r="EZ106" s="976" t="n"/>
      <c r="FA106" s="976" t="n"/>
      <c r="FB106" s="976" t="n"/>
    </row>
    <row r="107" customFormat="1" s="103">
      <c r="A107" s="103">
        <f>B107&amp;C107</f>
        <v/>
      </c>
      <c r="B107" s="103" t="n">
        <v>2312</v>
      </c>
      <c r="C107" s="103" t="inlineStr">
        <is>
          <t>KB손보</t>
        </is>
      </c>
      <c r="D107" s="976" t="n">
        <v>37648092</v>
      </c>
      <c r="E107" s="976" t="n">
        <v>9142251</v>
      </c>
      <c r="F107" s="976" t="n">
        <v>18035012</v>
      </c>
      <c r="G107" s="976">
        <f>20000+5778963+489706</f>
        <v/>
      </c>
      <c r="H107" s="976" t="n">
        <v>421387</v>
      </c>
      <c r="I107" s="977">
        <f>+E107/$D107</f>
        <v/>
      </c>
      <c r="J107" s="977">
        <f>+F107/$D107</f>
        <v/>
      </c>
      <c r="K107" s="977">
        <f>+G107/$D107</f>
        <v/>
      </c>
      <c r="L107" s="976" t="n">
        <v>31350276</v>
      </c>
      <c r="M107" s="976" t="n">
        <v>24338726</v>
      </c>
      <c r="N107" s="978">
        <f>O107-P107</f>
        <v/>
      </c>
      <c r="O107" s="978" t="n">
        <v>6297816</v>
      </c>
      <c r="P107" s="978" t="n">
        <v>0</v>
      </c>
      <c r="Q107" s="978" t="n">
        <v>364126</v>
      </c>
      <c r="R107" s="978" t="n">
        <v>5551986</v>
      </c>
      <c r="S107" s="978" t="n">
        <v>5760365</v>
      </c>
      <c r="T107" s="978">
        <f>N106</f>
        <v/>
      </c>
      <c r="U107" s="979" t="n">
        <v>37648100</v>
      </c>
      <c r="V107" s="979" t="n">
        <v>34949500</v>
      </c>
      <c r="W107" s="109" t="n">
        <v>0.928</v>
      </c>
      <c r="X107" s="978" t="n">
        <v>364126</v>
      </c>
      <c r="Y107" s="978">
        <f>-1616540+4748</f>
        <v/>
      </c>
      <c r="Z107" s="978" t="n">
        <v>1895442</v>
      </c>
      <c r="AA107" s="978" t="n">
        <v>-30589</v>
      </c>
      <c r="AB107" s="978">
        <f>77139-2003</f>
        <v/>
      </c>
      <c r="AC107" s="978" t="n">
        <v>50988</v>
      </c>
      <c r="AD107" s="978" t="n">
        <v>-15059</v>
      </c>
      <c r="AE107" s="978">
        <f>X107-SUM(Y107:AD107)</f>
        <v/>
      </c>
      <c r="AF107" s="976" t="n">
        <v>831979</v>
      </c>
      <c r="AG107" s="976" t="n">
        <v>9964496</v>
      </c>
      <c r="AH107" s="976" t="n">
        <v>9132517</v>
      </c>
      <c r="AI107" s="976" t="n">
        <v>157718</v>
      </c>
      <c r="AJ107" s="976">
        <f>29821-814099</f>
        <v/>
      </c>
      <c r="AK107" s="976">
        <f>45627-54554</f>
        <v/>
      </c>
      <c r="AL107" s="976">
        <f>+AI107-AJ107-AK107+AM107-AN107</f>
        <v/>
      </c>
      <c r="AM107" s="976" t="n">
        <v>38780</v>
      </c>
      <c r="AN107" s="976">
        <f>356473-18567</f>
        <v/>
      </c>
      <c r="AO107" s="976" t="n">
        <v>989697</v>
      </c>
      <c r="AP107" s="976" t="n">
        <v>-1067</v>
      </c>
      <c r="AQ107" s="978" t="n">
        <v>988630</v>
      </c>
      <c r="AR107" s="978" t="n">
        <v>736766</v>
      </c>
      <c r="AS107" s="978">
        <f>+AO107+AP107-AQ107</f>
        <v/>
      </c>
      <c r="AT107" s="978">
        <f>+AJ107+AK107+AL107-AM107+AN107-AI107</f>
        <v/>
      </c>
      <c r="AU107" s="978">
        <f>+AF107+AI107-AO107</f>
        <v/>
      </c>
      <c r="AV107" s="978">
        <f>+AF107</f>
        <v/>
      </c>
      <c r="AW107" s="978">
        <f>+AI107</f>
        <v/>
      </c>
      <c r="AX107" s="978">
        <f>+AP107</f>
        <v/>
      </c>
      <c r="AY107" s="978">
        <f>+SUM(AV107:AX107)</f>
        <v/>
      </c>
      <c r="AZ107" s="976" t="n"/>
      <c r="BA107" s="976" t="n"/>
      <c r="BB107" s="977" t="n"/>
      <c r="BC107" s="976" t="n">
        <v>213441</v>
      </c>
      <c r="BD107" s="976">
        <f>1176289+3268</f>
        <v/>
      </c>
      <c r="BE107" s="976" t="n"/>
      <c r="BF107" s="976">
        <f>-1197707+30194</f>
        <v/>
      </c>
      <c r="BG107" s="976" t="n">
        <v>138904</v>
      </c>
      <c r="BH107" s="976" t="n">
        <v>69</v>
      </c>
      <c r="BI107" s="976" t="n">
        <v>-2403</v>
      </c>
      <c r="BJ107" s="976" t="n">
        <v>2071</v>
      </c>
      <c r="BK107" s="976" t="n">
        <v>364126</v>
      </c>
      <c r="BL107" s="978">
        <f>+BK107-BC107-SUM(BD107:BJ107)</f>
        <v/>
      </c>
      <c r="BM107" s="976" t="n">
        <v>5165220</v>
      </c>
      <c r="BN107" s="976" t="n">
        <v>-350000</v>
      </c>
      <c r="BO107" s="976" t="n"/>
      <c r="BP107" s="976" t="n">
        <v>736766</v>
      </c>
      <c r="BQ107" s="976" t="n"/>
      <c r="BR107" s="976" t="n"/>
      <c r="BS107" s="976" t="n">
        <v>5551986</v>
      </c>
      <c r="BT107" s="978">
        <f>+BM107+SUM(BN107:BR107)-BS107</f>
        <v/>
      </c>
      <c r="BU107" s="978" t="n">
        <v>10470733</v>
      </c>
      <c r="BV107" s="978" t="n">
        <v>1225165</v>
      </c>
      <c r="BW107" s="978" t="n">
        <v>8517921</v>
      </c>
      <c r="BX107" s="978" t="n">
        <v>1836968</v>
      </c>
      <c r="BY107" s="978" t="n">
        <v>812094</v>
      </c>
      <c r="BZ107" s="978" t="n">
        <v>-743100</v>
      </c>
      <c r="CA107" s="978" t="n">
        <v>290965</v>
      </c>
      <c r="CB107" s="978" t="n">
        <v>7945182</v>
      </c>
      <c r="CC107" s="976" t="n"/>
      <c r="CD107" s="976">
        <f>CB107+BX107-BY107+BZ107+CA107-BW107</f>
        <v/>
      </c>
      <c r="CE107" s="976" t="n">
        <v>491522</v>
      </c>
      <c r="CF107" s="976">
        <f>443310+394891</f>
        <v/>
      </c>
      <c r="CG107" s="976">
        <f>357703+327251</f>
        <v/>
      </c>
      <c r="CH107" s="976">
        <f>304153+286546+273528+260881+247815</f>
        <v/>
      </c>
      <c r="CI107" s="976">
        <f>1123596+877870+698172+576894+1853789</f>
        <v/>
      </c>
      <c r="CJ107" s="976" t="n">
        <v>8517921</v>
      </c>
      <c r="CK107" s="976">
        <f>CJ107-SUM(CE107:CI107)</f>
        <v/>
      </c>
      <c r="CL107" s="976">
        <f>BW107-CJ107</f>
        <v/>
      </c>
      <c r="CM107" s="976" t="n"/>
      <c r="CN107" s="977" t="n">
        <v>2.1604</v>
      </c>
      <c r="CO107" s="976" t="n">
        <v>11657680</v>
      </c>
      <c r="CP107" s="976" t="n">
        <v>5396114</v>
      </c>
      <c r="CQ107" s="977" t="n">
        <v>2.1594</v>
      </c>
      <c r="CR107" s="976" t="n">
        <v>11668880</v>
      </c>
      <c r="CS107" s="976" t="n">
        <v>5403656</v>
      </c>
      <c r="CT107" s="976" t="n"/>
      <c r="CU107" s="976" t="n">
        <v>2792853</v>
      </c>
      <c r="CV107" s="976" t="n"/>
      <c r="CW107" s="976" t="n"/>
      <c r="CX107" s="976" t="n"/>
      <c r="CY107" s="976" t="n"/>
      <c r="CZ107" s="976" t="n"/>
      <c r="DA107" s="976" t="n"/>
      <c r="DB107" s="976" t="n"/>
      <c r="DC107" s="977" t="n">
        <v>0.822</v>
      </c>
      <c r="DD107" s="976" t="n">
        <v>11340366.117323</v>
      </c>
      <c r="DE107" s="976" t="n">
        <v>9316113.759593001</v>
      </c>
      <c r="DF107" s="976" t="n"/>
      <c r="DG107" s="976" t="n"/>
      <c r="DH107" s="976" t="n"/>
      <c r="DI107" s="976" t="n"/>
      <c r="DJ107" s="976" t="n"/>
      <c r="DK107" s="976" t="n"/>
      <c r="DL107" s="976" t="n"/>
      <c r="DM107" s="976" t="n"/>
      <c r="DN107" s="976" t="n"/>
      <c r="DO107" s="976" t="n"/>
      <c r="DP107" s="976" t="n"/>
      <c r="DQ107" s="976" t="n"/>
      <c r="DR107" s="976" t="n"/>
      <c r="DS107" s="976" t="n"/>
      <c r="DT107" s="976" t="n"/>
      <c r="DU107" s="976" t="n"/>
      <c r="DV107" s="976" t="n"/>
      <c r="DW107" s="976" t="n"/>
      <c r="DX107" s="976" t="n"/>
      <c r="DY107" s="976" t="n"/>
      <c r="DZ107" s="976" t="n"/>
      <c r="EA107" s="976" t="n"/>
      <c r="EB107" s="976" t="n"/>
      <c r="EC107" s="976" t="n"/>
      <c r="ED107" s="976" t="n"/>
      <c r="EE107" s="976" t="n"/>
      <c r="EP107" s="976" t="n"/>
      <c r="EQ107" s="976" t="n"/>
      <c r="ER107" s="976" t="n"/>
      <c r="ES107" s="976" t="n"/>
      <c r="ET107" s="976" t="n"/>
      <c r="EU107" s="976" t="n"/>
      <c r="EV107" s="976" t="n"/>
      <c r="EW107" s="976" t="n"/>
      <c r="EX107" s="976" t="n"/>
      <c r="EY107" s="976" t="n"/>
      <c r="EZ107" s="976" t="n"/>
      <c r="FA107" s="976" t="n"/>
      <c r="FB107" s="976" t="n"/>
    </row>
    <row r="108" customFormat="1" s="103">
      <c r="A108" s="103">
        <f>B108&amp;C108</f>
        <v/>
      </c>
      <c r="B108" s="103" t="n">
        <v>2412</v>
      </c>
      <c r="C108" s="103" t="inlineStr">
        <is>
          <t>KB손보</t>
        </is>
      </c>
      <c r="D108" s="976" t="n">
        <v>40710844</v>
      </c>
      <c r="E108" s="976" t="n">
        <v>9431766</v>
      </c>
      <c r="F108" s="976" t="n">
        <v>20523003</v>
      </c>
      <c r="G108" s="976">
        <f>20000+5921247+969596</f>
        <v/>
      </c>
      <c r="H108" s="976" t="n">
        <v>448957</v>
      </c>
      <c r="I108" s="977">
        <f>+E108/$D108</f>
        <v/>
      </c>
      <c r="J108" s="977">
        <f>+F108/$D108</f>
        <v/>
      </c>
      <c r="K108" s="977">
        <f>+G108/$D108</f>
        <v/>
      </c>
      <c r="L108" s="976" t="n">
        <v>34854403</v>
      </c>
      <c r="M108" s="976" t="n">
        <v>26451376</v>
      </c>
      <c r="N108" s="978">
        <f>O108-P108</f>
        <v/>
      </c>
      <c r="O108" s="978" t="n">
        <v>5856441</v>
      </c>
      <c r="P108" s="978" t="n">
        <v>0</v>
      </c>
      <c r="Q108" s="978" t="n">
        <v>-684025</v>
      </c>
      <c r="R108" s="978" t="n">
        <v>6158762</v>
      </c>
      <c r="S108" s="978" t="n">
        <v>6297816</v>
      </c>
      <c r="T108" s="978">
        <f>N107</f>
        <v/>
      </c>
      <c r="U108" s="979" t="n">
        <v>40710800</v>
      </c>
      <c r="V108" s="979" t="n">
        <v>38051200</v>
      </c>
      <c r="W108" s="109" t="n">
        <v>0.9350000000000001</v>
      </c>
      <c r="X108" s="978" t="n">
        <v>-684025</v>
      </c>
      <c r="Y108" s="978">
        <f>-1080448+5171</f>
        <v/>
      </c>
      <c r="Z108" s="978" t="n">
        <v>236172</v>
      </c>
      <c r="AA108" s="978" t="n">
        <v>-5578</v>
      </c>
      <c r="AB108" s="978">
        <f>144113+5917</f>
        <v/>
      </c>
      <c r="AC108" s="978" t="n">
        <v>50988</v>
      </c>
      <c r="AD108" s="978" t="n">
        <v>-40360</v>
      </c>
      <c r="AE108" s="978">
        <f>X108-SUM(Y108:AD108)</f>
        <v/>
      </c>
      <c r="AF108" s="976" t="n">
        <v>977999</v>
      </c>
      <c r="AG108" s="976" t="n">
        <v>10406503</v>
      </c>
      <c r="AH108" s="976" t="n">
        <v>9428504</v>
      </c>
      <c r="AI108" s="976" t="n">
        <v>177571</v>
      </c>
      <c r="AJ108" s="976">
        <f>44096-808401</f>
        <v/>
      </c>
      <c r="AK108" s="976">
        <f>120187-115426</f>
        <v/>
      </c>
      <c r="AL108" s="976">
        <f>+AI108-AJ108-AK108+AM108-AN108</f>
        <v/>
      </c>
      <c r="AM108" s="976" t="n">
        <v>27369</v>
      </c>
      <c r="AN108" s="976">
        <f>382312-28307</f>
        <v/>
      </c>
      <c r="AO108" s="976" t="n">
        <v>1155570</v>
      </c>
      <c r="AP108" s="976" t="n">
        <v>-17615</v>
      </c>
      <c r="AQ108" s="978" t="n">
        <v>1137955</v>
      </c>
      <c r="AR108" s="978" t="n">
        <v>856749</v>
      </c>
      <c r="AS108" s="978">
        <f>+AO108+AP108-AQ108</f>
        <v/>
      </c>
      <c r="AT108" s="978">
        <f>+AJ108+AK108+AL108-AM108+AN108-AI108</f>
        <v/>
      </c>
      <c r="AU108" s="978">
        <f>+AF108+AI108-AO108</f>
        <v/>
      </c>
      <c r="AV108" s="978">
        <f>+AF108</f>
        <v/>
      </c>
      <c r="AW108" s="978">
        <f>+AI108</f>
        <v/>
      </c>
      <c r="AX108" s="978">
        <f>+AP108</f>
        <v/>
      </c>
      <c r="AY108" s="978">
        <f>+SUM(AV108:AX108)</f>
        <v/>
      </c>
      <c r="AZ108" s="976" t="n"/>
      <c r="BA108" s="976" t="n"/>
      <c r="BB108" s="977">
        <f>+BF108/(BU108+BV108+BW108)</f>
        <v/>
      </c>
      <c r="BC108" s="976" t="n">
        <v>364126</v>
      </c>
      <c r="BD108" s="976">
        <f>536093+423</f>
        <v/>
      </c>
      <c r="BE108" s="976" t="n"/>
      <c r="BF108" s="976">
        <f>-1659269+25010</f>
        <v/>
      </c>
      <c r="BG108" s="976" t="n">
        <v>66974</v>
      </c>
      <c r="BH108" s="976" t="n"/>
      <c r="BI108" s="976" t="n">
        <v>-25301</v>
      </c>
      <c r="BJ108" s="976" t="n">
        <v>7920</v>
      </c>
      <c r="BK108" s="976" t="n">
        <v>-684024</v>
      </c>
      <c r="BL108" s="978">
        <f>+BK108-BC108-SUM(BD108:BJ108)</f>
        <v/>
      </c>
      <c r="BM108" s="976" t="n">
        <v>5551986</v>
      </c>
      <c r="BN108" s="976" t="n">
        <v>-249974</v>
      </c>
      <c r="BO108" s="976" t="n"/>
      <c r="BP108" s="976" t="n">
        <v>856749</v>
      </c>
      <c r="BQ108" s="976" t="n"/>
      <c r="BR108" s="976" t="n"/>
      <c r="BS108" s="976" t="n">
        <v>6158761</v>
      </c>
      <c r="BT108" s="978">
        <f>+BM108+SUM(BN108:BR108)-BS108</f>
        <v/>
      </c>
      <c r="BU108" s="978" t="n">
        <v>12299434</v>
      </c>
      <c r="BV108" s="978" t="n">
        <v>1457142</v>
      </c>
      <c r="BW108" s="978" t="n">
        <v>8820482</v>
      </c>
      <c r="BX108" s="978" t="n">
        <v>1932321</v>
      </c>
      <c r="BY108" s="978" t="n">
        <v>837664</v>
      </c>
      <c r="BZ108" s="978" t="n">
        <v>-1122075</v>
      </c>
      <c r="CA108" s="978" t="n">
        <v>329979</v>
      </c>
      <c r="CB108" s="978" t="n">
        <v>8517921</v>
      </c>
      <c r="CC108" s="976" t="n"/>
      <c r="CD108" s="976">
        <f>CB108+BX108-BY108+BZ108+CA108-BW108</f>
        <v/>
      </c>
      <c r="CE108" s="976" t="n">
        <v>484975</v>
      </c>
      <c r="CF108" s="976">
        <f>433328+381336</f>
        <v/>
      </c>
      <c r="CG108" s="976">
        <f>339983+309393</f>
        <v/>
      </c>
      <c r="CH108" s="976">
        <f>283856+266515+252884+240733+230054</f>
        <v/>
      </c>
      <c r="CI108" s="976">
        <f>1051135+857453+718674+614783+2355380</f>
        <v/>
      </c>
      <c r="CJ108" s="976" t="n">
        <v>8820482</v>
      </c>
      <c r="CK108" s="976">
        <f>CJ108-SUM(CE108:CI108)</f>
        <v/>
      </c>
      <c r="CL108" s="976">
        <f>BW108-CJ108</f>
        <v/>
      </c>
      <c r="CM108" s="976" t="n"/>
      <c r="CN108" s="977" t="n"/>
      <c r="CO108" s="976" t="n"/>
      <c r="CP108" s="976" t="n"/>
      <c r="CQ108" s="977" t="n">
        <v>1.8642</v>
      </c>
      <c r="CR108" s="976" t="n">
        <v>11318549</v>
      </c>
      <c r="CS108" s="976" t="n">
        <v>6071606</v>
      </c>
      <c r="CT108" s="976" t="n"/>
      <c r="CU108" s="976" t="n">
        <v>2838012</v>
      </c>
      <c r="CV108" s="976" t="n"/>
      <c r="CW108" s="110" t="n">
        <v>0.946</v>
      </c>
      <c r="CX108" s="110" t="n">
        <v>0.883</v>
      </c>
      <c r="CY108" s="110" t="n">
        <v>0.063</v>
      </c>
      <c r="CZ108" s="977">
        <f>+CX108/CW108</f>
        <v/>
      </c>
      <c r="DA108" s="976" t="n"/>
      <c r="DB108" s="976" t="n"/>
      <c r="DC108" s="977" t="n">
        <v>0.806</v>
      </c>
      <c r="DD108" s="976" t="n">
        <v>12148992.223829</v>
      </c>
      <c r="DE108" s="976" t="n">
        <v>9786293.436633</v>
      </c>
      <c r="DF108" s="976" t="n"/>
      <c r="DG108" s="976" t="n"/>
      <c r="DH108" s="976" t="n"/>
      <c r="DI108" s="976" t="n"/>
      <c r="DJ108" s="976" t="n"/>
      <c r="DK108" s="976" t="n"/>
      <c r="DL108" s="976" t="n"/>
      <c r="DM108" s="976" t="n"/>
      <c r="DN108" s="976" t="n"/>
      <c r="DO108" s="976" t="n"/>
      <c r="DP108" s="976" t="n"/>
      <c r="DQ108" s="976" t="n"/>
      <c r="DR108" s="976" t="n"/>
      <c r="DS108" s="976" t="n"/>
      <c r="DT108" s="976" t="n"/>
      <c r="DU108" s="976" t="n"/>
      <c r="DV108" s="976" t="n"/>
      <c r="DW108" s="976" t="n"/>
      <c r="DX108" s="976" t="n"/>
      <c r="DY108" s="976" t="n"/>
      <c r="DZ108" s="976" t="n"/>
      <c r="EA108" s="976" t="n"/>
      <c r="EB108" s="976" t="n"/>
      <c r="EC108" s="976" t="n"/>
      <c r="ED108" s="976" t="n"/>
      <c r="EE108" s="976" t="n"/>
      <c r="EP108" s="976" t="n">
        <v>1224470</v>
      </c>
      <c r="EQ108" s="976" t="n">
        <v>-129764</v>
      </c>
      <c r="ER108" s="976" t="n">
        <v>36821</v>
      </c>
      <c r="ES108" s="976" t="n">
        <v>-10483</v>
      </c>
      <c r="ET108" s="976">
        <f>59319+53562</f>
        <v/>
      </c>
      <c r="EU108" s="976" t="n"/>
      <c r="EV108" s="976" t="n"/>
      <c r="EW108" s="976" t="n">
        <v>-1224470</v>
      </c>
      <c r="EX108" s="976" t="n">
        <v>129764</v>
      </c>
      <c r="EY108" s="976" t="n">
        <v>-36821</v>
      </c>
      <c r="EZ108" s="976" t="n">
        <v>10483</v>
      </c>
      <c r="FA108" s="976" t="n">
        <v>-112881</v>
      </c>
      <c r="FB108" s="976" t="n">
        <v>111850</v>
      </c>
      <c r="FC108" s="766">
        <f>SUM(EW108:FB108)-BZ108</f>
        <v/>
      </c>
    </row>
    <row r="109" customFormat="1" s="103">
      <c r="A109" s="103">
        <f>B109&amp;C109</f>
        <v/>
      </c>
      <c r="B109" s="103" t="n">
        <v>2503</v>
      </c>
      <c r="C109" s="103">
        <f>C108</f>
        <v/>
      </c>
      <c r="D109" s="976" t="n">
        <v>41967068</v>
      </c>
      <c r="E109" s="976" t="n">
        <v>9863694</v>
      </c>
      <c r="F109" s="976" t="n">
        <v>21527844</v>
      </c>
      <c r="G109" s="976">
        <f>20000+6340679+398936</f>
        <v/>
      </c>
      <c r="H109" s="976" t="n">
        <v>443792</v>
      </c>
      <c r="I109" s="977">
        <f>+E109/$D109</f>
        <v/>
      </c>
      <c r="J109" s="977">
        <f>+F109/$D109</f>
        <v/>
      </c>
      <c r="K109" s="977">
        <f>+G109/$D109</f>
        <v/>
      </c>
      <c r="L109" s="976" t="n">
        <v>36714834</v>
      </c>
      <c r="M109" s="976" t="n">
        <v>28154589</v>
      </c>
      <c r="N109" s="978">
        <f>O109-P109</f>
        <v/>
      </c>
      <c r="O109" s="978" t="n">
        <v>5252234</v>
      </c>
      <c r="P109" s="978" t="n"/>
      <c r="Q109" s="978" t="n">
        <v>-1308069</v>
      </c>
      <c r="R109" s="978" t="n">
        <v>6178599</v>
      </c>
      <c r="S109" s="978" t="n">
        <v>5856441</v>
      </c>
      <c r="T109" s="978">
        <f>N108</f>
        <v/>
      </c>
      <c r="U109" s="979" t="n">
        <v>41967100</v>
      </c>
      <c r="V109" s="979" t="n">
        <v>39115600</v>
      </c>
      <c r="W109" s="109" t="n">
        <v>0.9320000000000001</v>
      </c>
      <c r="X109" s="978" t="n">
        <v>-1308069</v>
      </c>
      <c r="Y109" s="978">
        <f>-669781+5230</f>
        <v/>
      </c>
      <c r="Z109" s="978" t="n">
        <v>-868717</v>
      </c>
      <c r="AA109" s="978" t="n">
        <v>5716</v>
      </c>
      <c r="AB109" s="978">
        <f>203465+5756</f>
        <v/>
      </c>
      <c r="AC109" s="978" t="n">
        <v>50988</v>
      </c>
      <c r="AD109" s="978" t="n">
        <v>-40726</v>
      </c>
      <c r="AE109" s="978">
        <f>X109-SUM(Y109:AD109)</f>
        <v/>
      </c>
      <c r="AF109" s="976" t="n">
        <v>263066</v>
      </c>
      <c r="AG109" s="976" t="n">
        <v>2846282</v>
      </c>
      <c r="AH109" s="976" t="n">
        <v>2583216</v>
      </c>
      <c r="AI109" s="976" t="n">
        <v>165751</v>
      </c>
      <c r="AJ109" s="976">
        <f>5823-197424</f>
        <v/>
      </c>
      <c r="AK109" s="976">
        <f>23488-9482</f>
        <v/>
      </c>
      <c r="AL109" s="976">
        <f>+AI109-AJ109-AK109+AM109-AN109</f>
        <v/>
      </c>
      <c r="AM109" s="976" t="n">
        <v>7098</v>
      </c>
      <c r="AN109" s="976">
        <f>92858-8314</f>
        <v/>
      </c>
      <c r="AO109" s="976" t="n">
        <v>428817</v>
      </c>
      <c r="AP109" s="976" t="n">
        <v>1227</v>
      </c>
      <c r="AQ109" s="978" t="n">
        <v>430044</v>
      </c>
      <c r="AR109" s="978" t="n">
        <v>319819</v>
      </c>
      <c r="AS109" s="978">
        <f>+AO109+AP109-AQ109</f>
        <v/>
      </c>
      <c r="AT109" s="978">
        <f>+AJ109+AK109+AL109-AM109+AN109-AI109</f>
        <v/>
      </c>
      <c r="AU109" s="978">
        <f>+AF109+AI109-AO109</f>
        <v/>
      </c>
      <c r="AV109" s="978">
        <f>+AF109</f>
        <v/>
      </c>
      <c r="AW109" s="978">
        <f>+AI109</f>
        <v/>
      </c>
      <c r="AX109" s="978">
        <f>+AP109</f>
        <v/>
      </c>
      <c r="AY109" s="978">
        <f>+SUM(AV109:AX109)</f>
        <v/>
      </c>
      <c r="AZ109" s="976" t="n"/>
      <c r="BA109" s="976" t="n"/>
      <c r="BB109" s="977" t="n"/>
      <c r="BC109" s="976" t="n">
        <v>-684024</v>
      </c>
      <c r="BD109" s="976">
        <f>410666+59</f>
        <v/>
      </c>
      <c r="BE109" s="976" t="n"/>
      <c r="BF109" s="976">
        <f>-1104889+11294</f>
        <v/>
      </c>
      <c r="BG109" s="976" t="n">
        <v>59353</v>
      </c>
      <c r="BH109" s="976" t="n"/>
      <c r="BI109" s="976" t="n">
        <v>-366</v>
      </c>
      <c r="BJ109" s="976" t="n">
        <v>-162</v>
      </c>
      <c r="BK109" s="976" t="n">
        <v>-1308069</v>
      </c>
      <c r="BL109" s="978">
        <f>+BK109-BC109-SUM(BD109:BJ109)</f>
        <v/>
      </c>
      <c r="BM109" s="976" t="n">
        <v>6158761</v>
      </c>
      <c r="BN109" s="976" t="n">
        <v>-299981</v>
      </c>
      <c r="BO109" s="976" t="n"/>
      <c r="BP109" s="976" t="n">
        <v>319819</v>
      </c>
      <c r="BQ109" s="976" t="n"/>
      <c r="BR109" s="976" t="n"/>
      <c r="BS109" s="976" t="n">
        <v>6178599</v>
      </c>
      <c r="BT109" s="978">
        <f>+BM109+SUM(BN109:BR109)-BS109</f>
        <v/>
      </c>
      <c r="BU109" s="978" t="n">
        <v>13650753</v>
      </c>
      <c r="BV109" s="978" t="n">
        <v>1522269</v>
      </c>
      <c r="BW109" s="978" t="n">
        <v>8925593</v>
      </c>
      <c r="BX109" s="978" t="n">
        <v>387971</v>
      </c>
      <c r="BY109" s="978" t="n">
        <v>213214</v>
      </c>
      <c r="BZ109" s="978" t="n">
        <v>-150199</v>
      </c>
      <c r="CA109" s="978" t="n">
        <v>80553</v>
      </c>
      <c r="CB109" s="978" t="n">
        <v>8820482</v>
      </c>
      <c r="CC109" s="976" t="n"/>
      <c r="CD109" s="976">
        <f>CB109+BX109-BY109+BZ109+CA109-BW109</f>
        <v/>
      </c>
      <c r="CE109" s="976" t="n">
        <v>492777</v>
      </c>
      <c r="CF109" s="976">
        <f>438527+386275</f>
        <v/>
      </c>
      <c r="CG109" s="976">
        <f>343303+312954</f>
        <v/>
      </c>
      <c r="CH109" s="976">
        <f>286225+269158+256406+244704+234152</f>
        <v/>
      </c>
      <c r="CI109" s="976">
        <f>1067103+875303+735425+629079+2354202</f>
        <v/>
      </c>
      <c r="CJ109" s="976" t="n">
        <v>8925593</v>
      </c>
      <c r="CK109" s="976">
        <f>CJ109-SUM(CE109:CI109)</f>
        <v/>
      </c>
      <c r="CL109" s="976">
        <f>BW109-CJ109</f>
        <v/>
      </c>
      <c r="CM109" s="976" t="n"/>
      <c r="CN109" s="977" t="n"/>
      <c r="CO109" s="976" t="n"/>
      <c r="CP109" s="976" t="n"/>
      <c r="CQ109" s="977" t="n">
        <v>1.8216</v>
      </c>
      <c r="CR109" s="976" t="n">
        <v>11570134</v>
      </c>
      <c r="CS109" s="976" t="n">
        <v>6351544</v>
      </c>
      <c r="CT109" s="976" t="n"/>
      <c r="CU109" s="976">
        <f>+CU108+615694</f>
        <v/>
      </c>
      <c r="CV109" s="976" t="n"/>
      <c r="CW109" s="110" t="n"/>
      <c r="CX109" s="110" t="n"/>
      <c r="CY109" s="110" t="n"/>
      <c r="CZ109" s="977" t="n"/>
      <c r="DA109" s="976" t="n"/>
      <c r="DB109" s="976" t="n"/>
      <c r="DC109" s="977" t="n">
        <v>0.8070000000000001</v>
      </c>
      <c r="DD109" s="976" t="n">
        <v>3135934.25208</v>
      </c>
      <c r="DE109" s="976" t="n">
        <v>2529804.003598</v>
      </c>
      <c r="DF109" s="976" t="n"/>
      <c r="DG109" s="976" t="n"/>
      <c r="DH109" s="976" t="n"/>
      <c r="DI109" s="976" t="n"/>
      <c r="DJ109" s="976" t="n"/>
      <c r="DK109" s="976" t="n"/>
      <c r="DL109" s="976" t="n"/>
      <c r="DM109" s="976" t="n"/>
      <c r="DN109" s="976" t="n"/>
      <c r="DO109" s="976" t="n"/>
      <c r="DP109" s="976" t="n"/>
      <c r="DQ109" s="976" t="n"/>
      <c r="DR109" s="976" t="n"/>
      <c r="DS109" s="976" t="n"/>
      <c r="DT109" s="976" t="n"/>
      <c r="DU109" s="976" t="n"/>
      <c r="DV109" s="976" t="n"/>
      <c r="DW109" s="976" t="n"/>
      <c r="DX109" s="976" t="n"/>
      <c r="DY109" s="976" t="n"/>
      <c r="DZ109" s="976" t="n"/>
      <c r="EA109" s="976" t="n"/>
      <c r="EB109" s="976" t="n"/>
      <c r="EC109" s="976" t="n"/>
      <c r="ED109" s="976" t="n"/>
      <c r="EE109" s="976" t="n"/>
      <c r="EP109" s="976" t="n"/>
      <c r="EQ109" s="976" t="n"/>
      <c r="ER109" s="976" t="n"/>
      <c r="ES109" s="976" t="n"/>
      <c r="ET109" s="976" t="n"/>
      <c r="EU109" s="976" t="n"/>
      <c r="EV109" s="976" t="n"/>
      <c r="EW109" s="976" t="n"/>
      <c r="EX109" s="976" t="n"/>
      <c r="EY109" s="976" t="n"/>
      <c r="EZ109" s="976" t="n"/>
      <c r="FA109" s="976" t="n"/>
      <c r="FB109" s="976" t="n"/>
    </row>
    <row r="110" customFormat="1" s="103">
      <c r="A110" s="103">
        <f>B110&amp;C110</f>
        <v/>
      </c>
      <c r="B110" s="103" t="n">
        <v>2506</v>
      </c>
      <c r="C110" s="103">
        <f>C109</f>
        <v/>
      </c>
      <c r="D110" s="976" t="n">
        <v>42685362</v>
      </c>
      <c r="E110" s="976" t="n">
        <v>9555695</v>
      </c>
      <c r="F110" s="976" t="n">
        <v>21729635</v>
      </c>
      <c r="G110" s="976" t="n">
        <v>7308087</v>
      </c>
      <c r="H110" s="976" t="n">
        <v>414647</v>
      </c>
      <c r="I110" s="977" t="n">
        <v>0.2238635108681988</v>
      </c>
      <c r="J110" s="977" t="n">
        <v>0.5090652622320504</v>
      </c>
      <c r="K110" s="977" t="n">
        <v>0.1712082704136373</v>
      </c>
      <c r="L110" s="976" t="n">
        <v>37105191</v>
      </c>
      <c r="M110" s="976" t="n">
        <v>27656502</v>
      </c>
      <c r="N110" s="978" t="n">
        <v>5580171</v>
      </c>
      <c r="O110" s="978" t="n">
        <v>5580171</v>
      </c>
      <c r="P110" s="978" t="n">
        <v>0</v>
      </c>
      <c r="Q110" s="978" t="n">
        <v>-1226399</v>
      </c>
      <c r="R110" s="978" t="n">
        <v>6424866</v>
      </c>
      <c r="S110" s="978" t="n">
        <v>5856441</v>
      </c>
      <c r="T110" s="978">
        <f>+T109</f>
        <v/>
      </c>
      <c r="U110" s="979" t="n">
        <v>42685400</v>
      </c>
      <c r="V110" s="979" t="n">
        <v>39784600</v>
      </c>
      <c r="W110" s="109" t="n">
        <v>0.9320000000000001</v>
      </c>
      <c r="X110" s="978" t="n">
        <v>-1226400</v>
      </c>
      <c r="Y110" s="978">
        <f>-954283+5085</f>
        <v/>
      </c>
      <c r="Z110" s="978" t="n">
        <v>-395303</v>
      </c>
      <c r="AA110" s="978" t="n">
        <v>-1040</v>
      </c>
      <c r="AB110" s="978">
        <f>107196+1189</f>
        <v/>
      </c>
      <c r="AC110" s="978" t="n">
        <v>50988</v>
      </c>
      <c r="AD110" s="978" t="n">
        <v>-40232</v>
      </c>
      <c r="AE110" s="978">
        <f>X110-SUM(Y110:AD110)</f>
        <v/>
      </c>
      <c r="AF110" s="976" t="n">
        <v>500996</v>
      </c>
      <c r="AG110" s="976" t="n">
        <v>5627212</v>
      </c>
      <c r="AH110" s="976" t="n">
        <v>5126216</v>
      </c>
      <c r="AI110" s="976" t="n">
        <v>262261</v>
      </c>
      <c r="AJ110" s="976" t="n">
        <v>0</v>
      </c>
      <c r="AK110" s="976" t="n">
        <v>0</v>
      </c>
      <c r="AL110" s="976" t="n">
        <v>0</v>
      </c>
      <c r="AM110" s="976" t="n">
        <v>0</v>
      </c>
      <c r="AN110" s="976" t="n">
        <v>0</v>
      </c>
      <c r="AO110" s="976" t="n">
        <v>763257</v>
      </c>
      <c r="AP110" s="976" t="n">
        <v>1008</v>
      </c>
      <c r="AQ110" s="978" t="n">
        <v>764265</v>
      </c>
      <c r="AR110" s="978" t="n">
        <v>566086</v>
      </c>
      <c r="AS110" s="978">
        <f>+AO110+AP110-AQ110</f>
        <v/>
      </c>
      <c r="AT110" s="978">
        <f>+AJ110+AK110+AL110-AM110+AN110-AI110</f>
        <v/>
      </c>
      <c r="AU110" s="978">
        <f>+AF110+AI110-AO110</f>
        <v/>
      </c>
      <c r="AV110" s="978">
        <f>+AF110</f>
        <v/>
      </c>
      <c r="AW110" s="978">
        <f>+AI110</f>
        <v/>
      </c>
      <c r="AX110" s="978">
        <f>+AP110</f>
        <v/>
      </c>
      <c r="AY110" s="978">
        <f>+SUM(AV110:AX110)</f>
        <v/>
      </c>
      <c r="AZ110" s="976" t="n"/>
      <c r="BA110" s="976" t="n"/>
      <c r="BB110" s="977" t="n"/>
      <c r="BC110" s="976" t="n">
        <v>-684024</v>
      </c>
      <c r="BD110" s="976" t="n">
        <v>126165</v>
      </c>
      <c r="BE110" s="976" t="n">
        <v>-86</v>
      </c>
      <c r="BF110" s="976" t="n">
        <v>-626937</v>
      </c>
      <c r="BG110" s="976" t="n">
        <v>-36916</v>
      </c>
      <c r="BH110" s="976" t="n"/>
      <c r="BI110" s="976" t="n">
        <v>128</v>
      </c>
      <c r="BJ110" s="976" t="n">
        <v>-4729</v>
      </c>
      <c r="BK110" s="976" t="n">
        <v>-1226399</v>
      </c>
      <c r="BL110" s="978" t="n">
        <v>0</v>
      </c>
      <c r="BM110" s="976" t="n">
        <v>6158761</v>
      </c>
      <c r="BN110" s="976" t="n">
        <v>-299981</v>
      </c>
      <c r="BO110" s="976" t="n">
        <v>0</v>
      </c>
      <c r="BP110" s="976" t="n">
        <v>566086</v>
      </c>
      <c r="BQ110" s="976" t="n">
        <v>0</v>
      </c>
      <c r="BR110" s="976" t="n">
        <v>0</v>
      </c>
      <c r="BS110" s="976" t="n">
        <v>6424866</v>
      </c>
      <c r="BT110" s="978">
        <f>+BM110+SUM(BN110:BR110)-BS110</f>
        <v/>
      </c>
      <c r="BU110" s="978" t="n">
        <v>12766186</v>
      </c>
      <c r="BV110" s="978" t="n">
        <v>1536654</v>
      </c>
      <c r="BW110" s="978" t="n">
        <v>9217614</v>
      </c>
      <c r="BX110" s="978" t="n">
        <v>814226</v>
      </c>
      <c r="BY110" s="978" t="n">
        <v>423962</v>
      </c>
      <c r="BZ110" s="978" t="n">
        <v>-155484</v>
      </c>
      <c r="CA110" s="978" t="n">
        <v>162352</v>
      </c>
      <c r="CB110" s="978" t="n">
        <v>8820482</v>
      </c>
      <c r="CC110" s="976" t="n"/>
      <c r="CD110" s="976">
        <f>CB110+BX110-BY110+BZ110+CA110-BW110</f>
        <v/>
      </c>
      <c r="CE110" s="976">
        <f>506704</f>
        <v/>
      </c>
      <c r="CF110" s="976">
        <f>451246+396260</f>
        <v/>
      </c>
      <c r="CG110" s="976">
        <f>352816+320601</f>
        <v/>
      </c>
      <c r="CH110" s="976">
        <f>293122+276069+263186+251350+240602</f>
        <v/>
      </c>
      <c r="CI110" s="976">
        <f>1096545+903109+760622+651959+2453423</f>
        <v/>
      </c>
      <c r="CJ110" s="976" t="n">
        <v>9217614</v>
      </c>
      <c r="CK110" s="976">
        <f>CJ110-SUM(CE110:CI110)</f>
        <v/>
      </c>
      <c r="CL110" s="976">
        <f>BW110-CJ110</f>
        <v/>
      </c>
      <c r="CM110" s="976" t="n"/>
      <c r="CN110" s="977" t="n"/>
      <c r="CO110" s="976" t="n"/>
      <c r="CP110" s="976" t="n"/>
      <c r="CQ110" s="977" t="n">
        <v>1.915</v>
      </c>
      <c r="CR110" s="976" t="n">
        <v>12153094</v>
      </c>
      <c r="CS110" s="976" t="n">
        <v>6346294</v>
      </c>
      <c r="CT110" s="976" t="n"/>
      <c r="CU110" s="976" t="n">
        <v>3281748</v>
      </c>
      <c r="CV110" s="976" t="n"/>
      <c r="CW110" s="110" t="n"/>
      <c r="CX110" s="110" t="n"/>
      <c r="CY110" s="110" t="n"/>
      <c r="CZ110" s="977" t="n"/>
      <c r="DA110" s="976" t="n"/>
      <c r="DB110" s="976" t="n"/>
      <c r="DC110" s="977">
        <f>DE110/DD110</f>
        <v/>
      </c>
      <c r="DD110" s="976" t="n">
        <v>6361668.340765</v>
      </c>
      <c r="DE110" s="976" t="n">
        <v>5106692.659903999</v>
      </c>
      <c r="DF110" s="976" t="n"/>
      <c r="DG110" s="976" t="n"/>
      <c r="DH110" s="976" t="n"/>
      <c r="DI110" s="976" t="n"/>
      <c r="DJ110" s="976" t="n"/>
      <c r="DK110" s="976" t="n"/>
      <c r="DL110" s="976" t="n"/>
      <c r="DM110" s="976" t="n"/>
      <c r="DN110" s="976" t="n"/>
      <c r="DO110" s="976" t="n"/>
      <c r="DP110" s="976" t="n"/>
      <c r="DQ110" s="976" t="n"/>
      <c r="DR110" s="976" t="n"/>
      <c r="DS110" s="976" t="n"/>
      <c r="DT110" s="976" t="n"/>
      <c r="DU110" s="976" t="n"/>
      <c r="DV110" s="976" t="n"/>
      <c r="DW110" s="976" t="n"/>
      <c r="DX110" s="976" t="n"/>
      <c r="DY110" s="976" t="n"/>
      <c r="DZ110" s="976" t="n"/>
      <c r="EA110" s="976" t="n"/>
      <c r="EB110" s="976" t="n"/>
      <c r="EC110" s="976" t="n"/>
      <c r="ED110" s="976" t="n"/>
      <c r="EE110" s="976" t="n"/>
      <c r="EP110" s="976" t="n"/>
      <c r="EQ110" s="976" t="n"/>
      <c r="ER110" s="976" t="n"/>
      <c r="ES110" s="976" t="n"/>
      <c r="ET110" s="976" t="n"/>
      <c r="EU110" s="976" t="n"/>
      <c r="EV110" s="976" t="n"/>
      <c r="EW110" s="976" t="n"/>
      <c r="EX110" s="976" t="n"/>
      <c r="EY110" s="976" t="n"/>
      <c r="EZ110" s="976" t="n"/>
      <c r="FA110" s="976" t="n"/>
      <c r="FB110" s="976" t="n"/>
    </row>
    <row r="111" customFormat="1" s="103">
      <c r="A111" s="103">
        <f>B111&amp;C111</f>
        <v/>
      </c>
      <c r="B111" s="103" t="n">
        <v>2509</v>
      </c>
      <c r="C111" s="103">
        <f>C110</f>
        <v/>
      </c>
      <c r="D111" s="976" t="n">
        <v>43453891</v>
      </c>
      <c r="E111" s="976" t="n">
        <v>9882040</v>
      </c>
      <c r="F111" s="976" t="n">
        <v>21970334</v>
      </c>
      <c r="G111" s="976">
        <f>20000+6977092+472205</f>
        <v/>
      </c>
      <c r="H111" s="976" t="n">
        <v>496364</v>
      </c>
      <c r="I111" s="977" t="n">
        <v>0.2238635108681988</v>
      </c>
      <c r="J111" s="977" t="n">
        <v>0.5090652622320504</v>
      </c>
      <c r="K111" s="977" t="n">
        <v>0.1712082704136373</v>
      </c>
      <c r="L111" s="976" t="n">
        <v>37760138</v>
      </c>
      <c r="M111" s="976" t="n">
        <v>27621275</v>
      </c>
      <c r="N111" s="978">
        <f>+O111-P111</f>
        <v/>
      </c>
      <c r="O111" s="978" t="n">
        <v>5693753</v>
      </c>
      <c r="P111" s="978" t="n">
        <v>0</v>
      </c>
      <c r="Q111" s="978" t="n">
        <v>-1322961</v>
      </c>
      <c r="R111" s="978" t="n">
        <v>6635010</v>
      </c>
      <c r="S111" s="978" t="n">
        <v>5856441</v>
      </c>
      <c r="T111" s="978">
        <f>+T110</f>
        <v/>
      </c>
      <c r="U111" s="979" t="n">
        <v>43453900</v>
      </c>
      <c r="V111" s="979" t="n">
        <v>40467200</v>
      </c>
      <c r="W111" s="109" t="n">
        <v>0.931</v>
      </c>
      <c r="X111" s="978" t="n">
        <v>-1322960</v>
      </c>
      <c r="Y111" s="978">
        <f>+-1103775+4972</f>
        <v/>
      </c>
      <c r="Z111" s="978" t="n">
        <v>-300819</v>
      </c>
      <c r="AA111" s="978" t="n">
        <v>-1212</v>
      </c>
      <c r="AB111" s="978">
        <f>62716+3029</f>
        <v/>
      </c>
      <c r="AC111" s="978" t="n">
        <v>50988</v>
      </c>
      <c r="AD111" s="978" t="n">
        <v>-38859</v>
      </c>
      <c r="AE111" s="978">
        <f>X111-SUM(Y111:AD111)</f>
        <v/>
      </c>
      <c r="AF111" s="976" t="n">
        <v>655912</v>
      </c>
      <c r="AG111" s="976" t="n">
        <v>8510422</v>
      </c>
      <c r="AH111" s="976" t="n">
        <v>7854530</v>
      </c>
      <c r="AI111" s="976" t="n">
        <v>394123</v>
      </c>
      <c r="AJ111" s="976">
        <f>49766-586621</f>
        <v/>
      </c>
      <c r="AK111" s="976">
        <f>65326-56720</f>
        <v/>
      </c>
      <c r="AL111" s="976">
        <f>+AI111-AJ111-AK111+AM111-AN111</f>
        <v/>
      </c>
      <c r="AM111" s="976" t="n">
        <v>16868</v>
      </c>
      <c r="AN111" s="976">
        <f>274663-2753-25031</f>
        <v/>
      </c>
      <c r="AO111" s="976" t="n">
        <v>1050035</v>
      </c>
      <c r="AP111" s="976" t="n">
        <v>788</v>
      </c>
      <c r="AQ111" s="978" t="n">
        <v>1050823</v>
      </c>
      <c r="AR111" s="978" t="n">
        <v>776230</v>
      </c>
      <c r="AS111" s="978">
        <f>+AO111+AP111-AQ111</f>
        <v/>
      </c>
      <c r="AT111" s="978">
        <f>+AJ111+AK111+AL111-AM111+AN111-AI111</f>
        <v/>
      </c>
      <c r="AU111" s="978">
        <f>+AF111+AI111-AO111</f>
        <v/>
      </c>
      <c r="AV111" s="978">
        <f>+AF111</f>
        <v/>
      </c>
      <c r="AW111" s="978">
        <f>+AI111</f>
        <v/>
      </c>
      <c r="AX111" s="978">
        <f>+AP111</f>
        <v/>
      </c>
      <c r="AY111" s="978">
        <f>+SUM(AV111:AX111)</f>
        <v/>
      </c>
      <c r="AZ111" s="976" t="n"/>
      <c r="BA111" s="976" t="n"/>
      <c r="BB111" s="977" t="n"/>
      <c r="BC111" s="976" t="n">
        <v>-684024</v>
      </c>
      <c r="BD111" s="976">
        <f>+-23329+-199</f>
        <v/>
      </c>
      <c r="BE111" s="976" t="n"/>
      <c r="BF111" s="976">
        <f>+-536992+4366</f>
        <v/>
      </c>
      <c r="BG111" s="976" t="n">
        <v>-81396</v>
      </c>
      <c r="BH111" s="976" t="n"/>
      <c r="BI111" s="976" t="n">
        <v>1501</v>
      </c>
      <c r="BJ111" s="976" t="n">
        <v>-2888</v>
      </c>
      <c r="BK111" s="976" t="n">
        <v>-1322961</v>
      </c>
      <c r="BL111" s="978">
        <f>+BK111-BC111-SUM(BD111:BJ111)</f>
        <v/>
      </c>
      <c r="BM111" s="976" t="n">
        <v>6158761</v>
      </c>
      <c r="BN111" s="976" t="n">
        <v>-299981</v>
      </c>
      <c r="BO111" s="976" t="n"/>
      <c r="BP111" s="976" t="n">
        <v>776230</v>
      </c>
      <c r="BQ111" s="976" t="n"/>
      <c r="BR111" s="976" t="n"/>
      <c r="BS111" s="976" t="n">
        <v>6635010</v>
      </c>
      <c r="BT111" s="978">
        <f>+BM111+SUM(BN111:BR111)-BS111</f>
        <v/>
      </c>
      <c r="BU111" s="978" t="n">
        <v>12558143</v>
      </c>
      <c r="BV111" s="978" t="n">
        <v>1543025</v>
      </c>
      <c r="BW111" s="978" t="n">
        <v>9393858</v>
      </c>
      <c r="BX111" s="978" t="n">
        <v>1280934</v>
      </c>
      <c r="BY111" s="978" t="n">
        <v>641231</v>
      </c>
      <c r="BZ111" s="978" t="n">
        <v>-312836</v>
      </c>
      <c r="CA111" s="978" t="n">
        <v>246509</v>
      </c>
      <c r="CB111" s="978" t="n">
        <v>8820482</v>
      </c>
      <c r="CC111" s="976" t="n"/>
      <c r="CD111" s="976">
        <f>CB111+BX111-BY111+BZ111+CA111-BW111</f>
        <v/>
      </c>
      <c r="CE111" s="976" t="n">
        <v>513822</v>
      </c>
      <c r="CF111" s="976">
        <f>457400+399974</f>
        <v/>
      </c>
      <c r="CG111" s="976">
        <f>357594+323509</f>
        <v/>
      </c>
      <c r="CH111" s="976">
        <f>296584+279759+266678+254986+243962</f>
        <v/>
      </c>
      <c r="CI111" s="976">
        <f>1111727+920767+776607+667462+2523027</f>
        <v/>
      </c>
      <c r="CJ111" s="976" t="n">
        <v>9393858</v>
      </c>
      <c r="CK111" s="976">
        <f>CJ111-SUM(CE111:CI111)</f>
        <v/>
      </c>
      <c r="CL111" s="976">
        <f>BW111-CJ111</f>
        <v/>
      </c>
      <c r="CM111" s="976" t="n"/>
      <c r="CN111" s="977" t="n"/>
      <c r="CO111" s="976" t="n"/>
      <c r="CP111" s="976" t="n"/>
      <c r="CQ111" s="977" t="n">
        <v>1.9119</v>
      </c>
      <c r="CR111" s="976" t="n">
        <v>12377040</v>
      </c>
      <c r="CS111" s="976" t="n">
        <v>6473686</v>
      </c>
      <c r="CT111" s="976" t="n"/>
      <c r="CU111" s="976">
        <f>+CU108+649830</f>
        <v/>
      </c>
      <c r="CV111" s="976" t="n"/>
      <c r="CW111" s="110" t="n"/>
      <c r="CX111" s="110" t="n"/>
      <c r="CY111" s="110" t="n"/>
      <c r="CZ111" s="977" t="n"/>
      <c r="DA111" s="976" t="n"/>
      <c r="DB111" s="976" t="n"/>
      <c r="DC111" s="977">
        <f>DE111/DD111</f>
        <v/>
      </c>
      <c r="DD111" s="976" t="n">
        <v>9635031.261658</v>
      </c>
      <c r="DE111" s="976" t="n">
        <v>7857904.581072</v>
      </c>
      <c r="DF111" s="976" t="n"/>
      <c r="DG111" s="976" t="n"/>
      <c r="DH111" s="976" t="n"/>
      <c r="DI111" s="976" t="n"/>
      <c r="DJ111" s="976" t="n"/>
      <c r="DK111" s="976" t="n"/>
      <c r="DL111" s="976" t="n"/>
      <c r="DM111" s="976" t="n"/>
      <c r="DN111" s="976" t="n"/>
      <c r="DO111" s="976" t="n"/>
      <c r="DP111" s="976" t="n"/>
      <c r="DQ111" s="976" t="n"/>
      <c r="DR111" s="976" t="n"/>
      <c r="DS111" s="976" t="n"/>
      <c r="DT111" s="976" t="n"/>
      <c r="DU111" s="976" t="n"/>
      <c r="DV111" s="976" t="n"/>
      <c r="DW111" s="976" t="n"/>
      <c r="DX111" s="976" t="n"/>
      <c r="DY111" s="976" t="n"/>
      <c r="DZ111" s="976" t="n"/>
      <c r="EA111" s="976" t="n"/>
      <c r="EB111" s="976" t="n"/>
      <c r="EC111" s="976" t="n"/>
      <c r="ED111" s="976" t="n"/>
      <c r="EE111" s="976" t="n"/>
      <c r="EP111" s="976" t="n"/>
      <c r="EQ111" s="976" t="n"/>
      <c r="ER111" s="976" t="n"/>
      <c r="ES111" s="976" t="n"/>
      <c r="ET111" s="976" t="n"/>
      <c r="EU111" s="976" t="n"/>
      <c r="EV111" s="976" t="n"/>
      <c r="EW111" s="976" t="n"/>
      <c r="EX111" s="976" t="n"/>
      <c r="EY111" s="976" t="n"/>
      <c r="EZ111" s="976" t="n"/>
      <c r="FA111" s="976" t="n"/>
      <c r="FB111" s="976" t="n"/>
    </row>
    <row r="112" customFormat="1" s="103">
      <c r="A112" s="103">
        <f>B112&amp;C112</f>
        <v/>
      </c>
      <c r="B112" s="103" t="n">
        <v>2512</v>
      </c>
      <c r="C112" s="103">
        <f>C111</f>
        <v/>
      </c>
      <c r="D112" s="976" t="n">
        <v>44891997</v>
      </c>
      <c r="E112" s="976" t="n">
        <v>9444743</v>
      </c>
      <c r="F112" s="976" t="n">
        <v>21906885</v>
      </c>
      <c r="G112" s="976">
        <f>20000+7460572+758966</f>
        <v/>
      </c>
      <c r="H112" s="976" t="n">
        <v>1048552</v>
      </c>
      <c r="I112" s="977" t="n">
        <v>0.2238635108681988</v>
      </c>
      <c r="J112" s="977" t="n">
        <v>0.5090652622320504</v>
      </c>
      <c r="K112" s="977" t="n">
        <v>0.1712082704136373</v>
      </c>
      <c r="L112" s="976" t="n">
        <v>39174763</v>
      </c>
      <c r="M112" s="976" t="n">
        <v>26219701</v>
      </c>
      <c r="N112" s="978">
        <f>+O112-P112</f>
        <v/>
      </c>
      <c r="O112" s="978" t="n">
        <v>5717234</v>
      </c>
      <c r="P112" s="978" t="n"/>
      <c r="Q112" s="978" t="n">
        <v>-1308222</v>
      </c>
      <c r="R112" s="978" t="n">
        <v>6958956</v>
      </c>
      <c r="S112" s="978" t="n">
        <v>5856441</v>
      </c>
      <c r="T112" s="978">
        <f>+N108</f>
        <v/>
      </c>
      <c r="U112" s="979" t="n">
        <v>44892000</v>
      </c>
      <c r="V112" s="979" t="n">
        <v>42203900</v>
      </c>
      <c r="W112" s="109" t="n">
        <v>0.9399999999999999</v>
      </c>
      <c r="X112" s="978" t="n">
        <v>-1308222</v>
      </c>
      <c r="Y112" s="978">
        <f>+-1908295+5428</f>
        <v/>
      </c>
      <c r="Z112" s="978" t="n">
        <v>773926</v>
      </c>
      <c r="AA112" s="978" t="n">
        <v>-12979</v>
      </c>
      <c r="AB112" s="978">
        <f>+-197292+4441</f>
        <v/>
      </c>
      <c r="AC112" s="978" t="n">
        <v>50226</v>
      </c>
      <c r="AD112" s="978" t="n">
        <v>-23677</v>
      </c>
      <c r="AE112" s="978">
        <f>X112-SUM(Y112:AD112)</f>
        <v/>
      </c>
      <c r="AF112" s="976" t="n">
        <v>626695</v>
      </c>
      <c r="AG112" s="976" t="n">
        <v>11334108</v>
      </c>
      <c r="AH112" s="976" t="n">
        <v>10707413</v>
      </c>
      <c r="AI112" s="976" t="n">
        <v>528281</v>
      </c>
      <c r="AJ112" s="976">
        <f>59360-778444</f>
        <v/>
      </c>
      <c r="AK112" s="976">
        <f>116089-53102</f>
        <v/>
      </c>
      <c r="AL112" s="976">
        <f>+AI112-AJ112-AK112+AM112-AN112</f>
        <v/>
      </c>
      <c r="AM112" s="976" t="n">
        <v>21522</v>
      </c>
      <c r="AN112" s="976">
        <f>401869-3856-33628</f>
        <v/>
      </c>
      <c r="AO112" s="976" t="n">
        <v>1154976</v>
      </c>
      <c r="AP112" s="976" t="n">
        <v>-14217</v>
      </c>
      <c r="AQ112" s="978" t="n">
        <v>1140759</v>
      </c>
      <c r="AR112" s="978" t="n">
        <v>781077</v>
      </c>
      <c r="AS112" s="978">
        <f>+AO112+AP112-AQ112</f>
        <v/>
      </c>
      <c r="AT112" s="978">
        <f>+AJ112+AK112+AL112-AM112+AN112-AI112</f>
        <v/>
      </c>
      <c r="AU112" s="978">
        <f>+AF112+AI112-AO112</f>
        <v/>
      </c>
      <c r="AV112" s="978">
        <f>+AF112</f>
        <v/>
      </c>
      <c r="AW112" s="978">
        <f>+AI112</f>
        <v/>
      </c>
      <c r="AX112" s="978">
        <f>+AP112</f>
        <v/>
      </c>
      <c r="AY112" s="978">
        <f>+SUM(AV112:AX112)</f>
        <v/>
      </c>
      <c r="AZ112" s="976" t="n"/>
      <c r="BA112" s="976" t="n"/>
      <c r="BB112" s="977" t="n"/>
      <c r="BC112" s="976" t="n">
        <v>-684024</v>
      </c>
      <c r="BD112" s="976">
        <f>+-827847+257</f>
        <v/>
      </c>
      <c r="BE112" s="976" t="n"/>
      <c r="BF112" s="976">
        <f>537754+-7401</f>
        <v/>
      </c>
      <c r="BG112" s="976" t="n">
        <v>-341405</v>
      </c>
      <c r="BH112" s="976" t="n">
        <v>-762</v>
      </c>
      <c r="BI112" s="976" t="n">
        <v>16683</v>
      </c>
      <c r="BJ112" s="976" t="n">
        <v>-1477</v>
      </c>
      <c r="BK112" s="976" t="n">
        <v>-1308222</v>
      </c>
      <c r="BL112" s="978">
        <f>+BK112-BC112-SUM(BD112:BJ112)</f>
        <v/>
      </c>
      <c r="BM112" s="976" t="n">
        <v>6158761</v>
      </c>
      <c r="BN112" s="976" t="n">
        <v>-299981</v>
      </c>
      <c r="BO112" s="976" t="n"/>
      <c r="BP112" s="976" t="n">
        <v>781077</v>
      </c>
      <c r="BQ112" s="976">
        <f>3895+315204</f>
        <v/>
      </c>
      <c r="BR112" s="976" t="n"/>
      <c r="BS112" s="976" t="n">
        <v>6958956</v>
      </c>
      <c r="BT112" s="978">
        <f>+BM112+SUM(BN112:BR112)-BS112</f>
        <v/>
      </c>
      <c r="BU112" s="978">
        <f>3492315+7926857</f>
        <v/>
      </c>
      <c r="BV112" s="978">
        <f>1233+1487270</f>
        <v/>
      </c>
      <c r="BW112" s="978">
        <f>7836+9277197</f>
        <v/>
      </c>
      <c r="BX112" s="978">
        <f>79+1741777</f>
        <v/>
      </c>
      <c r="BY112" s="978">
        <f>528+852908</f>
        <v/>
      </c>
      <c r="BZ112" s="978">
        <f>548+-756465</f>
        <v/>
      </c>
      <c r="CA112" s="978">
        <f>197+331851</f>
        <v/>
      </c>
      <c r="CB112" s="978">
        <f>7540+8812942</f>
        <v/>
      </c>
      <c r="CC112" s="976" t="n"/>
      <c r="CD112" s="976">
        <f>CB112+BX112-BY112+BZ112+CA112-BW112</f>
        <v/>
      </c>
      <c r="CE112" s="976" t="n">
        <v>501947</v>
      </c>
      <c r="CF112" s="976">
        <f>442544+383223</f>
        <v/>
      </c>
      <c r="CG112" s="976">
        <f>341588+305996</f>
        <v/>
      </c>
      <c r="CH112" s="976">
        <f>279694+262235+247987+235598+224396</f>
        <v/>
      </c>
      <c r="CI112" s="976">
        <f>1014237+866700+755341+665209+2758338</f>
        <v/>
      </c>
      <c r="CJ112" s="976" t="n">
        <v>9285033</v>
      </c>
      <c r="CK112" s="976">
        <f>CJ112-SUM(CE112:CI112)</f>
        <v/>
      </c>
      <c r="CL112" s="976">
        <f>BW112-CJ112</f>
        <v/>
      </c>
      <c r="CM112" s="976" t="n"/>
      <c r="CN112" s="977" t="n">
        <v>1.9242</v>
      </c>
      <c r="CO112" s="976" t="n">
        <v>12190838</v>
      </c>
      <c r="CP112" s="976" t="n">
        <v>6368633</v>
      </c>
      <c r="CQ112" s="995" t="n">
        <v>1.9154</v>
      </c>
      <c r="CR112" s="978" t="n">
        <v>12190866</v>
      </c>
      <c r="CS112" s="978" t="n">
        <v>6364632</v>
      </c>
      <c r="CT112" s="976" t="n"/>
      <c r="CU112" s="976">
        <f>2838012+808224</f>
        <v/>
      </c>
      <c r="CV112" s="976" t="n"/>
      <c r="CW112" s="110" t="n">
        <v>0.945</v>
      </c>
      <c r="CX112" s="110" t="n">
        <v>0.969</v>
      </c>
      <c r="CY112" s="110" t="n">
        <v>-0.024</v>
      </c>
      <c r="CZ112" s="977">
        <f>+CX112/CW112</f>
        <v/>
      </c>
      <c r="DA112" s="976" t="n"/>
      <c r="DB112" s="976" t="n"/>
      <c r="DC112" s="977" t="n"/>
      <c r="DD112" s="976" t="n"/>
      <c r="DE112" s="976" t="n"/>
      <c r="DF112" s="976" t="n"/>
      <c r="DG112" s="976" t="n"/>
      <c r="DH112" s="976" t="n"/>
      <c r="DI112" s="976" t="n"/>
      <c r="DJ112" s="976" t="n"/>
      <c r="DK112" s="976" t="n"/>
      <c r="DL112" s="976" t="n"/>
      <c r="DM112" s="976" t="n"/>
      <c r="DN112" s="976" t="n"/>
      <c r="DO112" s="976" t="n"/>
      <c r="DP112" s="976" t="n"/>
      <c r="DQ112" s="976" t="n"/>
      <c r="DR112" s="976" t="n"/>
      <c r="DS112" s="976" t="n"/>
      <c r="DT112" s="976" t="n"/>
      <c r="DU112" s="976" t="n"/>
      <c r="DV112" s="976" t="n"/>
      <c r="DW112" s="976" t="n"/>
      <c r="DX112" s="976" t="n"/>
      <c r="DY112" s="976" t="n"/>
      <c r="DZ112" s="976" t="n"/>
      <c r="EA112" s="976" t="n"/>
      <c r="EB112" s="976" t="n"/>
      <c r="EC112" s="976" t="n"/>
      <c r="ED112" s="976" t="n"/>
      <c r="EE112" s="976" t="n"/>
      <c r="EP112" s="976" t="n">
        <v>89276</v>
      </c>
      <c r="EQ112" s="976" t="n">
        <v>-439240</v>
      </c>
      <c r="ER112" s="976" t="n">
        <v>246988</v>
      </c>
      <c r="ES112" s="976" t="n">
        <v>-5048</v>
      </c>
      <c r="ET112" s="976">
        <f>889314-13657</f>
        <v/>
      </c>
      <c r="EU112" s="976" t="n"/>
      <c r="EV112" s="976" t="n"/>
      <c r="EW112" s="976" t="n">
        <v>-89276</v>
      </c>
      <c r="EX112" s="976" t="n">
        <v>439240</v>
      </c>
      <c r="EY112" s="976" t="n">
        <v>-246988</v>
      </c>
      <c r="EZ112" s="976" t="n">
        <v>5048</v>
      </c>
      <c r="FA112" s="976" t="n">
        <v>-875657</v>
      </c>
      <c r="FB112" s="976" t="n">
        <v>11716</v>
      </c>
      <c r="FC112" s="766">
        <f>SUM(EW112:FB112)-BZ112</f>
        <v/>
      </c>
    </row>
    <row r="113" ht="16.5" customFormat="1" customHeight="1" s="103">
      <c r="A113" s="696">
        <f>B113&amp;C113</f>
        <v/>
      </c>
      <c r="B113" s="696" t="n">
        <v>2603</v>
      </c>
      <c r="C113" s="696" t="inlineStr">
        <is>
          <t>KB손보</t>
        </is>
      </c>
      <c r="D113" s="976" t="n">
        <v>44403722</v>
      </c>
      <c r="E113" s="976" t="n">
        <v>9430097</v>
      </c>
      <c r="F113" s="976" t="n">
        <v>21939801</v>
      </c>
      <c r="G113" s="976" t="n">
        <v>8597325</v>
      </c>
      <c r="H113" s="976" t="n">
        <v>584338</v>
      </c>
      <c r="I113" s="977">
        <f>E113/D113</f>
        <v/>
      </c>
      <c r="J113" s="977">
        <f>F113/D113</f>
        <v/>
      </c>
      <c r="K113" s="977">
        <f>G113/D113</f>
        <v/>
      </c>
      <c r="L113" s="976" t="n">
        <v>38464703</v>
      </c>
      <c r="M113" s="976" t="n">
        <v>24651521</v>
      </c>
      <c r="N113" s="978">
        <f>O113-P113</f>
        <v/>
      </c>
      <c r="O113" s="978" t="n">
        <v>5939019</v>
      </c>
      <c r="P113" s="978" t="n"/>
      <c r="Q113" s="978" t="n">
        <v>-1300410</v>
      </c>
      <c r="R113" s="978" t="n">
        <v>7172929</v>
      </c>
      <c r="S113" s="978" t="n">
        <v>5717234</v>
      </c>
      <c r="T113" s="978" t="n">
        <v>5717234</v>
      </c>
      <c r="U113" s="979" t="n">
        <v>44403722</v>
      </c>
      <c r="V113" s="979" t="n">
        <v>41606363.79</v>
      </c>
      <c r="W113" s="109" t="n"/>
      <c r="X113" s="978">
        <f>Q113</f>
        <v/>
      </c>
      <c r="Y113" s="978" t="n"/>
      <c r="Z113" s="978" t="n">
        <v>2061980.59</v>
      </c>
      <c r="AA113" s="978" t="n">
        <v>-23259.28</v>
      </c>
      <c r="AB113" s="978" t="n"/>
      <c r="AC113" s="978" t="n"/>
      <c r="AD113" s="978" t="n">
        <v>-24460.51</v>
      </c>
      <c r="AE113" s="978" t="n"/>
      <c r="AF113" s="976" t="n">
        <v>182800</v>
      </c>
      <c r="AG113" s="976" t="n">
        <v>2854809</v>
      </c>
      <c r="AH113" s="976" t="n">
        <v>2672009</v>
      </c>
      <c r="AI113" s="976" t="n">
        <v>112147</v>
      </c>
      <c r="AJ113" s="976" t="n">
        <v>-225489</v>
      </c>
      <c r="AK113" s="976" t="n">
        <v>69024</v>
      </c>
      <c r="AL113" s="976">
        <f>AI113-AJ113-AK113+AM113-AN113</f>
        <v/>
      </c>
      <c r="AM113" s="976" t="n">
        <v>5819</v>
      </c>
      <c r="AN113" s="976" t="n">
        <v>91635</v>
      </c>
      <c r="AO113" s="976" t="n">
        <v>294947</v>
      </c>
      <c r="AP113" s="976" t="n">
        <v>-1101</v>
      </c>
      <c r="AQ113" s="978" t="n">
        <v>293846</v>
      </c>
      <c r="AR113" s="978" t="n">
        <v>213973</v>
      </c>
      <c r="AS113" s="978" t="n"/>
      <c r="AT113" s="978" t="n"/>
      <c r="AU113" s="978" t="n"/>
      <c r="AV113" s="978">
        <f>AF113</f>
        <v/>
      </c>
      <c r="AW113" s="978">
        <f>AI113</f>
        <v/>
      </c>
      <c r="AX113" s="978">
        <f>AP113</f>
        <v/>
      </c>
      <c r="AY113" s="978">
        <f>AV113+AW113+AX113</f>
        <v/>
      </c>
      <c r="AZ113" s="976" t="n"/>
      <c r="BA113" s="976" t="n"/>
      <c r="BB113" s="977" t="n"/>
      <c r="BC113" s="976" t="n">
        <v>-1308222</v>
      </c>
      <c r="BD113" s="976" t="n">
        <v>-953081</v>
      </c>
      <c r="BE113" s="976" t="n"/>
      <c r="BF113" s="976" t="n">
        <v>1277773</v>
      </c>
      <c r="BG113" s="976" t="n">
        <v>-318861</v>
      </c>
      <c r="BH113" s="976" t="n"/>
      <c r="BI113" s="976" t="n">
        <v>-784</v>
      </c>
      <c r="BJ113" s="976" t="n">
        <v>2765</v>
      </c>
      <c r="BK113" s="976">
        <f>Q113</f>
        <v/>
      </c>
      <c r="BL113" s="978" t="n"/>
      <c r="BM113" s="976" t="n">
        <v>6958956</v>
      </c>
      <c r="BN113" s="976" t="n"/>
      <c r="BO113" s="976" t="n"/>
      <c r="BP113" s="976">
        <f>AR113</f>
        <v/>
      </c>
      <c r="BQ113" s="976" t="n"/>
      <c r="BR113" s="976" t="n"/>
      <c r="BS113" s="976">
        <f>R113</f>
        <v/>
      </c>
      <c r="BT113" s="978" t="n"/>
      <c r="BU113" s="978" t="n"/>
      <c r="BV113" s="978" t="n">
        <v>1435881.85</v>
      </c>
      <c r="BW113" s="978" t="n">
        <v>9306530.789999999</v>
      </c>
      <c r="BX113" s="978" t="n"/>
      <c r="BY113" s="978" t="n"/>
      <c r="BZ113" s="978" t="n"/>
      <c r="CA113" s="978" t="n"/>
      <c r="CB113" s="978" t="n"/>
      <c r="CC113" s="976" t="n"/>
      <c r="CD113" s="976" t="n"/>
      <c r="CE113" s="976" t="n"/>
      <c r="CF113" s="976" t="n"/>
      <c r="CG113" s="976" t="n"/>
      <c r="CH113" s="976" t="n"/>
      <c r="CI113" s="976" t="n"/>
      <c r="CJ113" s="976" t="n"/>
      <c r="CK113" s="976" t="n"/>
      <c r="CL113" s="976" t="n"/>
      <c r="CM113" s="976" t="n"/>
      <c r="CN113" s="977" t="n"/>
      <c r="CO113" s="976" t="n"/>
      <c r="CP113" s="976" t="n"/>
      <c r="CQ113" s="995" t="n">
        <v>1.86</v>
      </c>
      <c r="CR113" s="978" t="n">
        <v>12385843.62</v>
      </c>
      <c r="CS113" s="978" t="n">
        <v>6663806.55</v>
      </c>
      <c r="CT113" s="976" t="n"/>
      <c r="CU113" s="976" t="n">
        <v>3833063.63</v>
      </c>
      <c r="CV113" s="976" t="n"/>
      <c r="CW113" s="110" t="n"/>
      <c r="CX113" s="110" t="n"/>
      <c r="CY113" s="110" t="n"/>
      <c r="CZ113" s="977" t="n"/>
      <c r="DA113" s="976" t="n"/>
      <c r="DB113" s="976" t="n"/>
      <c r="DC113" s="977" t="n"/>
      <c r="DD113" s="976" t="n"/>
      <c r="DE113" s="976" t="n"/>
      <c r="DF113" s="976" t="n"/>
      <c r="DG113" s="976" t="n"/>
      <c r="DH113" s="976" t="n"/>
      <c r="DI113" s="976" t="n"/>
      <c r="DJ113" s="976" t="n"/>
      <c r="DK113" s="976" t="n"/>
      <c r="DL113" s="976" t="n"/>
      <c r="DM113" s="976" t="n"/>
      <c r="DN113" s="976" t="n"/>
      <c r="DO113" s="976" t="n"/>
      <c r="DP113" s="976" t="n"/>
      <c r="DQ113" s="976" t="n"/>
      <c r="DR113" s="976" t="n"/>
      <c r="DS113" s="976" t="n"/>
      <c r="DT113" s="976" t="n"/>
      <c r="DU113" s="976" t="n"/>
      <c r="DV113" s="976" t="n"/>
      <c r="DW113" s="976" t="n"/>
      <c r="DX113" s="976" t="n"/>
      <c r="DY113" s="976" t="n"/>
      <c r="DZ113" s="976" t="n"/>
      <c r="EA113" s="976" t="n"/>
      <c r="EB113" s="976" t="n"/>
      <c r="EC113" s="976" t="n"/>
      <c r="ED113" s="976" t="n"/>
      <c r="EE113" s="976" t="n"/>
      <c r="EP113" s="976" t="n"/>
      <c r="EQ113" s="976" t="n"/>
      <c r="ER113" s="976" t="n"/>
      <c r="ES113" s="976" t="n"/>
      <c r="ET113" s="976" t="n"/>
      <c r="EU113" s="976" t="n"/>
      <c r="EV113" s="976" t="n"/>
      <c r="EW113" s="976" t="n"/>
      <c r="EX113" s="976" t="n"/>
      <c r="EY113" s="976" t="n"/>
      <c r="EZ113" s="976" t="n"/>
      <c r="FA113" s="976" t="n"/>
      <c r="FB113" s="976" t="n"/>
      <c r="FC113" s="766" t="n"/>
    </row>
    <row r="114" ht="16.5" customFormat="1" customHeight="1" s="103">
      <c r="A114" s="696">
        <f>B114&amp;C114</f>
        <v/>
      </c>
      <c r="B114" s="696" t="n">
        <v>2606</v>
      </c>
      <c r="C114" s="696" t="inlineStr">
        <is>
          <t>KB손보</t>
        </is>
      </c>
      <c r="D114" s="976" t="n">
        <v>44555655</v>
      </c>
      <c r="E114" s="976" t="n">
        <v>8846445</v>
      </c>
      <c r="F114" s="976" t="n">
        <v>22064101</v>
      </c>
      <c r="G114" s="976" t="n">
        <v>9009279</v>
      </c>
      <c r="H114" s="976" t="n">
        <v>754898</v>
      </c>
      <c r="I114" s="977">
        <f>E114/D114</f>
        <v/>
      </c>
      <c r="J114" s="977">
        <f>F114/D114</f>
        <v/>
      </c>
      <c r="K114" s="977">
        <f>G114/D114</f>
        <v/>
      </c>
      <c r="L114" s="976" t="n">
        <v>38226369</v>
      </c>
      <c r="M114" s="976" t="n">
        <v>23249039</v>
      </c>
      <c r="N114" s="978">
        <f>O114-P114</f>
        <v/>
      </c>
      <c r="O114" s="978" t="n">
        <v>6329286</v>
      </c>
      <c r="P114" s="978" t="n"/>
      <c r="Q114" s="978" t="n">
        <v>-1195218</v>
      </c>
      <c r="R114" s="978" t="n">
        <v>7458004</v>
      </c>
      <c r="S114" s="978" t="n">
        <v>5717234</v>
      </c>
      <c r="T114" s="978" t="n">
        <v>5717234</v>
      </c>
      <c r="U114" s="979" t="n">
        <v>44555655</v>
      </c>
      <c r="V114" s="979" t="n"/>
      <c r="W114" s="109" t="n"/>
      <c r="X114" s="978">
        <f>Q114</f>
        <v/>
      </c>
      <c r="Y114" s="978" t="n"/>
      <c r="Z114" s="978" t="n"/>
      <c r="AA114" s="978" t="n"/>
      <c r="AB114" s="978" t="n"/>
      <c r="AC114" s="978" t="n"/>
      <c r="AD114" s="978" t="n"/>
      <c r="AE114" s="978" t="n"/>
      <c r="AF114" s="976" t="n">
        <v>440553</v>
      </c>
      <c r="AG114" s="976" t="n">
        <v>5825594</v>
      </c>
      <c r="AH114" s="976" t="n">
        <v>5385041</v>
      </c>
      <c r="AI114" s="976" t="n">
        <v>253335</v>
      </c>
      <c r="AJ114" s="976" t="n">
        <v>0</v>
      </c>
      <c r="AK114" s="976" t="n">
        <v>0</v>
      </c>
      <c r="AL114" s="976">
        <f>AI114-AJ114-AK114+AM114-AN114</f>
        <v/>
      </c>
      <c r="AM114" s="976" t="n">
        <v>0</v>
      </c>
      <c r="AN114" s="976" t="n">
        <v>0</v>
      </c>
      <c r="AO114" s="976" t="n">
        <v>693888</v>
      </c>
      <c r="AP114" s="976" t="n">
        <v>-3726</v>
      </c>
      <c r="AQ114" s="978" t="n">
        <v>690162</v>
      </c>
      <c r="AR114" s="978" t="n">
        <v>499048</v>
      </c>
      <c r="AS114" s="978" t="n"/>
      <c r="AT114" s="978" t="n"/>
      <c r="AU114" s="978" t="n"/>
      <c r="AV114" s="978">
        <f>AF114</f>
        <v/>
      </c>
      <c r="AW114" s="978">
        <f>AI114</f>
        <v/>
      </c>
      <c r="AX114" s="978">
        <f>AP114</f>
        <v/>
      </c>
      <c r="AY114" s="978">
        <f>AV114+AW114+AX114</f>
        <v/>
      </c>
      <c r="AZ114" s="976" t="n"/>
      <c r="BA114" s="976" t="n"/>
      <c r="BB114" s="977" t="n"/>
      <c r="BC114" s="976" t="n">
        <v>-1308222</v>
      </c>
      <c r="BD114" s="976" t="n">
        <v>-1659091</v>
      </c>
      <c r="BE114" s="976" t="n"/>
      <c r="BF114" s="976" t="n">
        <v>2423304</v>
      </c>
      <c r="BG114" s="976" t="n">
        <v>-657709</v>
      </c>
      <c r="BH114" s="976" t="n"/>
      <c r="BI114" s="976" t="n">
        <v>2757</v>
      </c>
      <c r="BJ114" s="976" t="n">
        <v>3743</v>
      </c>
      <c r="BK114" s="976">
        <f>Q114</f>
        <v/>
      </c>
      <c r="BL114" s="978" t="n"/>
      <c r="BM114" s="976" t="n">
        <v>6958956</v>
      </c>
      <c r="BN114" s="976" t="n"/>
      <c r="BO114" s="976" t="n"/>
      <c r="BP114" s="976">
        <f>AR114</f>
        <v/>
      </c>
      <c r="BQ114" s="976" t="n"/>
      <c r="BR114" s="976" t="n"/>
      <c r="BS114" s="976">
        <f>R114</f>
        <v/>
      </c>
      <c r="BT114" s="978" t="n"/>
      <c r="BU114" s="978" t="n"/>
      <c r="BV114" s="978" t="n"/>
      <c r="BW114" s="978" t="n"/>
      <c r="BX114" s="978" t="n"/>
      <c r="BY114" s="978" t="n"/>
      <c r="BZ114" s="978" t="n"/>
      <c r="CA114" s="978" t="n"/>
      <c r="CB114" s="978" t="n"/>
      <c r="CC114" s="976" t="n"/>
      <c r="CD114" s="976" t="n"/>
      <c r="CE114" s="976" t="n"/>
      <c r="CF114" s="976" t="n"/>
      <c r="CG114" s="976" t="n"/>
      <c r="CH114" s="976" t="n"/>
      <c r="CI114" s="976" t="n"/>
      <c r="CJ114" s="976" t="n"/>
      <c r="CK114" s="976" t="n"/>
      <c r="CL114" s="976" t="n"/>
      <c r="CM114" s="976" t="n"/>
      <c r="CN114" s="977" t="n"/>
      <c r="CO114" s="976" t="n"/>
      <c r="CP114" s="976" t="n"/>
      <c r="CQ114" s="995" t="n"/>
      <c r="CR114" s="978" t="n"/>
      <c r="CS114" s="978" t="n"/>
      <c r="CT114" s="976" t="n"/>
      <c r="CU114" s="976" t="n">
        <v>4088044</v>
      </c>
      <c r="CV114" s="976" t="n"/>
      <c r="CW114" s="110" t="n"/>
      <c r="CX114" s="110" t="n"/>
      <c r="CY114" s="110" t="n"/>
      <c r="CZ114" s="977" t="n"/>
      <c r="DA114" s="976" t="n"/>
      <c r="DB114" s="976" t="n"/>
      <c r="DC114" s="977" t="n"/>
      <c r="DD114" s="976" t="n"/>
      <c r="DE114" s="976" t="n"/>
      <c r="DF114" s="976" t="n"/>
      <c r="DG114" s="976" t="n"/>
      <c r="DH114" s="976" t="n"/>
      <c r="DI114" s="976" t="n"/>
      <c r="DJ114" s="976" t="n"/>
      <c r="DK114" s="976" t="n"/>
      <c r="DL114" s="976" t="n"/>
      <c r="DM114" s="976" t="n"/>
      <c r="DN114" s="976" t="n"/>
      <c r="DO114" s="976" t="n"/>
      <c r="DP114" s="976" t="n"/>
      <c r="DQ114" s="976" t="n"/>
      <c r="DR114" s="976" t="n"/>
      <c r="DS114" s="976" t="n"/>
      <c r="DT114" s="976" t="n"/>
      <c r="DU114" s="976" t="n"/>
      <c r="DV114" s="976" t="n"/>
      <c r="DW114" s="976" t="n"/>
      <c r="DX114" s="976" t="n"/>
      <c r="DY114" s="976" t="n"/>
      <c r="DZ114" s="976" t="n"/>
      <c r="EA114" s="976" t="n"/>
      <c r="EB114" s="976" t="n"/>
      <c r="EC114" s="976" t="n"/>
      <c r="ED114" s="976" t="n"/>
      <c r="EE114" s="976" t="n"/>
      <c r="EP114" s="976" t="n"/>
      <c r="EQ114" s="976" t="n"/>
      <c r="ER114" s="976" t="n"/>
      <c r="ES114" s="976" t="n"/>
      <c r="ET114" s="976" t="n"/>
      <c r="EU114" s="976" t="n"/>
      <c r="EV114" s="976" t="n"/>
      <c r="EW114" s="976" t="n"/>
      <c r="EX114" s="976" t="n"/>
      <c r="EY114" s="976" t="n"/>
      <c r="EZ114" s="976" t="n"/>
      <c r="FA114" s="976" t="n"/>
      <c r="FB114" s="976" t="n"/>
      <c r="FC114" s="766" t="n"/>
    </row>
    <row r="115" customFormat="1" s="103">
      <c r="A115" s="103">
        <f>B115&amp;C115</f>
        <v/>
      </c>
      <c r="D115" s="976" t="n"/>
      <c r="E115" s="976" t="n"/>
      <c r="F115" s="976" t="n"/>
      <c r="G115" s="976" t="n"/>
      <c r="H115" s="976" t="n"/>
      <c r="I115" s="977" t="n"/>
      <c r="J115" s="977" t="n"/>
      <c r="K115" s="977" t="n"/>
      <c r="L115" s="976" t="n"/>
      <c r="M115" s="976" t="n"/>
      <c r="N115" s="978" t="n"/>
      <c r="O115" s="978" t="n"/>
      <c r="P115" s="978" t="n"/>
      <c r="Q115" s="978" t="n"/>
      <c r="R115" s="978" t="n"/>
      <c r="S115" s="978" t="n"/>
      <c r="T115" s="978" t="n"/>
      <c r="U115" s="979" t="n"/>
      <c r="V115" s="979" t="n"/>
      <c r="W115" s="109" t="n"/>
      <c r="X115" s="978" t="n"/>
      <c r="Y115" s="978" t="n"/>
      <c r="Z115" s="978" t="n"/>
      <c r="AA115" s="978" t="n"/>
      <c r="AB115" s="978" t="n"/>
      <c r="AC115" s="978" t="n"/>
      <c r="AD115" s="978" t="n"/>
      <c r="AE115" s="978" t="n"/>
      <c r="AF115" s="976" t="n"/>
      <c r="AG115" s="976" t="n"/>
      <c r="AH115" s="976" t="n"/>
      <c r="AI115" s="976" t="n"/>
      <c r="AJ115" s="976" t="n"/>
      <c r="AK115" s="976" t="n"/>
      <c r="AL115" s="976" t="n"/>
      <c r="AM115" s="976" t="n"/>
      <c r="AN115" s="976" t="n"/>
      <c r="AO115" s="976" t="n"/>
      <c r="AP115" s="976" t="n"/>
      <c r="AQ115" s="978" t="n"/>
      <c r="AR115" s="978" t="n"/>
      <c r="AS115" s="978" t="n"/>
      <c r="AT115" s="978" t="n"/>
      <c r="AU115" s="978" t="n"/>
      <c r="AV115" s="978">
        <f>+AF115</f>
        <v/>
      </c>
      <c r="AW115" s="978">
        <f>+AI115</f>
        <v/>
      </c>
      <c r="AX115" s="978">
        <f>+AP115</f>
        <v/>
      </c>
      <c r="AY115" s="978">
        <f>+SUM(AV115:AX115)</f>
        <v/>
      </c>
      <c r="AZ115" s="976" t="n"/>
      <c r="BA115" s="976" t="n"/>
      <c r="BB115" s="977" t="n"/>
      <c r="BC115" s="976" t="n"/>
      <c r="BD115" s="976" t="n"/>
      <c r="BE115" s="976" t="n"/>
      <c r="BF115" s="976" t="n"/>
      <c r="BG115" s="976" t="n"/>
      <c r="BH115" s="976" t="n"/>
      <c r="BI115" s="976" t="n"/>
      <c r="BJ115" s="976" t="n"/>
      <c r="BK115" s="976" t="n"/>
      <c r="BL115" s="978" t="n"/>
      <c r="BM115" s="976" t="n"/>
      <c r="BN115" s="976" t="n"/>
      <c r="BO115" s="976" t="n"/>
      <c r="BP115" s="976" t="n"/>
      <c r="BQ115" s="976" t="n"/>
      <c r="BR115" s="976" t="n"/>
      <c r="BS115" s="976" t="n"/>
      <c r="BT115" s="978" t="n"/>
      <c r="BU115" s="978" t="n"/>
      <c r="BV115" s="978" t="n"/>
      <c r="BW115" s="978" t="n"/>
      <c r="BX115" s="978" t="n"/>
      <c r="BY115" s="978" t="n"/>
      <c r="BZ115" s="978" t="n"/>
      <c r="CA115" s="978" t="n"/>
      <c r="CB115" s="978" t="n"/>
      <c r="CC115" s="976" t="n"/>
      <c r="CD115" s="976" t="n"/>
      <c r="CE115" s="976" t="n"/>
      <c r="CF115" s="976" t="n"/>
      <c r="CG115" s="976" t="n"/>
      <c r="CH115" s="976" t="n"/>
      <c r="CI115" s="976" t="n"/>
      <c r="CJ115" s="976" t="n"/>
      <c r="CK115" s="976" t="n"/>
      <c r="CL115" s="976" t="n"/>
      <c r="CM115" s="976" t="n"/>
      <c r="CN115" s="977" t="n"/>
      <c r="CO115" s="976" t="n"/>
      <c r="CP115" s="976" t="n"/>
      <c r="CQ115" s="995" t="n"/>
      <c r="CR115" s="978" t="n"/>
      <c r="CS115" s="978" t="n"/>
      <c r="CT115" s="976" t="n"/>
      <c r="CU115" s="976" t="n"/>
      <c r="CV115" s="976" t="n"/>
      <c r="CW115" s="110" t="n"/>
      <c r="CX115" s="110" t="n"/>
      <c r="CY115" s="110" t="n"/>
      <c r="CZ115" s="977" t="n"/>
      <c r="DA115" s="976" t="n"/>
      <c r="DB115" s="976" t="n"/>
      <c r="DC115" s="977" t="n"/>
      <c r="DD115" s="976" t="n"/>
      <c r="DE115" s="976" t="n"/>
      <c r="DF115" s="976" t="n"/>
      <c r="DG115" s="976" t="n"/>
      <c r="DH115" s="976" t="n"/>
      <c r="DI115" s="976" t="n"/>
      <c r="DJ115" s="976" t="n"/>
      <c r="DK115" s="976" t="n"/>
      <c r="DL115" s="976" t="n"/>
      <c r="DM115" s="976" t="n"/>
      <c r="DN115" s="976" t="n"/>
      <c r="DO115" s="976" t="n"/>
      <c r="DP115" s="976" t="n"/>
      <c r="DQ115" s="976" t="n"/>
      <c r="DR115" s="976" t="n"/>
      <c r="DS115" s="976" t="n"/>
      <c r="DT115" s="976" t="n"/>
      <c r="DU115" s="976" t="n"/>
      <c r="DV115" s="976" t="n"/>
      <c r="DW115" s="976" t="n"/>
      <c r="DX115" s="976" t="n"/>
      <c r="DY115" s="976" t="n"/>
      <c r="DZ115" s="976" t="n"/>
      <c r="EA115" s="976" t="n"/>
      <c r="EB115" s="976" t="n"/>
      <c r="EC115" s="976" t="n"/>
      <c r="ED115" s="976" t="n"/>
      <c r="EE115" s="976" t="n"/>
      <c r="EP115" s="976" t="n"/>
      <c r="EQ115" s="976" t="n"/>
      <c r="ER115" s="976" t="n"/>
      <c r="ES115" s="976" t="n"/>
      <c r="ET115" s="976" t="n"/>
      <c r="EU115" s="976" t="n"/>
      <c r="EV115" s="976" t="n"/>
      <c r="EW115" s="976" t="n"/>
      <c r="EX115" s="976" t="n"/>
      <c r="EY115" s="976" t="n"/>
      <c r="EZ115" s="976" t="n"/>
      <c r="FA115" s="976" t="n"/>
      <c r="FB115" s="976" t="n"/>
    </row>
    <row r="116">
      <c r="A116" s="642">
        <f>B116&amp;C116</f>
        <v/>
      </c>
      <c r="B116" s="642" t="n">
        <v>2212</v>
      </c>
      <c r="C116" s="642" t="inlineStr">
        <is>
          <t>DB손보</t>
        </is>
      </c>
      <c r="I116" s="785" t="n"/>
      <c r="J116" s="785" t="n"/>
      <c r="K116" s="785" t="n"/>
      <c r="N116" s="965">
        <f>O116-P116</f>
        <v/>
      </c>
      <c r="O116" s="965" t="n">
        <v>7451213.69272</v>
      </c>
      <c r="Q116" s="965" t="n">
        <v>139841.336145</v>
      </c>
      <c r="R116" s="965" t="n">
        <v>7390551.584917</v>
      </c>
      <c r="AS116" s="965" t="n"/>
      <c r="AT116" s="965" t="n"/>
      <c r="AU116" s="965" t="n"/>
      <c r="AV116" s="965">
        <f>+AF116</f>
        <v/>
      </c>
      <c r="AW116" s="965">
        <f>+AI116</f>
        <v/>
      </c>
      <c r="AX116" s="965">
        <f>+AP116</f>
        <v/>
      </c>
      <c r="AY116" s="965">
        <f>+SUM(AV116:AX116)</f>
        <v/>
      </c>
      <c r="BB116" s="785" t="n"/>
      <c r="BL116" s="965" t="n"/>
      <c r="BT116" s="965" t="n">
        <v>6358179.098716</v>
      </c>
      <c r="BU116" s="965" t="n">
        <v>8448042</v>
      </c>
      <c r="BV116" s="965" t="n">
        <v>1492294</v>
      </c>
      <c r="BW116" s="965">
        <f>6379228+2812703+2451561</f>
        <v/>
      </c>
      <c r="CN116" s="785" t="n"/>
      <c r="CQ116" s="785" t="n"/>
    </row>
    <row r="117">
      <c r="A117" s="642">
        <f>B117&amp;C117</f>
        <v/>
      </c>
      <c r="B117" s="642" t="n">
        <v>2312</v>
      </c>
      <c r="C117" s="642" t="inlineStr">
        <is>
          <t>DB손보</t>
        </is>
      </c>
      <c r="D117" s="786" t="n">
        <v>48513527.683125</v>
      </c>
      <c r="E117" s="786" t="n">
        <v>11183349.499132</v>
      </c>
      <c r="F117" s="786" t="n">
        <v>19545190.388694</v>
      </c>
      <c r="G117" s="786" t="n">
        <v>11813123.755885</v>
      </c>
      <c r="H117" s="786" t="n">
        <v>860493.0081155</v>
      </c>
      <c r="I117" s="785">
        <f>+E117/$D117</f>
        <v/>
      </c>
      <c r="J117" s="785">
        <f>+F117/$D117</f>
        <v/>
      </c>
      <c r="K117" s="785">
        <f>+G117/$D117</f>
        <v/>
      </c>
      <c r="L117" s="786" t="n">
        <v>39837977.664305</v>
      </c>
      <c r="M117" s="786" t="n">
        <v>29395049.529557</v>
      </c>
      <c r="N117" s="965">
        <f>O117-P117</f>
        <v/>
      </c>
      <c r="O117" s="965" t="n">
        <v>8675550.018820001</v>
      </c>
      <c r="Q117" s="965" t="n">
        <v>104094.845528</v>
      </c>
      <c r="R117" s="965" t="n">
        <v>8650634.401634</v>
      </c>
      <c r="S117" s="965" t="n">
        <v>7451213.69272</v>
      </c>
      <c r="T117" s="978">
        <f>N116</f>
        <v/>
      </c>
      <c r="U117" s="787" t="n">
        <v>48513528</v>
      </c>
      <c r="V117" s="787" t="n">
        <v>44942832</v>
      </c>
      <c r="W117" s="144" t="n">
        <v>0.9264</v>
      </c>
      <c r="X117" s="965" t="n">
        <v>104095</v>
      </c>
      <c r="Y117" s="965" t="n">
        <v>-2188262</v>
      </c>
      <c r="Z117" s="965" t="n">
        <v>2051497</v>
      </c>
      <c r="AA117" s="965" t="n">
        <v>-9451</v>
      </c>
      <c r="AB117" s="965">
        <f>-2354+21525</f>
        <v/>
      </c>
      <c r="AC117" s="965" t="n">
        <v>278934</v>
      </c>
      <c r="AD117" s="965" t="n">
        <v>-47794</v>
      </c>
      <c r="AE117" s="965">
        <f>X117-SUM(Y117:AD117)</f>
        <v/>
      </c>
      <c r="AF117" s="786" t="n">
        <v>1550007.97701</v>
      </c>
      <c r="AG117" s="786" t="n">
        <v>14936307.512484</v>
      </c>
      <c r="AH117" s="786" t="n">
        <v>13386299.535474</v>
      </c>
      <c r="AI117" s="786" t="n">
        <v>466754.713684</v>
      </c>
      <c r="AJ117" s="786">
        <f>104619.588457-893430.915188</f>
        <v/>
      </c>
      <c r="AL117" s="786">
        <f>+AI117-AJ117-AK117+AM117-AN117</f>
        <v/>
      </c>
      <c r="AM117" s="786" t="n">
        <v>43002.0375</v>
      </c>
      <c r="AN117" s="786">
        <f>488295.237544-42420.187716</f>
        <v/>
      </c>
      <c r="AO117" s="786" t="n">
        <v>2016762.690694</v>
      </c>
      <c r="AP117" s="786" t="n">
        <v>8523.729153</v>
      </c>
      <c r="AQ117" s="965" t="n">
        <v>2025286.419847</v>
      </c>
      <c r="AR117" s="965" t="n">
        <v>1536745.952688</v>
      </c>
      <c r="AS117" s="965">
        <f>+AO117+AP117-AQ117</f>
        <v/>
      </c>
      <c r="AT117" s="965">
        <f>+AJ117+AK117+AL117-AM117+AN117-AI117</f>
        <v/>
      </c>
      <c r="AU117" s="965">
        <f>+AF117+AI117-AO117</f>
        <v/>
      </c>
      <c r="AV117" s="965">
        <f>+AF117</f>
        <v/>
      </c>
      <c r="AW117" s="965">
        <f>+AI117</f>
        <v/>
      </c>
      <c r="AX117" s="965">
        <f>+AP117</f>
        <v/>
      </c>
      <c r="AY117" s="965">
        <f>+SUM(AV117:AX117)</f>
        <v/>
      </c>
      <c r="BB117" s="785">
        <f>+BF117/(BU117+BV117+BW117)</f>
        <v/>
      </c>
      <c r="BC117" s="786" t="n">
        <v>139841.336145</v>
      </c>
      <c r="BD117" s="786" t="n">
        <v>957440.68825</v>
      </c>
      <c r="BF117" s="786">
        <f>-1067544.104178+20429.984948</f>
        <v/>
      </c>
      <c r="BG117" s="786" t="n">
        <v>82037.412347</v>
      </c>
      <c r="BH117" s="786" t="n">
        <v>895.8450759999999</v>
      </c>
      <c r="BI117" s="786" t="n">
        <v>-28167.176781</v>
      </c>
      <c r="BJ117" s="786">
        <f>-1302.31885+463.178571</f>
        <v/>
      </c>
      <c r="BK117" s="786" t="n">
        <v>104094.845528</v>
      </c>
      <c r="BL117" s="965">
        <f>+BK117-BC117-SUM(BD117:BJ117)</f>
        <v/>
      </c>
      <c r="BM117" s="786" t="n">
        <v>7390551.584917</v>
      </c>
      <c r="BN117" s="786" t="n">
        <v>-276199.9574</v>
      </c>
      <c r="BP117" s="786" t="n">
        <v>1536745.952688</v>
      </c>
      <c r="BQ117" s="786" t="n">
        <v>-463.178571</v>
      </c>
      <c r="BS117" s="786" t="n">
        <v>8650634.401634</v>
      </c>
      <c r="BT117" s="965">
        <f>+BM117+SUM(BN117:BR117)-BS117</f>
        <v/>
      </c>
      <c r="BU117" s="965" t="n">
        <v>9105453</v>
      </c>
      <c r="BV117" s="965" t="n">
        <v>1585600</v>
      </c>
      <c r="BW117" s="965">
        <f>4678808+2919895+4553706</f>
        <v/>
      </c>
      <c r="BX117" s="965" t="n">
        <v>2826120</v>
      </c>
      <c r="BY117" s="965" t="n">
        <v>1261928</v>
      </c>
      <c r="BZ117" s="965">
        <f>-1276346+253310-396642</f>
        <v/>
      </c>
      <c r="CA117" s="965">
        <f>139897+68894+155612</f>
        <v/>
      </c>
      <c r="CB117" s="965">
        <f>6379228+2812703+2451561</f>
        <v/>
      </c>
      <c r="CD117" s="786">
        <f>CB117+BX117-BY117+BZ117+CA117-BW117</f>
        <v/>
      </c>
      <c r="CK117" s="786">
        <f>CJ117-SUM(CE117:CI117)</f>
        <v/>
      </c>
      <c r="CL117" s="786">
        <f>BW117-CJ117</f>
        <v/>
      </c>
      <c r="CN117" s="785" t="n">
        <v>2.311</v>
      </c>
      <c r="CO117" s="786" t="n">
        <v>19566651</v>
      </c>
      <c r="CP117" s="786" t="n">
        <v>8466706</v>
      </c>
      <c r="CQ117" s="785" t="n">
        <v>2.331</v>
      </c>
      <c r="CR117" s="786" t="n">
        <v>19575206</v>
      </c>
      <c r="CS117" s="786" t="n">
        <v>8396170</v>
      </c>
      <c r="CU117" s="786" t="n">
        <v>2645779.990395</v>
      </c>
      <c r="DG117" s="786">
        <f>+DH117+DK117</f>
        <v/>
      </c>
      <c r="DH117" s="786" t="n">
        <v>231392.402648</v>
      </c>
      <c r="DK117" s="786" t="n">
        <v>-15715.457823</v>
      </c>
    </row>
    <row r="118">
      <c r="A118" s="642">
        <f>B118&amp;C118</f>
        <v/>
      </c>
      <c r="B118" s="642" t="n">
        <v>2412</v>
      </c>
      <c r="C118" s="642" t="inlineStr">
        <is>
          <t>DB손보</t>
        </is>
      </c>
      <c r="D118" s="786" t="n">
        <v>52858940.874889</v>
      </c>
      <c r="E118" s="786" t="n">
        <v>11418284.442054</v>
      </c>
      <c r="F118" s="786" t="n">
        <v>22226035.937252</v>
      </c>
      <c r="G118" s="786" t="n">
        <v>13714616.175914</v>
      </c>
      <c r="H118" s="786" t="n">
        <v>1019190.633577</v>
      </c>
      <c r="I118" s="785">
        <f>+E118/$D118</f>
        <v/>
      </c>
      <c r="J118" s="785">
        <f>+F118/$D118</f>
        <v/>
      </c>
      <c r="K118" s="785">
        <f>+G118/$D118</f>
        <v/>
      </c>
      <c r="L118" s="786" t="n">
        <v>44442942.208589</v>
      </c>
      <c r="M118" s="786" t="n">
        <v>31937300.553866</v>
      </c>
      <c r="N118" s="965">
        <f>O118-P118</f>
        <v/>
      </c>
      <c r="O118" s="965" t="n">
        <v>8415998.666300001</v>
      </c>
      <c r="Q118" s="965" t="n">
        <v>-1609455.266593</v>
      </c>
      <c r="R118" s="965" t="n">
        <v>10104633.161235</v>
      </c>
      <c r="S118" s="965" t="n">
        <v>8675550.018820001</v>
      </c>
      <c r="T118" s="978">
        <f>N117</f>
        <v/>
      </c>
      <c r="U118" s="787" t="n">
        <v>52858941</v>
      </c>
      <c r="V118" s="787" t="n">
        <v>49640310</v>
      </c>
      <c r="W118" s="144" t="n">
        <v>0.9391</v>
      </c>
      <c r="X118" s="965" t="n">
        <v>-1609455</v>
      </c>
      <c r="Y118" s="965" t="n">
        <v>-2117670</v>
      </c>
      <c r="Z118" s="965" t="n">
        <v>170831</v>
      </c>
      <c r="AA118" s="965" t="n">
        <v>2061</v>
      </c>
      <c r="AB118" s="965">
        <f>71424+52021</f>
        <v/>
      </c>
      <c r="AC118" s="965" t="n">
        <v>279287</v>
      </c>
      <c r="AD118" s="965" t="n">
        <v>-67409</v>
      </c>
      <c r="AE118" s="965">
        <f>X118-SUM(Y118:AD118)</f>
        <v/>
      </c>
      <c r="AF118" s="786" t="n">
        <v>1619094.289949</v>
      </c>
      <c r="AG118" s="786" t="n">
        <v>15052383.574282</v>
      </c>
      <c r="AH118" s="786" t="n">
        <v>13433289.284333</v>
      </c>
      <c r="AI118" s="786" t="n">
        <v>743568.2247200001</v>
      </c>
      <c r="AJ118" s="786">
        <f>79783.605799-849967.826228</f>
        <v/>
      </c>
      <c r="AL118" s="786">
        <f>+AI118-AJ118-AK118+AM118-AN118</f>
        <v/>
      </c>
      <c r="AM118" s="786" t="n">
        <v>36144.763441</v>
      </c>
      <c r="AN118" s="786">
        <f>559217.3584029-47376.02759</f>
        <v/>
      </c>
      <c r="AO118" s="786" t="n">
        <v>2362662.51469</v>
      </c>
      <c r="AP118" s="786" t="n">
        <v>3151.389897</v>
      </c>
      <c r="AQ118" s="965" t="n">
        <v>2365813.904566</v>
      </c>
      <c r="AR118" s="965" t="n">
        <v>1772229.201821</v>
      </c>
      <c r="AS118" s="965">
        <f>+AO118+AP118-AQ118</f>
        <v/>
      </c>
      <c r="AT118" s="965" t="n"/>
      <c r="AU118" s="965">
        <f>+AF118+AI118-AO118</f>
        <v/>
      </c>
      <c r="AV118" s="965">
        <f>+AF118</f>
        <v/>
      </c>
      <c r="AW118" s="965">
        <f>+AI118</f>
        <v/>
      </c>
      <c r="AX118" s="965">
        <f>+AP118</f>
        <v/>
      </c>
      <c r="AY118" s="965">
        <f>+SUM(AV118:AX118)</f>
        <v/>
      </c>
      <c r="BB118" s="785">
        <f>+BF118/(BU118+BV118+BW118)</f>
        <v/>
      </c>
      <c r="BC118" s="786" t="n">
        <v>104094.845528</v>
      </c>
      <c r="BD118" s="786" t="n">
        <v>70591.99897099999</v>
      </c>
      <c r="BF118" s="786">
        <f>-1880664.875196+11511.997235</f>
        <v/>
      </c>
      <c r="BG118" s="786" t="n">
        <v>73776.882153</v>
      </c>
      <c r="BH118" s="786" t="n">
        <v>352.990764</v>
      </c>
      <c r="BI118" s="786" t="n">
        <v>-19614.623966</v>
      </c>
      <c r="BJ118" s="786" t="n">
        <v>30495.461398</v>
      </c>
      <c r="BK118" s="786" t="n">
        <v>-1609455.266593</v>
      </c>
      <c r="BL118" s="965">
        <f>+BK118-BC118-SUM(BD118:BJ118)</f>
        <v/>
      </c>
      <c r="BM118" s="786" t="n">
        <v>8650634.401634</v>
      </c>
      <c r="BN118" s="786" t="n">
        <v>-318230.3857</v>
      </c>
      <c r="BP118" s="786" t="n">
        <v>1772229.201821</v>
      </c>
      <c r="BQ118" s="786" t="n">
        <v>-0.05652</v>
      </c>
      <c r="BS118" s="786" t="n">
        <v>10104633.161235</v>
      </c>
      <c r="BT118" s="965">
        <f>+BM118+SUM(BN118:BR118)-BS118</f>
        <v/>
      </c>
      <c r="BU118" s="965" t="n">
        <v>11192666</v>
      </c>
      <c r="BV118" s="965" t="n">
        <v>1931538</v>
      </c>
      <c r="BW118" s="965">
        <f>3281360+3463133+5487266</f>
        <v/>
      </c>
      <c r="BX118" s="965" t="n">
        <v>3078038</v>
      </c>
      <c r="BY118" s="965">
        <f>372335+243988+681185</f>
        <v/>
      </c>
      <c r="BZ118" s="965">
        <f>-1133946+706452-1714357</f>
        <v/>
      </c>
      <c r="CA118" s="965">
        <f>108833+80775+251063</f>
        <v/>
      </c>
      <c r="CB118" s="965">
        <f>4678808+2919895+4553706</f>
        <v/>
      </c>
      <c r="CD118" s="984">
        <f>CB118+BX118-BY118+BZ118+CA118-BW118</f>
        <v/>
      </c>
      <c r="CE118" s="786" t="n">
        <v>775719</v>
      </c>
      <c r="CF118" s="786">
        <f>665647+574965</f>
        <v/>
      </c>
      <c r="CG118" s="786">
        <f>504300+458724</f>
        <v/>
      </c>
      <c r="CH118" s="786">
        <f>422439+399884+378923+359413+343766</f>
        <v/>
      </c>
      <c r="CI118" s="786">
        <f>1558284+1258498+988327+808143+2734727</f>
        <v/>
      </c>
      <c r="CJ118" s="786" t="n">
        <v>12231759</v>
      </c>
      <c r="CK118" s="786">
        <f>CJ118-SUM(CE118:CI118)</f>
        <v/>
      </c>
      <c r="CL118" s="786">
        <f>BW118-CJ118</f>
        <v/>
      </c>
      <c r="CQ118" s="999" t="n">
        <v>2.031</v>
      </c>
      <c r="CR118" s="786" t="n">
        <v>19097509</v>
      </c>
      <c r="CS118" s="786" t="n">
        <v>9408163</v>
      </c>
      <c r="CU118" s="786">
        <f>+CU117+593447.366657</f>
        <v/>
      </c>
      <c r="CW118" s="105" t="n">
        <v>0.946</v>
      </c>
      <c r="CX118" s="105" t="n">
        <v>0.903</v>
      </c>
      <c r="CY118" s="105" t="n">
        <v>0.043</v>
      </c>
      <c r="CZ118" s="785">
        <f>+CX118/CW118</f>
        <v/>
      </c>
      <c r="DG118" s="786">
        <f>+DH118+DK118</f>
        <v/>
      </c>
      <c r="DH118" s="786" t="n">
        <v>68607.415838</v>
      </c>
      <c r="DK118" s="786" t="n">
        <v>-13879.490495</v>
      </c>
    </row>
    <row r="119">
      <c r="A119" s="642">
        <f>B119&amp;C119</f>
        <v/>
      </c>
      <c r="B119" s="642" t="n">
        <v>2503</v>
      </c>
      <c r="C119" s="642">
        <f>C118</f>
        <v/>
      </c>
      <c r="D119" s="786" t="n">
        <v>55478145.040758</v>
      </c>
      <c r="E119" s="786" t="n">
        <v>12079331.436026</v>
      </c>
      <c r="F119" s="786" t="n">
        <v>23095516.511676</v>
      </c>
      <c r="G119" s="786" t="n">
        <v>14886161.435429</v>
      </c>
      <c r="H119" s="786" t="n">
        <v>1054193.133577</v>
      </c>
      <c r="I119" s="785">
        <f>+E119/$D119</f>
        <v/>
      </c>
      <c r="J119" s="785">
        <f>+F119/$D119</f>
        <v/>
      </c>
      <c r="K119" s="785">
        <f>+G119/$D119</f>
        <v/>
      </c>
      <c r="L119" s="786" t="n">
        <v>47984999.893045</v>
      </c>
      <c r="M119" s="786" t="n">
        <v>33766163.701419</v>
      </c>
      <c r="N119" s="965">
        <f>O119-P119</f>
        <v/>
      </c>
      <c r="O119" s="965" t="n">
        <v>7493145.147713</v>
      </c>
      <c r="Q119" s="965" t="n">
        <v>-2570999.788165</v>
      </c>
      <c r="R119" s="965" t="n">
        <v>10143324.16422</v>
      </c>
      <c r="S119" s="965" t="n">
        <v>8415998.666300001</v>
      </c>
      <c r="T119" s="978">
        <f>N118</f>
        <v/>
      </c>
      <c r="U119" s="787" t="n">
        <v>55478145</v>
      </c>
      <c r="V119" s="787" t="n">
        <v>52126652</v>
      </c>
      <c r="W119" s="144" t="n">
        <v>0.9396</v>
      </c>
      <c r="X119" s="965" t="n">
        <v>-2571000</v>
      </c>
      <c r="Y119" s="965" t="n">
        <v>-1841367</v>
      </c>
      <c r="Z119" s="965" t="n">
        <v>-1129734</v>
      </c>
      <c r="AA119" s="965" t="n">
        <v>3025</v>
      </c>
      <c r="AB119" s="965">
        <f>135877+50961</f>
        <v/>
      </c>
      <c r="AC119" s="965" t="n">
        <v>277271</v>
      </c>
      <c r="AD119" s="965" t="n">
        <v>-67033</v>
      </c>
      <c r="AE119" s="965">
        <f>X119-SUM(Y119:AD119)</f>
        <v/>
      </c>
      <c r="AF119" s="786" t="n">
        <v>402719.072061</v>
      </c>
      <c r="AG119" s="786" t="n">
        <v>3967475.55702</v>
      </c>
      <c r="AH119" s="786" t="n">
        <v>3564756.484959</v>
      </c>
      <c r="AI119" s="786" t="n">
        <v>243969.186837</v>
      </c>
      <c r="AJ119" s="786">
        <f>1446.625582-195023.973957</f>
        <v/>
      </c>
      <c r="AL119" s="786">
        <f>+AI119-AJ119-AK119+AM119-AN119</f>
        <v/>
      </c>
      <c r="AM119" s="786" t="n">
        <v>9865.921332</v>
      </c>
      <c r="AN119" s="786">
        <f>143419.980588-7614.503818</f>
        <v/>
      </c>
      <c r="AO119" s="786" t="n">
        <v>646688.258898</v>
      </c>
      <c r="AP119" s="786" t="n">
        <v>-3377.021134</v>
      </c>
      <c r="AQ119" s="965" t="n">
        <v>643311.237764</v>
      </c>
      <c r="AR119" s="965" t="n">
        <v>446986.592185</v>
      </c>
      <c r="AS119" s="965">
        <f>+AO119+AP119-AQ119</f>
        <v/>
      </c>
      <c r="AT119" s="965" t="n"/>
      <c r="AU119" s="965">
        <f>+AF119+AI119-AO119</f>
        <v/>
      </c>
      <c r="AV119" s="965">
        <f>+AF119</f>
        <v/>
      </c>
      <c r="AW119" s="965">
        <f>+AI119</f>
        <v/>
      </c>
      <c r="AX119" s="965">
        <f>+AP119</f>
        <v/>
      </c>
      <c r="AY119" s="965">
        <f>+SUM(AV119:AX119)</f>
        <v/>
      </c>
      <c r="BC119" s="786" t="n">
        <v>-1609455.26593</v>
      </c>
      <c r="BD119" s="786" t="n">
        <v>276302.980904</v>
      </c>
      <c r="BF119" s="786">
        <f>-1300565.48225+964.354989</f>
        <v/>
      </c>
      <c r="BG119" s="786" t="n">
        <v>64453.720891</v>
      </c>
      <c r="BH119" s="786" t="n">
        <v>-2015.925585</v>
      </c>
      <c r="BI119" s="786" t="n">
        <v>374.98369</v>
      </c>
      <c r="BJ119" s="786" t="n">
        <v>-1059.154212</v>
      </c>
      <c r="BK119" s="786" t="n">
        <v>-2570999.788166</v>
      </c>
      <c r="BL119" s="965">
        <f>+BK119-BC119-SUM(BD119:BJ119)</f>
        <v/>
      </c>
      <c r="BM119" s="786" t="n">
        <v>10104633.161235</v>
      </c>
      <c r="BN119" s="786" t="n">
        <v>-408295.5892</v>
      </c>
      <c r="BP119" s="786" t="n">
        <v>446986.592185</v>
      </c>
      <c r="BS119" s="786" t="n">
        <v>10143324.16422</v>
      </c>
      <c r="BT119" s="965">
        <f>+BM119+SUM(BN119:BR119)-BS119</f>
        <v/>
      </c>
      <c r="BU119" s="965" t="n">
        <v>12180259</v>
      </c>
      <c r="BV119" s="965" t="n">
        <v>2013796</v>
      </c>
      <c r="BW119" s="965">
        <f>5858654+3217514+3793153</f>
        <v/>
      </c>
      <c r="BX119" s="965" t="n">
        <v>707022</v>
      </c>
      <c r="BY119" s="965">
        <f>75390+72679+174525</f>
        <v/>
      </c>
      <c r="BZ119" s="965">
        <f>-10413+378180-220456</f>
        <v/>
      </c>
      <c r="CA119" s="965">
        <f>21958+24518+59348</f>
        <v/>
      </c>
      <c r="CB119" s="965">
        <f>3281359+3463134+5487265</f>
        <v/>
      </c>
      <c r="CD119" s="786">
        <f>CB119+BX119-BY119+BZ119+CA119-BW119</f>
        <v/>
      </c>
      <c r="CE119" s="786" t="n">
        <v>802728</v>
      </c>
      <c r="CF119" s="786">
        <f>692143+597488</f>
        <v/>
      </c>
      <c r="CG119" s="786">
        <f>524483+480010</f>
        <v/>
      </c>
      <c r="CH119" s="786" t="n">
        <v>1992452</v>
      </c>
      <c r="CI119" s="786">
        <f>2977420+1924852+2877745</f>
        <v/>
      </c>
      <c r="CJ119" s="786" t="n">
        <v>12869321</v>
      </c>
      <c r="CK119" s="786">
        <f>CJ119-SUM(CE119:CI119)</f>
        <v/>
      </c>
      <c r="CL119" s="786">
        <f>BW119-CJ119</f>
        <v/>
      </c>
      <c r="CQ119" s="999" t="n">
        <v>2.047</v>
      </c>
      <c r="CR119" s="786" t="n">
        <v>20032631</v>
      </c>
      <c r="CS119" s="786" t="n">
        <v>9788288</v>
      </c>
      <c r="CU119" s="786">
        <f>+CU118+284818</f>
        <v/>
      </c>
      <c r="DG119" s="786">
        <f>+DH119+DK119</f>
        <v/>
      </c>
      <c r="DH119" s="786" t="n">
        <v>4953.960507</v>
      </c>
      <c r="DK119" s="786" t="n">
        <v>322.364242</v>
      </c>
    </row>
    <row r="120">
      <c r="A120" s="642">
        <f>B120&amp;C120</f>
        <v/>
      </c>
      <c r="B120" s="642" t="n">
        <v>2506</v>
      </c>
      <c r="C120" s="642">
        <f>C119</f>
        <v/>
      </c>
      <c r="D120" s="786" t="n">
        <v>55939891</v>
      </c>
      <c r="E120" s="786" t="n">
        <v>12879695</v>
      </c>
      <c r="F120" s="786" t="n">
        <v>21420872</v>
      </c>
      <c r="G120" s="786" t="n">
        <v>15696430</v>
      </c>
      <c r="H120" s="786" t="n">
        <v>1054193</v>
      </c>
      <c r="I120" s="785" t="n">
        <v>0</v>
      </c>
      <c r="J120" s="785" t="n">
        <v>0</v>
      </c>
      <c r="K120" s="785" t="n">
        <v>0</v>
      </c>
      <c r="L120" s="786" t="n">
        <v>47759049</v>
      </c>
      <c r="M120" s="786" t="n">
        <v>33393555</v>
      </c>
      <c r="N120" s="965" t="n">
        <v>8180842</v>
      </c>
      <c r="O120" s="965" t="n">
        <v>8180842</v>
      </c>
      <c r="P120" s="965" t="n">
        <v>0</v>
      </c>
      <c r="Q120" s="965" t="n">
        <v>-2343226</v>
      </c>
      <c r="R120" s="965" t="n">
        <v>10603247</v>
      </c>
      <c r="S120" s="965" t="n">
        <v>8415999</v>
      </c>
      <c r="T120" s="965">
        <f>T119</f>
        <v/>
      </c>
      <c r="U120" s="787" t="n">
        <v>55939891</v>
      </c>
      <c r="V120" s="787" t="n">
        <v>52145826</v>
      </c>
      <c r="W120" s="144" t="n">
        <v>0.9322</v>
      </c>
      <c r="X120" s="965" t="n">
        <v>-2343226</v>
      </c>
      <c r="Y120" s="965" t="n">
        <v>-1907899</v>
      </c>
      <c r="Z120" s="965" t="n">
        <v>-606304</v>
      </c>
      <c r="AA120" s="965" t="n">
        <v>3648</v>
      </c>
      <c r="AB120" s="965">
        <f>-61846+19517</f>
        <v/>
      </c>
      <c r="AC120" s="965" t="n">
        <v>277271</v>
      </c>
      <c r="AD120" s="965" t="n">
        <v>-67613</v>
      </c>
      <c r="AE120" s="965">
        <f>X120-SUM(Y120:AD120)</f>
        <v/>
      </c>
      <c r="AF120" s="786" t="n">
        <v>670411</v>
      </c>
      <c r="AG120" s="786" t="n">
        <v>8109891</v>
      </c>
      <c r="AH120" s="786" t="n">
        <v>-7439480</v>
      </c>
      <c r="AI120" s="786" t="n">
        <v>588618</v>
      </c>
      <c r="AJ120" s="786" t="n">
        <v>0</v>
      </c>
      <c r="AK120" s="786" t="n">
        <v>0</v>
      </c>
      <c r="AL120" s="786" t="n">
        <v>0</v>
      </c>
      <c r="AM120" s="786" t="n">
        <v>0</v>
      </c>
      <c r="AN120" s="786" t="n">
        <v>0</v>
      </c>
      <c r="AO120" s="786" t="n">
        <v>1259029</v>
      </c>
      <c r="AP120" s="786" t="n">
        <v>58459</v>
      </c>
      <c r="AQ120" s="965" t="n">
        <v>1260162</v>
      </c>
      <c r="AR120" s="965" t="n">
        <v>906909</v>
      </c>
      <c r="AS120" s="965">
        <f>+AO120+AP120-AQ120</f>
        <v/>
      </c>
      <c r="AT120" s="965" t="n"/>
      <c r="AU120" s="965">
        <f>+AF120+AI120-AO120</f>
        <v/>
      </c>
      <c r="AV120" s="965">
        <f>+AF120</f>
        <v/>
      </c>
      <c r="AW120" s="965">
        <f>+AI120</f>
        <v/>
      </c>
      <c r="AX120" s="965">
        <f>+AP120</f>
        <v/>
      </c>
      <c r="AY120" s="965">
        <f>+SUM(AV120:AX120)</f>
        <v/>
      </c>
      <c r="BC120" s="786" t="n">
        <v>-1609455</v>
      </c>
      <c r="BD120" s="786" t="n">
        <v>209771</v>
      </c>
      <c r="BE120" s="786" t="n">
        <v>0</v>
      </c>
      <c r="BF120" s="786" t="n">
        <v>-775547</v>
      </c>
      <c r="BG120" s="786" t="n">
        <v>-133270</v>
      </c>
      <c r="BH120" s="786" t="n">
        <v>-2016</v>
      </c>
      <c r="BI120" s="786" t="n">
        <v>-205</v>
      </c>
      <c r="BJ120" s="786" t="n">
        <v>-32504</v>
      </c>
      <c r="BK120" s="786" t="n">
        <v>-2343226</v>
      </c>
      <c r="BL120" s="965" t="n">
        <v>0</v>
      </c>
      <c r="BM120" s="786" t="n">
        <v>10104633</v>
      </c>
      <c r="BN120" s="786" t="n">
        <v>-408295</v>
      </c>
      <c r="BO120" s="786" t="n">
        <v>0</v>
      </c>
      <c r="BP120" s="786" t="n">
        <v>906909</v>
      </c>
      <c r="BQ120" s="786" t="n">
        <v>0</v>
      </c>
      <c r="BR120" s="786" t="n">
        <v>0</v>
      </c>
      <c r="BS120" s="786" t="n">
        <v>10603247</v>
      </c>
      <c r="BT120" s="965" t="n">
        <v>0</v>
      </c>
      <c r="BU120" s="965" t="n">
        <v>11208889</v>
      </c>
      <c r="BV120" s="965" t="n">
        <v>2033743</v>
      </c>
      <c r="BW120" s="965">
        <f>3100815+3679828+6450726</f>
        <v/>
      </c>
      <c r="BX120" s="965" t="n">
        <v>1499873</v>
      </c>
      <c r="BY120" s="965">
        <f>146039+140534+362363</f>
        <v/>
      </c>
      <c r="BZ120" s="965">
        <f>-78205+304834-295159</f>
        <v/>
      </c>
      <c r="CA120" s="965">
        <f>43700+52394+121110</f>
        <v/>
      </c>
      <c r="CB120" s="965">
        <f>+CB119</f>
        <v/>
      </c>
      <c r="CD120" s="786">
        <f>CB120+BX120-BY120+BZ120+CA120-BW120</f>
        <v/>
      </c>
      <c r="CE120" s="786" t="n">
        <v>818308</v>
      </c>
      <c r="CF120" s="786">
        <f>706243+608082</f>
        <v/>
      </c>
      <c r="CG120" s="786">
        <f>536497+490421</f>
        <v/>
      </c>
      <c r="CH120" s="786" t="n">
        <v>2034291</v>
      </c>
      <c r="CI120" s="786">
        <f>3064760+2003797+2968970</f>
        <v/>
      </c>
      <c r="CJ120" s="786" t="n">
        <v>13231369</v>
      </c>
      <c r="CK120" s="786">
        <f>CJ120-SUM(CE120:CI120)</f>
        <v/>
      </c>
      <c r="CL120" s="786">
        <f>BW120-CJ120</f>
        <v/>
      </c>
      <c r="CQ120" s="999" t="n">
        <v>2.133</v>
      </c>
      <c r="CR120" s="786" t="n">
        <v>20919182</v>
      </c>
      <c r="CS120" s="786" t="n">
        <v>9807851</v>
      </c>
      <c r="CU120" s="786" t="n">
        <v>3841522</v>
      </c>
      <c r="DG120" s="786">
        <f>+DH120+DK120</f>
        <v/>
      </c>
      <c r="DH120" s="786" t="n">
        <v>-57337.044828</v>
      </c>
      <c r="DK120" s="786" t="n">
        <v>11991.058961</v>
      </c>
    </row>
    <row r="121">
      <c r="A121" s="642">
        <f>B121&amp;C121</f>
        <v/>
      </c>
      <c r="B121" s="642" t="n">
        <v>2509</v>
      </c>
      <c r="C121" s="642">
        <f>C120</f>
        <v/>
      </c>
      <c r="D121" s="786" t="n">
        <v>57423593</v>
      </c>
      <c r="E121" s="786" t="n">
        <v>15785981</v>
      </c>
      <c r="F121" s="786" t="n">
        <v>20703906</v>
      </c>
      <c r="G121" s="786" t="n">
        <v>15409837</v>
      </c>
      <c r="H121" s="786" t="n">
        <v>1058977</v>
      </c>
      <c r="I121" s="785">
        <f>+E121/$D121</f>
        <v/>
      </c>
      <c r="J121" s="785">
        <f>+F121/$D121</f>
        <v/>
      </c>
      <c r="K121" s="785">
        <f>+G121/$D121</f>
        <v/>
      </c>
      <c r="L121" s="786" t="n">
        <v>48184324</v>
      </c>
      <c r="M121" s="786" t="n">
        <v>33463246</v>
      </c>
      <c r="N121" s="965">
        <f>+O121-P121</f>
        <v/>
      </c>
      <c r="O121" s="965" t="n">
        <v>9239269</v>
      </c>
      <c r="P121" s="965" t="n">
        <v>865006</v>
      </c>
      <c r="Q121" s="965" t="n">
        <v>-2440625</v>
      </c>
      <c r="R121" s="965" t="n">
        <v>10894067</v>
      </c>
      <c r="S121" s="965" t="n">
        <v>8415999</v>
      </c>
      <c r="T121" s="965">
        <f>T120</f>
        <v/>
      </c>
      <c r="U121" s="787" t="n">
        <v>57423593</v>
      </c>
      <c r="V121" s="787" t="n">
        <v>53995241</v>
      </c>
      <c r="W121" s="144" t="n">
        <v>0.9403</v>
      </c>
      <c r="X121" s="965" t="n">
        <v>-2440625</v>
      </c>
      <c r="Y121" s="965" t="n">
        <v>-1986996</v>
      </c>
      <c r="Z121" s="965" t="n">
        <v>-534493</v>
      </c>
      <c r="AA121" s="965" t="n">
        <v>2225</v>
      </c>
      <c r="AB121" s="965">
        <f>-164641+33842</f>
        <v/>
      </c>
      <c r="AC121" s="965" t="n">
        <v>277271</v>
      </c>
      <c r="AD121" s="965" t="n">
        <v>-67833</v>
      </c>
      <c r="AE121" s="965">
        <f>X121-SUM(Y121:AD121)</f>
        <v/>
      </c>
      <c r="AF121" s="786" t="n">
        <v>772533</v>
      </c>
      <c r="AG121" s="786" t="n">
        <v>12101508</v>
      </c>
      <c r="AH121" s="786" t="n">
        <v>11328975</v>
      </c>
      <c r="AI121" s="786" t="n">
        <v>889702</v>
      </c>
      <c r="AJ121" s="786">
        <f>59275-530753</f>
        <v/>
      </c>
      <c r="AL121" s="786">
        <f>+AI121-AJ121-AK121+AM121-AN121</f>
        <v/>
      </c>
      <c r="AM121" s="786" t="n">
        <v>27098</v>
      </c>
      <c r="AN121" s="786">
        <f>448022-25811-13618</f>
        <v/>
      </c>
      <c r="AO121" s="786" t="n">
        <v>1662235</v>
      </c>
      <c r="AP121" s="786" t="n">
        <v>-4781</v>
      </c>
      <c r="AQ121" s="965" t="n">
        <v>1657454</v>
      </c>
      <c r="AR121" s="965" t="n">
        <v>1199909</v>
      </c>
      <c r="AS121" s="965">
        <f>+AO121+AP121-AQ121</f>
        <v/>
      </c>
      <c r="AT121" s="965">
        <f>+AJ121+AK121+AL121-AM121+AN121-AI121</f>
        <v/>
      </c>
      <c r="AU121" s="965">
        <f>+AF121+AI121-AO121</f>
        <v/>
      </c>
      <c r="AV121" s="965">
        <f>+AF121</f>
        <v/>
      </c>
      <c r="AW121" s="965">
        <f>+AI121</f>
        <v/>
      </c>
      <c r="AX121" s="965">
        <f>+AP121</f>
        <v/>
      </c>
      <c r="AY121" s="965">
        <f>+SUM(AV121:AX121)</f>
        <v/>
      </c>
      <c r="BC121" s="786" t="n">
        <v>-1609455</v>
      </c>
      <c r="BD121" s="786" t="n">
        <v>130812</v>
      </c>
      <c r="BF121" s="786">
        <f>+-705325+165</f>
        <v/>
      </c>
      <c r="BG121" s="786" t="n">
        <v>-236065</v>
      </c>
      <c r="BH121" s="786">
        <f>+-2016+-137</f>
        <v/>
      </c>
      <c r="BI121" s="786" t="n">
        <v>-425</v>
      </c>
      <c r="BJ121" s="786" t="n">
        <v>-18179</v>
      </c>
      <c r="BK121" s="786" t="n">
        <v>-2440625</v>
      </c>
      <c r="BL121" s="965">
        <f>+BK121-BC121-SUM(BD121:BJ121)</f>
        <v/>
      </c>
      <c r="BM121" s="786" t="n">
        <v>10104633</v>
      </c>
      <c r="BN121" s="786" t="n">
        <v>-408295</v>
      </c>
      <c r="BP121" s="786" t="n">
        <v>1199909</v>
      </c>
      <c r="BQ121" s="786" t="n">
        <v>137</v>
      </c>
      <c r="BR121" s="786" t="n">
        <v>-2317</v>
      </c>
      <c r="BS121" s="786" t="n">
        <v>10894067</v>
      </c>
      <c r="BT121" s="965">
        <f>+BM121+SUM(BN121:BR121)-BS121</f>
        <v/>
      </c>
      <c r="BU121" s="965" t="n">
        <v>10997404</v>
      </c>
      <c r="BV121" s="965" t="n">
        <v>2043202</v>
      </c>
      <c r="BW121" s="965">
        <f>2976892+3566945+6919800</f>
        <v/>
      </c>
      <c r="BX121" s="965" t="n">
        <v>2223635</v>
      </c>
      <c r="BY121" s="965">
        <f>212335+206459+560134</f>
        <v/>
      </c>
      <c r="BZ121" s="965">
        <f>-156891+230389-416126</f>
        <v/>
      </c>
      <c r="CA121" s="965">
        <f>64759+79881+185160</f>
        <v/>
      </c>
      <c r="CB121" s="965">
        <f>+CB120</f>
        <v/>
      </c>
      <c r="CD121" s="786">
        <f>CB121+BX121-BY121+BZ121+CA121-BW121</f>
        <v/>
      </c>
      <c r="CE121" s="786" t="n">
        <v>829772</v>
      </c>
      <c r="CF121" s="786">
        <f>713422+611692</f>
        <v/>
      </c>
      <c r="CG121" s="786">
        <f>545074+494820</f>
        <v/>
      </c>
      <c r="CH121" s="786" t="n">
        <v>2060685</v>
      </c>
      <c r="CI121" s="786">
        <f>3117103+2058552+3032517</f>
        <v/>
      </c>
      <c r="CJ121" s="786" t="n">
        <v>13463637</v>
      </c>
      <c r="CK121" s="786">
        <f>CJ121-SUM(CE121:CI121)</f>
        <v/>
      </c>
      <c r="CL121" s="786">
        <f>BW121-CJ121</f>
        <v/>
      </c>
      <c r="CQ121" s="999" t="n">
        <v>2.265</v>
      </c>
      <c r="CR121" s="786" t="n">
        <v>22154374</v>
      </c>
      <c r="CS121" s="786" t="n">
        <v>9783298</v>
      </c>
      <c r="CU121" s="786">
        <f>+CU118+866077</f>
        <v/>
      </c>
      <c r="DG121" s="786">
        <f>+DH121+DK121</f>
        <v/>
      </c>
      <c r="DH121" s="786" t="n">
        <v>-207104.241477</v>
      </c>
      <c r="DK121" s="786" t="n">
        <v>-354.891451</v>
      </c>
    </row>
    <row r="122">
      <c r="A122" s="642">
        <f>B122&amp;C122</f>
        <v/>
      </c>
      <c r="B122" s="642" t="n">
        <v>2512</v>
      </c>
      <c r="C122" s="642">
        <f>C121</f>
        <v/>
      </c>
      <c r="D122" s="786" t="n">
        <v>59408828</v>
      </c>
      <c r="E122" s="786" t="n">
        <v>17722466</v>
      </c>
      <c r="F122" s="786" t="n">
        <v>20121438</v>
      </c>
      <c r="G122" s="786" t="n">
        <v>15763373</v>
      </c>
      <c r="H122" s="786" t="n">
        <v>1087038</v>
      </c>
      <c r="I122" s="785">
        <f>+E122/$D122</f>
        <v/>
      </c>
      <c r="J122" s="785">
        <f>+F122/$D122</f>
        <v/>
      </c>
      <c r="K122" s="785">
        <f>+G122/$D122</f>
        <v/>
      </c>
      <c r="L122" s="786" t="n">
        <v>49553927</v>
      </c>
      <c r="M122" s="786" t="n">
        <v>31580104</v>
      </c>
      <c r="N122" s="965">
        <f>+O122-P122</f>
        <v/>
      </c>
      <c r="O122" s="965" t="n">
        <v>9854901</v>
      </c>
      <c r="P122" s="965" t="n">
        <v>865006</v>
      </c>
      <c r="Q122" s="965" t="n">
        <v>-2229300</v>
      </c>
      <c r="R122" s="965" t="n">
        <v>11201139</v>
      </c>
      <c r="S122" s="965" t="n">
        <v>8415999</v>
      </c>
      <c r="T122" s="965">
        <f>+N118</f>
        <v/>
      </c>
      <c r="U122" s="787" t="n">
        <v>59408828</v>
      </c>
      <c r="V122" s="787" t="n">
        <v>56093565</v>
      </c>
      <c r="W122" s="144" t="n">
        <v>0.9442</v>
      </c>
      <c r="X122" s="965" t="n">
        <v>-2229300</v>
      </c>
      <c r="Y122" s="965" t="n">
        <v>-2507652</v>
      </c>
      <c r="Z122" s="965" t="n">
        <v>765024</v>
      </c>
      <c r="AA122" s="965" t="n">
        <v>-1403</v>
      </c>
      <c r="AB122" s="965">
        <f>+-737832+43624</f>
        <v/>
      </c>
      <c r="AC122" s="965" t="n">
        <v>277271</v>
      </c>
      <c r="AD122" s="965" t="n">
        <v>-68332</v>
      </c>
      <c r="AE122" s="965">
        <f>X122-SUM(Y122:AD122)</f>
        <v/>
      </c>
      <c r="AF122" s="786" t="n">
        <v>1035950</v>
      </c>
      <c r="AG122" s="786" t="n">
        <v>16048394</v>
      </c>
      <c r="AH122" s="786" t="n">
        <v>15012444</v>
      </c>
      <c r="AI122" s="786" t="n">
        <v>1051830</v>
      </c>
      <c r="AJ122" s="786">
        <f>71641-727544</f>
        <v/>
      </c>
      <c r="AL122" s="786">
        <f>+AI122-AJ122-AK122+AM122-AN122</f>
        <v/>
      </c>
      <c r="AM122" s="786" t="n">
        <v>35572</v>
      </c>
      <c r="AN122" s="786">
        <f>628728-22258-35664</f>
        <v/>
      </c>
      <c r="AO122" s="786" t="n">
        <v>2087780</v>
      </c>
      <c r="AP122" s="786" t="n">
        <v>20174</v>
      </c>
      <c r="AQ122" s="965" t="n">
        <v>2107954</v>
      </c>
      <c r="AR122" s="965" t="n">
        <v>1534880</v>
      </c>
      <c r="AS122" s="965">
        <f>+AO122+AP122-AQ122</f>
        <v/>
      </c>
      <c r="AT122" s="965">
        <f>+AJ122+AK122+AL122-AM122+AN122-AI122</f>
        <v/>
      </c>
      <c r="AU122" s="965">
        <f>+AF122+AI122-AO122</f>
        <v/>
      </c>
      <c r="AV122" s="965">
        <f>+AF122</f>
        <v/>
      </c>
      <c r="AW122" s="965">
        <f>+AI122</f>
        <v/>
      </c>
      <c r="AX122" s="965">
        <f>+AP122</f>
        <v/>
      </c>
      <c r="AY122" s="965">
        <f>+SUM(AV122:AX122)</f>
        <v/>
      </c>
      <c r="BC122" s="786" t="n">
        <v>-1609455</v>
      </c>
      <c r="BD122" s="786" t="n">
        <v>-389340</v>
      </c>
      <c r="BF122" s="786">
        <f>594193+-3464</f>
        <v/>
      </c>
      <c r="BG122" s="786" t="n">
        <v>-809256</v>
      </c>
      <c r="BH122" s="786">
        <f>+-2016+-642</f>
        <v/>
      </c>
      <c r="BI122" s="786" t="n">
        <v>-923</v>
      </c>
      <c r="BJ122" s="786" t="n">
        <v>-8397</v>
      </c>
      <c r="BK122" s="786" t="n">
        <v>-2229300</v>
      </c>
      <c r="BL122" s="965">
        <f>+BK122-BC122-SUM(BD122:BJ122)</f>
        <v/>
      </c>
      <c r="BM122" s="786" t="n">
        <v>10104633</v>
      </c>
      <c r="BN122" s="786" t="n">
        <v>-408296</v>
      </c>
      <c r="BO122" s="786" t="n">
        <v>-20075</v>
      </c>
      <c r="BP122" s="786" t="n">
        <v>1534880</v>
      </c>
      <c r="BQ122" s="786" t="n">
        <v>642</v>
      </c>
      <c r="BR122" s="786" t="n">
        <v>-10645</v>
      </c>
      <c r="BS122" s="786" t="n">
        <v>11201139</v>
      </c>
      <c r="BT122" s="965">
        <f>+BM122+SUM(BN122:BR122)-BS122</f>
        <v/>
      </c>
      <c r="BU122" s="965">
        <f>3753213+8342596</f>
        <v/>
      </c>
      <c r="BV122" s="965">
        <f>3038+1833715</f>
        <v/>
      </c>
      <c r="BW122" s="965">
        <f>15626+2831+2533282+3569353+6084251</f>
        <v/>
      </c>
      <c r="BX122" s="965">
        <f>325+2932368</f>
        <v/>
      </c>
      <c r="BY122" s="965">
        <f>1011+21+73+267366+272716+743891</f>
        <v/>
      </c>
      <c r="BZ122" s="965">
        <f>+-4579+-451+-1842+-544517+272974+-1839055</f>
        <v/>
      </c>
      <c r="CA122" s="965">
        <f>570+11+166+84452+106423+251818</f>
        <v/>
      </c>
      <c r="CB122" s="965">
        <f>20646+461+4255+3260713+3462672+5483011</f>
        <v/>
      </c>
      <c r="CD122" s="786">
        <f>CB122+BX122-BY122+BZ122+CA122-BW122</f>
        <v/>
      </c>
      <c r="CE122" s="786">
        <f>68963+179025+240675+259385+27685+465+2162+16822</f>
        <v/>
      </c>
      <c r="CF122" s="786">
        <f>58507+45813+154557+130727+196844+162287+228328+205792+20796+14113+545+581+1368+696+15559+15028</f>
        <v/>
      </c>
      <c r="CG122" s="786">
        <f>37086+31622+117369+103676+139076+121639+192635+181506+8916+4966+606+640+289+89+15409+15604</f>
        <v/>
      </c>
      <c r="CH122" s="786">
        <f>29212+28276+28766+29056+29216+93965+89587+88147+86240+84100+108104+97308+88388+80788+74408+171806+160561+151093+144595+139094+2806+2192+1590+1068+566+676+709+722+720+709+52+31+8+1+15411+14950+14520+14173+13864</f>
        <v/>
      </c>
      <c r="CI122" s="786">
        <f>145111+133430+125273+119744+868920+403847+379685+338454+282626+622639+315548+223293+159148+131115+526730+619581+468662+352903+267701+619421+884+3248+2672+2121+1622+2419+63112+45736+32105+21513+20751</f>
        <v/>
      </c>
      <c r="CJ122" s="786">
        <f>1778995+3154644+2665351+4163063+85582+18455+4696+334557</f>
        <v/>
      </c>
      <c r="CK122" s="786">
        <f>CJ122-SUM(CE122:CI122)</f>
        <v/>
      </c>
      <c r="CL122" s="786">
        <f>BW122-CJ122</f>
        <v/>
      </c>
      <c r="CN122" s="785" t="n">
        <v>2.178</v>
      </c>
      <c r="CO122" s="786" t="n">
        <v>21555174</v>
      </c>
      <c r="CP122" s="786" t="n">
        <v>9895449</v>
      </c>
      <c r="CQ122" s="990" t="n">
        <v>2.182</v>
      </c>
      <c r="CR122" s="965" t="n">
        <v>21552235</v>
      </c>
      <c r="CS122" s="965" t="n">
        <v>9876353</v>
      </c>
      <c r="CU122" s="786">
        <f>+CU118+1302060</f>
        <v/>
      </c>
      <c r="CW122" s="105" t="n">
        <v>0.919</v>
      </c>
      <c r="CX122" s="105" t="n">
        <v>0.956</v>
      </c>
      <c r="CY122" s="105" t="n">
        <v>-0.037</v>
      </c>
      <c r="CZ122" s="785">
        <f>+CX122/CW122</f>
        <v/>
      </c>
      <c r="DG122" s="786">
        <f>+DH122+DK122</f>
        <v/>
      </c>
      <c r="DH122" s="786">
        <f>+[16]보험손익!$M$11</f>
        <v/>
      </c>
      <c r="DK122" s="786">
        <f>+[16]보험손익!$M$12</f>
        <v/>
      </c>
      <c r="EP122" s="786" t="n">
        <v>442871</v>
      </c>
      <c r="EQ122" s="786" t="n">
        <v>-688879</v>
      </c>
      <c r="ER122" s="786" t="n">
        <v>1119294</v>
      </c>
      <c r="ES122" s="786" t="n">
        <v>-20214</v>
      </c>
      <c r="ET122" s="786">
        <f>1302762-71064</f>
        <v/>
      </c>
      <c r="EW122" s="786">
        <f>-EP122</f>
        <v/>
      </c>
      <c r="EX122" s="786">
        <f>-EQ122</f>
        <v/>
      </c>
      <c r="EY122" s="786">
        <f>-ER122</f>
        <v/>
      </c>
      <c r="EZ122" s="786">
        <f>-ES122</f>
        <v/>
      </c>
      <c r="FA122" s="786">
        <f>-ET122</f>
        <v/>
      </c>
      <c r="FB122" s="786" t="n">
        <v>-32700</v>
      </c>
      <c r="FC122" s="766">
        <f>SUM(EW122:FB122)-BZ122</f>
        <v/>
      </c>
    </row>
    <row r="123" ht="16.5" customHeight="1" s="760">
      <c r="A123" s="642">
        <f>B123&amp;C123</f>
        <v/>
      </c>
      <c r="B123" s="696" t="n">
        <v>2603</v>
      </c>
      <c r="C123" s="696" t="inlineStr">
        <is>
          <t>DB손보</t>
        </is>
      </c>
      <c r="D123" s="696" t="n">
        <v>59271156</v>
      </c>
      <c r="E123" s="696" t="n">
        <v>17151819</v>
      </c>
      <c r="F123" s="696" t="n">
        <v>22458572</v>
      </c>
      <c r="G123" s="696" t="n">
        <v>14357209</v>
      </c>
      <c r="H123" s="696" t="n">
        <v>1089596</v>
      </c>
      <c r="I123" s="841">
        <f>E123/D123</f>
        <v/>
      </c>
      <c r="J123" s="841">
        <f>F123/D123</f>
        <v/>
      </c>
      <c r="K123" s="841">
        <f>G123/D123</f>
        <v/>
      </c>
      <c r="L123" s="696" t="n">
        <v>48883374</v>
      </c>
      <c r="M123" s="696" t="n">
        <v>29860640</v>
      </c>
      <c r="N123" s="696">
        <f>O123-P123</f>
        <v/>
      </c>
      <c r="O123" s="696" t="n">
        <v>10387782</v>
      </c>
      <c r="P123" s="696" t="n">
        <v>1306342</v>
      </c>
      <c r="Q123" s="696" t="n">
        <v>-1916450</v>
      </c>
      <c r="R123" s="696" t="n">
        <v>10942900</v>
      </c>
      <c r="S123" s="696" t="n">
        <v>9854901</v>
      </c>
      <c r="T123" s="696" t="n">
        <v>8989895</v>
      </c>
      <c r="U123" s="696" t="n">
        <v>59271156</v>
      </c>
      <c r="V123" s="696" t="n">
        <v>55887120.89</v>
      </c>
      <c r="X123" s="696">
        <f>Q123</f>
        <v/>
      </c>
      <c r="Y123" s="696" t="n">
        <v>-3160138</v>
      </c>
      <c r="Z123" s="696" t="n">
        <v>2313803.78</v>
      </c>
      <c r="AA123" s="696" t="n">
        <v>-6477.77</v>
      </c>
      <c r="AB123" s="696" t="n">
        <v>-1267670</v>
      </c>
      <c r="AC123" s="696" t="n">
        <v>277271</v>
      </c>
      <c r="AD123" s="696" t="n">
        <v>-69123.59</v>
      </c>
      <c r="AF123" s="696" t="n">
        <v>226559</v>
      </c>
      <c r="AG123" s="696" t="n">
        <v>4117615</v>
      </c>
      <c r="AH123" s="696" t="n">
        <v>3891056</v>
      </c>
      <c r="AI123" s="696" t="n">
        <v>236141</v>
      </c>
      <c r="AJ123" s="696" t="n">
        <v>-203165</v>
      </c>
      <c r="AL123" s="696">
        <f>AI123-AJ123-AK123+AM123-AN123</f>
        <v/>
      </c>
      <c r="AM123" s="696" t="n">
        <v>9625</v>
      </c>
      <c r="AN123" s="696" t="n">
        <v>214831</v>
      </c>
      <c r="AO123" s="696" t="n">
        <v>462700</v>
      </c>
      <c r="AP123" s="696" t="n">
        <v>-3150</v>
      </c>
      <c r="AQ123" s="696" t="n">
        <v>459550</v>
      </c>
      <c r="AR123" s="696" t="n">
        <v>268504</v>
      </c>
      <c r="AV123" s="696">
        <f>AF123</f>
        <v/>
      </c>
      <c r="AW123" s="696">
        <f>AI123</f>
        <v/>
      </c>
      <c r="AX123" s="696">
        <f>AP123</f>
        <v/>
      </c>
      <c r="AY123" s="696">
        <f>AV123+AW123+AX123</f>
        <v/>
      </c>
      <c r="BC123" s="696" t="n">
        <v>-2229300</v>
      </c>
      <c r="BD123" s="696" t="n">
        <v>-652486</v>
      </c>
      <c r="BF123" s="696" t="n">
        <v>1543704</v>
      </c>
      <c r="BH123" s="696" t="n">
        <v>-4115</v>
      </c>
      <c r="BI123" s="696" t="n">
        <v>-792</v>
      </c>
      <c r="BJ123" s="696" t="n">
        <v>30871</v>
      </c>
      <c r="BK123" s="696">
        <f>Q123</f>
        <v/>
      </c>
      <c r="BM123" s="696" t="n">
        <v>11201139</v>
      </c>
      <c r="BN123" s="696" t="n">
        <v>-460890</v>
      </c>
      <c r="BO123" s="696" t="n">
        <v>-55059</v>
      </c>
      <c r="BP123" s="696">
        <f>AR123</f>
        <v/>
      </c>
      <c r="BR123" s="696" t="n">
        <v>-10794</v>
      </c>
      <c r="BS123" s="696">
        <f>R123</f>
        <v/>
      </c>
      <c r="BU123" s="696" t="n">
        <v>8067628</v>
      </c>
      <c r="BV123" s="696" t="n">
        <v>1849956</v>
      </c>
      <c r="BW123" s="696" t="n">
        <v>12822232</v>
      </c>
      <c r="BX123" s="696" t="n">
        <v>624589</v>
      </c>
      <c r="BY123" s="696" t="n">
        <v>321679</v>
      </c>
      <c r="BZ123" s="696" t="n">
        <v>212982</v>
      </c>
      <c r="CJ123" s="696">
        <f>BW123</f>
        <v/>
      </c>
      <c r="CQ123" s="786" t="n">
        <v>2.32</v>
      </c>
      <c r="CR123" s="786" t="n">
        <v>22900513.36</v>
      </c>
      <c r="CS123" s="786" t="n">
        <v>9866554.4</v>
      </c>
      <c r="CU123" s="696" t="n">
        <v>4805384.6</v>
      </c>
    </row>
    <row r="124" ht="16.5" customHeight="1" s="760">
      <c r="A124" s="642">
        <f>B124&amp;C124</f>
        <v/>
      </c>
      <c r="B124" s="696" t="n">
        <v>2606</v>
      </c>
      <c r="C124" s="696" t="inlineStr">
        <is>
          <t>DB손보</t>
        </is>
      </c>
      <c r="D124" s="696" t="n">
        <v>60103677</v>
      </c>
      <c r="E124" s="696" t="n">
        <v>12830326</v>
      </c>
      <c r="F124" s="696" t="n">
        <v>22849410</v>
      </c>
      <c r="G124" s="696" t="n">
        <v>16051450</v>
      </c>
      <c r="H124" s="696" t="n">
        <v>3625886</v>
      </c>
      <c r="I124" s="841">
        <f>E124/D124</f>
        <v/>
      </c>
      <c r="J124" s="841">
        <f>F124/D124</f>
        <v/>
      </c>
      <c r="K124" s="841">
        <f>G124/D124</f>
        <v/>
      </c>
      <c r="L124" s="696" t="n">
        <v>47758188</v>
      </c>
      <c r="M124" s="696" t="n">
        <v>28001732</v>
      </c>
      <c r="N124" s="696">
        <f>O124-P124</f>
        <v/>
      </c>
      <c r="O124" s="696" t="n">
        <v>12345489</v>
      </c>
      <c r="P124" s="696" t="n">
        <v>1745239</v>
      </c>
      <c r="Q124" s="696" t="n">
        <v>-1094377</v>
      </c>
      <c r="R124" s="696" t="n">
        <v>11639638</v>
      </c>
      <c r="S124" s="696" t="n">
        <v>9854901</v>
      </c>
      <c r="T124" s="696" t="n">
        <v>8989895</v>
      </c>
      <c r="U124" s="696" t="n">
        <v>60103677</v>
      </c>
      <c r="X124" s="696">
        <f>Q124</f>
        <v/>
      </c>
      <c r="Y124" s="696" t="n">
        <v>-3497283</v>
      </c>
      <c r="Z124" s="696" t="n">
        <v>4036059</v>
      </c>
      <c r="AA124" s="696" t="n">
        <v>-6275</v>
      </c>
      <c r="AB124" s="696" t="n">
        <v>-1831631</v>
      </c>
      <c r="AC124" s="696" t="n">
        <v>277271</v>
      </c>
      <c r="AD124" s="696" t="n">
        <v>-68403</v>
      </c>
      <c r="AF124" s="696" t="n">
        <v>788361</v>
      </c>
      <c r="AG124" s="696" t="n">
        <v>8228760</v>
      </c>
      <c r="AH124" s="696" t="n">
        <v>7440399</v>
      </c>
      <c r="AI124" s="696" t="n">
        <v>638196</v>
      </c>
      <c r="AJ124" s="696" t="n">
        <v>0</v>
      </c>
      <c r="AK124" s="696" t="n">
        <v>0</v>
      </c>
      <c r="AL124" s="696">
        <f>AI124-AJ124-AK124+AM124-AN124</f>
        <v/>
      </c>
      <c r="AM124" s="696" t="n">
        <v>0</v>
      </c>
      <c r="AN124" s="696" t="n">
        <v>0</v>
      </c>
      <c r="AO124" s="696" t="n">
        <v>1426557</v>
      </c>
      <c r="AP124" s="696" t="n">
        <v>675</v>
      </c>
      <c r="AQ124" s="696" t="n">
        <v>1427232</v>
      </c>
      <c r="AR124" s="696" t="n">
        <v>979611</v>
      </c>
      <c r="AV124" s="696">
        <f>AF124</f>
        <v/>
      </c>
      <c r="AW124" s="696">
        <f>AI124</f>
        <v/>
      </c>
      <c r="AX124" s="696">
        <f>AP124</f>
        <v/>
      </c>
      <c r="AY124" s="696">
        <f>AV124+AW124+AX124</f>
        <v/>
      </c>
      <c r="BC124" s="696" t="n">
        <v>-2229300</v>
      </c>
      <c r="BD124" s="696" t="n">
        <v>-989631</v>
      </c>
      <c r="BF124" s="696" t="n">
        <v>3266163</v>
      </c>
      <c r="BH124" s="696" t="n">
        <v>-4115</v>
      </c>
      <c r="BI124" s="696" t="n">
        <v>-71</v>
      </c>
      <c r="BJ124" s="696" t="n">
        <v>41870</v>
      </c>
      <c r="BK124" s="696">
        <f>Q124</f>
        <v/>
      </c>
      <c r="BM124" s="696" t="n">
        <v>11201139</v>
      </c>
      <c r="BN124" s="696" t="n">
        <v>-460890</v>
      </c>
      <c r="BO124" s="696" t="n">
        <v>-55058</v>
      </c>
      <c r="BP124" s="696">
        <f>AR124</f>
        <v/>
      </c>
      <c r="BR124" s="696" t="n">
        <v>-25164</v>
      </c>
      <c r="BS124" s="696">
        <f>R124</f>
        <v/>
      </c>
      <c r="BU124" s="696" t="n">
        <v>5676822</v>
      </c>
      <c r="BV124" s="696" t="n">
        <v>1844111</v>
      </c>
      <c r="BW124" s="696" t="n">
        <v>12794076</v>
      </c>
      <c r="BX124" s="696" t="n">
        <v>1210661</v>
      </c>
      <c r="BY124" s="696" t="n">
        <v>636848</v>
      </c>
      <c r="BZ124" s="696" t="n">
        <v>-191215</v>
      </c>
      <c r="CJ124" s="696">
        <f>BW124</f>
        <v/>
      </c>
      <c r="CU124" s="696" t="n">
        <v>5275217</v>
      </c>
    </row>
    <row r="125">
      <c r="A125" s="642">
        <f>B125&amp;C125</f>
        <v/>
      </c>
      <c r="I125" s="999" t="n"/>
      <c r="J125" s="999" t="n"/>
      <c r="K125" s="999" t="n"/>
    </row>
    <row r="126">
      <c r="A126" s="642">
        <f>B126&amp;C126</f>
        <v/>
      </c>
      <c r="I126" s="999" t="n"/>
      <c r="J126" s="999" t="n"/>
      <c r="K126" s="999" t="n"/>
    </row>
    <row r="127">
      <c r="A127" s="642">
        <f>B127&amp;C127</f>
        <v/>
      </c>
      <c r="I127" s="999" t="n"/>
      <c r="J127" s="999" t="n"/>
      <c r="K127" s="999" t="n"/>
    </row>
    <row r="128">
      <c r="A128" s="642">
        <f>B128&amp;C128</f>
        <v/>
      </c>
      <c r="I128" s="999" t="n"/>
      <c r="J128" s="999" t="n"/>
      <c r="K128" s="999" t="n"/>
    </row>
    <row r="129">
      <c r="A129" s="642">
        <f>B129&amp;C129</f>
        <v/>
      </c>
      <c r="I129" s="999" t="n"/>
      <c r="J129" s="999" t="n"/>
      <c r="K129" s="999" t="n"/>
    </row>
    <row r="130">
      <c r="A130" s="642">
        <f>B130&amp;C130</f>
        <v/>
      </c>
      <c r="I130" s="999" t="n"/>
      <c r="J130" s="999" t="n"/>
      <c r="K130" s="999" t="n"/>
    </row>
    <row r="131">
      <c r="A131" s="642">
        <f>B131&amp;C131</f>
        <v/>
      </c>
      <c r="I131" s="999" t="n"/>
      <c r="J131" s="999" t="n"/>
      <c r="K131" s="999" t="n"/>
    </row>
    <row r="132">
      <c r="A132" s="642">
        <f>B132&amp;C132</f>
        <v/>
      </c>
      <c r="I132" s="999" t="n"/>
      <c r="J132" s="999" t="n"/>
      <c r="K132" s="999" t="n"/>
    </row>
    <row r="133">
      <c r="A133" s="642">
        <f>B133&amp;C133</f>
        <v/>
      </c>
      <c r="I133" s="999" t="n"/>
      <c r="J133" s="999" t="n"/>
      <c r="K133" s="999" t="n"/>
    </row>
    <row r="134">
      <c r="A134" s="642">
        <f>B134&amp;C134</f>
        <v/>
      </c>
    </row>
    <row r="135">
      <c r="A135" s="642">
        <f>B135&amp;C135</f>
        <v/>
      </c>
    </row>
    <row r="136">
      <c r="A136" s="642">
        <f>B136&amp;C136</f>
        <v/>
      </c>
    </row>
    <row r="137">
      <c r="A137" s="642">
        <f>B137&amp;C137</f>
        <v/>
      </c>
    </row>
    <row r="138">
      <c r="A138" s="642">
        <f>B138&amp;C138</f>
        <v/>
      </c>
    </row>
    <row r="139">
      <c r="A139" s="642">
        <f>B139&amp;C139</f>
        <v/>
      </c>
    </row>
    <row r="140">
      <c r="A140" s="642">
        <f>B140&amp;C140</f>
        <v/>
      </c>
    </row>
    <row r="141">
      <c r="A141" s="642">
        <f>B141&amp;C141</f>
        <v/>
      </c>
    </row>
    <row r="142">
      <c r="A142" s="642">
        <f>B142&amp;C142</f>
        <v/>
      </c>
    </row>
    <row r="143">
      <c r="A143" s="642">
        <f>B143&amp;C143</f>
        <v/>
      </c>
    </row>
    <row r="144">
      <c r="A144" s="642">
        <f>B144&amp;C144</f>
        <v/>
      </c>
    </row>
    <row r="145">
      <c r="A145" s="642">
        <f>B145&amp;C145</f>
        <v/>
      </c>
    </row>
    <row r="146">
      <c r="A146" s="642">
        <f>B146&amp;C146</f>
        <v/>
      </c>
    </row>
    <row r="147">
      <c r="A147" s="642">
        <f>B147&amp;C147</f>
        <v/>
      </c>
    </row>
    <row r="148">
      <c r="A148" s="642">
        <f>B148&amp;C148</f>
        <v/>
      </c>
    </row>
  </sheetData>
  <mergeCells count="11">
    <mergeCell ref="CN3:CP3"/>
    <mergeCell ref="BC3:BK3"/>
    <mergeCell ref="CQ3:CS3"/>
    <mergeCell ref="D3:T3"/>
    <mergeCell ref="CW3:CY3"/>
    <mergeCell ref="BU3:CC3"/>
    <mergeCell ref="DC3:DE3"/>
    <mergeCell ref="AF3:AR3"/>
    <mergeCell ref="DG3:DQ3"/>
    <mergeCell ref="BM3:BS3"/>
    <mergeCell ref="CE3:CJ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4:AG108"/>
  <sheetViews>
    <sheetView workbookViewId="0">
      <selection activeCell="F21" sqref="F21"/>
    </sheetView>
  </sheetViews>
  <sheetFormatPr baseColWidth="8" defaultRowHeight="16.5"/>
  <cols>
    <col width="7.375" customWidth="1" style="760" min="2" max="2"/>
    <col width="17.875" customWidth="1" style="760" min="3" max="3"/>
    <col width="9.375" customWidth="1" style="760" min="4" max="15"/>
    <col width="13.125" bestFit="1" customWidth="1" style="760" min="21" max="21"/>
    <col width="11.75" bestFit="1" customWidth="1" style="760" min="22" max="24"/>
    <col width="10.125" bestFit="1" customWidth="1" style="760" min="25" max="27"/>
    <col width="10.375" bestFit="1" customWidth="1" style="760" min="28" max="28"/>
    <col width="10.125" bestFit="1" customWidth="1" style="760" min="29" max="29"/>
    <col width="10.375" bestFit="1" customWidth="1" style="760" min="30" max="30"/>
    <col width="10.125" bestFit="1" customWidth="1" style="760" min="31" max="31"/>
    <col width="10.375" bestFit="1" customWidth="1" style="760" min="32" max="32"/>
  </cols>
  <sheetData>
    <row r="3" ht="17.25" customHeight="1" s="760" thickBot="1"/>
    <row r="4">
      <c r="B4" s="755" t="inlineStr">
        <is>
          <t>구분</t>
        </is>
      </c>
      <c r="C4" s="699" t="n"/>
      <c r="D4" s="745" t="inlineStr">
        <is>
          <t>당사</t>
        </is>
      </c>
      <c r="E4" s="748" t="inlineStr">
        <is>
          <t>생보사</t>
        </is>
      </c>
      <c r="F4" s="708" t="n"/>
      <c r="G4" s="708" t="n"/>
      <c r="H4" s="708" t="n"/>
      <c r="I4" s="708" t="n"/>
      <c r="J4" s="724" t="n"/>
      <c r="K4" s="742" t="inlineStr">
        <is>
          <t>손보사</t>
        </is>
      </c>
      <c r="L4" s="708" t="n"/>
      <c r="M4" s="708" t="n"/>
      <c r="N4" s="708" t="n"/>
      <c r="O4" s="708" t="n"/>
      <c r="S4" s="755" t="inlineStr">
        <is>
          <t>구분</t>
        </is>
      </c>
      <c r="T4" s="699" t="n"/>
      <c r="U4" s="745" t="inlineStr">
        <is>
          <t>당사</t>
        </is>
      </c>
      <c r="V4" s="748" t="inlineStr">
        <is>
          <t>생보사</t>
        </is>
      </c>
      <c r="W4" s="708" t="n"/>
      <c r="X4" s="708" t="n"/>
      <c r="Y4" s="708" t="n"/>
      <c r="Z4" s="708" t="n"/>
      <c r="AA4" s="724" t="n"/>
      <c r="AB4" s="742" t="inlineStr">
        <is>
          <t>손보사</t>
        </is>
      </c>
      <c r="AC4" s="708" t="n"/>
      <c r="AD4" s="708" t="n"/>
      <c r="AE4" s="708" t="n"/>
      <c r="AF4" s="708" t="n"/>
    </row>
    <row r="5" ht="17.25" customHeight="1" s="760" thickBot="1">
      <c r="B5" s="728" t="n"/>
      <c r="C5" s="752" t="n"/>
      <c r="D5" s="746" t="n"/>
      <c r="E5" s="35" t="inlineStr">
        <is>
          <t>삼성</t>
        </is>
      </c>
      <c r="F5" s="35" t="inlineStr">
        <is>
          <t>교보</t>
        </is>
      </c>
      <c r="G5" s="35" t="inlineStr">
        <is>
          <t>한화</t>
        </is>
      </c>
      <c r="H5" s="35" t="inlineStr">
        <is>
          <t>신한</t>
        </is>
      </c>
      <c r="I5" s="35" t="inlineStr">
        <is>
          <t>동양</t>
        </is>
      </c>
      <c r="J5" s="221" t="inlineStr">
        <is>
          <t>KB</t>
        </is>
      </c>
      <c r="K5" s="35" t="inlineStr">
        <is>
          <t>삼성</t>
        </is>
      </c>
      <c r="L5" s="35" t="inlineStr">
        <is>
          <t>현대</t>
        </is>
      </c>
      <c r="M5" s="35" t="inlineStr">
        <is>
          <t>메리츠</t>
        </is>
      </c>
      <c r="N5" s="35" t="inlineStr">
        <is>
          <t>KB</t>
        </is>
      </c>
      <c r="O5" s="220" t="inlineStr">
        <is>
          <t>DB</t>
        </is>
      </c>
      <c r="S5" s="728" t="n"/>
      <c r="T5" s="752" t="n"/>
      <c r="U5" s="746" t="n"/>
      <c r="V5" s="35" t="inlineStr">
        <is>
          <t>삼성</t>
        </is>
      </c>
      <c r="W5" s="35" t="inlineStr">
        <is>
          <t>교보</t>
        </is>
      </c>
      <c r="X5" s="35" t="inlineStr">
        <is>
          <t>한화</t>
        </is>
      </c>
      <c r="Y5" s="35" t="inlineStr">
        <is>
          <t>신한</t>
        </is>
      </c>
      <c r="Z5" s="35" t="inlineStr">
        <is>
          <t>동양</t>
        </is>
      </c>
      <c r="AA5" s="221" t="inlineStr">
        <is>
          <t>KB</t>
        </is>
      </c>
      <c r="AB5" s="35" t="inlineStr">
        <is>
          <t>삼성</t>
        </is>
      </c>
      <c r="AC5" s="35" t="inlineStr">
        <is>
          <t>현대</t>
        </is>
      </c>
      <c r="AD5" s="35" t="inlineStr">
        <is>
          <t>메리츠</t>
        </is>
      </c>
      <c r="AE5" s="35" t="inlineStr">
        <is>
          <t>KB</t>
        </is>
      </c>
      <c r="AF5" s="220" t="inlineStr">
        <is>
          <t>DB</t>
        </is>
      </c>
    </row>
    <row r="6">
      <c r="B6" s="697" t="inlineStr">
        <is>
          <t>자기자본</t>
        </is>
      </c>
      <c r="C6" s="699" t="n"/>
      <c r="D6" s="149">
        <f>U6</f>
        <v/>
      </c>
      <c r="E6" s="150">
        <f>V6</f>
        <v/>
      </c>
      <c r="F6" s="150">
        <f>W6</f>
        <v/>
      </c>
      <c r="G6" s="150">
        <f>X6</f>
        <v/>
      </c>
      <c r="H6" s="150">
        <f>Y6</f>
        <v/>
      </c>
      <c r="I6" s="150">
        <f>Z6</f>
        <v/>
      </c>
      <c r="J6" s="149">
        <f>AA6</f>
        <v/>
      </c>
      <c r="K6" s="150">
        <f>AB6</f>
        <v/>
      </c>
      <c r="L6" s="150">
        <f>AC6</f>
        <v/>
      </c>
      <c r="M6" s="150">
        <f>AD6</f>
        <v/>
      </c>
      <c r="N6" s="150">
        <f>AE6</f>
        <v/>
      </c>
      <c r="O6" s="151">
        <f>AF6</f>
        <v/>
      </c>
      <c r="S6" s="697" t="inlineStr">
        <is>
          <t>자기자본</t>
        </is>
      </c>
      <c r="T6" s="699" t="n"/>
      <c r="U6" s="1000">
        <f>작업!I19</f>
        <v/>
      </c>
      <c r="V6" s="1001">
        <f>작업!J19</f>
        <v/>
      </c>
      <c r="W6" s="1001">
        <f>작업!K19</f>
        <v/>
      </c>
      <c r="X6" s="1001">
        <f>작업!L19</f>
        <v/>
      </c>
      <c r="Y6" s="1001">
        <f>작업!M19</f>
        <v/>
      </c>
      <c r="Z6" s="1001">
        <f>작업!N19</f>
        <v/>
      </c>
      <c r="AA6" s="1000">
        <f>작업!O19</f>
        <v/>
      </c>
      <c r="AB6" s="1001">
        <f>작업!P19</f>
        <v/>
      </c>
      <c r="AC6" s="1001">
        <f>작업!Q19</f>
        <v/>
      </c>
      <c r="AD6" s="1001">
        <f>작업!R19</f>
        <v/>
      </c>
      <c r="AE6" s="1001">
        <f>작업!S19</f>
        <v/>
      </c>
      <c r="AF6" s="1002">
        <f>작업!T19</f>
        <v/>
      </c>
    </row>
    <row r="7">
      <c r="B7" s="48" t="n"/>
      <c r="C7" s="152" t="inlineStr">
        <is>
          <t>2024년 대비(%)</t>
        </is>
      </c>
      <c r="D7" s="1003">
        <f>(+U6-U7)/U7</f>
        <v/>
      </c>
      <c r="E7" s="1004">
        <f>(+V6-V7)/V7</f>
        <v/>
      </c>
      <c r="F7" s="1004">
        <f>(+W6-W7)/W7</f>
        <v/>
      </c>
      <c r="G7" s="1004">
        <f>(+X6-X7)/X7</f>
        <v/>
      </c>
      <c r="H7" s="1004">
        <f>(+Y6-Y7)/Y7</f>
        <v/>
      </c>
      <c r="I7" s="1004">
        <f>(+Z6-Z7)/Z7</f>
        <v/>
      </c>
      <c r="J7" s="1003">
        <f>(+AA6-AA7)/AA7</f>
        <v/>
      </c>
      <c r="K7" s="1004">
        <f>(+AB6-AB7)/AB7</f>
        <v/>
      </c>
      <c r="L7" s="1004">
        <f>(+AC6-AC7)/AC7</f>
        <v/>
      </c>
      <c r="M7" s="1004">
        <f>(+AD6-AD7)/AD7</f>
        <v/>
      </c>
      <c r="N7" s="1004">
        <f>(+AE6-AE7)/AE7</f>
        <v/>
      </c>
      <c r="O7" s="1005">
        <f>(+AF6-AF7)/AF7</f>
        <v/>
      </c>
      <c r="S7" s="48" t="n"/>
      <c r="T7" s="152" t="inlineStr">
        <is>
          <t>2024년</t>
        </is>
      </c>
      <c r="U7" s="1006">
        <f>'2412'!I19</f>
        <v/>
      </c>
      <c r="V7" s="1007">
        <f>'2412'!J19</f>
        <v/>
      </c>
      <c r="W7" s="1007">
        <f>'2412'!K19</f>
        <v/>
      </c>
      <c r="X7" s="1007">
        <f>'2412'!L19</f>
        <v/>
      </c>
      <c r="Y7" s="1007">
        <f>'2412'!M19</f>
        <v/>
      </c>
      <c r="Z7" s="1007">
        <f>'2412'!N19</f>
        <v/>
      </c>
      <c r="AA7" s="1006">
        <f>'2412'!O19</f>
        <v/>
      </c>
      <c r="AB7" s="1007">
        <f>'2412'!P19</f>
        <v/>
      </c>
      <c r="AC7" s="1007">
        <f>'2412'!Q19</f>
        <v/>
      </c>
      <c r="AD7" s="1007">
        <f>'2412'!R19</f>
        <v/>
      </c>
      <c r="AE7" s="1007">
        <f>'2412'!S19</f>
        <v/>
      </c>
      <c r="AF7" s="1008">
        <f>'2412'!T19</f>
        <v/>
      </c>
    </row>
    <row r="8" ht="17.25" customHeight="1" s="760" thickBot="1">
      <c r="B8" s="81" t="n"/>
      <c r="C8" s="154" t="inlineStr">
        <is>
          <t>2023년 대비(%)</t>
        </is>
      </c>
      <c r="D8" s="1009">
        <f>(+U6-U8)/U8</f>
        <v/>
      </c>
      <c r="E8" s="1010">
        <f>(+V6-V8)/V8</f>
        <v/>
      </c>
      <c r="F8" s="1010">
        <f>(+W6-W8)/W8</f>
        <v/>
      </c>
      <c r="G8" s="1010">
        <f>(+X6-X8)/X8</f>
        <v/>
      </c>
      <c r="H8" s="1010">
        <f>(+Y6-Y8)/Y8</f>
        <v/>
      </c>
      <c r="I8" s="1010">
        <f>(+Z6-Z8)/Z8</f>
        <v/>
      </c>
      <c r="J8" s="1009">
        <f>(+AA6-AA8)/AA8</f>
        <v/>
      </c>
      <c r="K8" s="1010">
        <f>(+AB6-AB8)/AB8</f>
        <v/>
      </c>
      <c r="L8" s="1010">
        <f>(+AC6-AC8)/AC8</f>
        <v/>
      </c>
      <c r="M8" s="1010">
        <f>(+AD6-AD8)/AD8</f>
        <v/>
      </c>
      <c r="N8" s="1010">
        <f>(+AE6-AE8)/AE8</f>
        <v/>
      </c>
      <c r="O8" s="1011">
        <f>(+AF6-AF8)/AF8</f>
        <v/>
      </c>
      <c r="S8" s="81" t="n"/>
      <c r="T8" s="154" t="inlineStr">
        <is>
          <t>2023년</t>
        </is>
      </c>
      <c r="U8" s="1012">
        <f>+'2412'!I36</f>
        <v/>
      </c>
      <c r="V8" s="1013">
        <f>+'2412'!J36</f>
        <v/>
      </c>
      <c r="W8" s="1013">
        <f>+'2412'!K36</f>
        <v/>
      </c>
      <c r="X8" s="1013">
        <f>+'2412'!L36</f>
        <v/>
      </c>
      <c r="Y8" s="1013">
        <f>+'2412'!M36</f>
        <v/>
      </c>
      <c r="Z8" s="1013">
        <f>+'2412'!N36</f>
        <v/>
      </c>
      <c r="AA8" s="1012">
        <f>+'2412'!O36</f>
        <v/>
      </c>
      <c r="AB8" s="1013">
        <f>+'2412'!P36</f>
        <v/>
      </c>
      <c r="AC8" s="1013">
        <f>+'2412'!Q36</f>
        <v/>
      </c>
      <c r="AD8" s="1013">
        <f>+'2412'!R36</f>
        <v/>
      </c>
      <c r="AE8" s="1013">
        <f>+'2412'!S36</f>
        <v/>
      </c>
      <c r="AF8" s="1014">
        <f>+'2412'!T36</f>
        <v/>
      </c>
    </row>
    <row r="9" customFormat="1" s="161">
      <c r="B9" s="747" t="inlineStr">
        <is>
          <t>기타포괄손익</t>
        </is>
      </c>
      <c r="C9" s="699" t="n"/>
      <c r="D9" s="1015">
        <f>U9</f>
        <v/>
      </c>
      <c r="E9" s="1016">
        <f>V9</f>
        <v/>
      </c>
      <c r="F9" s="1016">
        <f>W9</f>
        <v/>
      </c>
      <c r="G9" s="1016">
        <f>X9</f>
        <v/>
      </c>
      <c r="H9" s="1016">
        <f>Y9</f>
        <v/>
      </c>
      <c r="I9" s="1016">
        <f>Z9</f>
        <v/>
      </c>
      <c r="J9" s="1015">
        <f>AA9</f>
        <v/>
      </c>
      <c r="K9" s="1016">
        <f>AB9</f>
        <v/>
      </c>
      <c r="L9" s="1016">
        <f>AC9</f>
        <v/>
      </c>
      <c r="M9" s="1016">
        <f>AD9</f>
        <v/>
      </c>
      <c r="N9" s="1016">
        <f>AE9</f>
        <v/>
      </c>
      <c r="O9" s="1017">
        <f>AF9</f>
        <v/>
      </c>
      <c r="S9" s="747" t="inlineStr">
        <is>
          <t>기타포괄손익</t>
        </is>
      </c>
      <c r="T9" s="699" t="n"/>
      <c r="U9" s="1018">
        <f>작업!I67</f>
        <v/>
      </c>
      <c r="V9" s="1019">
        <f>작업!J67</f>
        <v/>
      </c>
      <c r="W9" s="1019">
        <f>작업!K67</f>
        <v/>
      </c>
      <c r="X9" s="1019">
        <f>작업!L67</f>
        <v/>
      </c>
      <c r="Y9" s="1019">
        <f>작업!M67</f>
        <v/>
      </c>
      <c r="Z9" s="1019">
        <f>작업!N67</f>
        <v/>
      </c>
      <c r="AA9" s="1018">
        <f>작업!O67</f>
        <v/>
      </c>
      <c r="AB9" s="1019">
        <f>작업!P67</f>
        <v/>
      </c>
      <c r="AC9" s="1019">
        <f>작업!Q67</f>
        <v/>
      </c>
      <c r="AD9" s="1019">
        <f>작업!R67</f>
        <v/>
      </c>
      <c r="AE9" s="1019">
        <f>작업!S67</f>
        <v/>
      </c>
      <c r="AF9" s="1020">
        <f>작업!T67</f>
        <v/>
      </c>
    </row>
    <row r="10" customFormat="1" s="161">
      <c r="B10" s="200" t="n"/>
      <c r="C10" s="201" t="inlineStr">
        <is>
          <t>전년대비 금액</t>
        </is>
      </c>
      <c r="D10" s="1015">
        <f>+U9-U11</f>
        <v/>
      </c>
      <c r="E10" s="1016">
        <f>+V9-V11</f>
        <v/>
      </c>
      <c r="F10" s="1016">
        <f>+W9-W11</f>
        <v/>
      </c>
      <c r="G10" s="1016">
        <f>+X9-X11</f>
        <v/>
      </c>
      <c r="H10" s="1016">
        <f>+Y9-Y11</f>
        <v/>
      </c>
      <c r="I10" s="1016">
        <f>+Z9-Z11</f>
        <v/>
      </c>
      <c r="J10" s="1015">
        <f>+AA9-AA11</f>
        <v/>
      </c>
      <c r="K10" s="1016">
        <f>+AB9-AB11</f>
        <v/>
      </c>
      <c r="L10" s="1016">
        <f>+AC9-AC11</f>
        <v/>
      </c>
      <c r="M10" s="1016">
        <f>+AD9-AD11</f>
        <v/>
      </c>
      <c r="N10" s="1016">
        <f>+AE9-AE11</f>
        <v/>
      </c>
      <c r="O10" s="1017">
        <f>+AF9-AF11</f>
        <v/>
      </c>
      <c r="S10" s="200" t="n"/>
      <c r="T10" s="201" t="n"/>
      <c r="U10" s="1018" t="n"/>
      <c r="V10" s="1019" t="n"/>
      <c r="W10" s="1019" t="n"/>
      <c r="X10" s="1019" t="n"/>
      <c r="Y10" s="1019" t="n"/>
      <c r="Z10" s="1019" t="n"/>
      <c r="AA10" s="1018" t="n"/>
      <c r="AB10" s="1019" t="n"/>
      <c r="AC10" s="1019" t="n"/>
      <c r="AD10" s="1019" t="n"/>
      <c r="AE10" s="1019" t="n"/>
      <c r="AF10" s="1020" t="n"/>
    </row>
    <row r="11" ht="27" customFormat="1" customHeight="1" s="161">
      <c r="B11" s="162" t="n"/>
      <c r="C11" s="163" t="inlineStr">
        <is>
          <t>2024년 증감액 / 2024년 자기자본</t>
        </is>
      </c>
      <c r="D11" s="1021">
        <f>(U9-U11)/U7</f>
        <v/>
      </c>
      <c r="E11" s="1022">
        <f>(V9-V11)/V7</f>
        <v/>
      </c>
      <c r="F11" s="1022">
        <f>(W9-W11)/W7</f>
        <v/>
      </c>
      <c r="G11" s="1022">
        <f>(X9-X11)/X7</f>
        <v/>
      </c>
      <c r="H11" s="1022">
        <f>(Y9-Y11)/Y7</f>
        <v/>
      </c>
      <c r="I11" s="1022">
        <f>(Z9-Z11)/Z7</f>
        <v/>
      </c>
      <c r="J11" s="1021">
        <f>(AA9-AA11)/AA7</f>
        <v/>
      </c>
      <c r="K11" s="1022">
        <f>(AB9-AB11)/AB7</f>
        <v/>
      </c>
      <c r="L11" s="1022">
        <f>(AC9-AC11)/AC7</f>
        <v/>
      </c>
      <c r="M11" s="1022">
        <f>(AD9-AD11)/AD7</f>
        <v/>
      </c>
      <c r="N11" s="1022">
        <f>(AE9-AE11)/AE7</f>
        <v/>
      </c>
      <c r="O11" s="1023">
        <f>(AF9-AF11)/AF7</f>
        <v/>
      </c>
      <c r="S11" s="162" t="n"/>
      <c r="T11" s="163" t="inlineStr">
        <is>
          <t>2024년</t>
        </is>
      </c>
      <c r="U11" s="1024">
        <f>'2412'!I67</f>
        <v/>
      </c>
      <c r="V11" s="1025">
        <f>'2412'!J67</f>
        <v/>
      </c>
      <c r="W11" s="1025">
        <f>'2412'!K67</f>
        <v/>
      </c>
      <c r="X11" s="1025">
        <f>'2412'!L67</f>
        <v/>
      </c>
      <c r="Y11" s="1025">
        <f>'2412'!M67</f>
        <v/>
      </c>
      <c r="Z11" s="1025">
        <f>'2412'!N67</f>
        <v/>
      </c>
      <c r="AA11" s="1024">
        <f>'2412'!O67</f>
        <v/>
      </c>
      <c r="AB11" s="1025">
        <f>'2412'!P67</f>
        <v/>
      </c>
      <c r="AC11" s="1025">
        <f>'2412'!Q67</f>
        <v/>
      </c>
      <c r="AD11" s="1025">
        <f>'2412'!R67</f>
        <v/>
      </c>
      <c r="AE11" s="1025">
        <f>'2412'!S67</f>
        <v/>
      </c>
      <c r="AF11" s="1026">
        <f>'2412'!T67</f>
        <v/>
      </c>
    </row>
    <row r="12" ht="27.75" customFormat="1" customHeight="1" s="161" thickBot="1">
      <c r="B12" s="164" t="n"/>
      <c r="C12" s="165" t="inlineStr">
        <is>
          <t>23~25 증감액 / 2023년 자기자본</t>
        </is>
      </c>
      <c r="D12" s="1027">
        <f>(U9-U12)/U8</f>
        <v/>
      </c>
      <c r="E12" s="1028">
        <f>(V9-V12)/V8</f>
        <v/>
      </c>
      <c r="F12" s="1028">
        <f>(W9-W12)/W8</f>
        <v/>
      </c>
      <c r="G12" s="1028">
        <f>(X9-X12)/X8</f>
        <v/>
      </c>
      <c r="H12" s="1028">
        <f>(Y9-Y12)/Y8</f>
        <v/>
      </c>
      <c r="I12" s="1028">
        <f>(Z9-Z12)/Z8</f>
        <v/>
      </c>
      <c r="J12" s="1027">
        <f>(AA9-AA12)/AA8</f>
        <v/>
      </c>
      <c r="K12" s="1028">
        <f>(AB9-AB12)/AB8</f>
        <v/>
      </c>
      <c r="L12" s="1028">
        <f>(AC9-AC12)/AC8</f>
        <v/>
      </c>
      <c r="M12" s="1028">
        <f>(AD9-AD12)/AD8</f>
        <v/>
      </c>
      <c r="N12" s="1028">
        <f>(AE9-AE12)/AE8</f>
        <v/>
      </c>
      <c r="O12" s="1029">
        <f>(AF9-AF12)/AF8</f>
        <v/>
      </c>
      <c r="S12" s="164" t="n"/>
      <c r="T12" s="165" t="inlineStr">
        <is>
          <t>2023년</t>
        </is>
      </c>
      <c r="U12" s="1030">
        <f>'2312'!I67</f>
        <v/>
      </c>
      <c r="V12" s="1031">
        <f>'2312'!J67</f>
        <v/>
      </c>
      <c r="W12" s="1031">
        <f>'2312'!K67</f>
        <v/>
      </c>
      <c r="X12" s="1031">
        <f>'2312'!L67</f>
        <v/>
      </c>
      <c r="Y12" s="1031">
        <f>'2312'!M67</f>
        <v/>
      </c>
      <c r="Z12" s="1031">
        <f>'2312'!N67</f>
        <v/>
      </c>
      <c r="AA12" s="1030">
        <f>'2312'!O67</f>
        <v/>
      </c>
      <c r="AB12" s="1031">
        <f>'2312'!P67</f>
        <v/>
      </c>
      <c r="AC12" s="1031">
        <f>'2312'!Q67</f>
        <v/>
      </c>
      <c r="AD12" s="1031">
        <f>'2312'!R67</f>
        <v/>
      </c>
      <c r="AE12" s="1031">
        <f>'2312'!S67</f>
        <v/>
      </c>
      <c r="AF12" s="1032">
        <f>'2312'!T67</f>
        <v/>
      </c>
    </row>
    <row r="13">
      <c r="B13" s="697" t="inlineStr">
        <is>
          <t xml:space="preserve">K-ICS비율 </t>
        </is>
      </c>
      <c r="C13" s="699" t="n"/>
      <c r="D13" s="1033">
        <f>U13</f>
        <v/>
      </c>
      <c r="E13" s="1034">
        <f>V13</f>
        <v/>
      </c>
      <c r="F13" s="1034">
        <f>W13</f>
        <v/>
      </c>
      <c r="G13" s="1034">
        <f>X13</f>
        <v/>
      </c>
      <c r="H13" s="1034">
        <f>Y13</f>
        <v/>
      </c>
      <c r="I13" s="1034">
        <f>Z13</f>
        <v/>
      </c>
      <c r="J13" s="1033">
        <f>AA13</f>
        <v/>
      </c>
      <c r="K13" s="1034">
        <f>AB13</f>
        <v/>
      </c>
      <c r="L13" s="1034">
        <f>AC13</f>
        <v/>
      </c>
      <c r="M13" s="1034">
        <f>AD13</f>
        <v/>
      </c>
      <c r="N13" s="1034">
        <f>AE13</f>
        <v/>
      </c>
      <c r="O13" s="1035">
        <f>AF13</f>
        <v/>
      </c>
      <c r="S13" s="697" t="inlineStr">
        <is>
          <t xml:space="preserve">K-ICS비율 </t>
        </is>
      </c>
      <c r="T13" s="699" t="n"/>
      <c r="U13" s="1036">
        <f>작업!I100</f>
        <v/>
      </c>
      <c r="V13" s="1037">
        <f>작업!J100</f>
        <v/>
      </c>
      <c r="W13" s="1037">
        <f>작업!K100</f>
        <v/>
      </c>
      <c r="X13" s="1037">
        <f>작업!L100</f>
        <v/>
      </c>
      <c r="Y13" s="1037">
        <f>작업!M100</f>
        <v/>
      </c>
      <c r="Z13" s="1037">
        <f>작업!N100</f>
        <v/>
      </c>
      <c r="AA13" s="1036">
        <f>작업!O100</f>
        <v/>
      </c>
      <c r="AB13" s="1037">
        <f>작업!P100</f>
        <v/>
      </c>
      <c r="AC13" s="1037">
        <f>작업!Q100</f>
        <v/>
      </c>
      <c r="AD13" s="1037">
        <f>작업!R100</f>
        <v/>
      </c>
      <c r="AE13" s="1037">
        <f>작업!S100</f>
        <v/>
      </c>
      <c r="AF13" s="1038">
        <f>작업!T100</f>
        <v/>
      </c>
    </row>
    <row r="14" ht="17.25" customHeight="1" s="760" thickBot="1">
      <c r="B14" s="80" t="n"/>
      <c r="C14" s="155" t="inlineStr">
        <is>
          <t>전기대비</t>
        </is>
      </c>
      <c r="D14" s="1039">
        <f>U13-U14</f>
        <v/>
      </c>
      <c r="E14" s="1040">
        <f>V13-V14</f>
        <v/>
      </c>
      <c r="F14" s="1040">
        <f>W13-W14</f>
        <v/>
      </c>
      <c r="G14" s="1040">
        <f>X13-X14</f>
        <v/>
      </c>
      <c r="H14" s="1040">
        <f>Y13-Y14</f>
        <v/>
      </c>
      <c r="I14" s="1040">
        <f>Z13-Z14</f>
        <v/>
      </c>
      <c r="J14" s="1039">
        <f>AA13-AA14</f>
        <v/>
      </c>
      <c r="K14" s="1040">
        <f>AB13-AB14</f>
        <v/>
      </c>
      <c r="L14" s="1040">
        <f>AC13-AC14</f>
        <v/>
      </c>
      <c r="M14" s="1040">
        <f>AD13-AD14</f>
        <v/>
      </c>
      <c r="N14" s="1040">
        <f>AE13-AE14</f>
        <v/>
      </c>
      <c r="O14" s="1041">
        <f>AF13-AF14</f>
        <v/>
      </c>
      <c r="S14" s="80" t="n"/>
      <c r="T14" s="155" t="inlineStr">
        <is>
          <t>전기대비</t>
        </is>
      </c>
      <c r="U14" s="1042">
        <f>'2412'!I100</f>
        <v/>
      </c>
      <c r="V14" s="1043">
        <f>'2412'!J100</f>
        <v/>
      </c>
      <c r="W14" s="1043">
        <f>'2412'!K100</f>
        <v/>
      </c>
      <c r="X14" s="1043">
        <f>'2412'!L100</f>
        <v/>
      </c>
      <c r="Y14" s="1043">
        <f>'2412'!M100</f>
        <v/>
      </c>
      <c r="Z14" s="1043">
        <f>'2412'!N100</f>
        <v/>
      </c>
      <c r="AA14" s="1042">
        <f>'2412'!O100</f>
        <v/>
      </c>
      <c r="AB14" s="1043">
        <f>'2412'!P100</f>
        <v/>
      </c>
      <c r="AC14" s="1043">
        <f>'2412'!Q100</f>
        <v/>
      </c>
      <c r="AD14" s="1043">
        <f>'2412'!R100</f>
        <v/>
      </c>
      <c r="AE14" s="1043">
        <f>'2412'!S100</f>
        <v/>
      </c>
      <c r="AF14" s="1044">
        <f>'2412'!T100</f>
        <v/>
      </c>
    </row>
    <row r="15">
      <c r="U15" s="848" t="n"/>
      <c r="V15" s="848" t="n"/>
      <c r="W15" s="848" t="n"/>
      <c r="X15" s="848" t="n"/>
      <c r="Y15" s="848" t="n"/>
      <c r="Z15" s="848" t="n"/>
      <c r="AA15" s="848" t="n"/>
      <c r="AB15" s="848" t="n"/>
      <c r="AC15" s="848" t="n"/>
      <c r="AD15" s="848" t="n"/>
      <c r="AE15" s="848" t="n"/>
      <c r="AF15" s="848" t="n"/>
    </row>
    <row r="21" ht="17.25" customHeight="1" s="760" thickBot="1"/>
    <row r="22">
      <c r="B22" s="747" t="inlineStr">
        <is>
          <t>기타포괄손익</t>
        </is>
      </c>
      <c r="C22" s="699" t="n"/>
      <c r="D22" s="156" t="n"/>
      <c r="E22" s="157" t="n"/>
      <c r="F22" s="158" t="n"/>
      <c r="G22" s="158" t="n"/>
      <c r="H22" s="158" t="n"/>
      <c r="I22" s="158" t="n"/>
      <c r="J22" s="159" t="n"/>
      <c r="K22" s="157" t="n"/>
      <c r="L22" s="158" t="n"/>
      <c r="M22" s="158" t="n"/>
      <c r="N22" s="158" t="n"/>
      <c r="O22" s="160" t="n"/>
      <c r="P22" s="161" t="n"/>
    </row>
    <row r="23">
      <c r="B23" s="162" t="n"/>
      <c r="C23" s="163" t="inlineStr">
        <is>
          <t>2024년 대비(%)</t>
        </is>
      </c>
      <c r="D23" s="1021">
        <f>(+U9-U11)/U11</f>
        <v/>
      </c>
      <c r="E23" s="1022">
        <f>(+V9-V11)/V11</f>
        <v/>
      </c>
      <c r="F23" s="1022">
        <f>(+W9-W11)/W11</f>
        <v/>
      </c>
      <c r="G23" s="1022">
        <f>(+X9-X11)/X11</f>
        <v/>
      </c>
      <c r="H23" s="1022">
        <f>(+Y9-Y11)/Y11</f>
        <v/>
      </c>
      <c r="I23" s="1022">
        <f>(+Z9-Z11)/Z11</f>
        <v/>
      </c>
      <c r="J23" s="1021">
        <f>(+AA9-AA11)/AA11</f>
        <v/>
      </c>
      <c r="K23" s="1022">
        <f>(+AB9-AB11)/AB11</f>
        <v/>
      </c>
      <c r="L23" s="1022">
        <f>(+AC9-AC11)/AC11</f>
        <v/>
      </c>
      <c r="M23" s="1022">
        <f>(+AD9-AD11)/AD11</f>
        <v/>
      </c>
      <c r="N23" s="1022">
        <f>(+AE9-AE11)/AE11</f>
        <v/>
      </c>
      <c r="O23" s="1023">
        <f>(+AF9-AF11)/AF11</f>
        <v/>
      </c>
      <c r="P23" s="161" t="n"/>
    </row>
    <row r="24" ht="17.25" customHeight="1" s="760" thickBot="1">
      <c r="B24" s="164" t="n"/>
      <c r="C24" s="165" t="inlineStr">
        <is>
          <t>2023년 대비(%)</t>
        </is>
      </c>
      <c r="D24" s="1027">
        <f>(+U9-U12)/U12</f>
        <v/>
      </c>
      <c r="E24" s="1028">
        <f>(+V9-V12)/V12</f>
        <v/>
      </c>
      <c r="F24" s="1028">
        <f>(+W9-W12)/W12</f>
        <v/>
      </c>
      <c r="G24" s="1028">
        <f>(+X9-X12)/X12</f>
        <v/>
      </c>
      <c r="H24" s="1028">
        <f>(+Y9-Y12)/Y12</f>
        <v/>
      </c>
      <c r="I24" s="1028">
        <f>(+Z9-Z12)/Z12</f>
        <v/>
      </c>
      <c r="J24" s="1027">
        <f>(+AA9-AA12)/AA12</f>
        <v/>
      </c>
      <c r="K24" s="1028">
        <f>(+AB9-AB12)/AB12</f>
        <v/>
      </c>
      <c r="L24" s="1028">
        <f>(+AC9-AC12)/AC12</f>
        <v/>
      </c>
      <c r="M24" s="1028">
        <f>(+AD9-AD12)/AD12</f>
        <v/>
      </c>
      <c r="N24" s="1028">
        <f>(+AE9-AE12)/AE12</f>
        <v/>
      </c>
      <c r="O24" s="1029">
        <f>(+AF9-AF12)/AF12</f>
        <v/>
      </c>
      <c r="P24" s="161" t="n"/>
    </row>
    <row r="29" ht="17.25" customHeight="1" s="760" thickBot="1"/>
    <row r="30">
      <c r="A30" s="168" t="inlineStr">
        <is>
          <t>구분</t>
        </is>
      </c>
      <c r="B30" s="168" t="n"/>
      <c r="C30" s="169" t="n"/>
      <c r="D30" s="745" t="inlineStr">
        <is>
          <t>당사</t>
        </is>
      </c>
      <c r="E30" s="748" t="inlineStr">
        <is>
          <t>생보사</t>
        </is>
      </c>
      <c r="F30" s="708" t="n"/>
      <c r="G30" s="708" t="n"/>
      <c r="H30" s="708" t="n"/>
      <c r="I30" s="708" t="n"/>
      <c r="J30" s="724" t="n"/>
      <c r="K30" s="742" t="inlineStr">
        <is>
          <t>생보사</t>
        </is>
      </c>
      <c r="L30" s="708" t="n"/>
      <c r="M30" s="708" t="n"/>
      <c r="N30" s="708" t="n"/>
      <c r="O30" s="708" t="n"/>
      <c r="R30" s="168" t="inlineStr">
        <is>
          <t>구분</t>
        </is>
      </c>
      <c r="S30" s="168" t="n"/>
      <c r="T30" s="169" t="n"/>
      <c r="U30" s="745" t="inlineStr">
        <is>
          <t>당사</t>
        </is>
      </c>
      <c r="V30" s="748" t="inlineStr">
        <is>
          <t>생보사</t>
        </is>
      </c>
      <c r="W30" s="708" t="n"/>
      <c r="X30" s="708" t="n"/>
      <c r="Y30" s="708" t="n"/>
      <c r="Z30" s="708" t="n"/>
      <c r="AA30" s="724" t="n"/>
      <c r="AB30" s="742" t="inlineStr">
        <is>
          <t>생보사</t>
        </is>
      </c>
      <c r="AC30" s="708" t="n"/>
      <c r="AD30" s="708" t="n"/>
      <c r="AE30" s="708" t="n"/>
      <c r="AF30" s="708" t="n"/>
    </row>
    <row r="31" ht="17.25" customHeight="1" s="760" thickBot="1">
      <c r="A31" s="170" t="n"/>
      <c r="B31" s="170" t="n"/>
      <c r="C31" s="171" t="n"/>
      <c r="D31" s="746" t="n"/>
      <c r="E31" s="35" t="inlineStr">
        <is>
          <t>삼성</t>
        </is>
      </c>
      <c r="F31" s="166" t="inlineStr">
        <is>
          <t>교보</t>
        </is>
      </c>
      <c r="G31" s="166" t="inlineStr">
        <is>
          <t>한화</t>
        </is>
      </c>
      <c r="H31" s="166" t="inlineStr">
        <is>
          <t>신한</t>
        </is>
      </c>
      <c r="I31" s="166" t="inlineStr">
        <is>
          <t>동양</t>
        </is>
      </c>
      <c r="J31" s="167" t="inlineStr">
        <is>
          <t>KB</t>
        </is>
      </c>
      <c r="K31" s="35" t="inlineStr">
        <is>
          <t>삼성</t>
        </is>
      </c>
      <c r="L31" s="35" t="inlineStr">
        <is>
          <t>현대</t>
        </is>
      </c>
      <c r="M31" s="35" t="inlineStr">
        <is>
          <t>메리츠</t>
        </is>
      </c>
      <c r="N31" s="35" t="inlineStr">
        <is>
          <t>KB</t>
        </is>
      </c>
      <c r="O31" s="220" t="inlineStr">
        <is>
          <t>DB</t>
        </is>
      </c>
      <c r="R31" s="170" t="n"/>
      <c r="S31" s="170" t="n"/>
      <c r="T31" s="171" t="n"/>
      <c r="U31" s="746" t="n"/>
      <c r="V31" s="35" t="inlineStr">
        <is>
          <t>삼성</t>
        </is>
      </c>
      <c r="W31" s="166" t="inlineStr">
        <is>
          <t>교보</t>
        </is>
      </c>
      <c r="X31" s="166" t="inlineStr">
        <is>
          <t>한화</t>
        </is>
      </c>
      <c r="Y31" s="166" t="inlineStr">
        <is>
          <t>신한</t>
        </is>
      </c>
      <c r="Z31" s="166" t="inlineStr">
        <is>
          <t>동양</t>
        </is>
      </c>
      <c r="AA31" s="167" t="inlineStr">
        <is>
          <t>KB</t>
        </is>
      </c>
      <c r="AB31" s="35" t="inlineStr">
        <is>
          <t>삼성</t>
        </is>
      </c>
      <c r="AC31" s="35" t="inlineStr">
        <is>
          <t>현대</t>
        </is>
      </c>
      <c r="AD31" s="35" t="inlineStr">
        <is>
          <t>메리츠</t>
        </is>
      </c>
      <c r="AE31" s="35" t="inlineStr">
        <is>
          <t>KB</t>
        </is>
      </c>
      <c r="AF31" s="220" t="inlineStr">
        <is>
          <t>DB</t>
        </is>
      </c>
    </row>
    <row r="32">
      <c r="A32" s="697" t="inlineStr">
        <is>
          <t>기타포괄손익</t>
        </is>
      </c>
      <c r="B32" s="698" t="n"/>
      <c r="C32" s="699" t="n"/>
      <c r="D32" s="1045">
        <f>U32</f>
        <v/>
      </c>
      <c r="E32" s="1046">
        <f>V32</f>
        <v/>
      </c>
      <c r="F32" s="1046">
        <f>W32</f>
        <v/>
      </c>
      <c r="G32" s="1046">
        <f>X32</f>
        <v/>
      </c>
      <c r="H32" s="1046">
        <f>Y32</f>
        <v/>
      </c>
      <c r="I32" s="1046">
        <f>Z32</f>
        <v/>
      </c>
      <c r="J32" s="1045">
        <f>AA32</f>
        <v/>
      </c>
      <c r="K32" s="1046">
        <f>AB32</f>
        <v/>
      </c>
      <c r="L32" s="1046">
        <f>AC32</f>
        <v/>
      </c>
      <c r="M32" s="1046">
        <f>AD32</f>
        <v/>
      </c>
      <c r="N32" s="1046">
        <f>AE32</f>
        <v/>
      </c>
      <c r="O32" s="1047">
        <f>AF32</f>
        <v/>
      </c>
      <c r="R32" s="697" t="inlineStr">
        <is>
          <t>기타포괄손익</t>
        </is>
      </c>
      <c r="S32" s="698" t="n"/>
      <c r="T32" s="699" t="n"/>
      <c r="U32" s="1000">
        <f>U9</f>
        <v/>
      </c>
      <c r="V32" s="1001">
        <f>V9</f>
        <v/>
      </c>
      <c r="W32" s="1001">
        <f>W9</f>
        <v/>
      </c>
      <c r="X32" s="1001">
        <f>X9</f>
        <v/>
      </c>
      <c r="Y32" s="1001">
        <f>Y9</f>
        <v/>
      </c>
      <c r="Z32" s="1001">
        <f>Z9</f>
        <v/>
      </c>
      <c r="AA32" s="1000">
        <f>AA9</f>
        <v/>
      </c>
      <c r="AB32" s="1001">
        <f>AB9</f>
        <v/>
      </c>
      <c r="AC32" s="1001">
        <f>AC9</f>
        <v/>
      </c>
      <c r="AD32" s="1001">
        <f>AD9</f>
        <v/>
      </c>
      <c r="AE32" s="1001">
        <f>AE9</f>
        <v/>
      </c>
      <c r="AF32" s="1002">
        <f>AF9</f>
        <v/>
      </c>
    </row>
    <row r="33">
      <c r="A33" s="48" t="n"/>
      <c r="B33" s="49" t="n"/>
      <c r="C33" s="152" t="inlineStr">
        <is>
          <t>2024년 대비(%)</t>
        </is>
      </c>
      <c r="D33" s="1048">
        <f>U50/ABS(U33)</f>
        <v/>
      </c>
      <c r="E33" s="1049">
        <f>V50/ABS(V33)</f>
        <v/>
      </c>
      <c r="F33" s="1049">
        <f>W50/ABS(W33)</f>
        <v/>
      </c>
      <c r="G33" s="1049">
        <f>X50/ABS(X33)</f>
        <v/>
      </c>
      <c r="H33" s="1049">
        <f>Y50/ABS(Y33)</f>
        <v/>
      </c>
      <c r="I33" s="1049">
        <f>Z50/ABS(Z33)</f>
        <v/>
      </c>
      <c r="J33" s="1048">
        <f>AA50/ABS(AA33)</f>
        <v/>
      </c>
      <c r="K33" s="1049">
        <f>AB50/ABS(AB33)</f>
        <v/>
      </c>
      <c r="L33" s="1049">
        <f>AC50/ABS(AC33)</f>
        <v/>
      </c>
      <c r="M33" s="1049">
        <f>AD50/ABS(AD33)</f>
        <v/>
      </c>
      <c r="N33" s="1049">
        <f>AE50/ABS(AE33)</f>
        <v/>
      </c>
      <c r="O33" s="1050">
        <f>AF50/ABS(AF33)</f>
        <v/>
      </c>
      <c r="P33" s="1051" t="n"/>
      <c r="R33" s="48" t="n"/>
      <c r="S33" s="49" t="n"/>
      <c r="T33" s="152" t="n">
        <v>2024</v>
      </c>
      <c r="U33" s="1006">
        <f>U11</f>
        <v/>
      </c>
      <c r="V33" s="1007">
        <f>V11</f>
        <v/>
      </c>
      <c r="W33" s="1007">
        <f>W11</f>
        <v/>
      </c>
      <c r="X33" s="1007">
        <f>X11</f>
        <v/>
      </c>
      <c r="Y33" s="1007">
        <f>Y11</f>
        <v/>
      </c>
      <c r="Z33" s="1007">
        <f>Z11</f>
        <v/>
      </c>
      <c r="AA33" s="1006">
        <f>AA11</f>
        <v/>
      </c>
      <c r="AB33" s="1007">
        <f>AB11</f>
        <v/>
      </c>
      <c r="AC33" s="1007">
        <f>AC11</f>
        <v/>
      </c>
      <c r="AD33" s="1007">
        <f>AD11</f>
        <v/>
      </c>
      <c r="AE33" s="1007">
        <f>AE11</f>
        <v/>
      </c>
      <c r="AF33" s="1008">
        <f>AF11</f>
        <v/>
      </c>
    </row>
    <row r="34" ht="17.25" customHeight="1" s="760" thickBot="1">
      <c r="A34" s="81" t="n"/>
      <c r="B34" s="153" t="n"/>
      <c r="C34" s="154" t="inlineStr">
        <is>
          <t>2023년 대비(%)</t>
        </is>
      </c>
      <c r="D34" s="1052">
        <f>+U51/ABS(U34)</f>
        <v/>
      </c>
      <c r="E34" s="1053">
        <f>+V51/ABS(V34)</f>
        <v/>
      </c>
      <c r="F34" s="1053">
        <f>+W51/ABS(W34)</f>
        <v/>
      </c>
      <c r="G34" s="1053">
        <f>+X51/ABS(X34)</f>
        <v/>
      </c>
      <c r="H34" s="1053">
        <f>+Y51/ABS(Y34)</f>
        <v/>
      </c>
      <c r="I34" s="1053">
        <f>+Z51/ABS(Z34)</f>
        <v/>
      </c>
      <c r="J34" s="1052">
        <f>+AA51/ABS(AA34)</f>
        <v/>
      </c>
      <c r="K34" s="1053">
        <f>+AB51/ABS(AB34)</f>
        <v/>
      </c>
      <c r="L34" s="1053">
        <f>+AC51/ABS(AC34)</f>
        <v/>
      </c>
      <c r="M34" s="1053">
        <f>+AD51/ABS(AD34)</f>
        <v/>
      </c>
      <c r="N34" s="1053">
        <f>+AE51/ABS(AE34)</f>
        <v/>
      </c>
      <c r="O34" s="1054">
        <f>+AF51/ABS(AF34)</f>
        <v/>
      </c>
      <c r="P34" s="1051" t="n"/>
      <c r="R34" s="81" t="n"/>
      <c r="S34" s="153" t="n"/>
      <c r="T34" s="154" t="n">
        <v>2023</v>
      </c>
      <c r="U34" s="1012">
        <f>U12</f>
        <v/>
      </c>
      <c r="V34" s="1013">
        <f>V12</f>
        <v/>
      </c>
      <c r="W34" s="1013">
        <f>W12</f>
        <v/>
      </c>
      <c r="X34" s="1013">
        <f>X12</f>
        <v/>
      </c>
      <c r="Y34" s="1013">
        <f>Y12</f>
        <v/>
      </c>
      <c r="Z34" s="1013">
        <f>Z12</f>
        <v/>
      </c>
      <c r="AA34" s="1012">
        <f>AA12</f>
        <v/>
      </c>
      <c r="AB34" s="1013">
        <f>AB12</f>
        <v/>
      </c>
      <c r="AC34" s="1013">
        <f>AC12</f>
        <v/>
      </c>
      <c r="AD34" s="1013">
        <f>AD12</f>
        <v/>
      </c>
      <c r="AE34" s="1013">
        <f>AE12</f>
        <v/>
      </c>
      <c r="AF34" s="1014">
        <f>AF12</f>
        <v/>
      </c>
    </row>
    <row r="35">
      <c r="A35" s="749" t="inlineStr">
        <is>
          <t>FVOCI평가손익</t>
        </is>
      </c>
      <c r="B35" s="698" t="n"/>
      <c r="C35" s="699" t="n"/>
      <c r="D35" s="1055">
        <f>U35</f>
        <v/>
      </c>
      <c r="E35" s="1056">
        <f>V35</f>
        <v/>
      </c>
      <c r="F35" s="1056">
        <f>W35</f>
        <v/>
      </c>
      <c r="G35" s="1056">
        <f>X35</f>
        <v/>
      </c>
      <c r="H35" s="1056">
        <f>Y35</f>
        <v/>
      </c>
      <c r="I35" s="1056">
        <f>Z35</f>
        <v/>
      </c>
      <c r="J35" s="1055">
        <f>AA35</f>
        <v/>
      </c>
      <c r="K35" s="1056">
        <f>AB35</f>
        <v/>
      </c>
      <c r="L35" s="1056">
        <f>AC35</f>
        <v/>
      </c>
      <c r="M35" s="1056">
        <f>AD35</f>
        <v/>
      </c>
      <c r="N35" s="1056">
        <f>AE35</f>
        <v/>
      </c>
      <c r="O35" s="1057">
        <f>AF35</f>
        <v/>
      </c>
      <c r="R35" s="749" t="inlineStr">
        <is>
          <t>FVOCI평가손익</t>
        </is>
      </c>
      <c r="S35" s="698" t="n"/>
      <c r="T35" s="699" t="n"/>
      <c r="U35" s="1058">
        <f>작업!I68</f>
        <v/>
      </c>
      <c r="V35" s="1059">
        <f>작업!J68</f>
        <v/>
      </c>
      <c r="W35" s="1059">
        <f>작업!K68</f>
        <v/>
      </c>
      <c r="X35" s="1059">
        <f>작업!L68</f>
        <v/>
      </c>
      <c r="Y35" s="1059">
        <f>작업!M68</f>
        <v/>
      </c>
      <c r="Z35" s="1059">
        <f>작업!N68</f>
        <v/>
      </c>
      <c r="AA35" s="1058">
        <f>작업!O68</f>
        <v/>
      </c>
      <c r="AB35" s="1059">
        <f>작업!P68</f>
        <v/>
      </c>
      <c r="AC35" s="1059">
        <f>작업!Q68</f>
        <v/>
      </c>
      <c r="AD35" s="1059">
        <f>작업!R68</f>
        <v/>
      </c>
      <c r="AE35" s="1059">
        <f>작업!S68</f>
        <v/>
      </c>
      <c r="AF35" s="1060">
        <f>작업!T68</f>
        <v/>
      </c>
    </row>
    <row r="36">
      <c r="A36" s="42" t="n"/>
      <c r="B36" s="42" t="n"/>
      <c r="C36" s="152" t="inlineStr">
        <is>
          <t>운용자산 대비 2024년</t>
        </is>
      </c>
      <c r="D36" s="1061">
        <f>U53/U41</f>
        <v/>
      </c>
      <c r="E36" s="1062">
        <f>V53/V41</f>
        <v/>
      </c>
      <c r="F36" s="1062">
        <f>W53/W41</f>
        <v/>
      </c>
      <c r="G36" s="1062">
        <f>X53/X41</f>
        <v/>
      </c>
      <c r="H36" s="1062">
        <f>Y53/Y41</f>
        <v/>
      </c>
      <c r="I36" s="1062">
        <f>Z53/Z41</f>
        <v/>
      </c>
      <c r="J36" s="1061">
        <f>AA53/AA41</f>
        <v/>
      </c>
      <c r="K36" s="1062">
        <f>AB53/AB41</f>
        <v/>
      </c>
      <c r="L36" s="1062">
        <f>AC53/AC41</f>
        <v/>
      </c>
      <c r="M36" s="1062">
        <f>AD53/AD41</f>
        <v/>
      </c>
      <c r="N36" s="1062">
        <f>AE53/AE41</f>
        <v/>
      </c>
      <c r="O36" s="1063">
        <f>AF53/AF41</f>
        <v/>
      </c>
      <c r="P36" s="924" t="n"/>
      <c r="R36" s="42" t="n"/>
      <c r="S36" s="42" t="n"/>
      <c r="T36" s="152" t="n">
        <v>2024</v>
      </c>
      <c r="U36" s="1006">
        <f>'2412'!I68</f>
        <v/>
      </c>
      <c r="V36" s="1007">
        <f>'2412'!J68</f>
        <v/>
      </c>
      <c r="W36" s="1007">
        <f>'2412'!K68</f>
        <v/>
      </c>
      <c r="X36" s="1007">
        <f>'2412'!L68</f>
        <v/>
      </c>
      <c r="Y36" s="1007">
        <f>'2412'!M68</f>
        <v/>
      </c>
      <c r="Z36" s="1007">
        <f>'2412'!N68</f>
        <v/>
      </c>
      <c r="AA36" s="1006">
        <f>'2412'!O68</f>
        <v/>
      </c>
      <c r="AB36" s="1007">
        <f>'2412'!P68</f>
        <v/>
      </c>
      <c r="AC36" s="1007">
        <f>'2412'!Q68</f>
        <v/>
      </c>
      <c r="AD36" s="1007">
        <f>'2412'!R68</f>
        <v/>
      </c>
      <c r="AE36" s="1007">
        <f>'2412'!S68</f>
        <v/>
      </c>
      <c r="AF36" s="1008">
        <f>'2412'!T68</f>
        <v/>
      </c>
    </row>
    <row r="37" ht="17.25" customHeight="1" s="760" thickBot="1">
      <c r="A37" s="81" t="n"/>
      <c r="B37" s="153" t="n"/>
      <c r="C37" s="154" t="inlineStr">
        <is>
          <t>운용자산 대비 2023년</t>
        </is>
      </c>
      <c r="D37" s="1064">
        <f>+U57/U42</f>
        <v/>
      </c>
      <c r="E37" s="1065">
        <f>+V57/V42</f>
        <v/>
      </c>
      <c r="F37" s="1065">
        <f>+W57/W42</f>
        <v/>
      </c>
      <c r="G37" s="1065">
        <f>+X57/X42</f>
        <v/>
      </c>
      <c r="H37" s="1065">
        <f>+Y57/Y42</f>
        <v/>
      </c>
      <c r="I37" s="1065">
        <f>+Z57/Z42</f>
        <v/>
      </c>
      <c r="J37" s="1064">
        <f>+AA57/AA42</f>
        <v/>
      </c>
      <c r="K37" s="1065">
        <f>+AB57/AB42</f>
        <v/>
      </c>
      <c r="L37" s="1065">
        <f>+AC57/AC42</f>
        <v/>
      </c>
      <c r="M37" s="1065">
        <f>+AD57/AD42</f>
        <v/>
      </c>
      <c r="N37" s="1065">
        <f>+AE57/AE42</f>
        <v/>
      </c>
      <c r="O37" s="1066">
        <f>+AF57/AF42</f>
        <v/>
      </c>
      <c r="P37" s="924" t="n"/>
      <c r="R37" s="81" t="n"/>
      <c r="S37" s="153" t="n"/>
      <c r="T37" s="154" t="n">
        <v>2023</v>
      </c>
      <c r="U37" s="1012">
        <f>'2312'!I68</f>
        <v/>
      </c>
      <c r="V37" s="1013">
        <f>'2312'!J68</f>
        <v/>
      </c>
      <c r="W37" s="1013">
        <f>'2312'!K68</f>
        <v/>
      </c>
      <c r="X37" s="1013">
        <f>'2312'!L68</f>
        <v/>
      </c>
      <c r="Y37" s="1013">
        <f>'2312'!M68</f>
        <v/>
      </c>
      <c r="Z37" s="1013">
        <f>'2312'!N68</f>
        <v/>
      </c>
      <c r="AA37" s="1012">
        <f>'2312'!O68</f>
        <v/>
      </c>
      <c r="AB37" s="1013">
        <f>'2312'!P68</f>
        <v/>
      </c>
      <c r="AC37" s="1013">
        <f>'2312'!Q68</f>
        <v/>
      </c>
      <c r="AD37" s="1013">
        <f>'2312'!R68</f>
        <v/>
      </c>
      <c r="AE37" s="1013">
        <f>'2312'!S68</f>
        <v/>
      </c>
      <c r="AF37" s="1014">
        <f>'2312'!T68</f>
        <v/>
      </c>
    </row>
    <row r="38">
      <c r="A38" s="749" t="inlineStr">
        <is>
          <t>보험부채순금융손익</t>
        </is>
      </c>
      <c r="B38" s="698" t="n"/>
      <c r="C38" s="699" t="n"/>
      <c r="D38" s="1055">
        <f>U38</f>
        <v/>
      </c>
      <c r="E38" s="1056">
        <f>V38</f>
        <v/>
      </c>
      <c r="F38" s="1056">
        <f>W38</f>
        <v/>
      </c>
      <c r="G38" s="1056">
        <f>X38</f>
        <v/>
      </c>
      <c r="H38" s="1056">
        <f>Y38</f>
        <v/>
      </c>
      <c r="I38" s="1056">
        <f>Z38</f>
        <v/>
      </c>
      <c r="J38" s="1055">
        <f>AA38</f>
        <v/>
      </c>
      <c r="K38" s="1056">
        <f>AB38</f>
        <v/>
      </c>
      <c r="L38" s="1056">
        <f>AC38</f>
        <v/>
      </c>
      <c r="M38" s="1056">
        <f>AD38</f>
        <v/>
      </c>
      <c r="N38" s="1056">
        <f>AE38</f>
        <v/>
      </c>
      <c r="O38" s="1057">
        <f>AF38</f>
        <v/>
      </c>
      <c r="R38" s="749" t="inlineStr">
        <is>
          <t>보험부채순금융손익</t>
        </is>
      </c>
      <c r="S38" s="698" t="n"/>
      <c r="T38" s="699" t="n"/>
      <c r="U38" s="1058">
        <f>작업!I71</f>
        <v/>
      </c>
      <c r="V38" s="1059">
        <f>작업!J71</f>
        <v/>
      </c>
      <c r="W38" s="1059">
        <f>작업!K71</f>
        <v/>
      </c>
      <c r="X38" s="1059">
        <f>작업!L71</f>
        <v/>
      </c>
      <c r="Y38" s="1059">
        <f>작업!M71</f>
        <v/>
      </c>
      <c r="Z38" s="1059">
        <f>작업!N71</f>
        <v/>
      </c>
      <c r="AA38" s="1058">
        <f>작업!O71</f>
        <v/>
      </c>
      <c r="AB38" s="1059">
        <f>작업!P71</f>
        <v/>
      </c>
      <c r="AC38" s="1059">
        <f>작업!Q71</f>
        <v/>
      </c>
      <c r="AD38" s="1059">
        <f>작업!R71</f>
        <v/>
      </c>
      <c r="AE38" s="1059">
        <f>작업!S71</f>
        <v/>
      </c>
      <c r="AF38" s="1060">
        <f>작업!T71</f>
        <v/>
      </c>
    </row>
    <row r="39">
      <c r="A39" s="48" t="n"/>
      <c r="B39" s="49" t="n"/>
      <c r="C39" s="152" t="inlineStr">
        <is>
          <t>부채 대비 2024년</t>
        </is>
      </c>
      <c r="D39" s="1061">
        <f>U56/U43</f>
        <v/>
      </c>
      <c r="E39" s="1062">
        <f>V56/V43</f>
        <v/>
      </c>
      <c r="F39" s="1062">
        <f>W56/W43</f>
        <v/>
      </c>
      <c r="G39" s="1062">
        <f>X56/X43</f>
        <v/>
      </c>
      <c r="H39" s="1062">
        <f>Y56/Y43</f>
        <v/>
      </c>
      <c r="I39" s="1062">
        <f>Z56/Z43</f>
        <v/>
      </c>
      <c r="J39" s="1061">
        <f>AA56/AA43</f>
        <v/>
      </c>
      <c r="K39" s="1062">
        <f>AB56/AB43</f>
        <v/>
      </c>
      <c r="L39" s="1062">
        <f>AC56/AC43</f>
        <v/>
      </c>
      <c r="M39" s="1062">
        <f>AD56/AD43</f>
        <v/>
      </c>
      <c r="N39" s="1062">
        <f>AE56/AE43</f>
        <v/>
      </c>
      <c r="O39" s="1063">
        <f>AF56/AF43</f>
        <v/>
      </c>
      <c r="R39" s="48" t="n"/>
      <c r="S39" s="49" t="n"/>
      <c r="T39" s="152" t="n">
        <v>2024</v>
      </c>
      <c r="U39" s="1006">
        <f>'2412'!I71</f>
        <v/>
      </c>
      <c r="V39" s="1007">
        <f>'2412'!J71</f>
        <v/>
      </c>
      <c r="W39" s="1007">
        <f>'2412'!K71</f>
        <v/>
      </c>
      <c r="X39" s="1007">
        <f>'2412'!L71</f>
        <v/>
      </c>
      <c r="Y39" s="1007">
        <f>'2412'!M71</f>
        <v/>
      </c>
      <c r="Z39" s="1007">
        <f>'2412'!N71</f>
        <v/>
      </c>
      <c r="AA39" s="1006">
        <f>'2412'!O71</f>
        <v/>
      </c>
      <c r="AB39" s="1007">
        <f>'2412'!P71</f>
        <v/>
      </c>
      <c r="AC39" s="1007">
        <f>'2412'!Q71</f>
        <v/>
      </c>
      <c r="AD39" s="1007">
        <f>'2412'!R71</f>
        <v/>
      </c>
      <c r="AE39" s="1007">
        <f>'2412'!S71</f>
        <v/>
      </c>
      <c r="AF39" s="1008">
        <f>'2412'!T71</f>
        <v/>
      </c>
    </row>
    <row r="40" ht="17.25" customHeight="1" s="760" thickBot="1">
      <c r="A40" s="81" t="n"/>
      <c r="B40" s="153" t="n"/>
      <c r="C40" s="154" t="inlineStr">
        <is>
          <t>부채 대비 23년</t>
        </is>
      </c>
      <c r="D40" s="1064">
        <f>+U57/U44</f>
        <v/>
      </c>
      <c r="E40" s="1065">
        <f>+V57/V44</f>
        <v/>
      </c>
      <c r="F40" s="1065">
        <f>+W57/W44</f>
        <v/>
      </c>
      <c r="G40" s="1065">
        <f>+X57/X44</f>
        <v/>
      </c>
      <c r="H40" s="1065">
        <f>+Y57/Y44</f>
        <v/>
      </c>
      <c r="I40" s="1065">
        <f>+Z57/Z44</f>
        <v/>
      </c>
      <c r="J40" s="1064">
        <f>+AA57/AA44</f>
        <v/>
      </c>
      <c r="K40" s="1065">
        <f>+AB57/AB44</f>
        <v/>
      </c>
      <c r="L40" s="1065">
        <f>+AC57/AC44</f>
        <v/>
      </c>
      <c r="M40" s="1065">
        <f>+AD57/AD44</f>
        <v/>
      </c>
      <c r="N40" s="1065">
        <f>+AE57/AE44</f>
        <v/>
      </c>
      <c r="O40" s="1066">
        <f>+AF57/AF44</f>
        <v/>
      </c>
      <c r="R40" s="81" t="n"/>
      <c r="S40" s="153" t="n"/>
      <c r="T40" s="154" t="n">
        <v>2023</v>
      </c>
      <c r="U40" s="1012">
        <f>'2312'!I71</f>
        <v/>
      </c>
      <c r="V40" s="1013">
        <f>'2312'!J71</f>
        <v/>
      </c>
      <c r="W40" s="1013">
        <f>'2312'!K71</f>
        <v/>
      </c>
      <c r="X40" s="1013">
        <f>'2312'!L71</f>
        <v/>
      </c>
      <c r="Y40" s="1013">
        <f>'2312'!M71</f>
        <v/>
      </c>
      <c r="Z40" s="1013">
        <f>'2312'!N71</f>
        <v/>
      </c>
      <c r="AA40" s="1012">
        <f>'2312'!O71</f>
        <v/>
      </c>
      <c r="AB40" s="1013">
        <f>'2312'!P71</f>
        <v/>
      </c>
      <c r="AC40" s="1013">
        <f>'2312'!Q71</f>
        <v/>
      </c>
      <c r="AD40" s="1013">
        <f>'2312'!R71</f>
        <v/>
      </c>
      <c r="AE40" s="1013">
        <f>'2312'!S71</f>
        <v/>
      </c>
      <c r="AF40" s="1014">
        <f>'2312'!T71</f>
        <v/>
      </c>
    </row>
    <row r="41">
      <c r="D41" s="848" t="n"/>
      <c r="E41" s="848" t="n"/>
      <c r="F41" s="848" t="n"/>
      <c r="G41" s="848" t="n"/>
      <c r="H41" s="848" t="n"/>
      <c r="I41" s="848" t="n"/>
      <c r="J41" s="848" t="n"/>
      <c r="K41" s="848" t="n"/>
      <c r="L41" s="848" t="n"/>
      <c r="M41" s="848" t="n"/>
      <c r="N41" s="848" t="n"/>
      <c r="O41" s="848" t="n"/>
      <c r="S41" s="696" t="inlineStr">
        <is>
          <t>*  운용자산</t>
        </is>
      </c>
      <c r="T41" s="174" t="n">
        <v>2024</v>
      </c>
      <c r="U41" s="848">
        <f>'2412'!I74</f>
        <v/>
      </c>
      <c r="V41" s="848">
        <f>'2412'!J74</f>
        <v/>
      </c>
      <c r="W41" s="848">
        <f>'2412'!K74</f>
        <v/>
      </c>
      <c r="X41" s="848">
        <f>'2412'!L74</f>
        <v/>
      </c>
      <c r="Y41" s="848">
        <f>'2412'!M74</f>
        <v/>
      </c>
      <c r="Z41" s="848">
        <f>'2412'!N74</f>
        <v/>
      </c>
      <c r="AA41" s="848">
        <f>'2412'!O74</f>
        <v/>
      </c>
      <c r="AB41" s="848">
        <f>'2412'!P74</f>
        <v/>
      </c>
      <c r="AC41" s="848">
        <f>'2412'!Q74</f>
        <v/>
      </c>
      <c r="AD41" s="848">
        <f>'2412'!R74</f>
        <v/>
      </c>
      <c r="AE41" s="848">
        <f>'2412'!S74</f>
        <v/>
      </c>
      <c r="AF41" s="848">
        <f>'2412'!T74</f>
        <v/>
      </c>
    </row>
    <row r="42">
      <c r="D42" s="1055">
        <f>+U32-U33</f>
        <v/>
      </c>
      <c r="E42" s="1056">
        <f>+V32-V33</f>
        <v/>
      </c>
      <c r="F42" s="1056">
        <f>+W32-W33</f>
        <v/>
      </c>
      <c r="G42" s="1056">
        <f>+X32-X33</f>
        <v/>
      </c>
      <c r="H42" s="1056">
        <f>+Y32-Y33</f>
        <v/>
      </c>
      <c r="I42" s="1056">
        <f>+Z32-Z33</f>
        <v/>
      </c>
      <c r="J42" s="1055">
        <f>+AA32-AA33</f>
        <v/>
      </c>
      <c r="K42" s="1056">
        <f>+AB32-AB33</f>
        <v/>
      </c>
      <c r="L42" s="1056">
        <f>+AC32-AC33</f>
        <v/>
      </c>
      <c r="M42" s="1056">
        <f>+AD32-AD33</f>
        <v/>
      </c>
      <c r="N42" s="1056">
        <f>+AE32-AE33</f>
        <v/>
      </c>
      <c r="O42" s="1057">
        <f>+AF32-AF33</f>
        <v/>
      </c>
      <c r="T42" s="174" t="n">
        <v>2023</v>
      </c>
      <c r="U42" s="848">
        <f>'2312'!I74</f>
        <v/>
      </c>
      <c r="V42" s="848">
        <f>'2312'!J74</f>
        <v/>
      </c>
      <c r="W42" s="848">
        <f>'2312'!K74</f>
        <v/>
      </c>
      <c r="X42" s="848">
        <f>'2312'!L74</f>
        <v/>
      </c>
      <c r="Y42" s="848">
        <f>'2312'!M74</f>
        <v/>
      </c>
      <c r="Z42" s="848">
        <f>'2312'!N74</f>
        <v/>
      </c>
      <c r="AA42" s="848">
        <f>'2312'!O74</f>
        <v/>
      </c>
      <c r="AB42" s="848">
        <f>'2312'!P74</f>
        <v/>
      </c>
      <c r="AC42" s="848">
        <f>'2312'!Q74</f>
        <v/>
      </c>
      <c r="AD42" s="848">
        <f>'2312'!R74</f>
        <v/>
      </c>
      <c r="AE42" s="848">
        <f>'2312'!S74</f>
        <v/>
      </c>
      <c r="AF42" s="848">
        <f>'2312'!T74</f>
        <v/>
      </c>
    </row>
    <row r="43">
      <c r="D43" s="1055">
        <f>+U35-U36</f>
        <v/>
      </c>
      <c r="E43" s="1056">
        <f>+V35-V36</f>
        <v/>
      </c>
      <c r="F43" s="1056">
        <f>+W35-W36</f>
        <v/>
      </c>
      <c r="G43" s="1056">
        <f>+X35-X36</f>
        <v/>
      </c>
      <c r="H43" s="1056">
        <f>+Y35-Y36</f>
        <v/>
      </c>
      <c r="I43" s="1056">
        <f>+Z35-Z36</f>
        <v/>
      </c>
      <c r="J43" s="1055">
        <f>+AA35-AA36</f>
        <v/>
      </c>
      <c r="K43" s="1056">
        <f>+AB35-AB36</f>
        <v/>
      </c>
      <c r="L43" s="1056">
        <f>+AC35-AC36</f>
        <v/>
      </c>
      <c r="M43" s="1056">
        <f>+AD35-AD36</f>
        <v/>
      </c>
      <c r="N43" s="1056">
        <f>+AE35-AE36</f>
        <v/>
      </c>
      <c r="O43" s="1057">
        <f>+AF35-AF36</f>
        <v/>
      </c>
      <c r="S43" s="696" t="inlineStr">
        <is>
          <t>* 보험부채</t>
        </is>
      </c>
      <c r="T43" s="174" t="n">
        <v>2024</v>
      </c>
      <c r="U43" s="848">
        <f>'2412'!I46</f>
        <v/>
      </c>
      <c r="V43" s="848">
        <f>'2412'!J46</f>
        <v/>
      </c>
      <c r="W43" s="848">
        <f>'2412'!K46</f>
        <v/>
      </c>
      <c r="X43" s="848">
        <f>'2412'!L46</f>
        <v/>
      </c>
      <c r="Y43" s="848">
        <f>'2412'!M46</f>
        <v/>
      </c>
      <c r="Z43" s="848">
        <f>'2412'!N46</f>
        <v/>
      </c>
      <c r="AA43" s="848">
        <f>'2412'!O46</f>
        <v/>
      </c>
      <c r="AB43" s="848">
        <f>'2412'!P46</f>
        <v/>
      </c>
      <c r="AC43" s="848">
        <f>'2412'!Q46</f>
        <v/>
      </c>
      <c r="AD43" s="848">
        <f>'2412'!R46</f>
        <v/>
      </c>
      <c r="AE43" s="848">
        <f>'2412'!S46</f>
        <v/>
      </c>
      <c r="AF43" s="848">
        <f>'2412'!T46</f>
        <v/>
      </c>
    </row>
    <row r="44">
      <c r="D44" s="1055">
        <f>+U38-U39</f>
        <v/>
      </c>
      <c r="E44" s="1056">
        <f>+V38-V39</f>
        <v/>
      </c>
      <c r="F44" s="1056">
        <f>+W38-W39</f>
        <v/>
      </c>
      <c r="G44" s="1056">
        <f>+X38-X39</f>
        <v/>
      </c>
      <c r="H44" s="1056">
        <f>+Y38-Y39</f>
        <v/>
      </c>
      <c r="I44" s="1056">
        <f>+Z38-Z39</f>
        <v/>
      </c>
      <c r="J44" s="1055">
        <f>+AA38-AA39</f>
        <v/>
      </c>
      <c r="K44" s="1056">
        <f>+AB38-AB39</f>
        <v/>
      </c>
      <c r="L44" s="1056">
        <f>+AC38-AC39</f>
        <v/>
      </c>
      <c r="M44" s="1056">
        <f>+AD38-AD39</f>
        <v/>
      </c>
      <c r="N44" s="1056">
        <f>+AE38-AE39</f>
        <v/>
      </c>
      <c r="O44" s="1057">
        <f>+AF38-AF39</f>
        <v/>
      </c>
      <c r="T44" s="174" t="n">
        <v>2023</v>
      </c>
      <c r="U44" s="848">
        <f>'2312'!I46</f>
        <v/>
      </c>
      <c r="V44" s="848">
        <f>'2312'!J46</f>
        <v/>
      </c>
      <c r="W44" s="848">
        <f>'2312'!K46</f>
        <v/>
      </c>
      <c r="X44" s="848">
        <f>'2312'!L46</f>
        <v/>
      </c>
      <c r="Y44" s="848">
        <f>'2312'!M46</f>
        <v/>
      </c>
      <c r="Z44" s="848">
        <f>'2312'!N46</f>
        <v/>
      </c>
      <c r="AA44" s="848">
        <f>'2312'!O46</f>
        <v/>
      </c>
      <c r="AB44" s="848">
        <f>'2312'!P46</f>
        <v/>
      </c>
      <c r="AC44" s="848">
        <f>'2312'!Q46</f>
        <v/>
      </c>
      <c r="AD44" s="848">
        <f>'2312'!R46</f>
        <v/>
      </c>
      <c r="AE44" s="848">
        <f>'2312'!S46</f>
        <v/>
      </c>
      <c r="AF44" s="848">
        <f>'2312'!T46</f>
        <v/>
      </c>
    </row>
    <row r="45">
      <c r="R45" s="696" t="inlineStr">
        <is>
          <t>* 증감</t>
        </is>
      </c>
      <c r="S45" s="696" t="inlineStr">
        <is>
          <t>2024년말 vfa</t>
        </is>
      </c>
      <c r="U45" s="867">
        <f>SUM([17]BEL!$AR$27:$AR$29,[17]RA!$AR$27:$AR$29)+SUM([17]CSM!$AR$27:$AR$29)</f>
        <v/>
      </c>
    </row>
    <row r="46" ht="17.25" customHeight="1" s="760" thickBot="1">
      <c r="D46" s="868">
        <f>+D44/(U43-U45)</f>
        <v/>
      </c>
      <c r="S46" s="696" t="inlineStr">
        <is>
          <t>2023년말 vfa</t>
        </is>
      </c>
      <c r="U46" s="867">
        <f>SUM([17]BEL!$AE$27:$AE$29,[17]RA!$AE$27:$AE$29)+SUM([17]CSM!$AE$27:$AE$29)</f>
        <v/>
      </c>
    </row>
    <row r="47">
      <c r="D47" s="868">
        <f>(U38-U40)/(U44-U46)</f>
        <v/>
      </c>
      <c r="R47" s="168" t="inlineStr">
        <is>
          <t>구분</t>
        </is>
      </c>
      <c r="S47" s="168" t="n"/>
      <c r="T47" s="169" t="n"/>
      <c r="U47" s="745" t="inlineStr">
        <is>
          <t>당사</t>
        </is>
      </c>
      <c r="V47" s="748" t="inlineStr">
        <is>
          <t>생보사</t>
        </is>
      </c>
      <c r="W47" s="708" t="n"/>
      <c r="X47" s="708" t="n"/>
      <c r="Y47" s="708" t="n"/>
      <c r="Z47" s="708" t="n"/>
      <c r="AA47" s="724" t="n"/>
      <c r="AB47" s="742" t="inlineStr">
        <is>
          <t>생보사</t>
        </is>
      </c>
      <c r="AC47" s="708" t="n"/>
      <c r="AD47" s="708" t="n"/>
      <c r="AE47" s="708" t="n"/>
      <c r="AF47" s="708" t="n"/>
    </row>
    <row r="48" ht="17.25" customHeight="1" s="760" thickBot="1">
      <c r="R48" s="170" t="n"/>
      <c r="S48" s="170" t="n"/>
      <c r="T48" s="171" t="n"/>
      <c r="U48" s="746" t="n"/>
      <c r="V48" s="35" t="inlineStr">
        <is>
          <t>삼성</t>
        </is>
      </c>
      <c r="W48" s="166" t="inlineStr">
        <is>
          <t>교보</t>
        </is>
      </c>
      <c r="X48" s="166" t="inlineStr">
        <is>
          <t>한화</t>
        </is>
      </c>
      <c r="Y48" s="166" t="inlineStr">
        <is>
          <t>신한</t>
        </is>
      </c>
      <c r="Z48" s="166" t="inlineStr">
        <is>
          <t>동양</t>
        </is>
      </c>
      <c r="AA48" s="167" t="inlineStr">
        <is>
          <t>KB</t>
        </is>
      </c>
      <c r="AB48" s="35" t="inlineStr">
        <is>
          <t>삼성</t>
        </is>
      </c>
      <c r="AC48" s="35" t="inlineStr">
        <is>
          <t>현대</t>
        </is>
      </c>
      <c r="AD48" s="35" t="inlineStr">
        <is>
          <t>메리츠</t>
        </is>
      </c>
      <c r="AE48" s="35" t="inlineStr">
        <is>
          <t>KB</t>
        </is>
      </c>
      <c r="AF48" s="220" t="inlineStr">
        <is>
          <t>DB</t>
        </is>
      </c>
    </row>
    <row r="49">
      <c r="P49" s="642" t="n"/>
      <c r="Q49" s="642" t="n"/>
      <c r="R49" s="697" t="inlineStr">
        <is>
          <t>기타포괄손익</t>
        </is>
      </c>
      <c r="S49" s="698" t="n"/>
      <c r="T49" s="699" t="n"/>
      <c r="U49" s="1000" t="n"/>
      <c r="V49" s="1001" t="n"/>
      <c r="W49" s="1001" t="n"/>
      <c r="X49" s="1001" t="n"/>
      <c r="Y49" s="1001" t="n"/>
      <c r="Z49" s="1001" t="n"/>
      <c r="AA49" s="1000" t="n"/>
      <c r="AB49" s="1001" t="n"/>
      <c r="AC49" s="1001" t="n"/>
      <c r="AD49" s="1001" t="n"/>
      <c r="AE49" s="1001" t="n"/>
      <c r="AF49" s="1002" t="n"/>
    </row>
    <row r="50">
      <c r="P50" s="642" t="n"/>
      <c r="Q50" s="642" t="n"/>
      <c r="R50" s="48" t="n"/>
      <c r="S50" s="172" t="inlineStr">
        <is>
          <t>변동분</t>
        </is>
      </c>
      <c r="T50" s="152" t="n">
        <v>2025</v>
      </c>
      <c r="U50" s="1006">
        <f>+U32-U33</f>
        <v/>
      </c>
      <c r="V50" s="1007">
        <f>+V32-V33</f>
        <v/>
      </c>
      <c r="W50" s="1007">
        <f>+W32-W33</f>
        <v/>
      </c>
      <c r="X50" s="1007">
        <f>+X32-X33</f>
        <v/>
      </c>
      <c r="Y50" s="1007">
        <f>+Y32-Y33</f>
        <v/>
      </c>
      <c r="Z50" s="1007">
        <f>+Z32-Z33</f>
        <v/>
      </c>
      <c r="AA50" s="1006">
        <f>+AA32-AA33</f>
        <v/>
      </c>
      <c r="AB50" s="1007">
        <f>+AB32-AB33</f>
        <v/>
      </c>
      <c r="AC50" s="1007">
        <f>+AC32-AC33</f>
        <v/>
      </c>
      <c r="AD50" s="1007">
        <f>+AD32-AD33</f>
        <v/>
      </c>
      <c r="AE50" s="1007">
        <f>+AE32-AE33</f>
        <v/>
      </c>
      <c r="AF50" s="1008">
        <f>+AF32-AF33</f>
        <v/>
      </c>
    </row>
    <row r="51" ht="17.25" customHeight="1" s="760" thickBot="1">
      <c r="P51" s="642" t="n"/>
      <c r="Q51" s="642" t="n"/>
      <c r="R51" s="81" t="n"/>
      <c r="S51" s="173" t="n"/>
      <c r="T51" s="154" t="inlineStr">
        <is>
          <t>24~25</t>
        </is>
      </c>
      <c r="U51" s="1012">
        <f>+U32-U34</f>
        <v/>
      </c>
      <c r="V51" s="1013">
        <f>+V32-V34</f>
        <v/>
      </c>
      <c r="W51" s="1013">
        <f>+W32-W34</f>
        <v/>
      </c>
      <c r="X51" s="1013">
        <f>+X32-X34</f>
        <v/>
      </c>
      <c r="Y51" s="1013">
        <f>+Y32-Y34</f>
        <v/>
      </c>
      <c r="Z51" s="1013">
        <f>+Z32-Z34</f>
        <v/>
      </c>
      <c r="AA51" s="1012">
        <f>+AA32-AA34</f>
        <v/>
      </c>
      <c r="AB51" s="1013">
        <f>+AB32-AB34</f>
        <v/>
      </c>
      <c r="AC51" s="1013">
        <f>+AC32-AC34</f>
        <v/>
      </c>
      <c r="AD51" s="1013">
        <f>+AD32-AD34</f>
        <v/>
      </c>
      <c r="AE51" s="1013">
        <f>+AE32-AE34</f>
        <v/>
      </c>
      <c r="AF51" s="1014">
        <f>+AF32-AF34</f>
        <v/>
      </c>
    </row>
    <row r="52">
      <c r="P52" s="642" t="n"/>
      <c r="Q52" s="642" t="n"/>
      <c r="R52" s="749" t="inlineStr">
        <is>
          <t>FVOCI평가손익</t>
        </is>
      </c>
      <c r="S52" s="698" t="n"/>
      <c r="T52" s="699" t="n"/>
      <c r="U52" s="1058" t="n"/>
      <c r="V52" s="1059" t="n"/>
      <c r="W52" s="1059" t="n"/>
      <c r="X52" s="1059" t="n"/>
      <c r="Y52" s="1059" t="n"/>
      <c r="Z52" s="1059" t="n"/>
      <c r="AA52" s="1058" t="n"/>
      <c r="AB52" s="1059" t="n"/>
      <c r="AC52" s="1059" t="n"/>
      <c r="AD52" s="1059" t="n"/>
      <c r="AE52" s="1059" t="n"/>
      <c r="AF52" s="1060" t="n"/>
    </row>
    <row r="53">
      <c r="P53" s="642" t="n"/>
      <c r="Q53" s="642" t="n"/>
      <c r="R53" s="172" t="n"/>
      <c r="S53" s="172" t="inlineStr">
        <is>
          <t>변동분</t>
        </is>
      </c>
      <c r="T53" s="152" t="n">
        <v>2025</v>
      </c>
      <c r="U53" s="1006">
        <f>+U35-U36</f>
        <v/>
      </c>
      <c r="V53" s="1007">
        <f>+V35-V36</f>
        <v/>
      </c>
      <c r="W53" s="1007">
        <f>+W35-W36</f>
        <v/>
      </c>
      <c r="X53" s="1007">
        <f>+X35-X36</f>
        <v/>
      </c>
      <c r="Y53" s="1007">
        <f>+Y35-Y36</f>
        <v/>
      </c>
      <c r="Z53" s="1007">
        <f>+Z35-Z36</f>
        <v/>
      </c>
      <c r="AA53" s="1006">
        <f>+AA35-AA36</f>
        <v/>
      </c>
      <c r="AB53" s="1007">
        <f>+AB35-AB36</f>
        <v/>
      </c>
      <c r="AC53" s="1007">
        <f>+AC35-AC36</f>
        <v/>
      </c>
      <c r="AD53" s="1007">
        <f>+AD35-AD36</f>
        <v/>
      </c>
      <c r="AE53" s="1007">
        <f>+AE35-AE36</f>
        <v/>
      </c>
      <c r="AF53" s="1008">
        <f>+AF35-AF36</f>
        <v/>
      </c>
    </row>
    <row r="54" ht="17.25" customHeight="1" s="760" thickBot="1">
      <c r="P54" s="642" t="n"/>
      <c r="Q54" s="642" t="n"/>
      <c r="R54" s="81" t="n"/>
      <c r="S54" s="173" t="n"/>
      <c r="T54" s="154" t="inlineStr">
        <is>
          <t>24~25</t>
        </is>
      </c>
      <c r="U54" s="1012">
        <f>+U35-U37</f>
        <v/>
      </c>
      <c r="V54" s="1013">
        <f>+V35-V37</f>
        <v/>
      </c>
      <c r="W54" s="1013">
        <f>+W35-W37</f>
        <v/>
      </c>
      <c r="X54" s="1013">
        <f>+X35-X37</f>
        <v/>
      </c>
      <c r="Y54" s="1013">
        <f>+Y35-Y37</f>
        <v/>
      </c>
      <c r="Z54" s="1013">
        <f>+Z35-Z37</f>
        <v/>
      </c>
      <c r="AA54" s="1012">
        <f>+AA35-AA37</f>
        <v/>
      </c>
      <c r="AB54" s="1013">
        <f>+AB35-AB37</f>
        <v/>
      </c>
      <c r="AC54" s="1013">
        <f>+AC35-AC37</f>
        <v/>
      </c>
      <c r="AD54" s="1013">
        <f>+AD35-AD37</f>
        <v/>
      </c>
      <c r="AE54" s="1013">
        <f>+AE35-AE37</f>
        <v/>
      </c>
      <c r="AF54" s="1014">
        <f>+AF35-AF37</f>
        <v/>
      </c>
    </row>
    <row r="55">
      <c r="P55" s="642" t="n"/>
      <c r="Q55" s="642" t="n"/>
      <c r="R55" s="749" t="inlineStr">
        <is>
          <t>보험부채순금융손익</t>
        </is>
      </c>
      <c r="S55" s="698" t="n"/>
      <c r="T55" s="699" t="n"/>
      <c r="U55" s="1058" t="n"/>
      <c r="V55" s="1059" t="n"/>
      <c r="W55" s="1059" t="n"/>
      <c r="X55" s="1059" t="n"/>
      <c r="Y55" s="1059" t="n"/>
      <c r="Z55" s="1059" t="n"/>
      <c r="AA55" s="1058" t="n"/>
      <c r="AB55" s="1059" t="n"/>
      <c r="AC55" s="1059" t="n"/>
      <c r="AD55" s="1059" t="n"/>
      <c r="AE55" s="1059" t="n"/>
      <c r="AF55" s="1060" t="n"/>
    </row>
    <row r="56">
      <c r="P56" s="642" t="n"/>
      <c r="Q56" s="642" t="n"/>
      <c r="R56" s="48" t="n"/>
      <c r="S56" s="172" t="inlineStr">
        <is>
          <t>변동분</t>
        </is>
      </c>
      <c r="T56" s="152" t="n">
        <v>2025</v>
      </c>
      <c r="U56" s="1006">
        <f>+U38-U39</f>
        <v/>
      </c>
      <c r="V56" s="1007">
        <f>+V38-V39</f>
        <v/>
      </c>
      <c r="W56" s="1007">
        <f>+W38-W39</f>
        <v/>
      </c>
      <c r="X56" s="1007">
        <f>+X38-X39</f>
        <v/>
      </c>
      <c r="Y56" s="1007">
        <f>+Y38-Y39</f>
        <v/>
      </c>
      <c r="Z56" s="1007">
        <f>+Z38-Z39</f>
        <v/>
      </c>
      <c r="AA56" s="1006">
        <f>+AA38-AA39</f>
        <v/>
      </c>
      <c r="AB56" s="1007">
        <f>+AB38-AB39</f>
        <v/>
      </c>
      <c r="AC56" s="1007">
        <f>+AC38-AC39</f>
        <v/>
      </c>
      <c r="AD56" s="1007">
        <f>+AD38-AD39</f>
        <v/>
      </c>
      <c r="AE56" s="1007">
        <f>+AE38-AE39</f>
        <v/>
      </c>
      <c r="AF56" s="1008">
        <f>+AF38-AF39</f>
        <v/>
      </c>
    </row>
    <row r="57" ht="17.25" customHeight="1" s="760" thickBot="1">
      <c r="P57" s="642" t="n"/>
      <c r="Q57" s="642" t="n"/>
      <c r="R57" s="81" t="n"/>
      <c r="S57" s="173" t="n"/>
      <c r="T57" s="154" t="inlineStr">
        <is>
          <t>24~25</t>
        </is>
      </c>
      <c r="U57" s="1012">
        <f>+U38-U40</f>
        <v/>
      </c>
      <c r="V57" s="1013">
        <f>+V38-V40</f>
        <v/>
      </c>
      <c r="W57" s="1013">
        <f>+W38-W40</f>
        <v/>
      </c>
      <c r="X57" s="1013">
        <f>+X38-X40</f>
        <v/>
      </c>
      <c r="Y57" s="1013">
        <f>+Y38-Y40</f>
        <v/>
      </c>
      <c r="Z57" s="1013">
        <f>+Z38-Z40</f>
        <v/>
      </c>
      <c r="AA57" s="1012">
        <f>+AA38-AA40</f>
        <v/>
      </c>
      <c r="AB57" s="1013">
        <f>+AB38-AB40</f>
        <v/>
      </c>
      <c r="AC57" s="1013">
        <f>+AC38-AC40</f>
        <v/>
      </c>
      <c r="AD57" s="1013">
        <f>+AD38-AD40</f>
        <v/>
      </c>
      <c r="AE57" s="1013">
        <f>+AE38-AE40</f>
        <v/>
      </c>
      <c r="AF57" s="1014">
        <f>+AF38-AF40</f>
        <v/>
      </c>
    </row>
    <row r="58">
      <c r="P58" s="642" t="n"/>
      <c r="Q58" s="642" t="n"/>
      <c r="R58" s="642" t="n"/>
      <c r="S58" s="642" t="n"/>
      <c r="T58" s="642" t="n"/>
      <c r="U58" s="642" t="n"/>
      <c r="V58" s="642" t="n"/>
      <c r="W58" s="642" t="n"/>
      <c r="X58" s="642" t="n"/>
      <c r="Y58" s="642" t="n"/>
      <c r="Z58" s="642" t="n"/>
      <c r="AA58" s="642" t="n"/>
      <c r="AB58" s="642" t="n"/>
      <c r="AC58" s="642" t="n"/>
      <c r="AD58" s="642" t="n"/>
      <c r="AE58" s="642" t="n"/>
      <c r="AF58" s="642" t="n"/>
    </row>
    <row r="59">
      <c r="P59" s="642" t="n"/>
      <c r="Q59" s="642" t="n"/>
      <c r="R59" s="642" t="n"/>
      <c r="S59" s="642" t="n"/>
      <c r="T59" s="642" t="n"/>
      <c r="U59" s="642" t="n"/>
      <c r="V59" s="642" t="n"/>
      <c r="W59" s="642" t="n"/>
      <c r="X59" s="642" t="n"/>
      <c r="Y59" s="642" t="n"/>
      <c r="Z59" s="642" t="n"/>
      <c r="AA59" s="642" t="n"/>
      <c r="AB59" s="642" t="n"/>
      <c r="AC59" s="642" t="n"/>
      <c r="AD59" s="642" t="n"/>
      <c r="AE59" s="642" t="n"/>
      <c r="AF59" s="642" t="n"/>
    </row>
    <row r="63" ht="17.25" customHeight="1" s="760" thickBot="1"/>
    <row r="64">
      <c r="A64" s="751" t="inlineStr">
        <is>
          <t>구분</t>
        </is>
      </c>
      <c r="B64" s="698" t="n"/>
      <c r="C64" s="699" t="n"/>
      <c r="D64" s="745" t="inlineStr">
        <is>
          <t>당사</t>
        </is>
      </c>
      <c r="E64" s="748" t="inlineStr">
        <is>
          <t>생보사</t>
        </is>
      </c>
      <c r="F64" s="708" t="n"/>
      <c r="G64" s="708" t="n"/>
      <c r="H64" s="708" t="n"/>
      <c r="I64" s="708" t="n"/>
      <c r="J64" s="724" t="n"/>
      <c r="K64" s="743" t="inlineStr">
        <is>
          <t>손보사</t>
        </is>
      </c>
      <c r="L64" s="708" t="n"/>
      <c r="M64" s="708" t="n"/>
      <c r="N64" s="708" t="n"/>
      <c r="O64" s="744" t="n"/>
      <c r="R64" s="751" t="inlineStr">
        <is>
          <t>구분</t>
        </is>
      </c>
      <c r="S64" s="698" t="n"/>
      <c r="T64" s="699" t="n"/>
      <c r="U64" s="745" t="inlineStr">
        <is>
          <t>당사</t>
        </is>
      </c>
      <c r="V64" s="748" t="inlineStr">
        <is>
          <t>생보사</t>
        </is>
      </c>
      <c r="W64" s="708" t="n"/>
      <c r="X64" s="708" t="n"/>
      <c r="Y64" s="708" t="n"/>
      <c r="Z64" s="708" t="n"/>
      <c r="AA64" s="724" t="n"/>
      <c r="AB64" s="743" t="inlineStr">
        <is>
          <t>손보사</t>
        </is>
      </c>
      <c r="AC64" s="708" t="n"/>
      <c r="AD64" s="708" t="n"/>
      <c r="AE64" s="708" t="n"/>
      <c r="AF64" s="744" t="n"/>
    </row>
    <row r="65" ht="17.25" customHeight="1" s="760" thickBot="1">
      <c r="A65" s="728" t="n"/>
      <c r="B65" s="728" t="n"/>
      <c r="C65" s="752" t="n"/>
      <c r="D65" s="746" t="n"/>
      <c r="E65" s="35" t="inlineStr">
        <is>
          <t>삼성</t>
        </is>
      </c>
      <c r="F65" s="166" t="inlineStr">
        <is>
          <t>교보</t>
        </is>
      </c>
      <c r="G65" s="166" t="inlineStr">
        <is>
          <t>한화</t>
        </is>
      </c>
      <c r="H65" s="166" t="inlineStr">
        <is>
          <t>신한</t>
        </is>
      </c>
      <c r="I65" s="166" t="inlineStr">
        <is>
          <t>동양</t>
        </is>
      </c>
      <c r="J65" s="167" t="inlineStr">
        <is>
          <t>KB</t>
        </is>
      </c>
      <c r="K65" s="35" t="inlineStr">
        <is>
          <t>삼성</t>
        </is>
      </c>
      <c r="L65" s="35" t="inlineStr">
        <is>
          <t>현대</t>
        </is>
      </c>
      <c r="M65" s="35" t="inlineStr">
        <is>
          <t>메리츠</t>
        </is>
      </c>
      <c r="N65" s="35" t="inlineStr">
        <is>
          <t>KB</t>
        </is>
      </c>
      <c r="O65" s="220" t="inlineStr">
        <is>
          <t>DB</t>
        </is>
      </c>
      <c r="R65" s="728" t="n"/>
      <c r="S65" s="728" t="n"/>
      <c r="T65" s="752" t="n"/>
      <c r="U65" s="746" t="n"/>
      <c r="V65" s="35" t="inlineStr">
        <is>
          <t>삼성</t>
        </is>
      </c>
      <c r="W65" s="166" t="inlineStr">
        <is>
          <t>교보</t>
        </is>
      </c>
      <c r="X65" s="166" t="inlineStr">
        <is>
          <t>한화</t>
        </is>
      </c>
      <c r="Y65" s="166" t="inlineStr">
        <is>
          <t>신한</t>
        </is>
      </c>
      <c r="Z65" s="166" t="inlineStr">
        <is>
          <t>동양</t>
        </is>
      </c>
      <c r="AA65" s="167" t="inlineStr">
        <is>
          <t>KB</t>
        </is>
      </c>
      <c r="AB65" s="35" t="inlineStr">
        <is>
          <t>삼성</t>
        </is>
      </c>
      <c r="AC65" s="35" t="inlineStr">
        <is>
          <t>현대</t>
        </is>
      </c>
      <c r="AD65" s="35" t="inlineStr">
        <is>
          <t>메리츠</t>
        </is>
      </c>
      <c r="AE65" s="35" t="inlineStr">
        <is>
          <t>KB</t>
        </is>
      </c>
      <c r="AF65" s="220" t="inlineStr">
        <is>
          <t>DB</t>
        </is>
      </c>
    </row>
    <row r="66">
      <c r="A66" s="697" t="inlineStr">
        <is>
          <t>세전손익</t>
        </is>
      </c>
      <c r="B66" s="698" t="n"/>
      <c r="C66" s="699" t="n"/>
      <c r="D66" s="1067">
        <f>U66</f>
        <v/>
      </c>
      <c r="E66" s="1068">
        <f>V66</f>
        <v/>
      </c>
      <c r="F66" s="1068">
        <f>W66</f>
        <v/>
      </c>
      <c r="G66" s="1068">
        <f>X66</f>
        <v/>
      </c>
      <c r="H66" s="1068">
        <f>Y66</f>
        <v/>
      </c>
      <c r="I66" s="1068">
        <f>Z66</f>
        <v/>
      </c>
      <c r="J66" s="1069">
        <f>AA66</f>
        <v/>
      </c>
      <c r="K66" s="1068">
        <f>AB66</f>
        <v/>
      </c>
      <c r="L66" s="1068">
        <f>AC66</f>
        <v/>
      </c>
      <c r="M66" s="1068">
        <f>AD66</f>
        <v/>
      </c>
      <c r="N66" s="1068">
        <f>AE66</f>
        <v/>
      </c>
      <c r="O66" s="1070">
        <f>AF66</f>
        <v/>
      </c>
      <c r="P66" s="1071" t="n"/>
      <c r="R66" s="697" t="inlineStr">
        <is>
          <t>세전손익</t>
        </is>
      </c>
      <c r="S66" s="698" t="n"/>
      <c r="T66" s="699" t="n"/>
      <c r="U66" s="1072">
        <f>작업!I117</f>
        <v/>
      </c>
      <c r="V66" s="1001">
        <f>작업!J117</f>
        <v/>
      </c>
      <c r="W66" s="1001">
        <f>작업!K117</f>
        <v/>
      </c>
      <c r="X66" s="1001">
        <f>작업!L117</f>
        <v/>
      </c>
      <c r="Y66" s="1001">
        <f>작업!M117</f>
        <v/>
      </c>
      <c r="Z66" s="1001">
        <f>작업!N117</f>
        <v/>
      </c>
      <c r="AA66" s="1000">
        <f>작업!O117</f>
        <v/>
      </c>
      <c r="AB66" s="1001">
        <f>작업!P117</f>
        <v/>
      </c>
      <c r="AC66" s="1001">
        <f>작업!Q117</f>
        <v/>
      </c>
      <c r="AD66" s="1001">
        <f>작업!R117</f>
        <v/>
      </c>
      <c r="AE66" s="1001">
        <f>작업!S117</f>
        <v/>
      </c>
      <c r="AF66" s="1002">
        <f>작업!T117</f>
        <v/>
      </c>
    </row>
    <row r="67">
      <c r="A67" s="759" t="inlineStr">
        <is>
          <t>(2024년 대비)</t>
        </is>
      </c>
      <c r="C67" s="732" t="n"/>
      <c r="D67" s="1073">
        <f>+U66-U67</f>
        <v/>
      </c>
      <c r="E67" s="1074">
        <f>+V66-V67</f>
        <v/>
      </c>
      <c r="F67" s="1074">
        <f>+W66-W67</f>
        <v/>
      </c>
      <c r="G67" s="1074">
        <f>+X66-X67</f>
        <v/>
      </c>
      <c r="H67" s="1074">
        <f>+Y66-Y67</f>
        <v/>
      </c>
      <c r="I67" s="1074">
        <f>+Z66-Z67</f>
        <v/>
      </c>
      <c r="J67" s="1075">
        <f>+AA66-AA67</f>
        <v/>
      </c>
      <c r="K67" s="1074">
        <f>+AB66-AB67</f>
        <v/>
      </c>
      <c r="L67" s="1074">
        <f>+AC66-AC67</f>
        <v/>
      </c>
      <c r="M67" s="1074">
        <f>+AD66-AD67</f>
        <v/>
      </c>
      <c r="N67" s="1074">
        <f>+AE66-AE67</f>
        <v/>
      </c>
      <c r="O67" s="1076">
        <f>+AF66-AF67</f>
        <v/>
      </c>
      <c r="R67" s="759" t="n">
        <v>2024</v>
      </c>
      <c r="T67" s="732" t="n"/>
      <c r="U67" s="1077">
        <f>'2412'!I117</f>
        <v/>
      </c>
      <c r="V67" s="1078">
        <f>'2412'!J117</f>
        <v/>
      </c>
      <c r="W67" s="1078">
        <f>'2412'!K117</f>
        <v/>
      </c>
      <c r="X67" s="1078">
        <f>'2412'!L117</f>
        <v/>
      </c>
      <c r="Y67" s="1078">
        <f>'2412'!M117</f>
        <v/>
      </c>
      <c r="Z67" s="1078">
        <f>'2412'!N117</f>
        <v/>
      </c>
      <c r="AA67" s="1079">
        <f>'2412'!O117</f>
        <v/>
      </c>
      <c r="AB67" s="1078">
        <f>'2412'!P117</f>
        <v/>
      </c>
      <c r="AC67" s="1078">
        <f>'2412'!Q117</f>
        <v/>
      </c>
      <c r="AD67" s="1078">
        <f>'2412'!R117</f>
        <v/>
      </c>
      <c r="AE67" s="1078">
        <f>'2412'!S117</f>
        <v/>
      </c>
      <c r="AF67" s="1080">
        <f>'2412'!T117</f>
        <v/>
      </c>
    </row>
    <row r="68">
      <c r="A68" s="759" t="inlineStr">
        <is>
          <t>(2023년 대비)</t>
        </is>
      </c>
      <c r="C68" s="732" t="n"/>
      <c r="D68" s="1073">
        <f>+U66-U68</f>
        <v/>
      </c>
      <c r="E68" s="1074">
        <f>+V66-V68</f>
        <v/>
      </c>
      <c r="F68" s="1074">
        <f>+W66-W68</f>
        <v/>
      </c>
      <c r="G68" s="1074">
        <f>+X66-X68</f>
        <v/>
      </c>
      <c r="H68" s="1074">
        <f>+Y66-Y68</f>
        <v/>
      </c>
      <c r="I68" s="1074">
        <f>+Z66-Z68</f>
        <v/>
      </c>
      <c r="J68" s="1075">
        <f>+AA66-AA68</f>
        <v/>
      </c>
      <c r="K68" s="1074">
        <f>+AB66-AB68</f>
        <v/>
      </c>
      <c r="L68" s="1074">
        <f>+AC66-AC68</f>
        <v/>
      </c>
      <c r="M68" s="1074">
        <f>+AD66-AD68</f>
        <v/>
      </c>
      <c r="N68" s="1074">
        <f>+AE66-AE68</f>
        <v/>
      </c>
      <c r="O68" s="1076">
        <f>+AF66-AF68</f>
        <v/>
      </c>
      <c r="R68" s="759" t="n">
        <v>2023</v>
      </c>
      <c r="T68" s="732" t="n"/>
      <c r="U68" s="1077">
        <f>'2312'!I117</f>
        <v/>
      </c>
      <c r="V68" s="1078">
        <f>'2312'!J117</f>
        <v/>
      </c>
      <c r="W68" s="1078">
        <f>'2312'!K117</f>
        <v/>
      </c>
      <c r="X68" s="1078">
        <f>'2312'!L117</f>
        <v/>
      </c>
      <c r="Y68" s="1078">
        <f>'2312'!M117</f>
        <v/>
      </c>
      <c r="Z68" s="1078">
        <f>'2312'!N117</f>
        <v/>
      </c>
      <c r="AA68" s="1079">
        <f>'2312'!O117</f>
        <v/>
      </c>
      <c r="AB68" s="1078">
        <f>'2312'!P117</f>
        <v/>
      </c>
      <c r="AC68" s="1078">
        <f>'2312'!Q117</f>
        <v/>
      </c>
      <c r="AD68" s="1078">
        <f>'2312'!R117</f>
        <v/>
      </c>
      <c r="AE68" s="1078">
        <f>'2312'!S117</f>
        <v/>
      </c>
      <c r="AF68" s="1080">
        <f>'2312'!T117</f>
        <v/>
      </c>
    </row>
    <row r="69">
      <c r="A69" s="42" t="n"/>
      <c r="B69" s="758" t="inlineStr">
        <is>
          <t>① 보험손익</t>
        </is>
      </c>
      <c r="C69" s="726" t="n"/>
      <c r="D69" s="1081">
        <f>U69</f>
        <v/>
      </c>
      <c r="E69" s="1082">
        <f>V69</f>
        <v/>
      </c>
      <c r="F69" s="1082">
        <f>W69</f>
        <v/>
      </c>
      <c r="G69" s="1082">
        <f>X69</f>
        <v/>
      </c>
      <c r="H69" s="1082">
        <f>Y69</f>
        <v/>
      </c>
      <c r="I69" s="1082">
        <f>Z69</f>
        <v/>
      </c>
      <c r="J69" s="1083">
        <f>AA69</f>
        <v/>
      </c>
      <c r="K69" s="1082">
        <f>AB69</f>
        <v/>
      </c>
      <c r="L69" s="1082">
        <f>AC69</f>
        <v/>
      </c>
      <c r="M69" s="1082">
        <f>AD69</f>
        <v/>
      </c>
      <c r="N69" s="1082">
        <f>AE69</f>
        <v/>
      </c>
      <c r="O69" s="1084">
        <f>AF69</f>
        <v/>
      </c>
      <c r="R69" s="42" t="n"/>
      <c r="S69" s="758" t="inlineStr">
        <is>
          <t>① 보험손익</t>
        </is>
      </c>
      <c r="T69" s="726" t="n"/>
      <c r="U69" s="1085">
        <f>작업!I109</f>
        <v/>
      </c>
      <c r="V69" s="1086">
        <f>작업!J109</f>
        <v/>
      </c>
      <c r="W69" s="1086">
        <f>작업!K109</f>
        <v/>
      </c>
      <c r="X69" s="1086">
        <f>작업!L109</f>
        <v/>
      </c>
      <c r="Y69" s="1086">
        <f>작업!M109</f>
        <v/>
      </c>
      <c r="Z69" s="1086">
        <f>작업!N109</f>
        <v/>
      </c>
      <c r="AA69" s="1087">
        <f>작업!O109</f>
        <v/>
      </c>
      <c r="AB69" s="1086">
        <f>작업!P109</f>
        <v/>
      </c>
      <c r="AC69" s="1086">
        <f>작업!Q109</f>
        <v/>
      </c>
      <c r="AD69" s="1086">
        <f>작업!R109</f>
        <v/>
      </c>
      <c r="AE69" s="1086">
        <f>작업!S109</f>
        <v/>
      </c>
      <c r="AF69" s="1088">
        <f>작업!T109</f>
        <v/>
      </c>
    </row>
    <row r="70">
      <c r="A70" s="48" t="n"/>
      <c r="B70" s="754" t="inlineStr">
        <is>
          <t>비중</t>
        </is>
      </c>
      <c r="C70" s="732" t="n"/>
      <c r="D70" s="1089">
        <f>+D69/D66</f>
        <v/>
      </c>
      <c r="E70" s="1090">
        <f>+E69/E66</f>
        <v/>
      </c>
      <c r="F70" s="1090">
        <f>+F69/F66</f>
        <v/>
      </c>
      <c r="G70" s="1090">
        <f>+G69/G66</f>
        <v/>
      </c>
      <c r="H70" s="1090">
        <f>+H69/H66</f>
        <v/>
      </c>
      <c r="I70" s="1090">
        <f>+I69/I66</f>
        <v/>
      </c>
      <c r="J70" s="1091">
        <f>+J69/J66</f>
        <v/>
      </c>
      <c r="K70" s="1090">
        <f>+K69/K66</f>
        <v/>
      </c>
      <c r="L70" s="1090">
        <f>+L69/L66</f>
        <v/>
      </c>
      <c r="M70" s="1090">
        <f>+M69/M66</f>
        <v/>
      </c>
      <c r="N70" s="1090">
        <f>+N69/N66</f>
        <v/>
      </c>
      <c r="O70" s="1092">
        <f>+O69/O66</f>
        <v/>
      </c>
      <c r="P70" s="924" t="n"/>
      <c r="Q70" s="924" t="n"/>
      <c r="R70" s="48" t="n"/>
      <c r="S70" s="754" t="inlineStr">
        <is>
          <t>비중</t>
        </is>
      </c>
      <c r="T70" s="732" t="n"/>
      <c r="U70" s="1077" t="n"/>
      <c r="V70" s="1078" t="n"/>
      <c r="W70" s="1078" t="n"/>
      <c r="X70" s="1078" t="n"/>
      <c r="Y70" s="1078" t="n"/>
      <c r="Z70" s="1078" t="n"/>
      <c r="AA70" s="1079" t="n"/>
      <c r="AB70" s="1078" t="n"/>
      <c r="AC70" s="1078" t="n"/>
      <c r="AD70" s="1078" t="n"/>
      <c r="AE70" s="1078" t="n"/>
      <c r="AF70" s="1080" t="n"/>
    </row>
    <row r="71">
      <c r="A71" s="42" t="n"/>
      <c r="B71" s="219" t="n"/>
      <c r="C71" s="175" t="inlineStr">
        <is>
          <t>2024년 대비</t>
        </is>
      </c>
      <c r="D71" s="1093">
        <f>+U69-U71</f>
        <v/>
      </c>
      <c r="E71" s="1094">
        <f>+V69-V71</f>
        <v/>
      </c>
      <c r="F71" s="1094">
        <f>+W69-W71</f>
        <v/>
      </c>
      <c r="G71" s="1094">
        <f>+X69-X71</f>
        <v/>
      </c>
      <c r="H71" s="1094">
        <f>+Y69-Y71</f>
        <v/>
      </c>
      <c r="I71" s="1094">
        <f>+Z69-Z71</f>
        <v/>
      </c>
      <c r="J71" s="1095">
        <f>+AA69-AA71</f>
        <v/>
      </c>
      <c r="K71" s="1094">
        <f>+AB69-AB71</f>
        <v/>
      </c>
      <c r="L71" s="1094">
        <f>+AC69-AC71</f>
        <v/>
      </c>
      <c r="M71" s="1094">
        <f>+AD69-AD71</f>
        <v/>
      </c>
      <c r="N71" s="1094">
        <f>+AE69-AE71</f>
        <v/>
      </c>
      <c r="O71" s="1096">
        <f>+AF69-AF71</f>
        <v/>
      </c>
      <c r="R71" s="42" t="n"/>
      <c r="S71" s="219" t="n"/>
      <c r="T71" s="175" t="n">
        <v>2024</v>
      </c>
      <c r="U71" s="1097">
        <f>'2412'!I109</f>
        <v/>
      </c>
      <c r="V71" s="1098">
        <f>'2412'!J109</f>
        <v/>
      </c>
      <c r="W71" s="1098">
        <f>'2412'!K109</f>
        <v/>
      </c>
      <c r="X71" s="1098">
        <f>'2412'!L109</f>
        <v/>
      </c>
      <c r="Y71" s="1098">
        <f>'2412'!M109</f>
        <v/>
      </c>
      <c r="Z71" s="1098">
        <f>'2412'!N109</f>
        <v/>
      </c>
      <c r="AA71" s="1099">
        <f>'2412'!O109</f>
        <v/>
      </c>
      <c r="AB71" s="1098">
        <f>'2412'!P109</f>
        <v/>
      </c>
      <c r="AC71" s="1098">
        <f>'2412'!Q109</f>
        <v/>
      </c>
      <c r="AD71" s="1098">
        <f>'2412'!R109</f>
        <v/>
      </c>
      <c r="AE71" s="1098">
        <f>'2412'!S109</f>
        <v/>
      </c>
      <c r="AF71" s="1100">
        <f>'2412'!T109</f>
        <v/>
      </c>
    </row>
    <row r="72">
      <c r="A72" s="48" t="n"/>
      <c r="B72" s="219" t="n"/>
      <c r="C72" s="176" t="inlineStr">
        <is>
          <t>2023년 대비</t>
        </is>
      </c>
      <c r="D72" s="1101">
        <f>+U69-U72</f>
        <v/>
      </c>
      <c r="E72" s="1102">
        <f>+V69-V72</f>
        <v/>
      </c>
      <c r="F72" s="1102">
        <f>+W69-W72</f>
        <v/>
      </c>
      <c r="G72" s="1102">
        <f>+X69-X72</f>
        <v/>
      </c>
      <c r="H72" s="1102">
        <f>+Y69-Y72</f>
        <v/>
      </c>
      <c r="I72" s="1102">
        <f>+Z69-Z72</f>
        <v/>
      </c>
      <c r="J72" s="1103">
        <f>+AA69-AA72</f>
        <v/>
      </c>
      <c r="K72" s="1102">
        <f>+AB69-AB72</f>
        <v/>
      </c>
      <c r="L72" s="1102">
        <f>+AC69-AC72</f>
        <v/>
      </c>
      <c r="M72" s="1102">
        <f>+AD69-AD72</f>
        <v/>
      </c>
      <c r="N72" s="1102">
        <f>+AE69-AE72</f>
        <v/>
      </c>
      <c r="O72" s="1104">
        <f>+AF69-AF72</f>
        <v/>
      </c>
      <c r="R72" s="48" t="n"/>
      <c r="S72" s="219" t="n"/>
      <c r="T72" s="176" t="n">
        <v>2023</v>
      </c>
      <c r="U72" s="1105">
        <f>'2312'!I109</f>
        <v/>
      </c>
      <c r="V72" s="1106">
        <f>'2312'!J109</f>
        <v/>
      </c>
      <c r="W72" s="1106">
        <f>'2312'!K109</f>
        <v/>
      </c>
      <c r="X72" s="1106">
        <f>'2312'!L109</f>
        <v/>
      </c>
      <c r="Y72" s="1106">
        <f>'2312'!M109</f>
        <v/>
      </c>
      <c r="Z72" s="1106">
        <f>'2312'!N109</f>
        <v/>
      </c>
      <c r="AA72" s="1107">
        <f>'2312'!O109</f>
        <v/>
      </c>
      <c r="AB72" s="1106">
        <f>'2312'!P109</f>
        <v/>
      </c>
      <c r="AC72" s="1106">
        <f>'2312'!Q109</f>
        <v/>
      </c>
      <c r="AD72" s="1106">
        <f>'2312'!R109</f>
        <v/>
      </c>
      <c r="AE72" s="1106">
        <f>'2312'!S109</f>
        <v/>
      </c>
      <c r="AF72" s="1108">
        <f>'2312'!T109</f>
        <v/>
      </c>
    </row>
    <row r="73" ht="27" customHeight="1" s="760">
      <c r="A73" s="42" t="n"/>
      <c r="B73" s="177" t="n"/>
      <c r="C73" s="178" t="inlineStr">
        <is>
          <t>② CSM상각액</t>
        </is>
      </c>
      <c r="D73" s="1067">
        <f>+U73</f>
        <v/>
      </c>
      <c r="E73" s="1068">
        <f>+V73</f>
        <v/>
      </c>
      <c r="F73" s="1068">
        <f>+W73</f>
        <v/>
      </c>
      <c r="G73" s="1068">
        <f>+X73</f>
        <v/>
      </c>
      <c r="H73" s="1068">
        <f>+Y73</f>
        <v/>
      </c>
      <c r="I73" s="1068">
        <f>+Z73</f>
        <v/>
      </c>
      <c r="J73" s="1069">
        <f>+AA73</f>
        <v/>
      </c>
      <c r="K73" s="1068">
        <f>+AB73</f>
        <v/>
      </c>
      <c r="L73" s="1068">
        <f>+AC73</f>
        <v/>
      </c>
      <c r="M73" s="1068">
        <f>+AD73</f>
        <v/>
      </c>
      <c r="N73" s="1068">
        <f>+AE73</f>
        <v/>
      </c>
      <c r="O73" s="1070">
        <f>+AF73</f>
        <v/>
      </c>
      <c r="P73" s="1071" t="n"/>
      <c r="R73" s="42" t="n"/>
      <c r="S73" s="177" t="n"/>
      <c r="T73" s="178" t="inlineStr">
        <is>
          <t>② CSM상각액</t>
        </is>
      </c>
      <c r="U73" s="1072">
        <f>작업!I137</f>
        <v/>
      </c>
      <c r="V73" s="1001">
        <f>작업!J137</f>
        <v/>
      </c>
      <c r="W73" s="1001">
        <f>작업!K137</f>
        <v/>
      </c>
      <c r="X73" s="1001">
        <f>작업!L137</f>
        <v/>
      </c>
      <c r="Y73" s="1001">
        <f>작업!M137</f>
        <v/>
      </c>
      <c r="Z73" s="1001">
        <f>작업!N137</f>
        <v/>
      </c>
      <c r="AA73" s="1000">
        <f>작업!O137</f>
        <v/>
      </c>
      <c r="AB73" s="1001">
        <f>작업!P137</f>
        <v/>
      </c>
      <c r="AC73" s="1001">
        <f>작업!Q137</f>
        <v/>
      </c>
      <c r="AD73" s="1001">
        <f>작업!R137</f>
        <v/>
      </c>
      <c r="AE73" s="1001">
        <f>작업!S137</f>
        <v/>
      </c>
      <c r="AF73" s="1002">
        <f>작업!T137</f>
        <v/>
      </c>
    </row>
    <row r="74">
      <c r="A74" s="42" t="n"/>
      <c r="B74" s="177" t="n"/>
      <c r="C74" s="179" t="inlineStr">
        <is>
          <t>②/①</t>
        </is>
      </c>
      <c r="D74" s="1109">
        <f>+D73/D69</f>
        <v/>
      </c>
      <c r="E74" s="1110">
        <f>+E73/E69</f>
        <v/>
      </c>
      <c r="F74" s="1110">
        <f>+F73/F69</f>
        <v/>
      </c>
      <c r="G74" s="1110">
        <f>+G73/G69</f>
        <v/>
      </c>
      <c r="H74" s="1110">
        <f>+H73/H69</f>
        <v/>
      </c>
      <c r="I74" s="1110">
        <f>+I73/I69</f>
        <v/>
      </c>
      <c r="J74" s="1111">
        <f>+J73/J69</f>
        <v/>
      </c>
      <c r="K74" s="1110">
        <f>+K73/K69</f>
        <v/>
      </c>
      <c r="L74" s="1110">
        <f>+L73/L69</f>
        <v/>
      </c>
      <c r="M74" s="1110">
        <f>+M73/M69</f>
        <v/>
      </c>
      <c r="N74" s="1110">
        <f>+N73/N69</f>
        <v/>
      </c>
      <c r="O74" s="1112">
        <f>+O73/O69</f>
        <v/>
      </c>
      <c r="R74" s="42" t="n"/>
      <c r="S74" s="177" t="n"/>
      <c r="T74" s="179" t="inlineStr">
        <is>
          <t>②/①</t>
        </is>
      </c>
      <c r="U74" s="1105" t="n"/>
      <c r="V74" s="1106" t="n"/>
      <c r="W74" s="1106" t="n"/>
      <c r="X74" s="1106" t="n"/>
      <c r="Y74" s="1106" t="n"/>
      <c r="Z74" s="1106" t="n"/>
      <c r="AA74" s="1107" t="n"/>
      <c r="AB74" s="1106" t="n"/>
      <c r="AC74" s="1106" t="n"/>
      <c r="AD74" s="1106" t="n"/>
      <c r="AE74" s="1106" t="n"/>
      <c r="AF74" s="1108" t="n"/>
    </row>
    <row r="75">
      <c r="A75" s="42" t="n"/>
      <c r="B75" s="757" t="inlineStr">
        <is>
          <t>투자손익</t>
        </is>
      </c>
      <c r="C75" s="726" t="n"/>
      <c r="D75" s="1067">
        <f>+U75</f>
        <v/>
      </c>
      <c r="E75" s="1068">
        <f>+V75</f>
        <v/>
      </c>
      <c r="F75" s="1068">
        <f>+W75</f>
        <v/>
      </c>
      <c r="G75" s="1068">
        <f>+X75</f>
        <v/>
      </c>
      <c r="H75" s="1068">
        <f>+Y75</f>
        <v/>
      </c>
      <c r="I75" s="1068">
        <f>+Z75</f>
        <v/>
      </c>
      <c r="J75" s="1069">
        <f>+AA75</f>
        <v/>
      </c>
      <c r="K75" s="1068">
        <f>+AB75</f>
        <v/>
      </c>
      <c r="L75" s="1068">
        <f>+AC75</f>
        <v/>
      </c>
      <c r="M75" s="1068">
        <f>+AD75</f>
        <v/>
      </c>
      <c r="N75" s="1068">
        <f>+AE75</f>
        <v/>
      </c>
      <c r="O75" s="1070">
        <f>+AF75</f>
        <v/>
      </c>
      <c r="P75" s="1071" t="n"/>
      <c r="R75" s="42" t="n"/>
      <c r="S75" s="757" t="inlineStr">
        <is>
          <t>투자손익</t>
        </is>
      </c>
      <c r="T75" s="726" t="n"/>
      <c r="U75" s="1072">
        <f>작업!I114</f>
        <v/>
      </c>
      <c r="V75" s="1001">
        <f>작업!J114</f>
        <v/>
      </c>
      <c r="W75" s="1001">
        <f>작업!K114</f>
        <v/>
      </c>
      <c r="X75" s="1001">
        <f>작업!L114</f>
        <v/>
      </c>
      <c r="Y75" s="1001">
        <f>작업!M114</f>
        <v/>
      </c>
      <c r="Z75" s="1001">
        <f>작업!N114</f>
        <v/>
      </c>
      <c r="AA75" s="1000">
        <f>작업!O114</f>
        <v/>
      </c>
      <c r="AB75" s="1001">
        <f>작업!P114</f>
        <v/>
      </c>
      <c r="AC75" s="1001">
        <f>작업!Q114</f>
        <v/>
      </c>
      <c r="AD75" s="1001">
        <f>작업!R114</f>
        <v/>
      </c>
      <c r="AE75" s="1001">
        <f>작업!S114</f>
        <v/>
      </c>
      <c r="AF75" s="1002">
        <f>작업!T114</f>
        <v/>
      </c>
    </row>
    <row r="76">
      <c r="A76" s="48" t="n"/>
      <c r="B76" s="754" t="inlineStr">
        <is>
          <t>비중</t>
        </is>
      </c>
      <c r="C76" s="732" t="n"/>
      <c r="D76" s="1109">
        <f>+D75/D66</f>
        <v/>
      </c>
      <c r="E76" s="1110">
        <f>+E75/E66</f>
        <v/>
      </c>
      <c r="F76" s="1110">
        <f>+F75/F66</f>
        <v/>
      </c>
      <c r="G76" s="1110">
        <f>+G75/G66</f>
        <v/>
      </c>
      <c r="H76" s="1110">
        <f>+H75/H66</f>
        <v/>
      </c>
      <c r="I76" s="1110">
        <f>+I75/I66</f>
        <v/>
      </c>
      <c r="J76" s="1111">
        <f>+J75/J66</f>
        <v/>
      </c>
      <c r="K76" s="1110">
        <f>+K75/K66</f>
        <v/>
      </c>
      <c r="L76" s="1110">
        <f>+L75/L66</f>
        <v/>
      </c>
      <c r="M76" s="1110">
        <f>+M75/M66</f>
        <v/>
      </c>
      <c r="N76" s="1110">
        <f>+N75/N66</f>
        <v/>
      </c>
      <c r="O76" s="1112">
        <f>+O75/O66</f>
        <v/>
      </c>
      <c r="P76" s="1071" t="n"/>
      <c r="R76" s="48" t="n"/>
      <c r="S76" s="754" t="inlineStr">
        <is>
          <t>비중</t>
        </is>
      </c>
      <c r="T76" s="732" t="n"/>
      <c r="U76" s="1105" t="n"/>
      <c r="V76" s="1106" t="n"/>
      <c r="W76" s="1106" t="n"/>
      <c r="X76" s="1106" t="n"/>
      <c r="Y76" s="1106" t="n"/>
      <c r="Z76" s="1106" t="n"/>
      <c r="AA76" s="1107" t="n"/>
      <c r="AB76" s="1106" t="n"/>
      <c r="AC76" s="1106" t="n"/>
      <c r="AD76" s="1106" t="n"/>
      <c r="AE76" s="1106" t="n"/>
      <c r="AF76" s="1108" t="n"/>
    </row>
    <row r="77">
      <c r="A77" s="48" t="n"/>
      <c r="B77" s="219" t="n"/>
      <c r="C77" s="175" t="inlineStr">
        <is>
          <t>2024년 대비</t>
        </is>
      </c>
      <c r="D77" s="1073">
        <f>+D75-U77</f>
        <v/>
      </c>
      <c r="E77" s="1074">
        <f>+E75-V77</f>
        <v/>
      </c>
      <c r="F77" s="1074">
        <f>+F75-W77</f>
        <v/>
      </c>
      <c r="G77" s="1074">
        <f>+G75-X77</f>
        <v/>
      </c>
      <c r="H77" s="1074">
        <f>+H75-Y77</f>
        <v/>
      </c>
      <c r="I77" s="1074">
        <f>+I75-Z77</f>
        <v/>
      </c>
      <c r="J77" s="1075">
        <f>+J75-AA77</f>
        <v/>
      </c>
      <c r="K77" s="1074">
        <f>+K75-AB77</f>
        <v/>
      </c>
      <c r="L77" s="1074">
        <f>+L75-AC77</f>
        <v/>
      </c>
      <c r="M77" s="1074">
        <f>+M75-AD77</f>
        <v/>
      </c>
      <c r="N77" s="1074">
        <f>+N75-AE77</f>
        <v/>
      </c>
      <c r="O77" s="1076">
        <f>+O75-AF77</f>
        <v/>
      </c>
      <c r="P77" s="1071" t="n"/>
      <c r="R77" s="48" t="n"/>
      <c r="S77" s="219" t="n"/>
      <c r="T77" s="175" t="n">
        <v>2024</v>
      </c>
      <c r="U77" s="1077">
        <f>'2412'!I114</f>
        <v/>
      </c>
      <c r="V77" s="1078">
        <f>'2412'!J114</f>
        <v/>
      </c>
      <c r="W77" s="1078">
        <f>'2412'!K114</f>
        <v/>
      </c>
      <c r="X77" s="1078">
        <f>'2412'!L114</f>
        <v/>
      </c>
      <c r="Y77" s="1078">
        <f>'2412'!M114</f>
        <v/>
      </c>
      <c r="Z77" s="1078">
        <f>'2412'!N114</f>
        <v/>
      </c>
      <c r="AA77" s="1079">
        <f>'2412'!O114</f>
        <v/>
      </c>
      <c r="AB77" s="1078">
        <f>'2412'!P114</f>
        <v/>
      </c>
      <c r="AC77" s="1078">
        <f>'2412'!Q114</f>
        <v/>
      </c>
      <c r="AD77" s="1078">
        <f>'2412'!R114</f>
        <v/>
      </c>
      <c r="AE77" s="1078">
        <f>'2412'!S114</f>
        <v/>
      </c>
      <c r="AF77" s="1080">
        <f>'2412'!T114</f>
        <v/>
      </c>
    </row>
    <row r="78" ht="17.25" customHeight="1" s="760" thickBot="1">
      <c r="A78" s="180" t="n"/>
      <c r="B78" s="181" t="n"/>
      <c r="C78" s="181" t="inlineStr">
        <is>
          <t>2023년 대비</t>
        </is>
      </c>
      <c r="D78" s="1113">
        <f>+D75-U78</f>
        <v/>
      </c>
      <c r="E78" s="1114">
        <f>+E75-V78</f>
        <v/>
      </c>
      <c r="F78" s="1114">
        <f>+F75-W78</f>
        <v/>
      </c>
      <c r="G78" s="1114">
        <f>+G75-X78</f>
        <v/>
      </c>
      <c r="H78" s="1114">
        <f>+H75-Y78</f>
        <v/>
      </c>
      <c r="I78" s="1114">
        <f>+I75-Z78</f>
        <v/>
      </c>
      <c r="J78" s="1115">
        <f>+J75-AA78</f>
        <v/>
      </c>
      <c r="K78" s="1114">
        <f>+K75-AB78</f>
        <v/>
      </c>
      <c r="L78" s="1114">
        <f>+L75-AC78</f>
        <v/>
      </c>
      <c r="M78" s="1114">
        <f>+M75-AD78</f>
        <v/>
      </c>
      <c r="N78" s="1114">
        <f>+N75-AE78</f>
        <v/>
      </c>
      <c r="O78" s="1116">
        <f>+O75-AF78</f>
        <v/>
      </c>
      <c r="P78" s="1071" t="n"/>
      <c r="R78" s="180" t="n"/>
      <c r="S78" s="181" t="n"/>
      <c r="T78" s="181" t="n">
        <v>2023</v>
      </c>
      <c r="U78" s="1117">
        <f>'2312'!I114</f>
        <v/>
      </c>
      <c r="V78" s="1118">
        <f>'2312'!J114</f>
        <v/>
      </c>
      <c r="W78" s="1118">
        <f>'2312'!K114</f>
        <v/>
      </c>
      <c r="X78" s="1118">
        <f>'2312'!L114</f>
        <v/>
      </c>
      <c r="Y78" s="1118">
        <f>'2312'!M114</f>
        <v/>
      </c>
      <c r="Z78" s="1118">
        <f>'2312'!N114</f>
        <v/>
      </c>
      <c r="AA78" s="1119">
        <f>'2312'!O114</f>
        <v/>
      </c>
      <c r="AB78" s="1118">
        <f>'2312'!P114</f>
        <v/>
      </c>
      <c r="AC78" s="1118">
        <f>'2312'!Q114</f>
        <v/>
      </c>
      <c r="AD78" s="1118">
        <f>'2312'!R114</f>
        <v/>
      </c>
      <c r="AE78" s="1118">
        <f>'2312'!S114</f>
        <v/>
      </c>
      <c r="AF78" s="1120">
        <f>'2312'!T114</f>
        <v/>
      </c>
    </row>
    <row r="79">
      <c r="A79" s="763" t="inlineStr">
        <is>
          <t>ROE</t>
        </is>
      </c>
      <c r="B79" s="698" t="n"/>
      <c r="C79" s="699" t="n"/>
      <c r="D79" s="1121">
        <f>U79</f>
        <v/>
      </c>
      <c r="E79" s="1122">
        <f>V79</f>
        <v/>
      </c>
      <c r="F79" s="1122">
        <f>W79</f>
        <v/>
      </c>
      <c r="G79" s="1122">
        <f>X79</f>
        <v/>
      </c>
      <c r="H79" s="1122">
        <f>Y79</f>
        <v/>
      </c>
      <c r="I79" s="1122">
        <f>Z79</f>
        <v/>
      </c>
      <c r="J79" s="1123">
        <f>AA79</f>
        <v/>
      </c>
      <c r="K79" s="1122">
        <f>AB79</f>
        <v/>
      </c>
      <c r="L79" s="1122">
        <f>AC79</f>
        <v/>
      </c>
      <c r="M79" s="1122">
        <f>AD79</f>
        <v/>
      </c>
      <c r="N79" s="1122">
        <f>AE79</f>
        <v/>
      </c>
      <c r="O79" s="1124">
        <f>AF79</f>
        <v/>
      </c>
      <c r="R79" s="763" t="inlineStr">
        <is>
          <t>ROE</t>
        </is>
      </c>
      <c r="S79" s="698" t="n"/>
      <c r="T79" s="699" t="n"/>
      <c r="U79" s="1125">
        <f>작업!I154</f>
        <v/>
      </c>
      <c r="V79" s="1037">
        <f>작업!J154</f>
        <v/>
      </c>
      <c r="W79" s="1037">
        <f>작업!K154</f>
        <v/>
      </c>
      <c r="X79" s="1037">
        <f>작업!L154</f>
        <v/>
      </c>
      <c r="Y79" s="1037">
        <f>작업!M154</f>
        <v/>
      </c>
      <c r="Z79" s="1037">
        <f>작업!N154</f>
        <v/>
      </c>
      <c r="AA79" s="1036">
        <f>작업!O154</f>
        <v/>
      </c>
      <c r="AB79" s="1037">
        <f>작업!P154</f>
        <v/>
      </c>
      <c r="AC79" s="1037">
        <f>작업!Q154</f>
        <v/>
      </c>
      <c r="AD79" s="1037">
        <f>작업!R154</f>
        <v/>
      </c>
      <c r="AE79" s="1037">
        <f>작업!S154</f>
        <v/>
      </c>
      <c r="AF79" s="1038">
        <f>작업!T154</f>
        <v/>
      </c>
    </row>
    <row r="80">
      <c r="A80" s="48" t="n"/>
      <c r="B80" s="182" t="n"/>
      <c r="C80" s="175" t="inlineStr">
        <is>
          <t>2024년 대비 (%p)</t>
        </is>
      </c>
      <c r="D80" s="1126">
        <f>+D79-U80</f>
        <v/>
      </c>
      <c r="E80" s="1127">
        <f>+E79-V80</f>
        <v/>
      </c>
      <c r="F80" s="1127">
        <f>+F79-W80</f>
        <v/>
      </c>
      <c r="G80" s="1127">
        <f>+G79-X80</f>
        <v/>
      </c>
      <c r="H80" s="1127">
        <f>+H79-Y80</f>
        <v/>
      </c>
      <c r="I80" s="1127">
        <f>+I79-Z80</f>
        <v/>
      </c>
      <c r="J80" s="1128">
        <f>+J79-AA80</f>
        <v/>
      </c>
      <c r="K80" s="1127">
        <f>+K79-AB80</f>
        <v/>
      </c>
      <c r="L80" s="1127">
        <f>+L79-AC80</f>
        <v/>
      </c>
      <c r="M80" s="1127">
        <f>+M79-AD80</f>
        <v/>
      </c>
      <c r="N80" s="1127">
        <f>+N79-AE80</f>
        <v/>
      </c>
      <c r="O80" s="1129">
        <f>+O79-AF80</f>
        <v/>
      </c>
      <c r="R80" s="48" t="n"/>
      <c r="S80" s="182" t="n"/>
      <c r="T80" s="175" t="inlineStr">
        <is>
          <t>2024년 대비 (%p)</t>
        </is>
      </c>
      <c r="U80" s="1130">
        <f>'2412'!I154</f>
        <v/>
      </c>
      <c r="V80" s="1131">
        <f>'2412'!J154</f>
        <v/>
      </c>
      <c r="W80" s="1131">
        <f>'2412'!K154</f>
        <v/>
      </c>
      <c r="X80" s="1131">
        <f>'2412'!L154</f>
        <v/>
      </c>
      <c r="Y80" s="1131">
        <f>'2412'!M154</f>
        <v/>
      </c>
      <c r="Z80" s="1131">
        <f>'2412'!N154</f>
        <v/>
      </c>
      <c r="AA80" s="1132">
        <f>'2412'!O154</f>
        <v/>
      </c>
      <c r="AB80" s="1131">
        <f>'2412'!P154</f>
        <v/>
      </c>
      <c r="AC80" s="1131">
        <f>'2412'!Q154</f>
        <v/>
      </c>
      <c r="AD80" s="1131">
        <f>'2412'!R154</f>
        <v/>
      </c>
      <c r="AE80" s="1131">
        <f>'2412'!S154</f>
        <v/>
      </c>
      <c r="AF80" s="1133">
        <f>'2412'!T154</f>
        <v/>
      </c>
    </row>
    <row r="81" ht="17.25" customHeight="1" s="760" thickBot="1">
      <c r="A81" s="81" t="n"/>
      <c r="B81" s="183" t="n"/>
      <c r="C81" s="181" t="inlineStr">
        <is>
          <t>2023년 대비 (%p)</t>
        </is>
      </c>
      <c r="D81" s="1134">
        <f>+D79-U81</f>
        <v/>
      </c>
      <c r="E81" s="1135">
        <f>+E79-V81</f>
        <v/>
      </c>
      <c r="F81" s="1135">
        <f>+F79-W81</f>
        <v/>
      </c>
      <c r="G81" s="1135">
        <f>+G79-X81</f>
        <v/>
      </c>
      <c r="H81" s="1135">
        <f>+H79-Y81</f>
        <v/>
      </c>
      <c r="I81" s="1135">
        <f>+I79-Z81</f>
        <v/>
      </c>
      <c r="J81" s="1136">
        <f>+J79-AA81</f>
        <v/>
      </c>
      <c r="K81" s="1135">
        <f>+K79-AB81</f>
        <v/>
      </c>
      <c r="L81" s="1135">
        <f>+L79-AC81</f>
        <v/>
      </c>
      <c r="M81" s="1135">
        <f>+M79-AD81</f>
        <v/>
      </c>
      <c r="N81" s="1135">
        <f>+N79-AE81</f>
        <v/>
      </c>
      <c r="O81" s="1137">
        <f>+O79-AF81</f>
        <v/>
      </c>
      <c r="R81" s="81" t="n"/>
      <c r="S81" s="183" t="n"/>
      <c r="T81" s="181" t="inlineStr">
        <is>
          <t>2023년 대비 (%p)</t>
        </is>
      </c>
      <c r="U81" s="1138">
        <f>'2312'!I154</f>
        <v/>
      </c>
      <c r="V81" s="1139">
        <f>'2312'!J154</f>
        <v/>
      </c>
      <c r="W81" s="1139">
        <f>'2312'!K154</f>
        <v/>
      </c>
      <c r="X81" s="1139">
        <f>'2312'!L154</f>
        <v/>
      </c>
      <c r="Y81" s="1139">
        <f>'2312'!M154</f>
        <v/>
      </c>
      <c r="Z81" s="1139">
        <f>'2312'!N154</f>
        <v/>
      </c>
      <c r="AA81" s="1140">
        <f>'2312'!O154</f>
        <v/>
      </c>
      <c r="AB81" s="1139">
        <f>'2312'!P154</f>
        <v/>
      </c>
      <c r="AC81" s="1139">
        <f>'2312'!Q154</f>
        <v/>
      </c>
      <c r="AD81" s="1139">
        <f>'2312'!R154</f>
        <v/>
      </c>
      <c r="AE81" s="1139">
        <f>'2312'!S154</f>
        <v/>
      </c>
      <c r="AF81" s="1141">
        <f>'2312'!T154</f>
        <v/>
      </c>
    </row>
    <row r="82">
      <c r="D82" s="848" t="n"/>
      <c r="E82" s="848" t="n"/>
      <c r="F82" s="848" t="n"/>
      <c r="G82" s="848" t="n"/>
      <c r="H82" s="848" t="n"/>
      <c r="I82" s="848" t="n"/>
      <c r="J82" s="848" t="n"/>
      <c r="K82" s="848" t="n"/>
      <c r="L82" s="848" t="n"/>
      <c r="M82" s="848" t="n"/>
      <c r="N82" s="848" t="n"/>
      <c r="O82" s="848" t="n"/>
    </row>
    <row r="83">
      <c r="D83" s="848" t="n"/>
      <c r="E83" s="848" t="n"/>
      <c r="F83" s="848" t="n"/>
      <c r="G83" s="848" t="n"/>
      <c r="H83" s="848" t="n"/>
      <c r="I83" s="848" t="n"/>
      <c r="J83" s="848" t="n"/>
      <c r="K83" s="848" t="n"/>
      <c r="L83" s="848" t="n"/>
      <c r="M83" s="848" t="n"/>
      <c r="N83" s="848" t="n"/>
      <c r="O83" s="848" t="n"/>
    </row>
    <row r="87" ht="17.25" customHeight="1" s="760" thickBot="1"/>
    <row r="88">
      <c r="B88" s="197" t="inlineStr">
        <is>
          <t>구분</t>
        </is>
      </c>
      <c r="C88" s="197" t="n"/>
      <c r="D88" s="762" t="inlineStr">
        <is>
          <t>당사</t>
        </is>
      </c>
      <c r="E88" s="756" t="inlineStr">
        <is>
          <t>생보사</t>
        </is>
      </c>
      <c r="F88" s="708" t="n"/>
      <c r="G88" s="708" t="n"/>
      <c r="H88" s="708" t="n"/>
      <c r="I88" s="708" t="n"/>
      <c r="J88" s="724" t="n"/>
      <c r="K88" s="753" t="inlineStr">
        <is>
          <t>손보사</t>
        </is>
      </c>
      <c r="L88" s="708" t="n"/>
      <c r="M88" s="708" t="n"/>
      <c r="N88" s="708" t="n"/>
      <c r="O88" s="744" t="n"/>
      <c r="S88" s="197" t="inlineStr">
        <is>
          <t>구분</t>
        </is>
      </c>
      <c r="T88" s="197" t="n"/>
      <c r="U88" s="762" t="inlineStr">
        <is>
          <t>당사</t>
        </is>
      </c>
      <c r="V88" s="756" t="inlineStr">
        <is>
          <t>생보사</t>
        </is>
      </c>
      <c r="W88" s="708" t="n"/>
      <c r="X88" s="708" t="n"/>
      <c r="Y88" s="708" t="n"/>
      <c r="Z88" s="708" t="n"/>
      <c r="AA88" s="724" t="n"/>
      <c r="AB88" s="753" t="inlineStr">
        <is>
          <t>손보사</t>
        </is>
      </c>
      <c r="AC88" s="708" t="n"/>
      <c r="AD88" s="708" t="n"/>
      <c r="AE88" s="708" t="n"/>
      <c r="AF88" s="744" t="n"/>
    </row>
    <row r="89" ht="17.25" customHeight="1" s="760" thickBot="1">
      <c r="B89" s="198" t="n"/>
      <c r="C89" s="198" t="n"/>
      <c r="D89" s="746" t="n"/>
      <c r="E89" s="90" t="inlineStr">
        <is>
          <t>삼성</t>
        </is>
      </c>
      <c r="F89" s="90" t="inlineStr">
        <is>
          <t>교보</t>
        </is>
      </c>
      <c r="G89" s="90" t="inlineStr">
        <is>
          <t>한화</t>
        </is>
      </c>
      <c r="H89" s="90" t="inlineStr">
        <is>
          <t>신한</t>
        </is>
      </c>
      <c r="I89" s="90" t="inlineStr">
        <is>
          <t>동양</t>
        </is>
      </c>
      <c r="J89" s="184" t="inlineStr">
        <is>
          <t>KB</t>
        </is>
      </c>
      <c r="K89" s="90" t="inlineStr">
        <is>
          <t>삼성</t>
        </is>
      </c>
      <c r="L89" s="90" t="inlineStr">
        <is>
          <t>현대</t>
        </is>
      </c>
      <c r="M89" s="90" t="inlineStr">
        <is>
          <t>메리츠</t>
        </is>
      </c>
      <c r="N89" s="90" t="inlineStr">
        <is>
          <t>KB</t>
        </is>
      </c>
      <c r="O89" s="216" t="inlineStr">
        <is>
          <t>DB</t>
        </is>
      </c>
      <c r="S89" s="198" t="n"/>
      <c r="T89" s="198" t="n"/>
      <c r="U89" s="746" t="n"/>
      <c r="V89" s="90" t="inlineStr">
        <is>
          <t>삼성</t>
        </is>
      </c>
      <c r="W89" s="90" t="inlineStr">
        <is>
          <t>교보</t>
        </is>
      </c>
      <c r="X89" s="90" t="inlineStr">
        <is>
          <t>한화</t>
        </is>
      </c>
      <c r="Y89" s="90" t="inlineStr">
        <is>
          <t>신한</t>
        </is>
      </c>
      <c r="Z89" s="90" t="inlineStr">
        <is>
          <t>동양</t>
        </is>
      </c>
      <c r="AA89" s="184" t="inlineStr">
        <is>
          <t>KB</t>
        </is>
      </c>
      <c r="AB89" s="90" t="inlineStr">
        <is>
          <t>삼성</t>
        </is>
      </c>
      <c r="AC89" s="90" t="inlineStr">
        <is>
          <t>현대</t>
        </is>
      </c>
      <c r="AD89" s="90" t="inlineStr">
        <is>
          <t>메리츠</t>
        </is>
      </c>
      <c r="AE89" s="90" t="inlineStr">
        <is>
          <t>KB</t>
        </is>
      </c>
      <c r="AF89" s="216" t="inlineStr">
        <is>
          <t>DB</t>
        </is>
      </c>
    </row>
    <row r="90">
      <c r="B90" s="194" t="inlineStr">
        <is>
          <t xml:space="preserve">①      CSM잔액 </t>
        </is>
      </c>
      <c r="C90" s="194" t="n"/>
      <c r="D90" s="1142">
        <f>U90</f>
        <v/>
      </c>
      <c r="E90" s="1143">
        <f>V90</f>
        <v/>
      </c>
      <c r="F90" s="1143">
        <f>W90</f>
        <v/>
      </c>
      <c r="G90" s="1143">
        <f>X90</f>
        <v/>
      </c>
      <c r="H90" s="1143">
        <f>Y90</f>
        <v/>
      </c>
      <c r="I90" s="1143">
        <f>Z90</f>
        <v/>
      </c>
      <c r="J90" s="1142">
        <f>AA90</f>
        <v/>
      </c>
      <c r="K90" s="1143">
        <f>AB90</f>
        <v/>
      </c>
      <c r="L90" s="1143">
        <f>AC90</f>
        <v/>
      </c>
      <c r="M90" s="1143">
        <f>AD90</f>
        <v/>
      </c>
      <c r="N90" s="1143">
        <f>AE90</f>
        <v/>
      </c>
      <c r="O90" s="1144">
        <f>AF90</f>
        <v/>
      </c>
      <c r="S90" s="194" t="inlineStr">
        <is>
          <t xml:space="preserve">①      CSM잔액 </t>
        </is>
      </c>
      <c r="T90" s="194" t="n"/>
      <c r="U90" s="943">
        <f>작업!I133</f>
        <v/>
      </c>
      <c r="V90" s="942">
        <f>작업!J133</f>
        <v/>
      </c>
      <c r="W90" s="942">
        <f>작업!K133</f>
        <v/>
      </c>
      <c r="X90" s="942">
        <f>작업!L133</f>
        <v/>
      </c>
      <c r="Y90" s="942">
        <f>작업!M133</f>
        <v/>
      </c>
      <c r="Z90" s="942">
        <f>작업!N133</f>
        <v/>
      </c>
      <c r="AA90" s="943">
        <f>작업!O133</f>
        <v/>
      </c>
      <c r="AB90" s="942">
        <f>작업!P133</f>
        <v/>
      </c>
      <c r="AC90" s="942">
        <f>작업!Q133</f>
        <v/>
      </c>
      <c r="AD90" s="942">
        <f>작업!R133</f>
        <v/>
      </c>
      <c r="AE90" s="942">
        <f>작업!S133</f>
        <v/>
      </c>
      <c r="AF90" s="944">
        <f>작업!T133</f>
        <v/>
      </c>
    </row>
    <row r="91">
      <c r="B91" s="97" t="n"/>
      <c r="C91" s="191" t="inlineStr">
        <is>
          <t>2024년 대비(%)</t>
        </is>
      </c>
      <c r="D91" s="1109">
        <f>(+U90-U91)/U91</f>
        <v/>
      </c>
      <c r="E91" s="1145">
        <f>(+V90-V91)/V91</f>
        <v/>
      </c>
      <c r="F91" s="1145">
        <f>(+W90-W91)/W91</f>
        <v/>
      </c>
      <c r="G91" s="1145">
        <f>(+X90-X91)/X91</f>
        <v/>
      </c>
      <c r="H91" s="1145">
        <f>(+Y90-Y91)/Y91</f>
        <v/>
      </c>
      <c r="I91" s="1145">
        <f>(+Z90-Z91)/Z91</f>
        <v/>
      </c>
      <c r="J91" s="1146">
        <f>(+AA90-AA91)/AA91</f>
        <v/>
      </c>
      <c r="K91" s="1145">
        <f>(+AB90-AB91)/AB91</f>
        <v/>
      </c>
      <c r="L91" s="1145">
        <f>(+AC90-AC91)/AC91</f>
        <v/>
      </c>
      <c r="M91" s="1145">
        <f>(+AD90-AD91)/AD91</f>
        <v/>
      </c>
      <c r="N91" s="1145">
        <f>(+AE90-AE91)/AE91</f>
        <v/>
      </c>
      <c r="O91" s="1147">
        <f>(+AF90-AF91)/AF91</f>
        <v/>
      </c>
      <c r="S91" s="97" t="n"/>
      <c r="T91" s="191" t="n">
        <v>2024</v>
      </c>
      <c r="U91" s="1148">
        <f>'2412'!I133</f>
        <v/>
      </c>
      <c r="V91" s="1149">
        <f>'2412'!J133</f>
        <v/>
      </c>
      <c r="W91" s="1149">
        <f>'2412'!K133</f>
        <v/>
      </c>
      <c r="X91" s="1149">
        <f>'2412'!L133</f>
        <v/>
      </c>
      <c r="Y91" s="1149">
        <f>'2412'!M133</f>
        <v/>
      </c>
      <c r="Z91" s="1149">
        <f>'2412'!N133</f>
        <v/>
      </c>
      <c r="AA91" s="1148">
        <f>'2412'!O133</f>
        <v/>
      </c>
      <c r="AB91" s="1149">
        <f>'2412'!P133</f>
        <v/>
      </c>
      <c r="AC91" s="1149">
        <f>'2412'!Q133</f>
        <v/>
      </c>
      <c r="AD91" s="1149">
        <f>'2412'!R133</f>
        <v/>
      </c>
      <c r="AE91" s="1149">
        <f>'2412'!S133</f>
        <v/>
      </c>
      <c r="AF91" s="1150">
        <f>'2412'!T133</f>
        <v/>
      </c>
    </row>
    <row r="92" ht="17.25" customHeight="1" s="760" thickBot="1">
      <c r="B92" s="97" t="n"/>
      <c r="C92" s="190" t="inlineStr">
        <is>
          <t>2023년 대비(%)</t>
        </is>
      </c>
      <c r="D92" s="1109">
        <f>(+U90-U92)/U92</f>
        <v/>
      </c>
      <c r="E92" s="1151">
        <f>(+V90-V92)/V92</f>
        <v/>
      </c>
      <c r="F92" s="1151">
        <f>(+W90-W92)/W92</f>
        <v/>
      </c>
      <c r="G92" s="1151">
        <f>(+X90-X92)/X92</f>
        <v/>
      </c>
      <c r="H92" s="1151">
        <f>(+Y90-Y92)/Y92</f>
        <v/>
      </c>
      <c r="I92" s="1151">
        <f>(+Z90-Z92)/Z92</f>
        <v/>
      </c>
      <c r="J92" s="1152">
        <f>(+AA90-AA92)/AA92</f>
        <v/>
      </c>
      <c r="K92" s="1151">
        <f>(+AB90-AB92)/AB92</f>
        <v/>
      </c>
      <c r="L92" s="1151">
        <f>(+AC90-AC92)/AC92</f>
        <v/>
      </c>
      <c r="M92" s="1151">
        <f>(+AD90-AD92)/AD92</f>
        <v/>
      </c>
      <c r="N92" s="1151">
        <f>(+AE90-AE92)/AE92</f>
        <v/>
      </c>
      <c r="O92" s="1153">
        <f>(+AF90-AF92)/AF92</f>
        <v/>
      </c>
      <c r="S92" s="97" t="n"/>
      <c r="T92" s="190" t="n">
        <v>2023</v>
      </c>
      <c r="U92" s="1154">
        <f>'2312'!I133</f>
        <v/>
      </c>
      <c r="V92" s="1155">
        <f>'2312'!J133</f>
        <v/>
      </c>
      <c r="W92" s="1155">
        <f>'2312'!K133</f>
        <v/>
      </c>
      <c r="X92" s="1155">
        <f>'2312'!L133</f>
        <v/>
      </c>
      <c r="Y92" s="1155">
        <f>'2312'!M133</f>
        <v/>
      </c>
      <c r="Z92" s="1155">
        <f>'2312'!N133</f>
        <v/>
      </c>
      <c r="AA92" s="1154">
        <f>'2312'!O133</f>
        <v/>
      </c>
      <c r="AB92" s="1155">
        <f>'2312'!P133</f>
        <v/>
      </c>
      <c r="AC92" s="1155">
        <f>'2312'!Q133</f>
        <v/>
      </c>
      <c r="AD92" s="1155">
        <f>'2312'!R133</f>
        <v/>
      </c>
      <c r="AE92" s="1155">
        <f>'2312'!S133</f>
        <v/>
      </c>
      <c r="AF92" s="1156">
        <f>'2312'!T133</f>
        <v/>
      </c>
    </row>
    <row r="93">
      <c r="B93" s="194" t="inlineStr">
        <is>
          <t>②      신계약CSM</t>
        </is>
      </c>
      <c r="C93" s="194" t="n"/>
      <c r="D93" s="1157">
        <f>U93</f>
        <v/>
      </c>
      <c r="E93" s="1158">
        <f>V93</f>
        <v/>
      </c>
      <c r="F93" s="1158">
        <f>W93</f>
        <v/>
      </c>
      <c r="G93" s="1158">
        <f>X93</f>
        <v/>
      </c>
      <c r="H93" s="1158">
        <f>Y93</f>
        <v/>
      </c>
      <c r="I93" s="1158">
        <f>Z93</f>
        <v/>
      </c>
      <c r="J93" s="1157">
        <f>AA93</f>
        <v/>
      </c>
      <c r="K93" s="1158">
        <f>AB93</f>
        <v/>
      </c>
      <c r="L93" s="1158">
        <f>AC93</f>
        <v/>
      </c>
      <c r="M93" s="1158">
        <f>AD93</f>
        <v/>
      </c>
      <c r="N93" s="1158">
        <f>AE93</f>
        <v/>
      </c>
      <c r="O93" s="1159">
        <f>AF93</f>
        <v/>
      </c>
      <c r="S93" s="194" t="inlineStr">
        <is>
          <t>②      신계약CSM</t>
        </is>
      </c>
      <c r="T93" s="194" t="n"/>
      <c r="U93" s="1160">
        <f>작업!I136</f>
        <v/>
      </c>
      <c r="V93" s="1161">
        <f>작업!J136</f>
        <v/>
      </c>
      <c r="W93" s="1161">
        <f>작업!K136</f>
        <v/>
      </c>
      <c r="X93" s="1161">
        <f>작업!L136</f>
        <v/>
      </c>
      <c r="Y93" s="1161">
        <f>작업!M136</f>
        <v/>
      </c>
      <c r="Z93" s="1161">
        <f>작업!N136</f>
        <v/>
      </c>
      <c r="AA93" s="1160">
        <f>작업!O136</f>
        <v/>
      </c>
      <c r="AB93" s="1161">
        <f>작업!P136</f>
        <v/>
      </c>
      <c r="AC93" s="1161">
        <f>작업!Q136</f>
        <v/>
      </c>
      <c r="AD93" s="1161">
        <f>작업!R136</f>
        <v/>
      </c>
      <c r="AE93" s="1161">
        <f>작업!S136</f>
        <v/>
      </c>
      <c r="AF93" s="1162">
        <f>작업!T136</f>
        <v/>
      </c>
    </row>
    <row r="94" ht="16.5" customHeight="1" s="760">
      <c r="B94" s="192" t="n"/>
      <c r="C94" s="191" t="inlineStr">
        <is>
          <t>전기대비 증가율</t>
        </is>
      </c>
      <c r="D94" s="1146">
        <f>+(D93-U94)/U94</f>
        <v/>
      </c>
      <c r="E94" s="1145">
        <f>+(E93-V94)/V94</f>
        <v/>
      </c>
      <c r="F94" s="1145">
        <f>+(F93-W94)/W94</f>
        <v/>
      </c>
      <c r="G94" s="1145">
        <f>+(G93-X94)/X94</f>
        <v/>
      </c>
      <c r="H94" s="1145">
        <f>+(H93-Y94)/Y94</f>
        <v/>
      </c>
      <c r="I94" s="1145">
        <f>+(I93-Z94)/Z94</f>
        <v/>
      </c>
      <c r="J94" s="1146">
        <f>+(J93-AA94)/AA94</f>
        <v/>
      </c>
      <c r="K94" s="1145">
        <f>+(K93-AB94)/AB94</f>
        <v/>
      </c>
      <c r="L94" s="1145">
        <f>+(L93-AC94)/AC94</f>
        <v/>
      </c>
      <c r="M94" s="1145">
        <f>+(M93-AD94)/AD94</f>
        <v/>
      </c>
      <c r="N94" s="1145">
        <f>+(N93-AE94)/AE94</f>
        <v/>
      </c>
      <c r="O94" s="1147">
        <f>+(O93-AF94)/AF94</f>
        <v/>
      </c>
      <c r="S94" s="192" t="n"/>
      <c r="T94" s="191" t="n">
        <v>2024</v>
      </c>
      <c r="U94" s="1148">
        <f>'2412'!I136</f>
        <v/>
      </c>
      <c r="V94" s="1149">
        <f>'2412'!J136</f>
        <v/>
      </c>
      <c r="W94" s="1149">
        <f>'2412'!K136</f>
        <v/>
      </c>
      <c r="X94" s="1149">
        <f>'2412'!L136</f>
        <v/>
      </c>
      <c r="Y94" s="1149">
        <f>'2412'!M136</f>
        <v/>
      </c>
      <c r="Z94" s="1149">
        <f>'2412'!N136</f>
        <v/>
      </c>
      <c r="AA94" s="1148">
        <f>'2412'!O136</f>
        <v/>
      </c>
      <c r="AB94" s="1149">
        <f>'2412'!P136</f>
        <v/>
      </c>
      <c r="AC94" s="1149">
        <f>'2412'!Q136</f>
        <v/>
      </c>
      <c r="AD94" s="1149">
        <f>'2412'!R136</f>
        <v/>
      </c>
      <c r="AE94" s="1149">
        <f>'2412'!S136</f>
        <v/>
      </c>
      <c r="AF94" s="1150">
        <f>'2412'!T136</f>
        <v/>
      </c>
    </row>
    <row r="95" ht="17.25" customHeight="1" s="760" thickBot="1">
      <c r="B95" s="193" t="n"/>
      <c r="C95" s="190" t="inlineStr">
        <is>
          <t>②/①</t>
        </is>
      </c>
      <c r="D95" s="1163">
        <f>+D93/D90</f>
        <v/>
      </c>
      <c r="E95" s="1164">
        <f>+E93/E90</f>
        <v/>
      </c>
      <c r="F95" s="1164">
        <f>+F93/F90</f>
        <v/>
      </c>
      <c r="G95" s="1164">
        <f>+G93/G90</f>
        <v/>
      </c>
      <c r="H95" s="1164">
        <f>+H93/H90</f>
        <v/>
      </c>
      <c r="I95" s="1164">
        <f>+I93/I90</f>
        <v/>
      </c>
      <c r="J95" s="1163">
        <f>+J93/J90</f>
        <v/>
      </c>
      <c r="K95" s="1164">
        <f>+K93/K90</f>
        <v/>
      </c>
      <c r="L95" s="1164">
        <f>+L93/L90</f>
        <v/>
      </c>
      <c r="M95" s="1164">
        <f>+M93/M90</f>
        <v/>
      </c>
      <c r="N95" s="1164">
        <f>+N93/N90</f>
        <v/>
      </c>
      <c r="O95" s="1165">
        <f>+O93/O90</f>
        <v/>
      </c>
      <c r="S95" s="193" t="n"/>
      <c r="T95" s="190" t="n"/>
      <c r="U95" s="185" t="n"/>
      <c r="V95" s="186" t="n"/>
      <c r="W95" s="186" t="n"/>
      <c r="X95" s="186" t="n"/>
      <c r="Y95" s="186" t="n"/>
      <c r="Z95" s="186" t="n"/>
      <c r="AA95" s="185" t="n"/>
      <c r="AB95" s="186" t="n"/>
      <c r="AC95" s="186" t="n"/>
      <c r="AD95" s="186" t="n"/>
      <c r="AE95" s="186" t="n"/>
      <c r="AF95" s="187" t="n"/>
    </row>
    <row r="96" ht="16.5" customHeight="1" s="760">
      <c r="B96" s="750" t="inlineStr">
        <is>
          <t>③ CSM상각액</t>
        </is>
      </c>
      <c r="C96" s="698" t="n"/>
      <c r="D96" s="1166">
        <f>U96</f>
        <v/>
      </c>
      <c r="E96" s="1167">
        <f>V96</f>
        <v/>
      </c>
      <c r="F96" s="1167">
        <f>W96</f>
        <v/>
      </c>
      <c r="G96" s="1167">
        <f>X96</f>
        <v/>
      </c>
      <c r="H96" s="1167">
        <f>Y96</f>
        <v/>
      </c>
      <c r="I96" s="1167">
        <f>Z96</f>
        <v/>
      </c>
      <c r="J96" s="1166">
        <f>AA96</f>
        <v/>
      </c>
      <c r="K96" s="1167">
        <f>AB96</f>
        <v/>
      </c>
      <c r="L96" s="1167">
        <f>AC96</f>
        <v/>
      </c>
      <c r="M96" s="1167">
        <f>AD96</f>
        <v/>
      </c>
      <c r="N96" s="1167">
        <f>AE96</f>
        <v/>
      </c>
      <c r="O96" s="1168">
        <f>AF96</f>
        <v/>
      </c>
      <c r="S96" s="750" t="inlineStr">
        <is>
          <t>③ CSM상각액</t>
        </is>
      </c>
      <c r="T96" s="698" t="n"/>
      <c r="U96" s="1169">
        <f>작업!I137</f>
        <v/>
      </c>
      <c r="V96" s="1170">
        <f>작업!J137</f>
        <v/>
      </c>
      <c r="W96" s="1170">
        <f>작업!K137</f>
        <v/>
      </c>
      <c r="X96" s="1170">
        <f>작업!L137</f>
        <v/>
      </c>
      <c r="Y96" s="1170">
        <f>작업!M137</f>
        <v/>
      </c>
      <c r="Z96" s="1170">
        <f>작업!N137</f>
        <v/>
      </c>
      <c r="AA96" s="1169">
        <f>작업!O137</f>
        <v/>
      </c>
      <c r="AB96" s="1170">
        <f>작업!P137</f>
        <v/>
      </c>
      <c r="AC96" s="1170">
        <f>작업!Q137</f>
        <v/>
      </c>
      <c r="AD96" s="1170">
        <f>작업!R137</f>
        <v/>
      </c>
      <c r="AE96" s="1170">
        <f>작업!S137</f>
        <v/>
      </c>
      <c r="AF96" s="1171">
        <f>작업!T137</f>
        <v/>
      </c>
    </row>
    <row r="97">
      <c r="B97" s="195" t="n"/>
      <c r="C97" s="188" t="inlineStr">
        <is>
          <t>전기대비 증가율</t>
        </is>
      </c>
      <c r="D97" s="1146">
        <f>+(D96-U97)/U97</f>
        <v/>
      </c>
      <c r="E97" s="1145">
        <f>+(E96-V97)/V97</f>
        <v/>
      </c>
      <c r="F97" s="1145">
        <f>+(F96-W97)/W97</f>
        <v/>
      </c>
      <c r="G97" s="1145">
        <f>+(G96-X97)/X97</f>
        <v/>
      </c>
      <c r="H97" s="1145">
        <f>+(H96-Y97)/Y97</f>
        <v/>
      </c>
      <c r="I97" s="1145">
        <f>+(I96-Z97)/Z97</f>
        <v/>
      </c>
      <c r="J97" s="1146">
        <f>+(J96-AA97)/AA97</f>
        <v/>
      </c>
      <c r="K97" s="1145">
        <f>+(K96-AB97)/AB97</f>
        <v/>
      </c>
      <c r="L97" s="1145">
        <f>+(L96-AC97)/AC97</f>
        <v/>
      </c>
      <c r="M97" s="1145">
        <f>+(M96-AD97)/AD97</f>
        <v/>
      </c>
      <c r="N97" s="1145">
        <f>+(N96-AE97)/AE97</f>
        <v/>
      </c>
      <c r="O97" s="1147">
        <f>+(O96-AF97)/AF97</f>
        <v/>
      </c>
      <c r="S97" s="195" t="n"/>
      <c r="T97" s="188" t="n">
        <v>2024</v>
      </c>
      <c r="U97" s="1154">
        <f>'2412'!I137</f>
        <v/>
      </c>
      <c r="V97" s="1155">
        <f>'2412'!J137</f>
        <v/>
      </c>
      <c r="W97" s="1155">
        <f>'2412'!K137</f>
        <v/>
      </c>
      <c r="X97" s="1155">
        <f>'2412'!L137</f>
        <v/>
      </c>
      <c r="Y97" s="1155">
        <f>'2412'!M137</f>
        <v/>
      </c>
      <c r="Z97" s="1155">
        <f>'2412'!N137</f>
        <v/>
      </c>
      <c r="AA97" s="1154">
        <f>'2412'!O137</f>
        <v/>
      </c>
      <c r="AB97" s="1155">
        <f>'2412'!P137</f>
        <v/>
      </c>
      <c r="AC97" s="1155">
        <f>'2412'!Q137</f>
        <v/>
      </c>
      <c r="AD97" s="1155">
        <f>'2412'!R137</f>
        <v/>
      </c>
      <c r="AE97" s="1155">
        <f>'2412'!S137</f>
        <v/>
      </c>
      <c r="AF97" s="1156">
        <f>'2412'!T137</f>
        <v/>
      </c>
    </row>
    <row r="98" ht="17.25" customHeight="1" s="760" thickBot="1">
      <c r="B98" s="196" t="n"/>
      <c r="C98" s="189" t="inlineStr">
        <is>
          <t>②/③</t>
        </is>
      </c>
      <c r="D98" s="1163">
        <f>+D93/D96</f>
        <v/>
      </c>
      <c r="E98" s="1164">
        <f>+E93/E96</f>
        <v/>
      </c>
      <c r="F98" s="1164">
        <f>+F93/F96</f>
        <v/>
      </c>
      <c r="G98" s="1164">
        <f>+G93/G96</f>
        <v/>
      </c>
      <c r="H98" s="1164">
        <f>+H93/H96</f>
        <v/>
      </c>
      <c r="I98" s="1164">
        <f>+I93/I96</f>
        <v/>
      </c>
      <c r="J98" s="1163">
        <f>+J93/J96</f>
        <v/>
      </c>
      <c r="K98" s="1164">
        <f>+K93/K96</f>
        <v/>
      </c>
      <c r="L98" s="1164">
        <f>+L93/L96</f>
        <v/>
      </c>
      <c r="M98" s="1164">
        <f>+M93/M96</f>
        <v/>
      </c>
      <c r="N98" s="1164">
        <f>+N93/N96</f>
        <v/>
      </c>
      <c r="O98" s="1165">
        <f>+O93/O96</f>
        <v/>
      </c>
      <c r="S98" s="196" t="n"/>
      <c r="T98" s="189" t="n"/>
      <c r="U98" s="185" t="n"/>
      <c r="V98" s="186" t="n"/>
      <c r="W98" s="186" t="n"/>
      <c r="X98" s="186" t="n"/>
      <c r="Y98" s="186" t="n"/>
      <c r="Z98" s="186" t="n"/>
      <c r="AA98" s="185" t="n"/>
      <c r="AB98" s="186" t="n"/>
      <c r="AC98" s="186" t="n"/>
      <c r="AD98" s="186" t="n"/>
      <c r="AE98" s="186" t="n"/>
      <c r="AF98" s="187" t="n"/>
    </row>
    <row r="99" ht="16.5" customHeight="1" s="760">
      <c r="B99" s="761" t="inlineStr">
        <is>
          <t>④ CSM조정액</t>
        </is>
      </c>
      <c r="C99" s="698" t="n"/>
      <c r="D99" s="1142">
        <f>U99</f>
        <v/>
      </c>
      <c r="E99" s="1143">
        <f>V99</f>
        <v/>
      </c>
      <c r="F99" s="1143">
        <f>W99</f>
        <v/>
      </c>
      <c r="G99" s="1143">
        <f>X99</f>
        <v/>
      </c>
      <c r="H99" s="1143">
        <f>Y99</f>
        <v/>
      </c>
      <c r="I99" s="1143">
        <f>Z99</f>
        <v/>
      </c>
      <c r="J99" s="1142">
        <f>AA99</f>
        <v/>
      </c>
      <c r="K99" s="1143">
        <f>AB99</f>
        <v/>
      </c>
      <c r="L99" s="1143">
        <f>AC99</f>
        <v/>
      </c>
      <c r="M99" s="1143">
        <f>AD99</f>
        <v/>
      </c>
      <c r="N99" s="1143">
        <f>AE99</f>
        <v/>
      </c>
      <c r="O99" s="1144">
        <f>AF99</f>
        <v/>
      </c>
      <c r="P99" s="1172" t="n"/>
      <c r="S99" s="761" t="inlineStr">
        <is>
          <t>④ CSM조정액</t>
        </is>
      </c>
      <c r="T99" s="698" t="n"/>
      <c r="U99" s="1142">
        <f>SUM(U101:U106)</f>
        <v/>
      </c>
      <c r="V99" s="1143">
        <f>SUM(V101:V106)</f>
        <v/>
      </c>
      <c r="W99" s="1143">
        <f>SUM(W101:W106)</f>
        <v/>
      </c>
      <c r="X99" s="1143">
        <f>SUM(X101:X106)</f>
        <v/>
      </c>
      <c r="Y99" s="1143">
        <f>SUM(Y101:Y106)</f>
        <v/>
      </c>
      <c r="Z99" s="1143">
        <f>SUM(Z101:Z106)</f>
        <v/>
      </c>
      <c r="AA99" s="1142">
        <f>SUM(AA101:AA106)</f>
        <v/>
      </c>
      <c r="AB99" s="1143">
        <f>SUM(AB101:AB106)</f>
        <v/>
      </c>
      <c r="AC99" s="1143">
        <f>SUM(AC101:AC106)</f>
        <v/>
      </c>
      <c r="AD99" s="1143">
        <f>SUM(AD101:AD106)</f>
        <v/>
      </c>
      <c r="AE99" s="1143">
        <f>SUM(AE101:AE106)</f>
        <v/>
      </c>
      <c r="AF99" s="1144">
        <f>SUM(AF101:AF106)</f>
        <v/>
      </c>
    </row>
    <row r="100">
      <c r="B100" s="195" t="n"/>
      <c r="C100" s="195" t="inlineStr">
        <is>
          <t>④/①</t>
        </is>
      </c>
      <c r="D100" s="1173">
        <f>+D99/U91</f>
        <v/>
      </c>
      <c r="E100" s="1174">
        <f>+E99/V91</f>
        <v/>
      </c>
      <c r="F100" s="1174">
        <f>+F99/W91</f>
        <v/>
      </c>
      <c r="G100" s="1174">
        <f>+G99/X91</f>
        <v/>
      </c>
      <c r="H100" s="1174">
        <f>+H99/Y91</f>
        <v/>
      </c>
      <c r="I100" s="1174">
        <f>+I99/Z91</f>
        <v/>
      </c>
      <c r="J100" s="1173">
        <f>+J99/AA91</f>
        <v/>
      </c>
      <c r="K100" s="1174">
        <f>+K99/AB91</f>
        <v/>
      </c>
      <c r="L100" s="1174">
        <f>+L99/AC91</f>
        <v/>
      </c>
      <c r="M100" s="1174">
        <f>+M99/AD91</f>
        <v/>
      </c>
      <c r="N100" s="1174">
        <f>+N99/AE91</f>
        <v/>
      </c>
      <c r="O100" s="1175">
        <f>+O99/AF91</f>
        <v/>
      </c>
      <c r="P100" s="1176" t="n"/>
      <c r="S100" s="195" t="n"/>
      <c r="T100" s="195" t="inlineStr">
        <is>
          <t>④/①</t>
        </is>
      </c>
      <c r="U100" s="1173" t="n"/>
      <c r="V100" s="1174" t="n"/>
      <c r="W100" s="1174" t="n"/>
      <c r="X100" s="1174" t="n"/>
      <c r="Y100" s="1174" t="n"/>
      <c r="Z100" s="1174" t="n"/>
      <c r="AA100" s="1173" t="n"/>
      <c r="AB100" s="1174" t="n"/>
      <c r="AC100" s="1174" t="n"/>
      <c r="AD100" s="1174" t="n"/>
      <c r="AE100" s="1174" t="n"/>
      <c r="AF100" s="1175" t="n"/>
    </row>
    <row r="101">
      <c r="B101" s="195" t="n"/>
      <c r="C101" s="195" t="inlineStr">
        <is>
          <t>해지율</t>
        </is>
      </c>
      <c r="D101" s="1173">
        <f>U101/U$91</f>
        <v/>
      </c>
      <c r="E101" s="1177">
        <f>V101/V$91</f>
        <v/>
      </c>
      <c r="F101" s="1177">
        <f>W101/W$91</f>
        <v/>
      </c>
      <c r="G101" s="1177">
        <f>X101/X$91</f>
        <v/>
      </c>
      <c r="H101" s="1177">
        <f>Y101/Y$91</f>
        <v/>
      </c>
      <c r="I101" s="1177">
        <f>Z101/Z$91</f>
        <v/>
      </c>
      <c r="J101" s="1178">
        <f>AA101/AA$91</f>
        <v/>
      </c>
      <c r="K101" s="1177">
        <f>AB101/AB$91</f>
        <v/>
      </c>
      <c r="L101" s="1177">
        <f>AC101/AC$91</f>
        <v/>
      </c>
      <c r="M101" s="1177">
        <f>AD101/AD$91</f>
        <v/>
      </c>
      <c r="N101" s="1177">
        <f>AE101/AE$91</f>
        <v/>
      </c>
      <c r="O101" s="1179">
        <f>AF101/AF$91</f>
        <v/>
      </c>
      <c r="P101" s="1180" t="n"/>
      <c r="Q101" s="1180" t="n"/>
      <c r="S101" s="195" t="n"/>
      <c r="T101" s="195" t="inlineStr">
        <is>
          <t>해지율</t>
        </is>
      </c>
      <c r="U101" s="1181">
        <f>작업!I200</f>
        <v/>
      </c>
      <c r="V101" s="1182">
        <f>작업!J200</f>
        <v/>
      </c>
      <c r="W101" s="1182">
        <f>작업!K200</f>
        <v/>
      </c>
      <c r="X101" s="1182">
        <f>작업!L200</f>
        <v/>
      </c>
      <c r="Y101" s="1182">
        <f>작업!M200</f>
        <v/>
      </c>
      <c r="Z101" s="1182">
        <f>작업!N200</f>
        <v/>
      </c>
      <c r="AA101" s="1181">
        <f>작업!O200</f>
        <v/>
      </c>
      <c r="AB101" s="1182">
        <f>작업!P200</f>
        <v/>
      </c>
      <c r="AC101" s="1182">
        <f>작업!Q200</f>
        <v/>
      </c>
      <c r="AD101" s="1182">
        <f>작업!R200</f>
        <v/>
      </c>
      <c r="AE101" s="1182">
        <f>작업!S200</f>
        <v/>
      </c>
      <c r="AF101" s="1183">
        <f>작업!T200</f>
        <v/>
      </c>
      <c r="AG101" s="696">
        <f>작업!U200</f>
        <v/>
      </c>
    </row>
    <row r="102">
      <c r="B102" s="195" t="n"/>
      <c r="C102" s="195" t="inlineStr">
        <is>
          <t>위험율</t>
        </is>
      </c>
      <c r="D102" s="1173">
        <f>U102/U$91</f>
        <v/>
      </c>
      <c r="E102" s="1177">
        <f>V102/V$91</f>
        <v/>
      </c>
      <c r="F102" s="1177">
        <f>W102/W$91</f>
        <v/>
      </c>
      <c r="G102" s="1177">
        <f>X102/X$91</f>
        <v/>
      </c>
      <c r="H102" s="1177">
        <f>Y102/Y$91</f>
        <v/>
      </c>
      <c r="I102" s="1177">
        <f>Z102/Z$91</f>
        <v/>
      </c>
      <c r="J102" s="1178">
        <f>AA102/AA$91</f>
        <v/>
      </c>
      <c r="K102" s="1177">
        <f>AB102/AB$91</f>
        <v/>
      </c>
      <c r="L102" s="1177">
        <f>AC102/AC$91</f>
        <v/>
      </c>
      <c r="M102" s="1177">
        <f>AD102/AD$91</f>
        <v/>
      </c>
      <c r="N102" s="1177">
        <f>AE102/AE$91</f>
        <v/>
      </c>
      <c r="O102" s="1179">
        <f>AF102/AF$91</f>
        <v/>
      </c>
      <c r="P102" s="1180" t="n"/>
      <c r="Q102" s="1180" t="n"/>
      <c r="S102" s="195" t="n"/>
      <c r="T102" s="195" t="inlineStr">
        <is>
          <t>위험율</t>
        </is>
      </c>
      <c r="U102" s="1181">
        <f>작업!I201</f>
        <v/>
      </c>
      <c r="V102" s="1182">
        <f>작업!J201</f>
        <v/>
      </c>
      <c r="W102" s="1182">
        <f>작업!K201</f>
        <v/>
      </c>
      <c r="X102" s="1182">
        <f>작업!L201</f>
        <v/>
      </c>
      <c r="Y102" s="1182">
        <f>작업!M201</f>
        <v/>
      </c>
      <c r="Z102" s="1182">
        <f>작업!N201</f>
        <v/>
      </c>
      <c r="AA102" s="1181">
        <f>작업!O201</f>
        <v/>
      </c>
      <c r="AB102" s="1182">
        <f>작업!P201</f>
        <v/>
      </c>
      <c r="AC102" s="1182">
        <f>작업!Q201</f>
        <v/>
      </c>
      <c r="AD102" s="1182">
        <f>작업!R201</f>
        <v/>
      </c>
      <c r="AE102" s="1182">
        <f>작업!S201</f>
        <v/>
      </c>
      <c r="AF102" s="1183">
        <f>작업!T201</f>
        <v/>
      </c>
      <c r="AG102" s="696">
        <f>작업!U201</f>
        <v/>
      </c>
    </row>
    <row r="103">
      <c r="B103" s="195" t="n"/>
      <c r="C103" s="195" t="inlineStr">
        <is>
          <t>사업비율</t>
        </is>
      </c>
      <c r="D103" s="1173">
        <f>U103/U$91</f>
        <v/>
      </c>
      <c r="E103" s="1177">
        <f>V103/V$91</f>
        <v/>
      </c>
      <c r="F103" s="1177">
        <f>W103/W$91</f>
        <v/>
      </c>
      <c r="G103" s="1177">
        <f>X103/X$91</f>
        <v/>
      </c>
      <c r="H103" s="1177">
        <f>Y103/Y$91</f>
        <v/>
      </c>
      <c r="I103" s="1177">
        <f>Z103/Z$91</f>
        <v/>
      </c>
      <c r="J103" s="1178">
        <f>AA103/AA$91</f>
        <v/>
      </c>
      <c r="K103" s="1177">
        <f>AB103/AB$91</f>
        <v/>
      </c>
      <c r="L103" s="1177">
        <f>AC103/AC$91</f>
        <v/>
      </c>
      <c r="M103" s="1177">
        <f>AD103/AD$91</f>
        <v/>
      </c>
      <c r="N103" s="1177">
        <f>AE103/AE$91</f>
        <v/>
      </c>
      <c r="O103" s="1179">
        <f>AF103/AF$91</f>
        <v/>
      </c>
      <c r="P103" s="1180" t="n"/>
      <c r="Q103" s="1180" t="n"/>
      <c r="S103" s="195" t="n"/>
      <c r="T103" s="195" t="inlineStr">
        <is>
          <t>사업비율</t>
        </is>
      </c>
      <c r="U103" s="1181">
        <f>작업!I202</f>
        <v/>
      </c>
      <c r="V103" s="1182">
        <f>작업!J202</f>
        <v/>
      </c>
      <c r="W103" s="1182">
        <f>작업!K202</f>
        <v/>
      </c>
      <c r="X103" s="1182">
        <f>작업!L202</f>
        <v/>
      </c>
      <c r="Y103" s="1182">
        <f>작업!M202</f>
        <v/>
      </c>
      <c r="Z103" s="1182">
        <f>작업!N202</f>
        <v/>
      </c>
      <c r="AA103" s="1181">
        <f>작업!O202</f>
        <v/>
      </c>
      <c r="AB103" s="1182">
        <f>작업!P202</f>
        <v/>
      </c>
      <c r="AC103" s="1182">
        <f>작업!Q202</f>
        <v/>
      </c>
      <c r="AD103" s="1182">
        <f>작업!R202</f>
        <v/>
      </c>
      <c r="AE103" s="1182">
        <f>작업!S202</f>
        <v/>
      </c>
      <c r="AF103" s="1183">
        <f>작업!T202</f>
        <v/>
      </c>
      <c r="AG103" s="696">
        <f>작업!U202</f>
        <v/>
      </c>
    </row>
    <row r="104">
      <c r="B104" s="195" t="n"/>
      <c r="C104" s="195" t="inlineStr">
        <is>
          <t>기타가정</t>
        </is>
      </c>
      <c r="D104" s="1173">
        <f>U104/U$91</f>
        <v/>
      </c>
      <c r="E104" s="1177">
        <f>V104/V$91</f>
        <v/>
      </c>
      <c r="F104" s="1177">
        <f>W104/W$91</f>
        <v/>
      </c>
      <c r="G104" s="1177">
        <f>X104/X$91</f>
        <v/>
      </c>
      <c r="H104" s="1177">
        <f>Y104/Y$91</f>
        <v/>
      </c>
      <c r="I104" s="1177">
        <f>Z104/Z$91</f>
        <v/>
      </c>
      <c r="J104" s="1178">
        <f>AA104/AA$91</f>
        <v/>
      </c>
      <c r="K104" s="1177">
        <f>AB104/AB$91</f>
        <v/>
      </c>
      <c r="L104" s="1177">
        <f>AC104/AC$91</f>
        <v/>
      </c>
      <c r="M104" s="1177">
        <f>AD104/AD$91</f>
        <v/>
      </c>
      <c r="N104" s="1177">
        <f>AE104/AE$91</f>
        <v/>
      </c>
      <c r="O104" s="1179">
        <f>AF104/AF$91</f>
        <v/>
      </c>
      <c r="P104" s="1180" t="n"/>
      <c r="Q104" s="1180" t="n"/>
      <c r="S104" s="195" t="n"/>
      <c r="T104" s="195" t="inlineStr">
        <is>
          <t>기타가정</t>
        </is>
      </c>
      <c r="U104" s="1181">
        <f>작업!I203</f>
        <v/>
      </c>
      <c r="V104" s="1182">
        <f>작업!J203</f>
        <v/>
      </c>
      <c r="W104" s="1182">
        <f>작업!K203</f>
        <v/>
      </c>
      <c r="X104" s="1182">
        <f>작업!L203</f>
        <v/>
      </c>
      <c r="Y104" s="1182">
        <f>작업!M203</f>
        <v/>
      </c>
      <c r="Z104" s="1182">
        <f>작업!N203</f>
        <v/>
      </c>
      <c r="AA104" s="1181">
        <f>작업!O203</f>
        <v/>
      </c>
      <c r="AB104" s="1182">
        <f>작업!P203</f>
        <v/>
      </c>
      <c r="AC104" s="1182">
        <f>작업!Q203</f>
        <v/>
      </c>
      <c r="AD104" s="1182">
        <f>작업!R203</f>
        <v/>
      </c>
      <c r="AE104" s="1182">
        <f>작업!S203</f>
        <v/>
      </c>
      <c r="AF104" s="1183">
        <f>작업!T203</f>
        <v/>
      </c>
      <c r="AG104" s="696">
        <f>작업!U203</f>
        <v/>
      </c>
    </row>
    <row r="105" ht="27" customHeight="1" s="760">
      <c r="B105" s="195" t="n"/>
      <c r="C105" s="195" t="inlineStr">
        <is>
          <t>물량, 예실차 등</t>
        </is>
      </c>
      <c r="D105" s="1173">
        <f>U105/U$91</f>
        <v/>
      </c>
      <c r="E105" s="1177">
        <f>V105/V$91</f>
        <v/>
      </c>
      <c r="F105" s="1177">
        <f>W105/W$91</f>
        <v/>
      </c>
      <c r="G105" s="1177">
        <f>X105/X$91</f>
        <v/>
      </c>
      <c r="H105" s="1177">
        <f>Y105/Y$91</f>
        <v/>
      </c>
      <c r="I105" s="1177">
        <f>Z105/Z$91</f>
        <v/>
      </c>
      <c r="J105" s="1178">
        <f>AA105/AA$91</f>
        <v/>
      </c>
      <c r="K105" s="1177">
        <f>AB105/AB$91</f>
        <v/>
      </c>
      <c r="L105" s="1177">
        <f>AC105/AC$91</f>
        <v/>
      </c>
      <c r="M105" s="1177">
        <f>AD105/AD$91</f>
        <v/>
      </c>
      <c r="N105" s="1177">
        <f>AE105/AE$91</f>
        <v/>
      </c>
      <c r="O105" s="1179">
        <f>AF105/AF$91</f>
        <v/>
      </c>
      <c r="P105" s="1180" t="n"/>
      <c r="Q105" s="1180" t="n"/>
      <c r="S105" s="195" t="n"/>
      <c r="T105" s="195" t="inlineStr">
        <is>
          <t>물량, 예실차 등</t>
        </is>
      </c>
      <c r="U105" s="1181">
        <f>작업!I204</f>
        <v/>
      </c>
      <c r="V105" s="1182">
        <f>작업!J204</f>
        <v/>
      </c>
      <c r="W105" s="1182">
        <f>작업!K204</f>
        <v/>
      </c>
      <c r="X105" s="1182">
        <f>작업!L204</f>
        <v/>
      </c>
      <c r="Y105" s="1182">
        <f>작업!M204</f>
        <v/>
      </c>
      <c r="Z105" s="1182">
        <f>작업!N204</f>
        <v/>
      </c>
      <c r="AA105" s="1181">
        <f>작업!O204</f>
        <v/>
      </c>
      <c r="AB105" s="1182">
        <f>작업!P204</f>
        <v/>
      </c>
      <c r="AC105" s="1182">
        <f>작업!Q204</f>
        <v/>
      </c>
      <c r="AD105" s="1182">
        <f>작업!R204</f>
        <v/>
      </c>
      <c r="AE105" s="1182">
        <f>작업!S204</f>
        <v/>
      </c>
      <c r="AF105" s="1183">
        <f>작업!T204</f>
        <v/>
      </c>
      <c r="AG105" s="696">
        <f>작업!U204</f>
        <v/>
      </c>
    </row>
    <row r="106" ht="17.25" customHeight="1" s="760" thickBot="1">
      <c r="B106" s="196" t="n"/>
      <c r="C106" s="196" t="inlineStr">
        <is>
          <t>손실요소</t>
        </is>
      </c>
      <c r="D106" s="1173">
        <f>U106/U$91</f>
        <v/>
      </c>
      <c r="E106" s="1184">
        <f>V106/V$91</f>
        <v/>
      </c>
      <c r="F106" s="1184">
        <f>W106/W$91</f>
        <v/>
      </c>
      <c r="G106" s="1184">
        <f>X106/X$91</f>
        <v/>
      </c>
      <c r="H106" s="1184">
        <f>Y106/Y$91</f>
        <v/>
      </c>
      <c r="I106" s="1184">
        <f>Z106/Z$91</f>
        <v/>
      </c>
      <c r="J106" s="1185">
        <f>AA106/AA$91</f>
        <v/>
      </c>
      <c r="K106" s="1184">
        <f>AB106/AB$91</f>
        <v/>
      </c>
      <c r="L106" s="1184">
        <f>AC106/AC$91</f>
        <v/>
      </c>
      <c r="M106" s="1184">
        <f>AD106/AD$91</f>
        <v/>
      </c>
      <c r="N106" s="1184">
        <f>AE106/AE$91</f>
        <v/>
      </c>
      <c r="O106" s="1186">
        <f>AF106/AF$91</f>
        <v/>
      </c>
      <c r="P106" s="1180" t="n"/>
      <c r="Q106" s="1180" t="n"/>
      <c r="S106" s="196" t="n"/>
      <c r="T106" s="196" t="inlineStr">
        <is>
          <t>손실요소</t>
        </is>
      </c>
      <c r="U106" s="1187">
        <f>작업!I205</f>
        <v/>
      </c>
      <c r="V106" s="1188">
        <f>작업!J205</f>
        <v/>
      </c>
      <c r="W106" s="1188">
        <f>작업!K205</f>
        <v/>
      </c>
      <c r="X106" s="1188">
        <f>작업!L205</f>
        <v/>
      </c>
      <c r="Y106" s="1188">
        <f>작업!M205</f>
        <v/>
      </c>
      <c r="Z106" s="1188">
        <f>작업!N205</f>
        <v/>
      </c>
      <c r="AA106" s="1187">
        <f>작업!O205</f>
        <v/>
      </c>
      <c r="AB106" s="1188">
        <f>작업!P205</f>
        <v/>
      </c>
      <c r="AC106" s="1188">
        <f>작업!Q205</f>
        <v/>
      </c>
      <c r="AD106" s="1188">
        <f>작업!R205</f>
        <v/>
      </c>
      <c r="AE106" s="1188">
        <f>작업!S205</f>
        <v/>
      </c>
      <c r="AF106" s="1189">
        <f>작업!T205</f>
        <v/>
      </c>
      <c r="AG106" s="696">
        <f>작업!U205</f>
        <v/>
      </c>
    </row>
    <row r="107">
      <c r="D107" s="1172" t="n"/>
      <c r="E107" s="1180" t="n"/>
      <c r="F107" s="1180" t="n"/>
      <c r="G107" s="1180" t="n"/>
      <c r="H107" s="1180" t="n"/>
      <c r="I107" s="1180" t="n"/>
      <c r="J107" s="1180" t="n"/>
      <c r="K107" s="1180" t="n"/>
      <c r="L107" s="1180" t="n"/>
      <c r="M107" s="1180" t="n"/>
      <c r="N107" s="1180" t="n"/>
      <c r="O107" s="1180" t="n"/>
      <c r="P107" s="1180" t="n"/>
      <c r="Q107" s="1180" t="n"/>
      <c r="U107" s="1172" t="n"/>
      <c r="V107" s="1172" t="n"/>
      <c r="W107" s="1172" t="n"/>
      <c r="X107" s="1172" t="n"/>
      <c r="Y107" s="1172" t="n"/>
      <c r="Z107" s="1172" t="n"/>
      <c r="AA107" s="1172" t="n"/>
      <c r="AB107" s="1172" t="n"/>
      <c r="AC107" s="1172" t="n"/>
      <c r="AD107" s="1172" t="n"/>
      <c r="AE107" s="1172" t="n"/>
      <c r="AF107" s="1172" t="n"/>
    </row>
    <row r="108">
      <c r="D108" s="1172" t="n"/>
      <c r="E108" s="1172" t="n"/>
      <c r="F108" s="1172" t="n"/>
      <c r="G108" s="1172" t="n"/>
      <c r="H108" s="1172" t="n"/>
      <c r="I108" s="1172" t="n"/>
      <c r="J108" s="1172" t="n"/>
      <c r="K108" s="1172" t="n"/>
      <c r="L108" s="1172" t="n"/>
      <c r="M108" s="1172" t="n"/>
      <c r="N108" s="1172" t="n"/>
      <c r="O108" s="1172" t="n"/>
      <c r="P108" s="1172" t="n"/>
    </row>
  </sheetData>
  <mergeCells count="67">
    <mergeCell ref="A66:C66"/>
    <mergeCell ref="AB30:AF30"/>
    <mergeCell ref="K30:O30"/>
    <mergeCell ref="AB64:AF64"/>
    <mergeCell ref="K4:O4"/>
    <mergeCell ref="U30:U31"/>
    <mergeCell ref="B22:C22"/>
    <mergeCell ref="R55:T55"/>
    <mergeCell ref="S96:T96"/>
    <mergeCell ref="R35:T35"/>
    <mergeCell ref="B96:C96"/>
    <mergeCell ref="E30:J30"/>
    <mergeCell ref="V30:AA30"/>
    <mergeCell ref="R64:T65"/>
    <mergeCell ref="AB4:AF4"/>
    <mergeCell ref="K88:O88"/>
    <mergeCell ref="K64:O64"/>
    <mergeCell ref="S70:T70"/>
    <mergeCell ref="B70:C70"/>
    <mergeCell ref="A64:C65"/>
    <mergeCell ref="S4:T5"/>
    <mergeCell ref="AB88:AF88"/>
    <mergeCell ref="R32:T32"/>
    <mergeCell ref="U47:U48"/>
    <mergeCell ref="A32:C32"/>
    <mergeCell ref="D4:D5"/>
    <mergeCell ref="AB47:AF47"/>
    <mergeCell ref="R66:T66"/>
    <mergeCell ref="A35:C35"/>
    <mergeCell ref="S13:T13"/>
    <mergeCell ref="A38:C38"/>
    <mergeCell ref="B4:C5"/>
    <mergeCell ref="B13:C13"/>
    <mergeCell ref="S69:T69"/>
    <mergeCell ref="B69:C69"/>
    <mergeCell ref="R68:T68"/>
    <mergeCell ref="A68:C68"/>
    <mergeCell ref="S75:T75"/>
    <mergeCell ref="R52:T52"/>
    <mergeCell ref="B99:C99"/>
    <mergeCell ref="A67:C67"/>
    <mergeCell ref="D64:D65"/>
    <mergeCell ref="S99:T99"/>
    <mergeCell ref="S6:T6"/>
    <mergeCell ref="V47:AA47"/>
    <mergeCell ref="U4:U5"/>
    <mergeCell ref="B9:C9"/>
    <mergeCell ref="S9:T9"/>
    <mergeCell ref="U64:U65"/>
    <mergeCell ref="U88:U89"/>
    <mergeCell ref="R38:T38"/>
    <mergeCell ref="D30:D31"/>
    <mergeCell ref="B6:C6"/>
    <mergeCell ref="R67:T67"/>
    <mergeCell ref="V4:AA4"/>
    <mergeCell ref="D88:D89"/>
    <mergeCell ref="A79:C79"/>
    <mergeCell ref="R79:T79"/>
    <mergeCell ref="B76:C76"/>
    <mergeCell ref="S76:T76"/>
    <mergeCell ref="R49:T49"/>
    <mergeCell ref="V88:AA88"/>
    <mergeCell ref="V64:AA64"/>
    <mergeCell ref="E4:J4"/>
    <mergeCell ref="E64:J64"/>
    <mergeCell ref="E88:J88"/>
    <mergeCell ref="B75:C7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</dc:creator>
  <dcterms:created xmlns:dcterms="http://purl.org/dc/terms/" xmlns:xsi="http://www.w3.org/2001/XMLSchema-instance" xsi:type="dcterms:W3CDTF">2024-05-16T00:28:04Z</dcterms:created>
  <dcterms:modified xmlns:dcterms="http://purl.org/dc/terms/" xmlns:xsi="http://www.w3.org/2001/XMLSchema-instance" xsi:type="dcterms:W3CDTF">2026-08-21T00:57:49Z</dcterms:modified>
  <cp:lastModifiedBy>Windows 사용자</cp:lastModifiedBy>
</cp:coreProperties>
</file>